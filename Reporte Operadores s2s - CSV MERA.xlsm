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arnia\Command\Campañas\Visa\GESTIÓN CSV\SKILL\Nahu\pruebas_python\prueba 1\"/>
    </mc:Choice>
  </mc:AlternateContent>
  <xr:revisionPtr revIDLastSave="0" documentId="13_ncr:1_{C237CC52-200D-4DA0-8729-FCB816A0D223}" xr6:coauthVersionLast="47" xr6:coauthVersionMax="47" xr10:uidLastSave="{00000000-0000-0000-0000-000000000000}"/>
  <bookViews>
    <workbookView xWindow="-120" yWindow="-120" windowWidth="29040" windowHeight="15840" activeTab="1" xr2:uid="{0BB34B60-2622-4CC3-85EE-9AD68EFE9208}"/>
  </bookViews>
  <sheets>
    <sheet name="Base Avaya" sheetId="1" r:id="rId1"/>
    <sheet name="Operadores S2S" sheetId="3" r:id="rId2"/>
  </sheets>
  <externalReferences>
    <externalReference r:id="rId3"/>
  </externalReferences>
  <definedNames>
    <definedName name="_xlnm._FilterDatabase" localSheetId="0" hidden="1">'Base Avaya'!$A$1:$AG$623</definedName>
    <definedName name="_xlnm._FilterDatabase" localSheetId="1" hidden="1">'Operadores S2S'!$B$8:$I$158</definedName>
  </definedNames>
  <calcPr calcId="19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5" i="3" l="1" a="1"/>
  <c r="F185" i="3" s="1"/>
  <c r="H185" i="3"/>
  <c r="I185" i="3"/>
  <c r="F186" i="3" a="1"/>
  <c r="F186" i="3" s="1"/>
  <c r="H186" i="3"/>
  <c r="I186" i="3"/>
  <c r="F187" i="3" a="1"/>
  <c r="F187" i="3" s="1"/>
  <c r="H187" i="3"/>
  <c r="I187" i="3"/>
  <c r="F188" i="3" a="1"/>
  <c r="F188" i="3" s="1"/>
  <c r="H188" i="3"/>
  <c r="I188" i="3"/>
  <c r="F189" i="3" a="1"/>
  <c r="F189" i="3" s="1"/>
  <c r="H189" i="3"/>
  <c r="I189" i="3"/>
  <c r="F190" i="3" a="1"/>
  <c r="F190" i="3" s="1"/>
  <c r="H190" i="3"/>
  <c r="I190" i="3"/>
  <c r="F191" i="3" a="1"/>
  <c r="F191" i="3" s="1"/>
  <c r="H191" i="3"/>
  <c r="I191" i="3"/>
  <c r="F192" i="3" a="1"/>
  <c r="F192" i="3" s="1"/>
  <c r="H192" i="3"/>
  <c r="I192" i="3"/>
  <c r="F193" i="3" a="1"/>
  <c r="F193" i="3" s="1"/>
  <c r="H193" i="3"/>
  <c r="I193" i="3"/>
  <c r="F194" i="3" a="1"/>
  <c r="F194" i="3" s="1"/>
  <c r="H194" i="3"/>
  <c r="I194" i="3"/>
  <c r="F195" i="3" a="1"/>
  <c r="F195" i="3" s="1"/>
  <c r="H195" i="3"/>
  <c r="I195" i="3"/>
  <c r="F196" i="3" a="1"/>
  <c r="F196" i="3" s="1"/>
  <c r="H196" i="3"/>
  <c r="I196" i="3"/>
  <c r="F197" i="3" a="1"/>
  <c r="F197" i="3" s="1"/>
  <c r="H197" i="3"/>
  <c r="I197" i="3"/>
  <c r="F198" i="3" a="1"/>
  <c r="F198" i="3" s="1"/>
  <c r="H198" i="3"/>
  <c r="I198" i="3"/>
  <c r="F199" i="3" a="1"/>
  <c r="F199" i="3" s="1"/>
  <c r="H199" i="3"/>
  <c r="I199" i="3"/>
  <c r="F200" i="3" a="1"/>
  <c r="F200" i="3" s="1"/>
  <c r="H200" i="3"/>
  <c r="I200" i="3"/>
  <c r="F201" i="3" a="1"/>
  <c r="F201" i="3" s="1"/>
  <c r="H201" i="3"/>
  <c r="I201" i="3"/>
  <c r="F202" i="3" a="1"/>
  <c r="F202" i="3" s="1"/>
  <c r="H202" i="3"/>
  <c r="I202" i="3"/>
  <c r="F203" i="3" a="1"/>
  <c r="F203" i="3" s="1"/>
  <c r="H203" i="3"/>
  <c r="I203" i="3"/>
  <c r="F204" i="3" a="1"/>
  <c r="F204" i="3" s="1"/>
  <c r="H204" i="3"/>
  <c r="I204" i="3"/>
  <c r="F205" i="3" a="1"/>
  <c r="F205" i="3" s="1"/>
  <c r="H205" i="3"/>
  <c r="I205" i="3"/>
  <c r="F206" i="3" a="1"/>
  <c r="F206" i="3" s="1"/>
  <c r="H206" i="3"/>
  <c r="I206" i="3"/>
  <c r="F207" i="3" a="1"/>
  <c r="F207" i="3" s="1"/>
  <c r="H207" i="3"/>
  <c r="I207" i="3"/>
  <c r="F208" i="3" a="1"/>
  <c r="F208" i="3" s="1"/>
  <c r="H208" i="3"/>
  <c r="I208" i="3"/>
  <c r="F209" i="3" a="1"/>
  <c r="F209" i="3" s="1"/>
  <c r="H209" i="3"/>
  <c r="I209" i="3"/>
  <c r="F210" i="3" a="1"/>
  <c r="F210" i="3" s="1"/>
  <c r="H210" i="3"/>
  <c r="I210" i="3"/>
  <c r="F211" i="3" a="1"/>
  <c r="F211" i="3" s="1"/>
  <c r="H211" i="3"/>
  <c r="I211" i="3"/>
  <c r="F212" i="3" a="1"/>
  <c r="F212" i="3" s="1"/>
  <c r="H212" i="3"/>
  <c r="I212" i="3"/>
  <c r="F213" i="3" a="1"/>
  <c r="F213" i="3" s="1"/>
  <c r="H213" i="3"/>
  <c r="I213" i="3"/>
  <c r="F214" i="3" a="1"/>
  <c r="F214" i="3" s="1"/>
  <c r="H214" i="3"/>
  <c r="I214" i="3"/>
  <c r="F215" i="3" a="1"/>
  <c r="F215" i="3" s="1"/>
  <c r="H215" i="3"/>
  <c r="I215" i="3"/>
  <c r="F216" i="3" a="1"/>
  <c r="F216" i="3" s="1"/>
  <c r="H216" i="3"/>
  <c r="I216" i="3"/>
  <c r="F217" i="3" a="1"/>
  <c r="F217" i="3" s="1"/>
  <c r="H217" i="3"/>
  <c r="I217" i="3"/>
  <c r="F218" i="3" a="1"/>
  <c r="F218" i="3" s="1"/>
  <c r="H218" i="3"/>
  <c r="I218" i="3"/>
  <c r="F219" i="3" a="1"/>
  <c r="F219" i="3" s="1"/>
  <c r="H219" i="3"/>
  <c r="I219" i="3"/>
  <c r="F220" i="3" a="1"/>
  <c r="F220" i="3" s="1"/>
  <c r="H220" i="3"/>
  <c r="I220" i="3"/>
  <c r="F221" i="3" a="1"/>
  <c r="F221" i="3" s="1"/>
  <c r="H221" i="3"/>
  <c r="I221" i="3"/>
  <c r="F222" i="3" a="1"/>
  <c r="F222" i="3" s="1"/>
  <c r="H222" i="3"/>
  <c r="I222" i="3"/>
  <c r="F223" i="3" a="1"/>
  <c r="F223" i="3" s="1"/>
  <c r="H223" i="3"/>
  <c r="I223" i="3"/>
  <c r="F224" i="3" a="1"/>
  <c r="F224" i="3" s="1"/>
  <c r="H224" i="3"/>
  <c r="I224" i="3"/>
  <c r="F225" i="3" a="1"/>
  <c r="F225" i="3" s="1"/>
  <c r="H225" i="3"/>
  <c r="I225" i="3"/>
  <c r="F226" i="3" a="1"/>
  <c r="F226" i="3" s="1"/>
  <c r="H226" i="3"/>
  <c r="I226" i="3"/>
  <c r="F227" i="3" a="1"/>
  <c r="F227" i="3" s="1"/>
  <c r="H227" i="3"/>
  <c r="I227" i="3"/>
  <c r="F228" i="3" a="1"/>
  <c r="F228" i="3" s="1"/>
  <c r="H228" i="3"/>
  <c r="I228" i="3"/>
  <c r="F229" i="3" a="1"/>
  <c r="F229" i="3" s="1"/>
  <c r="H229" i="3"/>
  <c r="I229" i="3"/>
  <c r="AD2" i="1"/>
  <c r="AE2" i="1"/>
  <c r="AF2" i="1"/>
  <c r="AG2" i="1"/>
  <c r="AD3" i="1"/>
  <c r="AE3" i="1"/>
  <c r="AF3" i="1"/>
  <c r="AG3" i="1"/>
  <c r="AD4" i="1"/>
  <c r="AE4" i="1"/>
  <c r="AF4" i="1"/>
  <c r="AG4" i="1"/>
  <c r="AD5" i="1"/>
  <c r="AE5" i="1"/>
  <c r="AF5" i="1"/>
  <c r="AG5" i="1"/>
  <c r="AD6" i="1"/>
  <c r="AE6" i="1"/>
  <c r="AF6" i="1"/>
  <c r="AG6" i="1"/>
  <c r="AD7" i="1"/>
  <c r="AE7" i="1"/>
  <c r="AF7" i="1"/>
  <c r="AG7" i="1"/>
  <c r="AD8" i="1"/>
  <c r="AE8" i="1"/>
  <c r="AF8" i="1"/>
  <c r="AG8" i="1"/>
  <c r="AD9" i="1"/>
  <c r="AE9" i="1"/>
  <c r="AF9" i="1"/>
  <c r="AG9" i="1"/>
  <c r="AD10" i="1"/>
  <c r="AE10" i="1"/>
  <c r="AF10" i="1"/>
  <c r="AG10" i="1"/>
  <c r="AD11" i="1"/>
  <c r="AE11" i="1"/>
  <c r="AF11" i="1"/>
  <c r="AG11" i="1"/>
  <c r="AD12" i="1"/>
  <c r="AE12" i="1"/>
  <c r="AF12" i="1"/>
  <c r="AG12" i="1"/>
  <c r="AD13" i="1"/>
  <c r="AE13" i="1"/>
  <c r="AF13" i="1"/>
  <c r="AG13" i="1"/>
  <c r="AD14" i="1"/>
  <c r="AE14" i="1"/>
  <c r="AF14" i="1"/>
  <c r="AG14" i="1"/>
  <c r="AD15" i="1"/>
  <c r="AE15" i="1"/>
  <c r="AF15" i="1"/>
  <c r="AG15" i="1"/>
  <c r="AD16" i="1"/>
  <c r="AE16" i="1"/>
  <c r="AF16" i="1"/>
  <c r="AG16" i="1"/>
  <c r="AD17" i="1"/>
  <c r="AE17" i="1"/>
  <c r="AF17" i="1"/>
  <c r="AG17" i="1"/>
  <c r="AD18" i="1"/>
  <c r="AE18" i="1"/>
  <c r="AF18" i="1"/>
  <c r="AG18" i="1"/>
  <c r="AD19" i="1"/>
  <c r="AE19" i="1"/>
  <c r="AF19" i="1"/>
  <c r="AG19" i="1"/>
  <c r="AD20" i="1"/>
  <c r="AE20" i="1"/>
  <c r="AF20" i="1"/>
  <c r="AG20" i="1"/>
  <c r="AD21" i="1"/>
  <c r="AE21" i="1"/>
  <c r="AF21" i="1"/>
  <c r="AG21" i="1"/>
  <c r="AD22" i="1"/>
  <c r="AE22" i="1"/>
  <c r="AF22" i="1"/>
  <c r="AG22" i="1"/>
  <c r="AD23" i="1"/>
  <c r="AE23" i="1"/>
  <c r="AF23" i="1"/>
  <c r="AG23" i="1"/>
  <c r="AD24" i="1"/>
  <c r="AE24" i="1"/>
  <c r="AF24" i="1"/>
  <c r="AG24" i="1"/>
  <c r="AD25" i="1"/>
  <c r="AE25" i="1"/>
  <c r="AF25" i="1"/>
  <c r="AG25" i="1"/>
  <c r="AD26" i="1"/>
  <c r="AE26" i="1"/>
  <c r="AF26" i="1"/>
  <c r="AG26" i="1"/>
  <c r="AD27" i="1"/>
  <c r="AE27" i="1"/>
  <c r="AF27" i="1"/>
  <c r="AG27" i="1"/>
  <c r="AD28" i="1"/>
  <c r="AE28" i="1"/>
  <c r="AF28" i="1"/>
  <c r="AG28" i="1"/>
  <c r="AD29" i="1"/>
  <c r="AE29" i="1"/>
  <c r="AF29" i="1"/>
  <c r="AG29" i="1"/>
  <c r="AD30" i="1"/>
  <c r="AE30" i="1"/>
  <c r="AF30" i="1"/>
  <c r="AG30" i="1"/>
  <c r="AD31" i="1"/>
  <c r="AE31" i="1"/>
  <c r="AF31" i="1"/>
  <c r="AG31" i="1"/>
  <c r="AD32" i="1"/>
  <c r="AE32" i="1"/>
  <c r="AF32" i="1"/>
  <c r="AG32" i="1"/>
  <c r="AD33" i="1"/>
  <c r="AE33" i="1"/>
  <c r="AF33" i="1"/>
  <c r="AG33" i="1"/>
  <c r="AD34" i="1"/>
  <c r="AE34" i="1"/>
  <c r="AF34" i="1"/>
  <c r="AG34" i="1"/>
  <c r="AD35" i="1"/>
  <c r="AE35" i="1"/>
  <c r="AF35" i="1"/>
  <c r="AG35" i="1"/>
  <c r="AD36" i="1"/>
  <c r="AE36" i="1"/>
  <c r="AF36" i="1"/>
  <c r="AG36" i="1"/>
  <c r="AD37" i="1"/>
  <c r="AE37" i="1"/>
  <c r="AF37" i="1"/>
  <c r="AG37" i="1"/>
  <c r="AD38" i="1"/>
  <c r="AE38" i="1"/>
  <c r="AF38" i="1"/>
  <c r="AG38" i="1"/>
  <c r="AD39" i="1"/>
  <c r="AE39" i="1"/>
  <c r="AF39" i="1"/>
  <c r="AG39" i="1"/>
  <c r="AD40" i="1"/>
  <c r="AE40" i="1"/>
  <c r="AF40" i="1"/>
  <c r="AG40" i="1"/>
  <c r="AD41" i="1"/>
  <c r="AE41" i="1"/>
  <c r="AF41" i="1"/>
  <c r="AG41" i="1"/>
  <c r="AD42" i="1"/>
  <c r="AE42" i="1"/>
  <c r="AF42" i="1"/>
  <c r="AG42" i="1"/>
  <c r="AD43" i="1"/>
  <c r="AE43" i="1"/>
  <c r="AF43" i="1"/>
  <c r="AG43" i="1"/>
  <c r="AD44" i="1"/>
  <c r="AE44" i="1"/>
  <c r="AF44" i="1"/>
  <c r="AG44" i="1"/>
  <c r="AD45" i="1"/>
  <c r="AE45" i="1"/>
  <c r="AF45" i="1"/>
  <c r="AG45" i="1"/>
  <c r="AD46" i="1"/>
  <c r="AE46" i="1"/>
  <c r="AF46" i="1"/>
  <c r="AG46" i="1"/>
  <c r="AD47" i="1"/>
  <c r="AE47" i="1"/>
  <c r="AF47" i="1"/>
  <c r="AG47" i="1"/>
  <c r="AD48" i="1"/>
  <c r="AE48" i="1"/>
  <c r="AF48" i="1"/>
  <c r="AG48" i="1"/>
  <c r="AD49" i="1"/>
  <c r="AE49" i="1"/>
  <c r="AF49" i="1"/>
  <c r="AG49" i="1"/>
  <c r="AD50" i="1"/>
  <c r="AE50" i="1"/>
  <c r="AF50" i="1"/>
  <c r="AG50" i="1"/>
  <c r="AD51" i="1"/>
  <c r="AE51" i="1"/>
  <c r="AF51" i="1"/>
  <c r="AG51" i="1"/>
  <c r="AD52" i="1"/>
  <c r="AE52" i="1"/>
  <c r="AF52" i="1"/>
  <c r="AG52" i="1"/>
  <c r="AD53" i="1"/>
  <c r="AE53" i="1"/>
  <c r="AF53" i="1"/>
  <c r="AG53" i="1"/>
  <c r="AD54" i="1"/>
  <c r="AE54" i="1"/>
  <c r="AF54" i="1"/>
  <c r="AG54" i="1"/>
  <c r="AD55" i="1"/>
  <c r="AE55" i="1"/>
  <c r="AF55" i="1"/>
  <c r="AG55" i="1"/>
  <c r="AD56" i="1"/>
  <c r="AE56" i="1"/>
  <c r="AF56" i="1"/>
  <c r="AG56" i="1"/>
  <c r="AD57" i="1"/>
  <c r="AE57" i="1"/>
  <c r="AF57" i="1"/>
  <c r="AG57" i="1"/>
  <c r="AD58" i="1"/>
  <c r="AE58" i="1"/>
  <c r="AF58" i="1"/>
  <c r="AG58" i="1"/>
  <c r="AD59" i="1"/>
  <c r="AE59" i="1"/>
  <c r="AF59" i="1"/>
  <c r="AG59" i="1"/>
  <c r="AD60" i="1"/>
  <c r="AE60" i="1"/>
  <c r="AF60" i="1"/>
  <c r="AG60" i="1"/>
  <c r="AD61" i="1"/>
  <c r="AE61" i="1"/>
  <c r="AF61" i="1"/>
  <c r="AG61" i="1"/>
  <c r="AD62" i="1"/>
  <c r="AE62" i="1"/>
  <c r="AF62" i="1"/>
  <c r="AG62" i="1"/>
  <c r="AD63" i="1"/>
  <c r="AE63" i="1"/>
  <c r="AF63" i="1"/>
  <c r="AG63" i="1"/>
  <c r="AD64" i="1"/>
  <c r="AE64" i="1"/>
  <c r="AF64" i="1"/>
  <c r="AG64" i="1"/>
  <c r="AD65" i="1"/>
  <c r="AE65" i="1"/>
  <c r="AF65" i="1"/>
  <c r="AG65" i="1"/>
  <c r="AD66" i="1"/>
  <c r="AE66" i="1"/>
  <c r="AF66" i="1"/>
  <c r="AG66" i="1"/>
  <c r="AD67" i="1"/>
  <c r="AE67" i="1"/>
  <c r="AF67" i="1"/>
  <c r="AG67" i="1"/>
  <c r="AD68" i="1"/>
  <c r="AE68" i="1"/>
  <c r="AF68" i="1"/>
  <c r="AG68" i="1"/>
  <c r="AD69" i="1"/>
  <c r="AE69" i="1"/>
  <c r="AF69" i="1"/>
  <c r="AG69" i="1"/>
  <c r="AD70" i="1"/>
  <c r="AE70" i="1"/>
  <c r="AF70" i="1"/>
  <c r="AG70" i="1"/>
  <c r="AD71" i="1"/>
  <c r="AE71" i="1"/>
  <c r="AF71" i="1"/>
  <c r="AG71" i="1"/>
  <c r="AD72" i="1"/>
  <c r="AE72" i="1"/>
  <c r="AF72" i="1"/>
  <c r="AG72" i="1"/>
  <c r="AD73" i="1"/>
  <c r="AE73" i="1"/>
  <c r="AF73" i="1"/>
  <c r="AG73" i="1"/>
  <c r="AD74" i="1"/>
  <c r="AE74" i="1"/>
  <c r="AF74" i="1"/>
  <c r="AG74" i="1"/>
  <c r="AD75" i="1"/>
  <c r="AE75" i="1"/>
  <c r="AF75" i="1"/>
  <c r="AG75" i="1"/>
  <c r="AD76" i="1"/>
  <c r="AE76" i="1"/>
  <c r="AF76" i="1"/>
  <c r="AG76" i="1"/>
  <c r="AD77" i="1"/>
  <c r="AE77" i="1"/>
  <c r="AF77" i="1"/>
  <c r="AG77" i="1"/>
  <c r="AD78" i="1"/>
  <c r="AE78" i="1"/>
  <c r="AF78" i="1"/>
  <c r="AG78" i="1"/>
  <c r="AD79" i="1"/>
  <c r="AE79" i="1"/>
  <c r="AF79" i="1"/>
  <c r="AG79" i="1"/>
  <c r="AD80" i="1"/>
  <c r="AE80" i="1"/>
  <c r="AF80" i="1"/>
  <c r="AG80" i="1"/>
  <c r="AD81" i="1"/>
  <c r="AE81" i="1"/>
  <c r="AF81" i="1"/>
  <c r="AG81" i="1"/>
  <c r="AD82" i="1"/>
  <c r="AE82" i="1"/>
  <c r="AF82" i="1"/>
  <c r="AG82" i="1"/>
  <c r="AD83" i="1"/>
  <c r="AE83" i="1"/>
  <c r="AF83" i="1"/>
  <c r="AG83" i="1"/>
  <c r="AD84" i="1"/>
  <c r="AE84" i="1"/>
  <c r="AF84" i="1"/>
  <c r="AG84" i="1"/>
  <c r="AD85" i="1"/>
  <c r="AE85" i="1"/>
  <c r="AF85" i="1"/>
  <c r="AG85" i="1"/>
  <c r="AD86" i="1"/>
  <c r="AE86" i="1"/>
  <c r="AF86" i="1"/>
  <c r="AG86" i="1"/>
  <c r="AD87" i="1"/>
  <c r="AE87" i="1"/>
  <c r="AF87" i="1"/>
  <c r="AG87" i="1"/>
  <c r="AD88" i="1"/>
  <c r="AE88" i="1"/>
  <c r="AF88" i="1"/>
  <c r="AG88" i="1"/>
  <c r="AD89" i="1"/>
  <c r="AE89" i="1"/>
  <c r="AF89" i="1"/>
  <c r="AG89" i="1"/>
  <c r="AD90" i="1"/>
  <c r="AE90" i="1"/>
  <c r="AF90" i="1"/>
  <c r="AG90" i="1"/>
  <c r="AD91" i="1"/>
  <c r="AE91" i="1"/>
  <c r="AF91" i="1"/>
  <c r="AG91" i="1"/>
  <c r="AD92" i="1"/>
  <c r="AE92" i="1"/>
  <c r="AF92" i="1"/>
  <c r="AG92" i="1"/>
  <c r="AD93" i="1"/>
  <c r="AE93" i="1"/>
  <c r="AF93" i="1"/>
  <c r="AG93" i="1"/>
  <c r="AD94" i="1"/>
  <c r="AE94" i="1"/>
  <c r="AF94" i="1"/>
  <c r="AG94" i="1"/>
  <c r="AD95" i="1"/>
  <c r="AE95" i="1"/>
  <c r="AF95" i="1"/>
  <c r="AG95" i="1"/>
  <c r="AD96" i="1"/>
  <c r="AE96" i="1"/>
  <c r="AF96" i="1"/>
  <c r="AG96" i="1"/>
  <c r="AD97" i="1"/>
  <c r="AE97" i="1"/>
  <c r="AF97" i="1"/>
  <c r="AG97" i="1"/>
  <c r="AD98" i="1"/>
  <c r="AE98" i="1"/>
  <c r="AF98" i="1"/>
  <c r="AG98" i="1"/>
  <c r="AD99" i="1"/>
  <c r="AE99" i="1"/>
  <c r="AF99" i="1"/>
  <c r="AG99" i="1"/>
  <c r="AD100" i="1"/>
  <c r="AE100" i="1"/>
  <c r="AF100" i="1"/>
  <c r="AG100" i="1"/>
  <c r="AD101" i="1"/>
  <c r="AE101" i="1"/>
  <c r="AF101" i="1"/>
  <c r="AG101" i="1"/>
  <c r="AD102" i="1"/>
  <c r="AE102" i="1"/>
  <c r="AF102" i="1"/>
  <c r="AG102" i="1"/>
  <c r="AD103" i="1"/>
  <c r="AE103" i="1"/>
  <c r="AF103" i="1"/>
  <c r="AG103" i="1"/>
  <c r="AD104" i="1"/>
  <c r="AE104" i="1"/>
  <c r="AF104" i="1"/>
  <c r="AG104" i="1"/>
  <c r="AD105" i="1"/>
  <c r="AE105" i="1"/>
  <c r="AF105" i="1"/>
  <c r="AG105" i="1"/>
  <c r="AD106" i="1"/>
  <c r="AE106" i="1"/>
  <c r="AF106" i="1"/>
  <c r="AG106" i="1"/>
  <c r="AD107" i="1"/>
  <c r="AE107" i="1"/>
  <c r="AF107" i="1"/>
  <c r="AG107" i="1"/>
  <c r="AD108" i="1"/>
  <c r="AE108" i="1"/>
  <c r="AF108" i="1"/>
  <c r="AG108" i="1"/>
  <c r="AD109" i="1"/>
  <c r="AE109" i="1"/>
  <c r="AF109" i="1"/>
  <c r="AG109" i="1"/>
  <c r="AD110" i="1"/>
  <c r="AE110" i="1"/>
  <c r="AF110" i="1"/>
  <c r="AG110" i="1"/>
  <c r="AD111" i="1"/>
  <c r="AE111" i="1"/>
  <c r="AF111" i="1"/>
  <c r="AG111" i="1"/>
  <c r="AD112" i="1"/>
  <c r="AE112" i="1"/>
  <c r="AF112" i="1"/>
  <c r="AG112" i="1"/>
  <c r="AD113" i="1"/>
  <c r="AE113" i="1"/>
  <c r="AF113" i="1"/>
  <c r="AG113" i="1"/>
  <c r="AD114" i="1"/>
  <c r="AE114" i="1"/>
  <c r="AF114" i="1"/>
  <c r="AG114" i="1"/>
  <c r="AD115" i="1"/>
  <c r="AE115" i="1"/>
  <c r="AF115" i="1"/>
  <c r="AG115" i="1"/>
  <c r="AD116" i="1"/>
  <c r="AE116" i="1"/>
  <c r="AF116" i="1"/>
  <c r="AG116" i="1"/>
  <c r="AD117" i="1"/>
  <c r="AE117" i="1"/>
  <c r="AF117" i="1"/>
  <c r="AG117" i="1"/>
  <c r="AD118" i="1"/>
  <c r="AE118" i="1"/>
  <c r="AF118" i="1"/>
  <c r="AG118" i="1"/>
  <c r="AD119" i="1"/>
  <c r="AE119" i="1"/>
  <c r="AF119" i="1"/>
  <c r="AG119" i="1"/>
  <c r="AD120" i="1"/>
  <c r="AE120" i="1"/>
  <c r="AF120" i="1"/>
  <c r="AG120" i="1"/>
  <c r="AD121" i="1"/>
  <c r="AE121" i="1"/>
  <c r="AF121" i="1"/>
  <c r="AG121" i="1"/>
  <c r="AD122" i="1"/>
  <c r="AE122" i="1"/>
  <c r="AF122" i="1"/>
  <c r="AG122" i="1"/>
  <c r="AD123" i="1"/>
  <c r="AE123" i="1"/>
  <c r="AF123" i="1"/>
  <c r="AG123" i="1"/>
  <c r="AD124" i="1"/>
  <c r="AE124" i="1"/>
  <c r="AF124" i="1"/>
  <c r="AG124" i="1"/>
  <c r="AD125" i="1"/>
  <c r="AE125" i="1"/>
  <c r="AF125" i="1"/>
  <c r="AG125" i="1"/>
  <c r="AD126" i="1"/>
  <c r="AE126" i="1"/>
  <c r="AF126" i="1"/>
  <c r="AG126" i="1"/>
  <c r="AD127" i="1"/>
  <c r="AE127" i="1"/>
  <c r="AF127" i="1"/>
  <c r="AG127" i="1"/>
  <c r="AD128" i="1"/>
  <c r="AE128" i="1"/>
  <c r="AF128" i="1"/>
  <c r="AG128" i="1"/>
  <c r="AD129" i="1"/>
  <c r="AE129" i="1"/>
  <c r="AF129" i="1"/>
  <c r="AG129" i="1"/>
  <c r="AD130" i="1"/>
  <c r="AE130" i="1"/>
  <c r="AF130" i="1"/>
  <c r="AG130" i="1"/>
  <c r="AD131" i="1"/>
  <c r="AE131" i="1"/>
  <c r="AF131" i="1"/>
  <c r="AG131" i="1"/>
  <c r="AD132" i="1"/>
  <c r="AE132" i="1"/>
  <c r="AF132" i="1"/>
  <c r="AG132" i="1"/>
  <c r="AD133" i="1"/>
  <c r="AE133" i="1"/>
  <c r="AF133" i="1"/>
  <c r="AG133" i="1"/>
  <c r="AD134" i="1"/>
  <c r="AE134" i="1"/>
  <c r="AF134" i="1"/>
  <c r="AG134" i="1"/>
  <c r="AD135" i="1"/>
  <c r="AE135" i="1"/>
  <c r="AF135" i="1"/>
  <c r="AG135" i="1"/>
  <c r="AD136" i="1"/>
  <c r="AE136" i="1"/>
  <c r="AF136" i="1"/>
  <c r="AG136" i="1"/>
  <c r="AD137" i="1"/>
  <c r="AE137" i="1"/>
  <c r="AF137" i="1"/>
  <c r="AG137" i="1"/>
  <c r="AD138" i="1"/>
  <c r="AE138" i="1"/>
  <c r="AF138" i="1"/>
  <c r="AG138" i="1"/>
  <c r="AD139" i="1"/>
  <c r="AE139" i="1"/>
  <c r="AF139" i="1"/>
  <c r="AG139" i="1"/>
  <c r="AD140" i="1"/>
  <c r="AE140" i="1"/>
  <c r="AF140" i="1"/>
  <c r="AG140" i="1"/>
  <c r="AD141" i="1"/>
  <c r="AE141" i="1"/>
  <c r="AF141" i="1"/>
  <c r="AG141" i="1"/>
  <c r="AD142" i="1"/>
  <c r="AE142" i="1"/>
  <c r="AF142" i="1"/>
  <c r="AG142" i="1"/>
  <c r="AD143" i="1"/>
  <c r="AE143" i="1"/>
  <c r="AF143" i="1"/>
  <c r="AG143" i="1"/>
  <c r="AD144" i="1"/>
  <c r="AE144" i="1"/>
  <c r="AF144" i="1"/>
  <c r="AG144" i="1"/>
  <c r="AD145" i="1"/>
  <c r="AE145" i="1"/>
  <c r="AF145" i="1"/>
  <c r="AG145" i="1"/>
  <c r="AD146" i="1"/>
  <c r="AE146" i="1"/>
  <c r="AF146" i="1"/>
  <c r="AG146" i="1"/>
  <c r="AD147" i="1"/>
  <c r="AE147" i="1"/>
  <c r="AF147" i="1"/>
  <c r="AG147" i="1"/>
  <c r="AD148" i="1"/>
  <c r="AE148" i="1"/>
  <c r="AF148" i="1"/>
  <c r="AG148" i="1"/>
  <c r="AD149" i="1"/>
  <c r="AE149" i="1"/>
  <c r="AF149" i="1"/>
  <c r="AG149" i="1"/>
  <c r="AD150" i="1"/>
  <c r="AE150" i="1"/>
  <c r="AF150" i="1"/>
  <c r="AG150" i="1"/>
  <c r="AD151" i="1"/>
  <c r="AE151" i="1"/>
  <c r="AF151" i="1"/>
  <c r="AG151" i="1"/>
  <c r="AD152" i="1"/>
  <c r="AE152" i="1"/>
  <c r="AF152" i="1"/>
  <c r="AG152" i="1"/>
  <c r="AD153" i="1"/>
  <c r="AE153" i="1"/>
  <c r="AF153" i="1"/>
  <c r="AG153" i="1"/>
  <c r="AD154" i="1"/>
  <c r="AE154" i="1"/>
  <c r="AF154" i="1"/>
  <c r="AG154" i="1"/>
  <c r="AD155" i="1"/>
  <c r="AE155" i="1"/>
  <c r="AF155" i="1"/>
  <c r="AG155" i="1"/>
  <c r="AD156" i="1"/>
  <c r="AE156" i="1"/>
  <c r="AF156" i="1"/>
  <c r="AG156" i="1"/>
  <c r="AD157" i="1"/>
  <c r="AE157" i="1"/>
  <c r="AF157" i="1"/>
  <c r="AG157" i="1"/>
  <c r="AD158" i="1"/>
  <c r="AE158" i="1"/>
  <c r="AF158" i="1"/>
  <c r="AG158" i="1"/>
  <c r="AD159" i="1"/>
  <c r="AE159" i="1"/>
  <c r="AF159" i="1"/>
  <c r="AG159" i="1"/>
  <c r="AD160" i="1"/>
  <c r="AE160" i="1"/>
  <c r="AF160" i="1"/>
  <c r="AG160" i="1"/>
  <c r="AD161" i="1"/>
  <c r="AE161" i="1"/>
  <c r="AF161" i="1"/>
  <c r="AG161" i="1"/>
  <c r="AD162" i="1"/>
  <c r="AE162" i="1"/>
  <c r="AF162" i="1"/>
  <c r="AG162" i="1"/>
  <c r="AD163" i="1"/>
  <c r="AE163" i="1"/>
  <c r="AF163" i="1"/>
  <c r="AG163" i="1"/>
  <c r="AD164" i="1"/>
  <c r="AE164" i="1"/>
  <c r="AF164" i="1"/>
  <c r="AG164" i="1"/>
  <c r="AD165" i="1"/>
  <c r="AE165" i="1"/>
  <c r="AF165" i="1"/>
  <c r="AG165" i="1"/>
  <c r="AD166" i="1"/>
  <c r="AE166" i="1"/>
  <c r="AF166" i="1"/>
  <c r="AG166" i="1"/>
  <c r="AD167" i="1"/>
  <c r="AE167" i="1"/>
  <c r="AF167" i="1"/>
  <c r="AG167" i="1"/>
  <c r="AD168" i="1"/>
  <c r="AE168" i="1"/>
  <c r="AF168" i="1"/>
  <c r="AG168" i="1"/>
  <c r="AD169" i="1"/>
  <c r="AE169" i="1"/>
  <c r="AF169" i="1"/>
  <c r="AG169" i="1"/>
  <c r="AD170" i="1"/>
  <c r="AE170" i="1"/>
  <c r="AF170" i="1"/>
  <c r="AG170" i="1"/>
  <c r="AD171" i="1"/>
  <c r="AE171" i="1"/>
  <c r="AF171" i="1"/>
  <c r="AG171" i="1"/>
  <c r="AD172" i="1"/>
  <c r="AE172" i="1"/>
  <c r="AF172" i="1"/>
  <c r="AG172" i="1"/>
  <c r="AD173" i="1"/>
  <c r="AE173" i="1"/>
  <c r="AF173" i="1"/>
  <c r="AG173" i="1"/>
  <c r="AD174" i="1"/>
  <c r="AE174" i="1"/>
  <c r="AF174" i="1"/>
  <c r="AG174" i="1"/>
  <c r="AD175" i="1"/>
  <c r="AE175" i="1"/>
  <c r="AF175" i="1"/>
  <c r="AG175" i="1"/>
  <c r="AD176" i="1"/>
  <c r="AE176" i="1"/>
  <c r="AF176" i="1"/>
  <c r="AG176" i="1"/>
  <c r="AD177" i="1"/>
  <c r="AE177" i="1"/>
  <c r="AF177" i="1"/>
  <c r="AG177" i="1"/>
  <c r="AD178" i="1"/>
  <c r="AE178" i="1"/>
  <c r="AF178" i="1"/>
  <c r="AG178" i="1"/>
  <c r="AD179" i="1"/>
  <c r="AE179" i="1"/>
  <c r="AF179" i="1"/>
  <c r="AG179" i="1"/>
  <c r="AD180" i="1"/>
  <c r="AE180" i="1"/>
  <c r="AF180" i="1"/>
  <c r="AG180" i="1"/>
  <c r="AD181" i="1"/>
  <c r="AE181" i="1"/>
  <c r="AF181" i="1"/>
  <c r="AG181" i="1"/>
  <c r="AD182" i="1"/>
  <c r="AE182" i="1"/>
  <c r="AF182" i="1"/>
  <c r="AG182" i="1"/>
  <c r="AD183" i="1"/>
  <c r="AE183" i="1"/>
  <c r="AF183" i="1"/>
  <c r="AG183" i="1"/>
  <c r="AD184" i="1"/>
  <c r="AE184" i="1"/>
  <c r="AF184" i="1"/>
  <c r="AG184" i="1"/>
  <c r="AD185" i="1"/>
  <c r="AE185" i="1"/>
  <c r="AF185" i="1"/>
  <c r="AG185" i="1"/>
  <c r="AD186" i="1"/>
  <c r="AE186" i="1"/>
  <c r="AF186" i="1"/>
  <c r="AG186" i="1"/>
  <c r="AD187" i="1"/>
  <c r="AE187" i="1"/>
  <c r="AF187" i="1"/>
  <c r="AG187" i="1"/>
  <c r="AD188" i="1"/>
  <c r="AE188" i="1"/>
  <c r="AF188" i="1"/>
  <c r="AG188" i="1"/>
  <c r="AD189" i="1"/>
  <c r="AE189" i="1"/>
  <c r="AF189" i="1"/>
  <c r="AG189" i="1"/>
  <c r="AD190" i="1"/>
  <c r="AE190" i="1"/>
  <c r="AF190" i="1"/>
  <c r="AG190" i="1"/>
  <c r="AD191" i="1"/>
  <c r="AE191" i="1"/>
  <c r="AF191" i="1"/>
  <c r="AG191" i="1"/>
  <c r="AD192" i="1"/>
  <c r="AE192" i="1"/>
  <c r="AF192" i="1"/>
  <c r="AG192" i="1"/>
  <c r="AD193" i="1"/>
  <c r="AE193" i="1"/>
  <c r="AF193" i="1"/>
  <c r="AG193" i="1"/>
  <c r="AD194" i="1"/>
  <c r="AE194" i="1"/>
  <c r="AF194" i="1"/>
  <c r="AG194" i="1"/>
  <c r="AD195" i="1"/>
  <c r="AE195" i="1"/>
  <c r="AF195" i="1"/>
  <c r="AG195" i="1"/>
  <c r="AD196" i="1"/>
  <c r="AE196" i="1"/>
  <c r="AF196" i="1"/>
  <c r="AG196" i="1"/>
  <c r="AD197" i="1"/>
  <c r="AE197" i="1"/>
  <c r="AF197" i="1"/>
  <c r="AG197" i="1"/>
  <c r="AD198" i="1"/>
  <c r="AE198" i="1"/>
  <c r="AF198" i="1"/>
  <c r="AG198" i="1"/>
  <c r="AD199" i="1"/>
  <c r="AE199" i="1"/>
  <c r="AF199" i="1"/>
  <c r="AG199" i="1"/>
  <c r="AD200" i="1"/>
  <c r="AE200" i="1"/>
  <c r="AF200" i="1"/>
  <c r="AG200" i="1"/>
  <c r="AD201" i="1"/>
  <c r="AE201" i="1"/>
  <c r="AF201" i="1"/>
  <c r="AG201" i="1"/>
  <c r="AD202" i="1"/>
  <c r="AE202" i="1"/>
  <c r="AF202" i="1"/>
  <c r="AG202" i="1"/>
  <c r="AD203" i="1"/>
  <c r="AE203" i="1"/>
  <c r="AF203" i="1"/>
  <c r="AG203" i="1"/>
  <c r="AD204" i="1"/>
  <c r="AE204" i="1"/>
  <c r="AF204" i="1"/>
  <c r="AG204" i="1"/>
  <c r="AD205" i="1"/>
  <c r="AE205" i="1"/>
  <c r="AF205" i="1"/>
  <c r="AG205" i="1"/>
  <c r="AD206" i="1"/>
  <c r="AE206" i="1"/>
  <c r="AF206" i="1"/>
  <c r="AG206" i="1"/>
  <c r="AD207" i="1"/>
  <c r="AE207" i="1"/>
  <c r="AF207" i="1"/>
  <c r="AG207" i="1"/>
  <c r="AD208" i="1"/>
  <c r="AE208" i="1"/>
  <c r="AF208" i="1"/>
  <c r="AG208" i="1"/>
  <c r="AD209" i="1"/>
  <c r="AE209" i="1"/>
  <c r="AF209" i="1"/>
  <c r="AG209" i="1"/>
  <c r="AD210" i="1"/>
  <c r="AE210" i="1"/>
  <c r="AF210" i="1"/>
  <c r="AG210" i="1"/>
  <c r="AD211" i="1"/>
  <c r="AE211" i="1"/>
  <c r="AF211" i="1"/>
  <c r="AG211" i="1"/>
  <c r="AD212" i="1"/>
  <c r="AE212" i="1"/>
  <c r="AF212" i="1"/>
  <c r="AG212" i="1"/>
  <c r="AD213" i="1"/>
  <c r="AE213" i="1"/>
  <c r="AF213" i="1"/>
  <c r="AG213" i="1"/>
  <c r="AD214" i="1"/>
  <c r="AE214" i="1"/>
  <c r="AF214" i="1"/>
  <c r="AG214" i="1"/>
  <c r="AD215" i="1"/>
  <c r="AE215" i="1"/>
  <c r="AF215" i="1"/>
  <c r="AG215" i="1"/>
  <c r="AD216" i="1"/>
  <c r="AE216" i="1"/>
  <c r="AF216" i="1"/>
  <c r="AG216" i="1"/>
  <c r="AD217" i="1"/>
  <c r="AE217" i="1"/>
  <c r="AF217" i="1"/>
  <c r="AG217" i="1"/>
  <c r="AD218" i="1"/>
  <c r="AE218" i="1"/>
  <c r="AF218" i="1"/>
  <c r="AG218" i="1"/>
  <c r="AD219" i="1"/>
  <c r="AE219" i="1"/>
  <c r="AF219" i="1"/>
  <c r="AG219" i="1"/>
  <c r="AD220" i="1"/>
  <c r="AE220" i="1"/>
  <c r="AF220" i="1"/>
  <c r="AG220" i="1"/>
  <c r="AD221" i="1"/>
  <c r="AE221" i="1"/>
  <c r="AF221" i="1"/>
  <c r="AG221" i="1"/>
  <c r="AD222" i="1"/>
  <c r="AE222" i="1"/>
  <c r="AF222" i="1"/>
  <c r="AG222" i="1"/>
  <c r="AD223" i="1"/>
  <c r="AE223" i="1"/>
  <c r="AF223" i="1"/>
  <c r="AG223" i="1"/>
  <c r="AD224" i="1"/>
  <c r="AE224" i="1"/>
  <c r="AF224" i="1"/>
  <c r="AG224" i="1"/>
  <c r="AD225" i="1"/>
  <c r="AE225" i="1"/>
  <c r="AF225" i="1"/>
  <c r="AG225" i="1"/>
  <c r="AD226" i="1"/>
  <c r="AE226" i="1"/>
  <c r="AF226" i="1"/>
  <c r="AG226" i="1"/>
  <c r="AD227" i="1"/>
  <c r="AE227" i="1"/>
  <c r="AF227" i="1"/>
  <c r="AG227" i="1"/>
  <c r="AD228" i="1"/>
  <c r="AE228" i="1"/>
  <c r="AF228" i="1"/>
  <c r="AG228" i="1"/>
  <c r="AD229" i="1"/>
  <c r="AE229" i="1"/>
  <c r="AF229" i="1"/>
  <c r="AG229" i="1"/>
  <c r="AD230" i="1"/>
  <c r="AE230" i="1"/>
  <c r="AF230" i="1"/>
  <c r="AG230" i="1"/>
  <c r="AD231" i="1"/>
  <c r="AE231" i="1"/>
  <c r="AF231" i="1"/>
  <c r="AG231" i="1"/>
  <c r="AD232" i="1"/>
  <c r="AE232" i="1"/>
  <c r="AF232" i="1"/>
  <c r="AG232" i="1"/>
  <c r="AD233" i="1"/>
  <c r="AE233" i="1"/>
  <c r="AF233" i="1"/>
  <c r="AG233" i="1"/>
  <c r="AD234" i="1"/>
  <c r="AE234" i="1"/>
  <c r="AF234" i="1"/>
  <c r="AG234" i="1"/>
  <c r="AD235" i="1"/>
  <c r="AE235" i="1"/>
  <c r="AF235" i="1"/>
  <c r="AG235" i="1"/>
  <c r="AD236" i="1"/>
  <c r="AE236" i="1"/>
  <c r="AF236" i="1"/>
  <c r="AG236" i="1"/>
  <c r="AD237" i="1"/>
  <c r="AE237" i="1"/>
  <c r="AF237" i="1"/>
  <c r="AG237" i="1"/>
  <c r="AD238" i="1"/>
  <c r="AE238" i="1"/>
  <c r="AF238" i="1"/>
  <c r="AG238" i="1"/>
  <c r="AD239" i="1"/>
  <c r="AE239" i="1"/>
  <c r="AF239" i="1"/>
  <c r="AG239" i="1"/>
  <c r="AD240" i="1"/>
  <c r="AE240" i="1"/>
  <c r="AF240" i="1"/>
  <c r="AG240" i="1"/>
  <c r="AD241" i="1"/>
  <c r="AE241" i="1"/>
  <c r="AF241" i="1"/>
  <c r="AG241" i="1"/>
  <c r="AD242" i="1"/>
  <c r="AE242" i="1"/>
  <c r="AF242" i="1"/>
  <c r="AG242" i="1"/>
  <c r="AD243" i="1"/>
  <c r="AE243" i="1"/>
  <c r="AF243" i="1"/>
  <c r="AG243" i="1"/>
  <c r="AD244" i="1"/>
  <c r="AE244" i="1"/>
  <c r="AF244" i="1"/>
  <c r="AG244" i="1"/>
  <c r="AD245" i="1"/>
  <c r="AE245" i="1"/>
  <c r="AF245" i="1"/>
  <c r="AG245" i="1"/>
  <c r="AD246" i="1"/>
  <c r="AE246" i="1"/>
  <c r="AF246" i="1"/>
  <c r="AG246" i="1"/>
  <c r="AD247" i="1"/>
  <c r="AE247" i="1"/>
  <c r="AF247" i="1"/>
  <c r="AG247" i="1"/>
  <c r="AD248" i="1"/>
  <c r="AE248" i="1"/>
  <c r="AF248" i="1"/>
  <c r="AG248" i="1"/>
  <c r="AD249" i="1"/>
  <c r="AE249" i="1"/>
  <c r="AF249" i="1"/>
  <c r="AG249" i="1"/>
  <c r="AD250" i="1"/>
  <c r="AE250" i="1"/>
  <c r="AF250" i="1"/>
  <c r="AG250" i="1"/>
  <c r="AD251" i="1"/>
  <c r="AE251" i="1"/>
  <c r="AF251" i="1"/>
  <c r="AG251" i="1"/>
  <c r="AD252" i="1"/>
  <c r="AE252" i="1"/>
  <c r="AF252" i="1"/>
  <c r="AG252" i="1"/>
  <c r="AD253" i="1"/>
  <c r="AE253" i="1"/>
  <c r="AF253" i="1"/>
  <c r="AG253" i="1"/>
  <c r="AD254" i="1"/>
  <c r="AE254" i="1"/>
  <c r="AF254" i="1"/>
  <c r="AG254" i="1"/>
  <c r="AD255" i="1"/>
  <c r="AE255" i="1"/>
  <c r="AF255" i="1"/>
  <c r="AG255" i="1"/>
  <c r="AD256" i="1"/>
  <c r="AE256" i="1"/>
  <c r="AF256" i="1"/>
  <c r="AG256" i="1"/>
  <c r="AD257" i="1"/>
  <c r="AE257" i="1"/>
  <c r="AF257" i="1"/>
  <c r="AG257" i="1"/>
  <c r="AD258" i="1"/>
  <c r="AE258" i="1"/>
  <c r="AF258" i="1"/>
  <c r="AG258" i="1"/>
  <c r="AD259" i="1"/>
  <c r="AE259" i="1"/>
  <c r="AF259" i="1"/>
  <c r="AG259" i="1"/>
  <c r="AD260" i="1"/>
  <c r="AE260" i="1"/>
  <c r="AF260" i="1"/>
  <c r="AG260" i="1"/>
  <c r="AD261" i="1"/>
  <c r="AE261" i="1"/>
  <c r="AF261" i="1"/>
  <c r="AG261" i="1"/>
  <c r="AD262" i="1"/>
  <c r="AE262" i="1"/>
  <c r="AF262" i="1"/>
  <c r="AG262" i="1"/>
  <c r="AD263" i="1"/>
  <c r="AE263" i="1"/>
  <c r="AF263" i="1"/>
  <c r="AG263" i="1"/>
  <c r="AD264" i="1"/>
  <c r="AE264" i="1"/>
  <c r="AF264" i="1"/>
  <c r="AG264" i="1"/>
  <c r="AD265" i="1"/>
  <c r="AE265" i="1"/>
  <c r="AF265" i="1"/>
  <c r="AG265" i="1"/>
  <c r="AD266" i="1"/>
  <c r="AE266" i="1"/>
  <c r="AF266" i="1"/>
  <c r="AG266" i="1"/>
  <c r="AD267" i="1"/>
  <c r="AE267" i="1"/>
  <c r="AF267" i="1"/>
  <c r="AG267" i="1"/>
  <c r="AD268" i="1"/>
  <c r="AE268" i="1"/>
  <c r="AF268" i="1"/>
  <c r="AG268" i="1"/>
  <c r="AD269" i="1"/>
  <c r="AE269" i="1"/>
  <c r="AF269" i="1"/>
  <c r="AG269" i="1"/>
  <c r="AD270" i="1"/>
  <c r="AE270" i="1"/>
  <c r="AF270" i="1"/>
  <c r="AG270" i="1"/>
  <c r="AD271" i="1"/>
  <c r="AE271" i="1"/>
  <c r="AF271" i="1"/>
  <c r="AG271" i="1"/>
  <c r="AD272" i="1"/>
  <c r="AE272" i="1"/>
  <c r="AF272" i="1"/>
  <c r="AG272" i="1"/>
  <c r="AD273" i="1"/>
  <c r="AE273" i="1"/>
  <c r="AF273" i="1"/>
  <c r="AG273" i="1"/>
  <c r="AD274" i="1"/>
  <c r="AE274" i="1"/>
  <c r="AF274" i="1"/>
  <c r="AG274" i="1"/>
  <c r="AD275" i="1"/>
  <c r="AE275" i="1"/>
  <c r="AF275" i="1"/>
  <c r="AG275" i="1"/>
  <c r="AD276" i="1"/>
  <c r="AE276" i="1"/>
  <c r="AF276" i="1"/>
  <c r="AG276" i="1"/>
  <c r="AD277" i="1"/>
  <c r="AE277" i="1"/>
  <c r="AF277" i="1"/>
  <c r="AG277" i="1"/>
  <c r="AD278" i="1"/>
  <c r="AE278" i="1"/>
  <c r="AF278" i="1"/>
  <c r="AG278" i="1"/>
  <c r="AD279" i="1"/>
  <c r="AE279" i="1"/>
  <c r="AF279" i="1"/>
  <c r="AG279" i="1"/>
  <c r="AD280" i="1"/>
  <c r="AE280" i="1"/>
  <c r="AF280" i="1"/>
  <c r="AG280" i="1"/>
  <c r="AD281" i="1"/>
  <c r="AE281" i="1"/>
  <c r="AF281" i="1"/>
  <c r="AG281" i="1"/>
  <c r="AD282" i="1"/>
  <c r="AE282" i="1"/>
  <c r="AF282" i="1"/>
  <c r="AG282" i="1"/>
  <c r="AD283" i="1"/>
  <c r="AE283" i="1"/>
  <c r="AF283" i="1"/>
  <c r="AG283" i="1"/>
  <c r="AD284" i="1"/>
  <c r="AE284" i="1"/>
  <c r="AF284" i="1"/>
  <c r="AG284" i="1"/>
  <c r="AD285" i="1"/>
  <c r="AE285" i="1"/>
  <c r="AF285" i="1"/>
  <c r="AG285" i="1"/>
  <c r="AD286" i="1"/>
  <c r="AE286" i="1"/>
  <c r="AF286" i="1"/>
  <c r="AG286" i="1"/>
  <c r="AD287" i="1"/>
  <c r="AE287" i="1"/>
  <c r="AF287" i="1"/>
  <c r="AG287" i="1"/>
  <c r="AD288" i="1"/>
  <c r="AE288" i="1"/>
  <c r="AF288" i="1"/>
  <c r="AG288" i="1"/>
  <c r="AD289" i="1"/>
  <c r="AE289" i="1"/>
  <c r="AF289" i="1"/>
  <c r="AG289" i="1"/>
  <c r="AD290" i="1"/>
  <c r="AE290" i="1"/>
  <c r="AF290" i="1"/>
  <c r="AG290" i="1"/>
  <c r="AD291" i="1"/>
  <c r="AE291" i="1"/>
  <c r="AF291" i="1"/>
  <c r="AG291" i="1"/>
  <c r="AD292" i="1"/>
  <c r="AE292" i="1"/>
  <c r="AF292" i="1"/>
  <c r="AG292" i="1"/>
  <c r="AD293" i="1"/>
  <c r="AE293" i="1"/>
  <c r="AF293" i="1"/>
  <c r="AG293" i="1"/>
  <c r="AD294" i="1"/>
  <c r="AE294" i="1"/>
  <c r="AF294" i="1"/>
  <c r="AG294" i="1"/>
  <c r="AD295" i="1"/>
  <c r="AE295" i="1"/>
  <c r="AF295" i="1"/>
  <c r="AG295" i="1"/>
  <c r="AD296" i="1"/>
  <c r="AE296" i="1"/>
  <c r="AF296" i="1"/>
  <c r="AG296" i="1"/>
  <c r="AD297" i="1"/>
  <c r="AE297" i="1"/>
  <c r="AF297" i="1"/>
  <c r="AG297" i="1"/>
  <c r="AD298" i="1"/>
  <c r="AE298" i="1"/>
  <c r="AF298" i="1"/>
  <c r="AG298" i="1"/>
  <c r="AD299" i="1"/>
  <c r="AE299" i="1"/>
  <c r="AF299" i="1"/>
  <c r="AG299" i="1"/>
  <c r="AD300" i="1"/>
  <c r="AE300" i="1"/>
  <c r="AF300" i="1"/>
  <c r="AG300" i="1"/>
  <c r="AD301" i="1"/>
  <c r="AE301" i="1"/>
  <c r="AF301" i="1"/>
  <c r="AG301" i="1"/>
  <c r="AD302" i="1"/>
  <c r="AE302" i="1"/>
  <c r="AF302" i="1"/>
  <c r="AG302" i="1"/>
  <c r="AD303" i="1"/>
  <c r="AE303" i="1"/>
  <c r="AF303" i="1"/>
  <c r="AG303" i="1"/>
  <c r="AD304" i="1"/>
  <c r="AE304" i="1"/>
  <c r="AF304" i="1"/>
  <c r="AG304" i="1"/>
  <c r="AD305" i="1"/>
  <c r="AE305" i="1"/>
  <c r="AF305" i="1"/>
  <c r="AG305" i="1"/>
  <c r="AD306" i="1"/>
  <c r="AE306" i="1"/>
  <c r="AF306" i="1"/>
  <c r="AG306" i="1"/>
  <c r="AD307" i="1"/>
  <c r="AE307" i="1"/>
  <c r="AF307" i="1"/>
  <c r="AG307" i="1"/>
  <c r="AD308" i="1"/>
  <c r="AE308" i="1"/>
  <c r="AF308" i="1"/>
  <c r="AG308" i="1"/>
  <c r="AD309" i="1"/>
  <c r="AE309" i="1"/>
  <c r="AF309" i="1"/>
  <c r="AG309" i="1"/>
  <c r="AD310" i="1"/>
  <c r="AE310" i="1"/>
  <c r="AF310" i="1"/>
  <c r="AG310" i="1"/>
  <c r="AD311" i="1"/>
  <c r="AE311" i="1"/>
  <c r="AF311" i="1"/>
  <c r="AG311" i="1"/>
  <c r="AD312" i="1"/>
  <c r="AE312" i="1"/>
  <c r="AF312" i="1"/>
  <c r="AG312" i="1"/>
  <c r="AD313" i="1"/>
  <c r="AE313" i="1"/>
  <c r="AF313" i="1"/>
  <c r="AG313" i="1"/>
  <c r="AD314" i="1"/>
  <c r="AE314" i="1"/>
  <c r="AF314" i="1"/>
  <c r="AG314" i="1"/>
  <c r="AD315" i="1"/>
  <c r="AE315" i="1"/>
  <c r="AF315" i="1"/>
  <c r="AG315" i="1"/>
  <c r="AD316" i="1"/>
  <c r="AE316" i="1"/>
  <c r="AF316" i="1"/>
  <c r="AG316" i="1"/>
  <c r="AD317" i="1"/>
  <c r="AE317" i="1"/>
  <c r="AF317" i="1"/>
  <c r="AG317" i="1"/>
  <c r="AD318" i="1"/>
  <c r="AE318" i="1"/>
  <c r="AF318" i="1"/>
  <c r="AG318" i="1"/>
  <c r="AD319" i="1"/>
  <c r="AE319" i="1"/>
  <c r="AF319" i="1"/>
  <c r="AG319" i="1"/>
  <c r="AD320" i="1"/>
  <c r="AE320" i="1"/>
  <c r="AF320" i="1"/>
  <c r="AG320" i="1"/>
  <c r="AD321" i="1"/>
  <c r="AE321" i="1"/>
  <c r="AF321" i="1"/>
  <c r="AG321" i="1"/>
  <c r="AD322" i="1"/>
  <c r="AE322" i="1"/>
  <c r="AF322" i="1"/>
  <c r="AG322" i="1"/>
  <c r="AD323" i="1"/>
  <c r="AE323" i="1"/>
  <c r="AF323" i="1"/>
  <c r="AG323" i="1"/>
  <c r="AD324" i="1"/>
  <c r="AE324" i="1"/>
  <c r="AF324" i="1"/>
  <c r="AG324" i="1"/>
  <c r="AD325" i="1"/>
  <c r="AE325" i="1"/>
  <c r="AF325" i="1"/>
  <c r="AG325" i="1"/>
  <c r="AD326" i="1"/>
  <c r="AE326" i="1"/>
  <c r="AF326" i="1"/>
  <c r="AG326" i="1"/>
  <c r="AD327" i="1"/>
  <c r="AE327" i="1"/>
  <c r="AF327" i="1"/>
  <c r="AG327" i="1"/>
  <c r="AD328" i="1"/>
  <c r="AE328" i="1"/>
  <c r="AF328" i="1"/>
  <c r="AG328" i="1"/>
  <c r="AD329" i="1"/>
  <c r="AE329" i="1"/>
  <c r="AF329" i="1"/>
  <c r="AG329" i="1"/>
  <c r="AD330" i="1"/>
  <c r="AE330" i="1"/>
  <c r="AF330" i="1"/>
  <c r="AG330" i="1"/>
  <c r="AD331" i="1"/>
  <c r="AE331" i="1"/>
  <c r="AF331" i="1"/>
  <c r="AG331" i="1"/>
  <c r="AD332" i="1"/>
  <c r="AE332" i="1"/>
  <c r="AF332" i="1"/>
  <c r="AG332" i="1"/>
  <c r="AD333" i="1"/>
  <c r="AE333" i="1"/>
  <c r="AF333" i="1"/>
  <c r="AG333" i="1"/>
  <c r="AD334" i="1"/>
  <c r="AE334" i="1"/>
  <c r="AF334" i="1"/>
  <c r="AG334" i="1"/>
  <c r="AD335" i="1"/>
  <c r="AE335" i="1"/>
  <c r="AF335" i="1"/>
  <c r="AG335" i="1"/>
  <c r="AD336" i="1"/>
  <c r="AE336" i="1"/>
  <c r="AF336" i="1"/>
  <c r="AG336" i="1"/>
  <c r="AD337" i="1"/>
  <c r="AE337" i="1"/>
  <c r="AF337" i="1"/>
  <c r="AG337" i="1"/>
  <c r="AD338" i="1"/>
  <c r="AE338" i="1"/>
  <c r="AF338" i="1"/>
  <c r="AG338" i="1"/>
  <c r="AD339" i="1"/>
  <c r="AE339" i="1"/>
  <c r="AF339" i="1"/>
  <c r="AG339" i="1"/>
  <c r="AD340" i="1"/>
  <c r="AE340" i="1"/>
  <c r="AF340" i="1"/>
  <c r="AG340" i="1"/>
  <c r="AD341" i="1"/>
  <c r="AE341" i="1"/>
  <c r="AF341" i="1"/>
  <c r="AG341" i="1"/>
  <c r="AD342" i="1"/>
  <c r="AE342" i="1"/>
  <c r="AF342" i="1"/>
  <c r="AG342" i="1"/>
  <c r="AD343" i="1"/>
  <c r="AE343" i="1"/>
  <c r="AF343" i="1"/>
  <c r="AG343" i="1"/>
  <c r="AD344" i="1"/>
  <c r="AE344" i="1"/>
  <c r="AF344" i="1"/>
  <c r="AG344" i="1"/>
  <c r="AD345" i="1"/>
  <c r="AE345" i="1"/>
  <c r="AF345" i="1"/>
  <c r="AG345" i="1"/>
  <c r="AD346" i="1"/>
  <c r="AE346" i="1"/>
  <c r="AF346" i="1"/>
  <c r="AG346" i="1"/>
  <c r="AD347" i="1"/>
  <c r="AE347" i="1"/>
  <c r="AF347" i="1"/>
  <c r="AG347" i="1"/>
  <c r="AD348" i="1"/>
  <c r="AE348" i="1"/>
  <c r="AF348" i="1"/>
  <c r="AG348" i="1"/>
  <c r="AD349" i="1"/>
  <c r="AE349" i="1"/>
  <c r="AF349" i="1"/>
  <c r="AG349" i="1"/>
  <c r="AD350" i="1"/>
  <c r="AE350" i="1"/>
  <c r="AF350" i="1"/>
  <c r="AG350" i="1"/>
  <c r="AD351" i="1"/>
  <c r="AE351" i="1"/>
  <c r="AF351" i="1"/>
  <c r="AG351" i="1"/>
  <c r="AD352" i="1"/>
  <c r="AE352" i="1"/>
  <c r="AF352" i="1"/>
  <c r="AG352" i="1"/>
  <c r="AD353" i="1"/>
  <c r="AE353" i="1"/>
  <c r="AF353" i="1"/>
  <c r="AG353" i="1"/>
  <c r="AD354" i="1"/>
  <c r="AE354" i="1"/>
  <c r="AF354" i="1"/>
  <c r="AG354" i="1"/>
  <c r="AD355" i="1"/>
  <c r="AE355" i="1"/>
  <c r="AF355" i="1"/>
  <c r="AG355" i="1"/>
  <c r="AD356" i="1"/>
  <c r="AE356" i="1"/>
  <c r="AF356" i="1"/>
  <c r="AG356" i="1"/>
  <c r="AD357" i="1"/>
  <c r="AE357" i="1"/>
  <c r="AF357" i="1"/>
  <c r="AG357" i="1"/>
  <c r="AD358" i="1"/>
  <c r="AE358" i="1"/>
  <c r="AF358" i="1"/>
  <c r="AG358" i="1"/>
  <c r="AD359" i="1"/>
  <c r="AE359" i="1"/>
  <c r="AF359" i="1"/>
  <c r="AG359" i="1"/>
  <c r="AD360" i="1"/>
  <c r="AE360" i="1"/>
  <c r="AF360" i="1"/>
  <c r="AG360" i="1"/>
  <c r="AD361" i="1"/>
  <c r="AE361" i="1"/>
  <c r="AF361" i="1"/>
  <c r="AG361" i="1"/>
  <c r="AD362" i="1"/>
  <c r="AE362" i="1"/>
  <c r="AF362" i="1"/>
  <c r="AG362" i="1"/>
  <c r="AD363" i="1"/>
  <c r="AE363" i="1"/>
  <c r="AF363" i="1"/>
  <c r="AG363" i="1"/>
  <c r="AD364" i="1"/>
  <c r="AE364" i="1"/>
  <c r="AF364" i="1"/>
  <c r="AG364" i="1"/>
  <c r="AD365" i="1"/>
  <c r="AE365" i="1"/>
  <c r="AF365" i="1"/>
  <c r="AG365" i="1"/>
  <c r="AD366" i="1"/>
  <c r="AE366" i="1"/>
  <c r="AF366" i="1"/>
  <c r="AG366" i="1"/>
  <c r="AD367" i="1"/>
  <c r="AE367" i="1"/>
  <c r="AF367" i="1"/>
  <c r="AG367" i="1"/>
  <c r="AD368" i="1"/>
  <c r="AE368" i="1"/>
  <c r="AF368" i="1"/>
  <c r="AG368" i="1"/>
  <c r="AD369" i="1"/>
  <c r="AE369" i="1"/>
  <c r="AF369" i="1"/>
  <c r="AG369" i="1"/>
  <c r="AD370" i="1"/>
  <c r="AE370" i="1"/>
  <c r="AF370" i="1"/>
  <c r="AG370" i="1"/>
  <c r="AD371" i="1"/>
  <c r="AE371" i="1"/>
  <c r="AF371" i="1"/>
  <c r="AG371" i="1"/>
  <c r="AD372" i="1"/>
  <c r="AE372" i="1"/>
  <c r="AF372" i="1"/>
  <c r="AG372" i="1"/>
  <c r="AD373" i="1"/>
  <c r="AE373" i="1"/>
  <c r="AF373" i="1"/>
  <c r="AG373" i="1"/>
  <c r="AD374" i="1"/>
  <c r="AE374" i="1"/>
  <c r="AF374" i="1"/>
  <c r="AG374" i="1"/>
  <c r="AD375" i="1"/>
  <c r="AE375" i="1"/>
  <c r="AF375" i="1"/>
  <c r="AG375" i="1"/>
  <c r="AD376" i="1"/>
  <c r="AE376" i="1"/>
  <c r="AF376" i="1"/>
  <c r="AG376" i="1"/>
  <c r="AD377" i="1"/>
  <c r="AE377" i="1"/>
  <c r="AF377" i="1"/>
  <c r="AG377" i="1"/>
  <c r="AD378" i="1"/>
  <c r="AE378" i="1"/>
  <c r="AF378" i="1"/>
  <c r="AG378" i="1"/>
  <c r="AD379" i="1"/>
  <c r="AE379" i="1"/>
  <c r="AF379" i="1"/>
  <c r="AG379" i="1"/>
  <c r="AD380" i="1"/>
  <c r="AE380" i="1"/>
  <c r="AF380" i="1"/>
  <c r="AG380" i="1"/>
  <c r="AD381" i="1"/>
  <c r="AE381" i="1"/>
  <c r="AF381" i="1"/>
  <c r="AG381" i="1"/>
  <c r="AD382" i="1"/>
  <c r="AE382" i="1"/>
  <c r="AF382" i="1"/>
  <c r="AG382" i="1"/>
  <c r="AD383" i="1"/>
  <c r="AE383" i="1"/>
  <c r="AF383" i="1"/>
  <c r="AG383" i="1"/>
  <c r="AD384" i="1"/>
  <c r="AE384" i="1"/>
  <c r="AF384" i="1"/>
  <c r="AG384" i="1"/>
  <c r="AD385" i="1"/>
  <c r="AE385" i="1"/>
  <c r="AF385" i="1"/>
  <c r="AG385" i="1"/>
  <c r="AD386" i="1"/>
  <c r="AE386" i="1"/>
  <c r="AF386" i="1"/>
  <c r="AG386" i="1"/>
  <c r="AD387" i="1"/>
  <c r="AE387" i="1"/>
  <c r="AF387" i="1"/>
  <c r="AG387" i="1"/>
  <c r="AD388" i="1"/>
  <c r="AE388" i="1"/>
  <c r="AF388" i="1"/>
  <c r="AG388" i="1"/>
  <c r="AD389" i="1"/>
  <c r="AE389" i="1"/>
  <c r="AF389" i="1"/>
  <c r="AG389" i="1"/>
  <c r="AD390" i="1"/>
  <c r="AE390" i="1"/>
  <c r="AF390" i="1"/>
  <c r="AG390" i="1"/>
  <c r="AD391" i="1"/>
  <c r="AE391" i="1"/>
  <c r="AF391" i="1"/>
  <c r="AG391" i="1"/>
  <c r="AD392" i="1"/>
  <c r="AE392" i="1"/>
  <c r="AF392" i="1"/>
  <c r="AG392" i="1"/>
  <c r="AD393" i="1"/>
  <c r="AE393" i="1"/>
  <c r="AF393" i="1"/>
  <c r="AG393" i="1"/>
  <c r="AD394" i="1"/>
  <c r="AE394" i="1"/>
  <c r="AF394" i="1"/>
  <c r="AG394" i="1"/>
  <c r="AD395" i="1"/>
  <c r="AE395" i="1"/>
  <c r="AF395" i="1"/>
  <c r="AG395" i="1"/>
  <c r="AD396" i="1"/>
  <c r="AE396" i="1"/>
  <c r="AF396" i="1"/>
  <c r="AG396" i="1"/>
  <c r="AD397" i="1"/>
  <c r="AE397" i="1"/>
  <c r="AF397" i="1"/>
  <c r="AG397" i="1"/>
  <c r="AD398" i="1"/>
  <c r="AE398" i="1"/>
  <c r="AF398" i="1"/>
  <c r="AG398" i="1"/>
  <c r="AD399" i="1"/>
  <c r="AE399" i="1"/>
  <c r="AF399" i="1"/>
  <c r="AG399" i="1"/>
  <c r="AD400" i="1"/>
  <c r="AE400" i="1"/>
  <c r="AF400" i="1"/>
  <c r="AG400" i="1"/>
  <c r="AD401" i="1"/>
  <c r="AE401" i="1"/>
  <c r="AF401" i="1"/>
  <c r="AG401" i="1"/>
  <c r="AD402" i="1"/>
  <c r="AE402" i="1"/>
  <c r="AF402" i="1"/>
  <c r="AG402" i="1"/>
  <c r="AD403" i="1"/>
  <c r="AE403" i="1"/>
  <c r="AF403" i="1"/>
  <c r="AG403" i="1"/>
  <c r="AD404" i="1"/>
  <c r="AE404" i="1"/>
  <c r="AF404" i="1"/>
  <c r="AG404" i="1"/>
  <c r="AD405" i="1"/>
  <c r="AE405" i="1"/>
  <c r="AF405" i="1"/>
  <c r="AG405" i="1"/>
  <c r="AD406" i="1"/>
  <c r="AE406" i="1"/>
  <c r="AF406" i="1"/>
  <c r="AG406" i="1"/>
  <c r="AD407" i="1"/>
  <c r="AE407" i="1"/>
  <c r="AF407" i="1"/>
  <c r="AG407" i="1"/>
  <c r="AD408" i="1"/>
  <c r="AE408" i="1"/>
  <c r="AF408" i="1"/>
  <c r="AG408" i="1"/>
  <c r="AD409" i="1"/>
  <c r="AE409" i="1"/>
  <c r="AF409" i="1"/>
  <c r="AG409" i="1"/>
  <c r="AD410" i="1"/>
  <c r="AE410" i="1"/>
  <c r="AF410" i="1"/>
  <c r="AG410" i="1"/>
  <c r="AD411" i="1"/>
  <c r="AE411" i="1"/>
  <c r="AF411" i="1"/>
  <c r="AG411" i="1"/>
  <c r="AD412" i="1"/>
  <c r="AE412" i="1"/>
  <c r="AF412" i="1"/>
  <c r="AG412" i="1"/>
  <c r="AD413" i="1"/>
  <c r="AE413" i="1"/>
  <c r="AF413" i="1"/>
  <c r="AG413" i="1"/>
  <c r="AD414" i="1"/>
  <c r="AE414" i="1"/>
  <c r="AF414" i="1"/>
  <c r="AG414" i="1"/>
  <c r="AD415" i="1"/>
  <c r="AE415" i="1"/>
  <c r="AF415" i="1"/>
  <c r="AG415" i="1"/>
  <c r="AD416" i="1"/>
  <c r="AE416" i="1"/>
  <c r="AF416" i="1"/>
  <c r="AG416" i="1"/>
  <c r="AD417" i="1"/>
  <c r="AE417" i="1"/>
  <c r="AF417" i="1"/>
  <c r="AG417" i="1"/>
  <c r="AD418" i="1"/>
  <c r="AE418" i="1"/>
  <c r="AF418" i="1"/>
  <c r="AG418" i="1"/>
  <c r="AD419" i="1"/>
  <c r="AE419" i="1"/>
  <c r="AF419" i="1"/>
  <c r="AG419" i="1"/>
  <c r="AD420" i="1"/>
  <c r="AE420" i="1"/>
  <c r="AF420" i="1"/>
  <c r="AG420" i="1"/>
  <c r="AD421" i="1"/>
  <c r="AE421" i="1"/>
  <c r="AF421" i="1"/>
  <c r="AG421" i="1"/>
  <c r="AD422" i="1"/>
  <c r="AE422" i="1"/>
  <c r="AF422" i="1"/>
  <c r="AG422" i="1"/>
  <c r="AD423" i="1"/>
  <c r="AE423" i="1"/>
  <c r="AF423" i="1"/>
  <c r="AG423" i="1"/>
  <c r="AD424" i="1"/>
  <c r="AE424" i="1"/>
  <c r="AF424" i="1"/>
  <c r="AG424" i="1"/>
  <c r="AD425" i="1"/>
  <c r="AE425" i="1"/>
  <c r="AF425" i="1"/>
  <c r="AG425" i="1"/>
  <c r="AD426" i="1"/>
  <c r="AE426" i="1"/>
  <c r="AF426" i="1"/>
  <c r="AG426" i="1"/>
  <c r="AD427" i="1"/>
  <c r="AE427" i="1"/>
  <c r="AF427" i="1"/>
  <c r="AG427" i="1"/>
  <c r="AD428" i="1"/>
  <c r="AE428" i="1"/>
  <c r="AF428" i="1"/>
  <c r="AG428" i="1"/>
  <c r="AD429" i="1"/>
  <c r="AE429" i="1"/>
  <c r="AF429" i="1"/>
  <c r="AG429" i="1"/>
  <c r="AD430" i="1"/>
  <c r="AE430" i="1"/>
  <c r="AF430" i="1"/>
  <c r="AG430" i="1"/>
  <c r="AD431" i="1"/>
  <c r="AE431" i="1"/>
  <c r="AF431" i="1"/>
  <c r="AG431" i="1"/>
  <c r="AD432" i="1"/>
  <c r="AE432" i="1"/>
  <c r="AF432" i="1"/>
  <c r="AG432" i="1"/>
  <c r="AD433" i="1"/>
  <c r="AE433" i="1"/>
  <c r="AF433" i="1"/>
  <c r="AG433" i="1"/>
  <c r="AD434" i="1"/>
  <c r="AE434" i="1"/>
  <c r="AF434" i="1"/>
  <c r="AG434" i="1"/>
  <c r="AD435" i="1"/>
  <c r="AE435" i="1"/>
  <c r="AF435" i="1"/>
  <c r="AG435" i="1"/>
  <c r="AD436" i="1"/>
  <c r="AE436" i="1"/>
  <c r="AF436" i="1"/>
  <c r="AG436" i="1"/>
  <c r="AD437" i="1"/>
  <c r="AE437" i="1"/>
  <c r="AF437" i="1"/>
  <c r="AG437" i="1"/>
  <c r="AD438" i="1"/>
  <c r="AE438" i="1"/>
  <c r="AF438" i="1"/>
  <c r="AG438" i="1"/>
  <c r="AD439" i="1"/>
  <c r="AE439" i="1"/>
  <c r="AF439" i="1"/>
  <c r="AG439" i="1"/>
  <c r="AD440" i="1"/>
  <c r="AE440" i="1"/>
  <c r="AF440" i="1"/>
  <c r="AG440" i="1"/>
  <c r="AD441" i="1"/>
  <c r="AE441" i="1"/>
  <c r="AF441" i="1"/>
  <c r="AG441" i="1"/>
  <c r="AD442" i="1"/>
  <c r="AE442" i="1"/>
  <c r="AF442" i="1"/>
  <c r="AG442" i="1"/>
  <c r="AD443" i="1"/>
  <c r="AE443" i="1"/>
  <c r="AF443" i="1"/>
  <c r="AG443" i="1"/>
  <c r="AD444" i="1"/>
  <c r="AE444" i="1"/>
  <c r="AF444" i="1"/>
  <c r="AG444" i="1"/>
  <c r="AD445" i="1"/>
  <c r="AE445" i="1"/>
  <c r="AF445" i="1"/>
  <c r="AG445" i="1"/>
  <c r="AD446" i="1"/>
  <c r="AE446" i="1"/>
  <c r="AF446" i="1"/>
  <c r="AG446" i="1"/>
  <c r="AD447" i="1"/>
  <c r="AE447" i="1"/>
  <c r="AF447" i="1"/>
  <c r="AG447" i="1"/>
  <c r="AD448" i="1"/>
  <c r="AE448" i="1"/>
  <c r="AF448" i="1"/>
  <c r="AG448" i="1"/>
  <c r="AD449" i="1"/>
  <c r="AE449" i="1"/>
  <c r="AF449" i="1"/>
  <c r="AG449" i="1"/>
  <c r="AD450" i="1"/>
  <c r="AE450" i="1"/>
  <c r="AF450" i="1"/>
  <c r="AG450" i="1"/>
  <c r="AD451" i="1"/>
  <c r="AE451" i="1"/>
  <c r="AF451" i="1"/>
  <c r="AG451" i="1"/>
  <c r="AD452" i="1"/>
  <c r="AE452" i="1"/>
  <c r="AF452" i="1"/>
  <c r="AG452" i="1"/>
  <c r="AD453" i="1"/>
  <c r="AE453" i="1"/>
  <c r="AF453" i="1"/>
  <c r="AG453" i="1"/>
  <c r="AD454" i="1"/>
  <c r="AE454" i="1"/>
  <c r="AF454" i="1"/>
  <c r="AG454" i="1"/>
  <c r="AD455" i="1"/>
  <c r="AE455" i="1"/>
  <c r="AF455" i="1"/>
  <c r="AG455" i="1"/>
  <c r="AD456" i="1"/>
  <c r="AE456" i="1"/>
  <c r="AF456" i="1"/>
  <c r="AG456" i="1"/>
  <c r="AD457" i="1"/>
  <c r="AE457" i="1"/>
  <c r="AF457" i="1"/>
  <c r="AG457" i="1"/>
  <c r="AD458" i="1"/>
  <c r="AE458" i="1"/>
  <c r="AF458" i="1"/>
  <c r="AG458" i="1"/>
  <c r="AD459" i="1"/>
  <c r="AE459" i="1"/>
  <c r="AF459" i="1"/>
  <c r="AG459" i="1"/>
  <c r="AD460" i="1"/>
  <c r="AE460" i="1"/>
  <c r="AF460" i="1"/>
  <c r="AG460" i="1"/>
  <c r="AD461" i="1"/>
  <c r="AE461" i="1"/>
  <c r="AF461" i="1"/>
  <c r="AG461" i="1"/>
  <c r="AD462" i="1"/>
  <c r="AE462" i="1"/>
  <c r="AF462" i="1"/>
  <c r="AG462" i="1"/>
  <c r="AD463" i="1"/>
  <c r="AE463" i="1"/>
  <c r="AF463" i="1"/>
  <c r="AG463" i="1"/>
  <c r="AD464" i="1"/>
  <c r="AE464" i="1"/>
  <c r="AF464" i="1"/>
  <c r="AG464" i="1"/>
  <c r="AD465" i="1"/>
  <c r="AE465" i="1"/>
  <c r="AF465" i="1"/>
  <c r="AG465" i="1"/>
  <c r="AD466" i="1"/>
  <c r="AE466" i="1"/>
  <c r="AF466" i="1"/>
  <c r="AG466" i="1"/>
  <c r="AD467" i="1"/>
  <c r="AE467" i="1"/>
  <c r="AF467" i="1"/>
  <c r="AG467" i="1"/>
  <c r="AD468" i="1"/>
  <c r="AE468" i="1"/>
  <c r="AF468" i="1"/>
  <c r="AG468" i="1"/>
  <c r="AD469" i="1"/>
  <c r="AE469" i="1"/>
  <c r="AF469" i="1"/>
  <c r="AG469" i="1"/>
  <c r="AD470" i="1"/>
  <c r="AE470" i="1"/>
  <c r="AF470" i="1"/>
  <c r="AG470" i="1"/>
  <c r="AD471" i="1"/>
  <c r="AE471" i="1"/>
  <c r="AF471" i="1"/>
  <c r="AG471" i="1"/>
  <c r="AD472" i="1"/>
  <c r="AE472" i="1"/>
  <c r="AF472" i="1"/>
  <c r="AG472" i="1"/>
  <c r="AD473" i="1"/>
  <c r="AE473" i="1"/>
  <c r="AF473" i="1"/>
  <c r="AG473" i="1"/>
  <c r="AD474" i="1"/>
  <c r="AE474" i="1"/>
  <c r="AF474" i="1"/>
  <c r="AG474" i="1"/>
  <c r="AD475" i="1"/>
  <c r="AE475" i="1"/>
  <c r="AF475" i="1"/>
  <c r="AG475" i="1"/>
  <c r="AD476" i="1"/>
  <c r="AE476" i="1"/>
  <c r="AF476" i="1"/>
  <c r="AG476" i="1"/>
  <c r="AD477" i="1"/>
  <c r="AE477" i="1"/>
  <c r="AF477" i="1"/>
  <c r="AG477" i="1"/>
  <c r="AD478" i="1"/>
  <c r="AE478" i="1"/>
  <c r="AF478" i="1"/>
  <c r="AG478" i="1"/>
  <c r="AD479" i="1"/>
  <c r="AE479" i="1"/>
  <c r="AF479" i="1"/>
  <c r="AG479" i="1"/>
  <c r="AD480" i="1"/>
  <c r="AE480" i="1"/>
  <c r="AF480" i="1"/>
  <c r="AG480" i="1"/>
  <c r="AD481" i="1"/>
  <c r="AE481" i="1"/>
  <c r="AF481" i="1"/>
  <c r="AG481" i="1"/>
  <c r="AD482" i="1"/>
  <c r="AE482" i="1"/>
  <c r="AF482" i="1"/>
  <c r="AG482" i="1"/>
  <c r="AD483" i="1"/>
  <c r="AE483" i="1"/>
  <c r="AF483" i="1"/>
  <c r="AG483" i="1"/>
  <c r="AD484" i="1"/>
  <c r="AE484" i="1"/>
  <c r="AF484" i="1"/>
  <c r="AG484" i="1"/>
  <c r="AD485" i="1"/>
  <c r="AE485" i="1"/>
  <c r="AF485" i="1"/>
  <c r="AG485" i="1"/>
  <c r="AD486" i="1"/>
  <c r="AE486" i="1"/>
  <c r="AF486" i="1"/>
  <c r="AG486" i="1"/>
  <c r="AD487" i="1"/>
  <c r="AE487" i="1"/>
  <c r="AF487" i="1"/>
  <c r="AG487" i="1"/>
  <c r="AD488" i="1"/>
  <c r="AE488" i="1"/>
  <c r="AF488" i="1"/>
  <c r="AG488" i="1"/>
  <c r="AD489" i="1"/>
  <c r="AE489" i="1"/>
  <c r="AF489" i="1"/>
  <c r="AG489" i="1"/>
  <c r="AD490" i="1"/>
  <c r="AE490" i="1"/>
  <c r="AF490" i="1"/>
  <c r="AG490" i="1"/>
  <c r="AD491" i="1"/>
  <c r="AE491" i="1"/>
  <c r="AF491" i="1"/>
  <c r="AG491" i="1"/>
  <c r="AD492" i="1"/>
  <c r="AE492" i="1"/>
  <c r="AF492" i="1"/>
  <c r="AG492" i="1"/>
  <c r="AD493" i="1"/>
  <c r="AE493" i="1"/>
  <c r="AF493" i="1"/>
  <c r="AG493" i="1"/>
  <c r="AD494" i="1"/>
  <c r="AE494" i="1"/>
  <c r="AF494" i="1"/>
  <c r="AG494" i="1"/>
  <c r="AD495" i="1"/>
  <c r="AE495" i="1"/>
  <c r="AF495" i="1"/>
  <c r="AG495" i="1"/>
  <c r="AD496" i="1"/>
  <c r="AE496" i="1"/>
  <c r="AF496" i="1"/>
  <c r="AG496" i="1"/>
  <c r="AD497" i="1"/>
  <c r="AE497" i="1"/>
  <c r="AF497" i="1"/>
  <c r="AG497" i="1"/>
  <c r="AD498" i="1"/>
  <c r="AE498" i="1"/>
  <c r="AF498" i="1"/>
  <c r="AG498" i="1"/>
  <c r="AD499" i="1"/>
  <c r="AE499" i="1"/>
  <c r="AF499" i="1"/>
  <c r="AG499" i="1"/>
  <c r="AD500" i="1"/>
  <c r="AE500" i="1"/>
  <c r="AF500" i="1"/>
  <c r="AG500" i="1"/>
  <c r="AD501" i="1"/>
  <c r="AE501" i="1"/>
  <c r="AF501" i="1"/>
  <c r="AG501" i="1"/>
  <c r="AD502" i="1"/>
  <c r="AE502" i="1"/>
  <c r="AF502" i="1"/>
  <c r="AG502" i="1"/>
  <c r="AD503" i="1"/>
  <c r="AE503" i="1"/>
  <c r="AF503" i="1"/>
  <c r="AG503" i="1"/>
  <c r="AD504" i="1"/>
  <c r="AE504" i="1"/>
  <c r="AF504" i="1"/>
  <c r="AG504" i="1"/>
  <c r="AD505" i="1"/>
  <c r="AE505" i="1"/>
  <c r="AF505" i="1"/>
  <c r="AG505" i="1"/>
  <c r="AD506" i="1"/>
  <c r="AE506" i="1"/>
  <c r="AF506" i="1"/>
  <c r="AG506" i="1"/>
  <c r="AD507" i="1"/>
  <c r="AE507" i="1"/>
  <c r="AF507" i="1"/>
  <c r="AG507" i="1"/>
  <c r="AD508" i="1"/>
  <c r="AE508" i="1"/>
  <c r="AF508" i="1"/>
  <c r="AG508" i="1"/>
  <c r="AD509" i="1"/>
  <c r="AE509" i="1"/>
  <c r="AF509" i="1"/>
  <c r="AG509" i="1"/>
  <c r="AD510" i="1"/>
  <c r="AE510" i="1"/>
  <c r="AF510" i="1"/>
  <c r="AG510" i="1"/>
  <c r="AD511" i="1"/>
  <c r="AE511" i="1"/>
  <c r="AF511" i="1"/>
  <c r="AG511" i="1"/>
  <c r="AD512" i="1"/>
  <c r="AE512" i="1"/>
  <c r="AF512" i="1"/>
  <c r="AG512" i="1"/>
  <c r="AD513" i="1"/>
  <c r="AE513" i="1"/>
  <c r="AF513" i="1"/>
  <c r="AG513" i="1"/>
  <c r="AD514" i="1"/>
  <c r="AE514" i="1"/>
  <c r="AF514" i="1"/>
  <c r="AG514" i="1"/>
  <c r="AD515" i="1"/>
  <c r="AE515" i="1"/>
  <c r="AF515" i="1"/>
  <c r="AG515" i="1"/>
  <c r="AD516" i="1"/>
  <c r="AE516" i="1"/>
  <c r="AF516" i="1"/>
  <c r="AG516" i="1"/>
  <c r="AD517" i="1"/>
  <c r="AE517" i="1"/>
  <c r="AF517" i="1"/>
  <c r="AG517" i="1"/>
  <c r="AD518" i="1"/>
  <c r="AE518" i="1"/>
  <c r="AF518" i="1"/>
  <c r="AG518" i="1"/>
  <c r="AD519" i="1"/>
  <c r="AE519" i="1"/>
  <c r="AF519" i="1"/>
  <c r="AG519" i="1"/>
  <c r="AD520" i="1"/>
  <c r="AE520" i="1"/>
  <c r="AF520" i="1"/>
  <c r="AG520" i="1"/>
  <c r="AD521" i="1"/>
  <c r="AE521" i="1"/>
  <c r="AF521" i="1"/>
  <c r="AG521" i="1"/>
  <c r="AD522" i="1"/>
  <c r="AE522" i="1"/>
  <c r="AF522" i="1"/>
  <c r="AG522" i="1"/>
  <c r="AD523" i="1"/>
  <c r="AE523" i="1"/>
  <c r="AF523" i="1"/>
  <c r="AG523" i="1"/>
  <c r="AD524" i="1"/>
  <c r="AE524" i="1"/>
  <c r="AF524" i="1"/>
  <c r="AG524" i="1"/>
  <c r="AD525" i="1"/>
  <c r="AE525" i="1"/>
  <c r="AF525" i="1"/>
  <c r="AG525" i="1"/>
  <c r="AD526" i="1"/>
  <c r="AE526" i="1"/>
  <c r="AF526" i="1"/>
  <c r="AG526" i="1"/>
  <c r="AD527" i="1"/>
  <c r="AE527" i="1"/>
  <c r="AF527" i="1"/>
  <c r="AG527" i="1"/>
  <c r="AD528" i="1"/>
  <c r="AE528" i="1"/>
  <c r="AF528" i="1"/>
  <c r="AG528" i="1"/>
  <c r="AD529" i="1"/>
  <c r="AE529" i="1"/>
  <c r="AF529" i="1"/>
  <c r="AG529" i="1"/>
  <c r="AD530" i="1"/>
  <c r="AE530" i="1"/>
  <c r="AF530" i="1"/>
  <c r="AG530" i="1"/>
  <c r="AD531" i="1"/>
  <c r="AE531" i="1"/>
  <c r="AF531" i="1"/>
  <c r="AG531" i="1"/>
  <c r="AD532" i="1"/>
  <c r="AE532" i="1"/>
  <c r="AF532" i="1"/>
  <c r="AG532" i="1"/>
  <c r="AD533" i="1"/>
  <c r="AE533" i="1"/>
  <c r="AF533" i="1"/>
  <c r="AG533" i="1"/>
  <c r="AD534" i="1"/>
  <c r="AE534" i="1"/>
  <c r="AF534" i="1"/>
  <c r="AG534" i="1"/>
  <c r="AD535" i="1"/>
  <c r="AE535" i="1"/>
  <c r="AF535" i="1"/>
  <c r="AG535" i="1"/>
  <c r="AD536" i="1"/>
  <c r="AE536" i="1"/>
  <c r="AF536" i="1"/>
  <c r="AG536" i="1"/>
  <c r="AD537" i="1"/>
  <c r="AE537" i="1"/>
  <c r="AF537" i="1"/>
  <c r="AG537" i="1"/>
  <c r="AD538" i="1"/>
  <c r="AE538" i="1"/>
  <c r="AF538" i="1"/>
  <c r="AG538" i="1"/>
  <c r="AD539" i="1"/>
  <c r="AE539" i="1"/>
  <c r="AF539" i="1"/>
  <c r="AG539" i="1"/>
  <c r="AD540" i="1"/>
  <c r="AE540" i="1"/>
  <c r="AF540" i="1"/>
  <c r="AG540" i="1"/>
  <c r="AD541" i="1"/>
  <c r="AE541" i="1"/>
  <c r="AF541" i="1"/>
  <c r="AG541" i="1"/>
  <c r="AD542" i="1"/>
  <c r="AE542" i="1"/>
  <c r="AF542" i="1"/>
  <c r="AG542" i="1"/>
  <c r="AD543" i="1"/>
  <c r="AE543" i="1"/>
  <c r="AF543" i="1"/>
  <c r="AG543" i="1"/>
  <c r="AD544" i="1"/>
  <c r="AE544" i="1"/>
  <c r="AF544" i="1"/>
  <c r="AG544" i="1"/>
  <c r="AD545" i="1"/>
  <c r="AE545" i="1"/>
  <c r="AF545" i="1"/>
  <c r="AG545" i="1"/>
  <c r="AD546" i="1"/>
  <c r="AE546" i="1"/>
  <c r="AF546" i="1"/>
  <c r="AG546" i="1"/>
  <c r="AD547" i="1"/>
  <c r="AE547" i="1"/>
  <c r="AF547" i="1"/>
  <c r="AG547" i="1"/>
  <c r="AD548" i="1"/>
  <c r="AE548" i="1"/>
  <c r="AF548" i="1"/>
  <c r="AG548" i="1"/>
  <c r="AD549" i="1"/>
  <c r="AE549" i="1"/>
  <c r="AF549" i="1"/>
  <c r="AG549" i="1"/>
  <c r="AD550" i="1"/>
  <c r="AE550" i="1"/>
  <c r="AF550" i="1"/>
  <c r="AG550" i="1"/>
  <c r="AD551" i="1"/>
  <c r="AE551" i="1"/>
  <c r="AF551" i="1"/>
  <c r="AG551" i="1"/>
  <c r="AD552" i="1"/>
  <c r="AE552" i="1"/>
  <c r="AF552" i="1"/>
  <c r="AG552" i="1"/>
  <c r="AD553" i="1"/>
  <c r="AE553" i="1"/>
  <c r="AF553" i="1"/>
  <c r="AG553" i="1"/>
  <c r="AD554" i="1"/>
  <c r="AE554" i="1"/>
  <c r="AF554" i="1"/>
  <c r="AG554" i="1"/>
  <c r="AD555" i="1"/>
  <c r="AE555" i="1"/>
  <c r="AF555" i="1"/>
  <c r="AG555" i="1"/>
  <c r="AD556" i="1"/>
  <c r="AE556" i="1"/>
  <c r="AF556" i="1"/>
  <c r="AG556" i="1"/>
  <c r="AD557" i="1"/>
  <c r="AE557" i="1"/>
  <c r="AF557" i="1"/>
  <c r="AG557" i="1"/>
  <c r="AD558" i="1"/>
  <c r="AE558" i="1"/>
  <c r="AF558" i="1"/>
  <c r="AG558" i="1"/>
  <c r="AD559" i="1"/>
  <c r="AE559" i="1"/>
  <c r="AF559" i="1"/>
  <c r="AG559" i="1"/>
  <c r="AD560" i="1"/>
  <c r="AE560" i="1"/>
  <c r="AF560" i="1"/>
  <c r="AG560" i="1"/>
  <c r="AD561" i="1"/>
  <c r="AE561" i="1"/>
  <c r="AF561" i="1"/>
  <c r="AG561" i="1"/>
  <c r="AD562" i="1"/>
  <c r="AE562" i="1"/>
  <c r="AF562" i="1"/>
  <c r="AG562" i="1"/>
  <c r="AD563" i="1"/>
  <c r="AE563" i="1"/>
  <c r="AF563" i="1"/>
  <c r="AG563" i="1"/>
  <c r="AD564" i="1"/>
  <c r="AE564" i="1"/>
  <c r="AF564" i="1"/>
  <c r="AG564" i="1"/>
  <c r="AD565" i="1"/>
  <c r="AE565" i="1"/>
  <c r="AF565" i="1"/>
  <c r="AG565" i="1"/>
  <c r="AD566" i="1"/>
  <c r="AE566" i="1"/>
  <c r="AF566" i="1"/>
  <c r="AG566" i="1"/>
  <c r="AD567" i="1"/>
  <c r="AE567" i="1"/>
  <c r="AF567" i="1"/>
  <c r="AG567" i="1"/>
  <c r="AD568" i="1"/>
  <c r="AE568" i="1"/>
  <c r="AF568" i="1"/>
  <c r="AG568" i="1"/>
  <c r="AD569" i="1"/>
  <c r="AE569" i="1"/>
  <c r="AF569" i="1"/>
  <c r="AG569" i="1"/>
  <c r="AD570" i="1"/>
  <c r="AE570" i="1"/>
  <c r="AF570" i="1"/>
  <c r="AG570" i="1"/>
  <c r="AD571" i="1"/>
  <c r="AE571" i="1"/>
  <c r="AF571" i="1"/>
  <c r="AG571" i="1"/>
  <c r="AD572" i="1"/>
  <c r="AE572" i="1"/>
  <c r="AF572" i="1"/>
  <c r="AG572" i="1"/>
  <c r="AD573" i="1"/>
  <c r="AE573" i="1"/>
  <c r="AF573" i="1"/>
  <c r="AG573" i="1"/>
  <c r="AD574" i="1"/>
  <c r="AE574" i="1"/>
  <c r="AF574" i="1"/>
  <c r="AG574" i="1"/>
  <c r="AD575" i="1"/>
  <c r="AE575" i="1"/>
  <c r="AF575" i="1"/>
  <c r="AG575" i="1"/>
  <c r="AD576" i="1"/>
  <c r="AE576" i="1"/>
  <c r="AF576" i="1"/>
  <c r="AG576" i="1"/>
  <c r="AD577" i="1"/>
  <c r="AE577" i="1"/>
  <c r="AF577" i="1"/>
  <c r="AG577" i="1"/>
  <c r="AD578" i="1"/>
  <c r="AE578" i="1"/>
  <c r="AF578" i="1"/>
  <c r="AG578" i="1"/>
  <c r="AD579" i="1"/>
  <c r="AE579" i="1"/>
  <c r="AF579" i="1"/>
  <c r="AG579" i="1"/>
  <c r="AD580" i="1"/>
  <c r="AE580" i="1"/>
  <c r="AF580" i="1"/>
  <c r="AG580" i="1"/>
  <c r="AD581" i="1"/>
  <c r="AE581" i="1"/>
  <c r="AF581" i="1"/>
  <c r="AG581" i="1"/>
  <c r="AD582" i="1"/>
  <c r="AE582" i="1"/>
  <c r="AF582" i="1"/>
  <c r="AG582" i="1"/>
  <c r="AD583" i="1"/>
  <c r="AE583" i="1"/>
  <c r="AF583" i="1"/>
  <c r="AG583" i="1"/>
  <c r="AD584" i="1"/>
  <c r="AE584" i="1"/>
  <c r="AF584" i="1"/>
  <c r="AG584" i="1"/>
  <c r="AD585" i="1"/>
  <c r="AE585" i="1"/>
  <c r="AF585" i="1"/>
  <c r="AG585" i="1"/>
  <c r="AD586" i="1"/>
  <c r="AE586" i="1"/>
  <c r="AF586" i="1"/>
  <c r="AG586" i="1"/>
  <c r="AD587" i="1"/>
  <c r="AE587" i="1"/>
  <c r="AF587" i="1"/>
  <c r="AG587" i="1"/>
  <c r="AD588" i="1"/>
  <c r="AE588" i="1"/>
  <c r="AF588" i="1"/>
  <c r="AG588" i="1"/>
  <c r="AD589" i="1"/>
  <c r="AE589" i="1"/>
  <c r="AF589" i="1"/>
  <c r="AG589" i="1"/>
  <c r="AD590" i="1"/>
  <c r="AE590" i="1"/>
  <c r="AF590" i="1"/>
  <c r="AG590" i="1"/>
  <c r="AD591" i="1"/>
  <c r="AE591" i="1"/>
  <c r="AF591" i="1"/>
  <c r="AG591" i="1"/>
  <c r="AD592" i="1"/>
  <c r="AE592" i="1"/>
  <c r="AF592" i="1"/>
  <c r="AG592" i="1"/>
  <c r="AD593" i="1"/>
  <c r="AE593" i="1"/>
  <c r="AF593" i="1"/>
  <c r="AG593" i="1"/>
  <c r="AD594" i="1"/>
  <c r="AE594" i="1"/>
  <c r="AF594" i="1"/>
  <c r="AG594" i="1"/>
  <c r="AD595" i="1"/>
  <c r="AE595" i="1"/>
  <c r="AF595" i="1"/>
  <c r="AG595" i="1"/>
  <c r="AD596" i="1"/>
  <c r="AE596" i="1"/>
  <c r="AF596" i="1"/>
  <c r="AG596" i="1"/>
  <c r="AD597" i="1"/>
  <c r="AE597" i="1"/>
  <c r="AF597" i="1"/>
  <c r="AG597" i="1"/>
  <c r="AD598" i="1"/>
  <c r="AE598" i="1"/>
  <c r="AF598" i="1"/>
  <c r="AG598" i="1"/>
  <c r="AD599" i="1"/>
  <c r="AE599" i="1"/>
  <c r="AF599" i="1"/>
  <c r="AG599" i="1"/>
  <c r="AD600" i="1"/>
  <c r="AE600" i="1"/>
  <c r="AF600" i="1"/>
  <c r="AG600" i="1"/>
  <c r="AD601" i="1"/>
  <c r="AE601" i="1"/>
  <c r="AF601" i="1"/>
  <c r="AG601" i="1"/>
  <c r="AD602" i="1"/>
  <c r="AE602" i="1"/>
  <c r="AF602" i="1"/>
  <c r="AG602" i="1"/>
  <c r="AD603" i="1"/>
  <c r="AE603" i="1"/>
  <c r="AF603" i="1"/>
  <c r="AG603" i="1"/>
  <c r="AD604" i="1"/>
  <c r="AE604" i="1"/>
  <c r="AF604" i="1"/>
  <c r="AG604" i="1"/>
  <c r="AD605" i="1"/>
  <c r="AE605" i="1"/>
  <c r="AF605" i="1"/>
  <c r="AG605" i="1"/>
  <c r="AD606" i="1"/>
  <c r="AE606" i="1"/>
  <c r="AF606" i="1"/>
  <c r="AG606" i="1"/>
  <c r="AD607" i="1"/>
  <c r="AE607" i="1"/>
  <c r="AF607" i="1"/>
  <c r="AG607" i="1"/>
  <c r="AD608" i="1"/>
  <c r="AE608" i="1"/>
  <c r="AF608" i="1"/>
  <c r="AG608" i="1"/>
  <c r="AD609" i="1"/>
  <c r="AE609" i="1"/>
  <c r="AF609" i="1"/>
  <c r="AG609" i="1"/>
  <c r="AD610" i="1"/>
  <c r="AE610" i="1"/>
  <c r="AF610" i="1"/>
  <c r="AG610" i="1"/>
  <c r="AD611" i="1"/>
  <c r="AE611" i="1"/>
  <c r="AF611" i="1"/>
  <c r="AG611" i="1"/>
  <c r="AD612" i="1"/>
  <c r="AE612" i="1"/>
  <c r="AF612" i="1"/>
  <c r="AG612" i="1"/>
  <c r="AD613" i="1"/>
  <c r="AE613" i="1"/>
  <c r="AF613" i="1"/>
  <c r="AG613" i="1"/>
  <c r="AD614" i="1"/>
  <c r="AE614" i="1"/>
  <c r="AF614" i="1"/>
  <c r="AG614" i="1"/>
  <c r="AD615" i="1"/>
  <c r="AE615" i="1"/>
  <c r="AF615" i="1"/>
  <c r="AG615" i="1"/>
  <c r="AD616" i="1"/>
  <c r="AE616" i="1"/>
  <c r="AF616" i="1"/>
  <c r="AG616" i="1"/>
  <c r="AD617" i="1"/>
  <c r="AE617" i="1"/>
  <c r="AF617" i="1"/>
  <c r="AG617" i="1"/>
  <c r="AD618" i="1"/>
  <c r="AE618" i="1"/>
  <c r="AF618" i="1"/>
  <c r="AG618" i="1"/>
  <c r="AD619" i="1"/>
  <c r="AE619" i="1"/>
  <c r="AF619" i="1"/>
  <c r="AG619" i="1"/>
  <c r="AD620" i="1"/>
  <c r="AE620" i="1"/>
  <c r="AF620" i="1"/>
  <c r="AG620" i="1"/>
  <c r="AD621" i="1"/>
  <c r="AE621" i="1"/>
  <c r="AF621" i="1"/>
  <c r="AG621" i="1"/>
  <c r="AD622" i="1"/>
  <c r="AE622" i="1"/>
  <c r="AF622" i="1"/>
  <c r="AG622" i="1"/>
  <c r="AD623" i="1"/>
  <c r="AE623" i="1"/>
  <c r="AF623" i="1"/>
  <c r="AG623" i="1"/>
  <c r="AD624" i="1"/>
  <c r="AE624" i="1"/>
  <c r="AF624" i="1"/>
  <c r="AG624" i="1"/>
  <c r="AD625" i="1"/>
  <c r="AE625" i="1"/>
  <c r="AF625" i="1"/>
  <c r="AG625" i="1"/>
  <c r="AD626" i="1"/>
  <c r="AE626" i="1"/>
  <c r="AF626" i="1"/>
  <c r="AG626" i="1"/>
  <c r="AD627" i="1"/>
  <c r="AE627" i="1"/>
  <c r="AF627" i="1"/>
  <c r="AG627" i="1"/>
  <c r="AD628" i="1"/>
  <c r="AE628" i="1"/>
  <c r="AF628" i="1"/>
  <c r="AG628" i="1"/>
  <c r="AD629" i="1"/>
  <c r="AE629" i="1"/>
  <c r="AF629" i="1"/>
  <c r="AG629" i="1"/>
  <c r="AD630" i="1"/>
  <c r="AE630" i="1"/>
  <c r="AF630" i="1"/>
  <c r="AG630" i="1"/>
  <c r="AD631" i="1"/>
  <c r="AE631" i="1"/>
  <c r="AF631" i="1"/>
  <c r="AG631" i="1"/>
  <c r="AD632" i="1"/>
  <c r="AE632" i="1"/>
  <c r="AF632" i="1"/>
  <c r="AG632" i="1"/>
  <c r="AD633" i="1"/>
  <c r="AE633" i="1"/>
  <c r="AF633" i="1"/>
  <c r="AG633" i="1"/>
  <c r="AD634" i="1"/>
  <c r="AE634" i="1"/>
  <c r="AF634" i="1"/>
  <c r="AG634" i="1"/>
  <c r="AD635" i="1"/>
  <c r="AE635" i="1"/>
  <c r="AF635" i="1"/>
  <c r="AG635" i="1"/>
  <c r="AD636" i="1"/>
  <c r="AE636" i="1"/>
  <c r="AF636" i="1"/>
  <c r="AG636" i="1"/>
  <c r="AD637" i="1"/>
  <c r="AE637" i="1"/>
  <c r="AF637" i="1"/>
  <c r="AG637" i="1"/>
  <c r="AD638" i="1"/>
  <c r="AE638" i="1"/>
  <c r="AF638" i="1"/>
  <c r="AG638" i="1"/>
  <c r="AD639" i="1"/>
  <c r="AE639" i="1"/>
  <c r="AF639" i="1"/>
  <c r="AG639" i="1"/>
  <c r="AD640" i="1"/>
  <c r="AE640" i="1"/>
  <c r="AF640" i="1"/>
  <c r="AG640" i="1"/>
  <c r="AD641" i="1"/>
  <c r="AE641" i="1"/>
  <c r="AF641" i="1"/>
  <c r="AG641" i="1"/>
  <c r="AD642" i="1"/>
  <c r="AE642" i="1"/>
  <c r="AF642" i="1"/>
  <c r="AG642" i="1"/>
  <c r="AD643" i="1"/>
  <c r="AE643" i="1"/>
  <c r="AF643" i="1"/>
  <c r="AG643" i="1"/>
  <c r="AD644" i="1"/>
  <c r="AE644" i="1"/>
  <c r="AF644" i="1"/>
  <c r="AG644" i="1"/>
  <c r="AD645" i="1"/>
  <c r="AE645" i="1"/>
  <c r="AF645" i="1"/>
  <c r="AG645" i="1"/>
  <c r="AD646" i="1"/>
  <c r="AE646" i="1"/>
  <c r="AF646" i="1"/>
  <c r="AG646" i="1"/>
  <c r="AD647" i="1"/>
  <c r="AE647" i="1"/>
  <c r="AF647" i="1"/>
  <c r="AG647" i="1"/>
  <c r="AD648" i="1"/>
  <c r="AE648" i="1"/>
  <c r="AF648" i="1"/>
  <c r="AG648" i="1"/>
  <c r="AD649" i="1"/>
  <c r="AE649" i="1"/>
  <c r="AF649" i="1"/>
  <c r="AG649" i="1"/>
  <c r="AD650" i="1"/>
  <c r="AE650" i="1"/>
  <c r="AF650" i="1"/>
  <c r="AG650" i="1"/>
  <c r="AD651" i="1"/>
  <c r="AE651" i="1"/>
  <c r="AF651" i="1"/>
  <c r="AG651" i="1"/>
  <c r="AD652" i="1"/>
  <c r="AE652" i="1"/>
  <c r="AF652" i="1"/>
  <c r="AG652" i="1"/>
  <c r="AD653" i="1"/>
  <c r="AE653" i="1"/>
  <c r="AF653" i="1"/>
  <c r="AG653" i="1"/>
  <c r="AD654" i="1"/>
  <c r="AE654" i="1"/>
  <c r="AF654" i="1"/>
  <c r="AG654" i="1"/>
  <c r="AD655" i="1"/>
  <c r="AE655" i="1"/>
  <c r="AF655" i="1"/>
  <c r="AG655" i="1"/>
  <c r="AD656" i="1"/>
  <c r="AE656" i="1"/>
  <c r="AF656" i="1"/>
  <c r="AG656" i="1"/>
  <c r="AD657" i="1"/>
  <c r="AE657" i="1"/>
  <c r="AF657" i="1"/>
  <c r="AG657" i="1"/>
  <c r="AD658" i="1"/>
  <c r="AE658" i="1"/>
  <c r="AF658" i="1"/>
  <c r="AG658" i="1"/>
  <c r="AD659" i="1"/>
  <c r="AE659" i="1"/>
  <c r="AF659" i="1"/>
  <c r="AG659" i="1"/>
  <c r="AD660" i="1"/>
  <c r="AE660" i="1"/>
  <c r="AF660" i="1"/>
  <c r="AG660" i="1"/>
  <c r="AD661" i="1"/>
  <c r="AE661" i="1"/>
  <c r="AF661" i="1"/>
  <c r="AG661" i="1"/>
  <c r="AD662" i="1"/>
  <c r="AE662" i="1"/>
  <c r="AF662" i="1"/>
  <c r="AG662" i="1"/>
  <c r="AD663" i="1"/>
  <c r="AE663" i="1"/>
  <c r="AF663" i="1"/>
  <c r="AG663" i="1"/>
  <c r="AD664" i="1"/>
  <c r="AE664" i="1"/>
  <c r="AF664" i="1"/>
  <c r="AG664" i="1"/>
  <c r="AD665" i="1"/>
  <c r="AE665" i="1"/>
  <c r="AF665" i="1"/>
  <c r="AG665" i="1"/>
  <c r="AD666" i="1"/>
  <c r="AE666" i="1"/>
  <c r="AF666" i="1"/>
  <c r="AG666" i="1"/>
  <c r="AD667" i="1"/>
  <c r="AE667" i="1"/>
  <c r="AF667" i="1"/>
  <c r="AG667" i="1"/>
  <c r="AD668" i="1"/>
  <c r="AE668" i="1"/>
  <c r="AF668" i="1"/>
  <c r="AG668" i="1"/>
  <c r="AD669" i="1"/>
  <c r="AE669" i="1"/>
  <c r="AF669" i="1"/>
  <c r="AG669" i="1"/>
  <c r="AD670" i="1"/>
  <c r="AE670" i="1"/>
  <c r="AF670" i="1"/>
  <c r="AG670" i="1"/>
  <c r="AD671" i="1"/>
  <c r="AE671" i="1"/>
  <c r="AF671" i="1"/>
  <c r="AG671" i="1"/>
  <c r="AD672" i="1"/>
  <c r="AE672" i="1"/>
  <c r="AF672" i="1"/>
  <c r="AG672" i="1"/>
  <c r="AD673" i="1"/>
  <c r="AE673" i="1"/>
  <c r="AF673" i="1"/>
  <c r="AG673" i="1"/>
  <c r="AD674" i="1"/>
  <c r="AE674" i="1"/>
  <c r="AF674" i="1"/>
  <c r="AG674" i="1"/>
  <c r="AD675" i="1"/>
  <c r="AE675" i="1"/>
  <c r="AF675" i="1"/>
  <c r="AG675" i="1"/>
  <c r="AD676" i="1"/>
  <c r="AE676" i="1"/>
  <c r="AF676" i="1"/>
  <c r="AG676" i="1"/>
  <c r="AD677" i="1"/>
  <c r="AE677" i="1"/>
  <c r="AF677" i="1"/>
  <c r="AG677" i="1"/>
  <c r="AD678" i="1"/>
  <c r="AE678" i="1"/>
  <c r="AF678" i="1"/>
  <c r="AG678" i="1"/>
  <c r="AD679" i="1"/>
  <c r="AE679" i="1"/>
  <c r="AF679" i="1"/>
  <c r="AG679" i="1"/>
  <c r="AD680" i="1"/>
  <c r="AE680" i="1"/>
  <c r="AF680" i="1"/>
  <c r="AG680" i="1"/>
  <c r="AD681" i="1"/>
  <c r="AE681" i="1"/>
  <c r="AF681" i="1"/>
  <c r="AG681" i="1"/>
  <c r="AD682" i="1"/>
  <c r="AE682" i="1"/>
  <c r="AF682" i="1"/>
  <c r="AG682" i="1"/>
  <c r="AD683" i="1"/>
  <c r="AE683" i="1"/>
  <c r="AF683" i="1"/>
  <c r="AG683" i="1"/>
  <c r="AD684" i="1"/>
  <c r="AE684" i="1"/>
  <c r="AF684" i="1"/>
  <c r="AG684" i="1"/>
  <c r="AD685" i="1"/>
  <c r="AE685" i="1"/>
  <c r="AF685" i="1"/>
  <c r="AG685" i="1"/>
  <c r="AD686" i="1"/>
  <c r="AE686" i="1"/>
  <c r="AF686" i="1"/>
  <c r="AG686" i="1"/>
  <c r="AD687" i="1"/>
  <c r="AE687" i="1"/>
  <c r="AF687" i="1"/>
  <c r="AG687" i="1"/>
  <c r="AD688" i="1"/>
  <c r="AE688" i="1"/>
  <c r="AF688" i="1"/>
  <c r="AG688" i="1"/>
  <c r="AD689" i="1"/>
  <c r="AE689" i="1"/>
  <c r="AF689" i="1"/>
  <c r="AG689" i="1"/>
  <c r="AD690" i="1"/>
  <c r="AE690" i="1"/>
  <c r="AF690" i="1"/>
  <c r="AG690" i="1"/>
  <c r="AD691" i="1"/>
  <c r="AE691" i="1"/>
  <c r="AF691" i="1"/>
  <c r="AG691" i="1"/>
  <c r="AD692" i="1"/>
  <c r="AE692" i="1"/>
  <c r="AF692" i="1"/>
  <c r="AG692" i="1"/>
  <c r="AD693" i="1"/>
  <c r="AE693" i="1"/>
  <c r="AF693" i="1"/>
  <c r="AG693" i="1"/>
  <c r="AD694" i="1"/>
  <c r="AE694" i="1"/>
  <c r="AF694" i="1"/>
  <c r="AG694" i="1"/>
  <c r="AD695" i="1"/>
  <c r="AE695" i="1"/>
  <c r="AF695" i="1"/>
  <c r="AG695" i="1"/>
  <c r="AD696" i="1"/>
  <c r="AE696" i="1"/>
  <c r="AF696" i="1"/>
  <c r="AG696" i="1"/>
  <c r="AD697" i="1"/>
  <c r="AE697" i="1"/>
  <c r="AF697" i="1"/>
  <c r="AG697" i="1"/>
  <c r="AD698" i="1"/>
  <c r="AE698" i="1"/>
  <c r="AF698" i="1"/>
  <c r="AG698" i="1"/>
  <c r="AD699" i="1"/>
  <c r="AE699" i="1"/>
  <c r="AF699" i="1"/>
  <c r="AG699" i="1"/>
  <c r="AD700" i="1"/>
  <c r="AE700" i="1"/>
  <c r="AF700" i="1"/>
  <c r="AG700" i="1"/>
  <c r="AD701" i="1"/>
  <c r="AE701" i="1"/>
  <c r="AF701" i="1"/>
  <c r="AG701" i="1"/>
  <c r="AD702" i="1"/>
  <c r="AE702" i="1"/>
  <c r="AF702" i="1"/>
  <c r="AG702" i="1"/>
  <c r="AD703" i="1"/>
  <c r="AE703" i="1"/>
  <c r="AF703" i="1"/>
  <c r="AG703" i="1"/>
  <c r="AD704" i="1"/>
  <c r="AE704" i="1"/>
  <c r="AF704" i="1"/>
  <c r="AG704" i="1"/>
  <c r="AD705" i="1"/>
  <c r="AE705" i="1"/>
  <c r="AF705" i="1"/>
  <c r="AG705" i="1"/>
  <c r="AD706" i="1"/>
  <c r="AE706" i="1"/>
  <c r="AF706" i="1"/>
  <c r="AG706" i="1"/>
  <c r="AD707" i="1"/>
  <c r="AE707" i="1"/>
  <c r="AF707" i="1"/>
  <c r="AG707" i="1"/>
  <c r="AD708" i="1"/>
  <c r="AE708" i="1"/>
  <c r="AF708" i="1"/>
  <c r="AG708" i="1"/>
  <c r="AD709" i="1"/>
  <c r="AE709" i="1"/>
  <c r="AF709" i="1"/>
  <c r="AG709" i="1"/>
  <c r="AD710" i="1"/>
  <c r="AE710" i="1"/>
  <c r="AF710" i="1"/>
  <c r="AG710" i="1"/>
  <c r="AD711" i="1"/>
  <c r="AE711" i="1"/>
  <c r="AF711" i="1"/>
  <c r="AG711" i="1"/>
  <c r="AD712" i="1"/>
  <c r="AE712" i="1"/>
  <c r="AF712" i="1"/>
  <c r="AG712" i="1"/>
  <c r="AD713" i="1"/>
  <c r="AE713" i="1"/>
  <c r="AF713" i="1"/>
  <c r="AG713" i="1"/>
  <c r="AD714" i="1"/>
  <c r="AE714" i="1"/>
  <c r="AF714" i="1"/>
  <c r="AG714" i="1"/>
  <c r="AD715" i="1"/>
  <c r="AE715" i="1"/>
  <c r="AF715" i="1"/>
  <c r="AG715" i="1"/>
  <c r="AD716" i="1"/>
  <c r="AE716" i="1"/>
  <c r="AF716" i="1"/>
  <c r="AG716" i="1"/>
  <c r="AD717" i="1"/>
  <c r="AE717" i="1"/>
  <c r="AF717" i="1"/>
  <c r="AG717" i="1"/>
  <c r="AD718" i="1"/>
  <c r="AE718" i="1"/>
  <c r="AF718" i="1"/>
  <c r="AG718" i="1"/>
  <c r="AD719" i="1"/>
  <c r="AE719" i="1"/>
  <c r="AF719" i="1"/>
  <c r="AG719" i="1"/>
  <c r="AD720" i="1"/>
  <c r="AE720" i="1"/>
  <c r="AF720" i="1"/>
  <c r="AG720" i="1"/>
  <c r="AD721" i="1"/>
  <c r="AE721" i="1"/>
  <c r="AF721" i="1"/>
  <c r="AG721" i="1"/>
  <c r="AD722" i="1"/>
  <c r="AE722" i="1"/>
  <c r="AF722" i="1"/>
  <c r="AG722" i="1"/>
  <c r="AD723" i="1"/>
  <c r="AE723" i="1"/>
  <c r="AF723" i="1"/>
  <c r="AG723" i="1"/>
  <c r="AD724" i="1"/>
  <c r="AE724" i="1"/>
  <c r="AF724" i="1"/>
  <c r="AG724" i="1"/>
  <c r="AD725" i="1"/>
  <c r="AE725" i="1"/>
  <c r="AF725" i="1"/>
  <c r="AG725" i="1"/>
  <c r="AD726" i="1"/>
  <c r="AE726" i="1"/>
  <c r="AF726" i="1"/>
  <c r="AG726" i="1"/>
  <c r="AD727" i="1"/>
  <c r="AE727" i="1"/>
  <c r="AF727" i="1"/>
  <c r="AG727" i="1"/>
  <c r="AD728" i="1"/>
  <c r="AE728" i="1"/>
  <c r="AF728" i="1"/>
  <c r="AG728" i="1"/>
  <c r="AD729" i="1"/>
  <c r="AE729" i="1"/>
  <c r="AF729" i="1"/>
  <c r="AG729" i="1"/>
  <c r="AD730" i="1"/>
  <c r="AE730" i="1"/>
  <c r="AF730" i="1"/>
  <c r="AG730" i="1"/>
  <c r="AD731" i="1"/>
  <c r="AE731" i="1"/>
  <c r="AF731" i="1"/>
  <c r="AG731" i="1"/>
  <c r="AD732" i="1"/>
  <c r="AE732" i="1"/>
  <c r="AF732" i="1"/>
  <c r="AG732" i="1"/>
  <c r="AD733" i="1"/>
  <c r="AE733" i="1"/>
  <c r="AF733" i="1"/>
  <c r="AG733" i="1"/>
  <c r="AD734" i="1"/>
  <c r="AE734" i="1"/>
  <c r="AF734" i="1"/>
  <c r="AG734" i="1"/>
  <c r="AD735" i="1"/>
  <c r="AE735" i="1"/>
  <c r="AF735" i="1"/>
  <c r="AG735" i="1"/>
  <c r="AD736" i="1"/>
  <c r="AE736" i="1"/>
  <c r="AF736" i="1"/>
  <c r="AG736" i="1"/>
  <c r="AD737" i="1"/>
  <c r="AE737" i="1"/>
  <c r="AF737" i="1"/>
  <c r="AG737" i="1"/>
  <c r="AD738" i="1"/>
  <c r="AE738" i="1"/>
  <c r="AF738" i="1"/>
  <c r="AG738" i="1"/>
  <c r="AD739" i="1"/>
  <c r="AE739" i="1"/>
  <c r="AF739" i="1"/>
  <c r="AG739" i="1"/>
  <c r="AD740" i="1"/>
  <c r="AE740" i="1"/>
  <c r="AF740" i="1"/>
  <c r="AG740" i="1"/>
  <c r="AD741" i="1"/>
  <c r="AE741" i="1"/>
  <c r="AF741" i="1"/>
  <c r="AG741" i="1"/>
  <c r="AD742" i="1"/>
  <c r="AE742" i="1"/>
  <c r="AF742" i="1"/>
  <c r="AG742" i="1"/>
  <c r="AD743" i="1"/>
  <c r="AE743" i="1"/>
  <c r="AF743" i="1"/>
  <c r="AG743" i="1"/>
  <c r="AD744" i="1"/>
  <c r="AE744" i="1"/>
  <c r="AF744" i="1"/>
  <c r="AG744" i="1"/>
  <c r="AD745" i="1"/>
  <c r="AE745" i="1"/>
  <c r="AF745" i="1"/>
  <c r="AG745" i="1"/>
  <c r="AD746" i="1"/>
  <c r="AE746" i="1"/>
  <c r="AF746" i="1"/>
  <c r="AG746" i="1"/>
  <c r="AD747" i="1"/>
  <c r="AE747" i="1"/>
  <c r="AF747" i="1"/>
  <c r="AG747" i="1"/>
  <c r="AD748" i="1"/>
  <c r="AE748" i="1"/>
  <c r="AF748" i="1"/>
  <c r="AG748" i="1"/>
  <c r="AD749" i="1"/>
  <c r="AE749" i="1"/>
  <c r="AF749" i="1"/>
  <c r="AG749" i="1"/>
  <c r="AD750" i="1"/>
  <c r="AE750" i="1"/>
  <c r="AF750" i="1"/>
  <c r="AG750" i="1"/>
  <c r="AD751" i="1"/>
  <c r="AE751" i="1"/>
  <c r="AF751" i="1"/>
  <c r="AG751" i="1"/>
  <c r="AD752" i="1"/>
  <c r="AE752" i="1"/>
  <c r="AF752" i="1"/>
  <c r="AG752" i="1"/>
  <c r="AD753" i="1"/>
  <c r="AE753" i="1"/>
  <c r="AF753" i="1"/>
  <c r="AG753" i="1"/>
  <c r="AD754" i="1"/>
  <c r="AE754" i="1"/>
  <c r="AF754" i="1"/>
  <c r="AG754" i="1"/>
  <c r="AD755" i="1"/>
  <c r="AE755" i="1"/>
  <c r="AF755" i="1"/>
  <c r="AG755" i="1"/>
  <c r="AD756" i="1"/>
  <c r="AE756" i="1"/>
  <c r="AF756" i="1"/>
  <c r="AG756" i="1"/>
  <c r="AD757" i="1"/>
  <c r="AE757" i="1"/>
  <c r="AF757" i="1"/>
  <c r="AG757" i="1"/>
  <c r="AD758" i="1"/>
  <c r="AE758" i="1"/>
  <c r="AF758" i="1"/>
  <c r="AG758" i="1"/>
  <c r="AD759" i="1"/>
  <c r="AE759" i="1"/>
  <c r="AF759" i="1"/>
  <c r="AG759" i="1"/>
  <c r="AD760" i="1"/>
  <c r="AE760" i="1"/>
  <c r="AF760" i="1"/>
  <c r="AG760" i="1"/>
  <c r="AD761" i="1"/>
  <c r="AE761" i="1"/>
  <c r="AF761" i="1"/>
  <c r="AG761" i="1"/>
  <c r="AD762" i="1"/>
  <c r="AE762" i="1"/>
  <c r="AF762" i="1"/>
  <c r="AG762" i="1"/>
  <c r="AD763" i="1"/>
  <c r="AE763" i="1"/>
  <c r="AF763" i="1"/>
  <c r="AG763" i="1"/>
  <c r="AD764" i="1"/>
  <c r="AE764" i="1"/>
  <c r="AF764" i="1"/>
  <c r="AG764" i="1"/>
  <c r="AD765" i="1"/>
  <c r="AE765" i="1"/>
  <c r="AF765" i="1"/>
  <c r="AG765" i="1"/>
  <c r="AD766" i="1"/>
  <c r="AE766" i="1"/>
  <c r="AF766" i="1"/>
  <c r="AG766" i="1"/>
  <c r="AD767" i="1"/>
  <c r="AE767" i="1"/>
  <c r="AF767" i="1"/>
  <c r="AG767" i="1"/>
  <c r="AD768" i="1"/>
  <c r="AE768" i="1"/>
  <c r="AF768" i="1"/>
  <c r="AG768" i="1"/>
  <c r="AD769" i="1"/>
  <c r="AE769" i="1"/>
  <c r="AF769" i="1"/>
  <c r="AG769" i="1"/>
  <c r="AD770" i="1"/>
  <c r="AE770" i="1"/>
  <c r="AF770" i="1"/>
  <c r="AG770" i="1"/>
  <c r="AD771" i="1"/>
  <c r="AE771" i="1"/>
  <c r="AF771" i="1"/>
  <c r="AG771" i="1"/>
  <c r="AD772" i="1"/>
  <c r="AE772" i="1"/>
  <c r="AF772" i="1"/>
  <c r="AG772" i="1"/>
  <c r="AD773" i="1"/>
  <c r="AE773" i="1"/>
  <c r="AF773" i="1"/>
  <c r="AG773" i="1"/>
  <c r="AD774" i="1"/>
  <c r="AE774" i="1"/>
  <c r="AF774" i="1"/>
  <c r="AG774" i="1"/>
  <c r="AD775" i="1"/>
  <c r="AE775" i="1"/>
  <c r="AF775" i="1"/>
  <c r="AG775" i="1"/>
  <c r="AD776" i="1"/>
  <c r="AE776" i="1"/>
  <c r="AF776" i="1"/>
  <c r="AG776" i="1"/>
  <c r="AD777" i="1"/>
  <c r="AE777" i="1"/>
  <c r="AF777" i="1"/>
  <c r="AG777" i="1"/>
  <c r="AD778" i="1"/>
  <c r="AE778" i="1"/>
  <c r="AF778" i="1"/>
  <c r="AG778" i="1"/>
  <c r="AD779" i="1"/>
  <c r="AE779" i="1"/>
  <c r="AF779" i="1"/>
  <c r="AG779" i="1"/>
  <c r="AD780" i="1"/>
  <c r="AE780" i="1"/>
  <c r="AF780" i="1"/>
  <c r="AG780" i="1"/>
  <c r="AD781" i="1"/>
  <c r="AE781" i="1"/>
  <c r="AF781" i="1"/>
  <c r="AG781" i="1"/>
  <c r="AD782" i="1"/>
  <c r="AE782" i="1"/>
  <c r="AF782" i="1"/>
  <c r="AG782" i="1"/>
  <c r="AD783" i="1"/>
  <c r="AE783" i="1"/>
  <c r="AF783" i="1"/>
  <c r="AG783" i="1"/>
  <c r="AD784" i="1"/>
  <c r="AE784" i="1"/>
  <c r="AF784" i="1"/>
  <c r="AG784" i="1"/>
  <c r="AD785" i="1"/>
  <c r="AE785" i="1"/>
  <c r="AF785" i="1"/>
  <c r="AG785" i="1"/>
  <c r="AD786" i="1"/>
  <c r="AE786" i="1"/>
  <c r="AF786" i="1"/>
  <c r="AG786" i="1"/>
  <c r="AD787" i="1"/>
  <c r="AE787" i="1"/>
  <c r="AF787" i="1"/>
  <c r="AG787" i="1"/>
  <c r="AD788" i="1"/>
  <c r="AE788" i="1"/>
  <c r="AF788" i="1"/>
  <c r="AG788" i="1"/>
  <c r="AD789" i="1"/>
  <c r="AE789" i="1"/>
  <c r="AF789" i="1"/>
  <c r="AG789" i="1"/>
  <c r="AD790" i="1"/>
  <c r="AE790" i="1"/>
  <c r="AF790" i="1"/>
  <c r="AG790" i="1"/>
  <c r="AD791" i="1"/>
  <c r="AE791" i="1"/>
  <c r="AF791" i="1"/>
  <c r="AG791" i="1"/>
  <c r="AD792" i="1"/>
  <c r="AE792" i="1"/>
  <c r="AF792" i="1"/>
  <c r="AG792" i="1"/>
  <c r="AD793" i="1"/>
  <c r="AE793" i="1"/>
  <c r="AF793" i="1"/>
  <c r="AG793" i="1"/>
  <c r="AD794" i="1"/>
  <c r="AE794" i="1"/>
  <c r="AF794" i="1"/>
  <c r="AG794" i="1"/>
  <c r="AD795" i="1"/>
  <c r="AE795" i="1"/>
  <c r="AF795" i="1"/>
  <c r="AG795" i="1"/>
  <c r="AD796" i="1"/>
  <c r="AE796" i="1"/>
  <c r="AF796" i="1"/>
  <c r="AG796" i="1"/>
  <c r="AD797" i="1"/>
  <c r="AE797" i="1"/>
  <c r="AF797" i="1"/>
  <c r="AG797" i="1"/>
  <c r="AD798" i="1"/>
  <c r="AE798" i="1"/>
  <c r="AF798" i="1"/>
  <c r="AG798" i="1"/>
  <c r="AD799" i="1"/>
  <c r="AE799" i="1"/>
  <c r="AF799" i="1"/>
  <c r="AG799" i="1"/>
  <c r="AD800" i="1"/>
  <c r="AE800" i="1"/>
  <c r="AF800" i="1"/>
  <c r="AG800" i="1"/>
  <c r="AD801" i="1"/>
  <c r="AE801" i="1"/>
  <c r="AF801" i="1"/>
  <c r="AG801" i="1"/>
  <c r="AD802" i="1"/>
  <c r="AE802" i="1"/>
  <c r="AF802" i="1"/>
  <c r="AG802" i="1"/>
  <c r="AD803" i="1"/>
  <c r="AE803" i="1"/>
  <c r="AF803" i="1"/>
  <c r="AG803" i="1"/>
  <c r="AD804" i="1"/>
  <c r="AE804" i="1"/>
  <c r="AF804" i="1"/>
  <c r="AG804" i="1"/>
  <c r="AD805" i="1"/>
  <c r="AE805" i="1"/>
  <c r="AF805" i="1"/>
  <c r="AG805" i="1"/>
  <c r="AD806" i="1"/>
  <c r="AE806" i="1"/>
  <c r="AF806" i="1"/>
  <c r="AG806" i="1"/>
  <c r="AD807" i="1"/>
  <c r="AE807" i="1"/>
  <c r="AF807" i="1"/>
  <c r="AG807" i="1"/>
  <c r="AD808" i="1"/>
  <c r="AE808" i="1"/>
  <c r="AF808" i="1"/>
  <c r="AG808" i="1"/>
  <c r="AD809" i="1"/>
  <c r="AE809" i="1"/>
  <c r="AF809" i="1"/>
  <c r="AG809" i="1"/>
  <c r="AD810" i="1"/>
  <c r="AE810" i="1"/>
  <c r="AF810" i="1"/>
  <c r="AG810" i="1"/>
  <c r="AD811" i="1"/>
  <c r="AE811" i="1"/>
  <c r="AF811" i="1"/>
  <c r="AG811" i="1"/>
  <c r="AD812" i="1"/>
  <c r="AE812" i="1"/>
  <c r="AF812" i="1"/>
  <c r="AG812" i="1"/>
  <c r="AD813" i="1"/>
  <c r="AE813" i="1"/>
  <c r="AF813" i="1"/>
  <c r="AG813" i="1"/>
  <c r="AD814" i="1"/>
  <c r="AE814" i="1"/>
  <c r="AF814" i="1"/>
  <c r="AG814" i="1"/>
  <c r="AD815" i="1"/>
  <c r="AE815" i="1"/>
  <c r="AF815" i="1"/>
  <c r="AG815" i="1"/>
  <c r="AD816" i="1"/>
  <c r="AE816" i="1"/>
  <c r="AF816" i="1"/>
  <c r="AG816" i="1"/>
  <c r="AD817" i="1"/>
  <c r="AE817" i="1"/>
  <c r="AF817" i="1"/>
  <c r="AG817" i="1"/>
  <c r="AD818" i="1"/>
  <c r="AE818" i="1"/>
  <c r="AF818" i="1"/>
  <c r="AG818" i="1"/>
  <c r="AD819" i="1"/>
  <c r="AE819" i="1"/>
  <c r="AF819" i="1"/>
  <c r="AG819" i="1"/>
  <c r="AD820" i="1"/>
  <c r="AE820" i="1"/>
  <c r="AF820" i="1"/>
  <c r="AG820" i="1"/>
  <c r="AD821" i="1"/>
  <c r="AE821" i="1"/>
  <c r="AF821" i="1"/>
  <c r="AG821" i="1"/>
  <c r="AD822" i="1"/>
  <c r="AE822" i="1"/>
  <c r="AF822" i="1"/>
  <c r="AG822" i="1"/>
  <c r="AD823" i="1"/>
  <c r="AE823" i="1"/>
  <c r="AF823" i="1"/>
  <c r="AG823" i="1"/>
  <c r="AD824" i="1"/>
  <c r="AE824" i="1"/>
  <c r="AF824" i="1"/>
  <c r="AG824" i="1"/>
  <c r="AD825" i="1"/>
  <c r="AE825" i="1"/>
  <c r="AF825" i="1"/>
  <c r="AG825" i="1"/>
  <c r="AD826" i="1"/>
  <c r="AE826" i="1"/>
  <c r="AF826" i="1"/>
  <c r="AG826" i="1"/>
  <c r="AD827" i="1"/>
  <c r="AE827" i="1"/>
  <c r="AF827" i="1"/>
  <c r="AG827" i="1"/>
  <c r="AD828" i="1"/>
  <c r="AE828" i="1"/>
  <c r="AF828" i="1"/>
  <c r="AG828" i="1"/>
  <c r="AD829" i="1"/>
  <c r="AE829" i="1"/>
  <c r="AF829" i="1"/>
  <c r="AG829" i="1"/>
  <c r="AD830" i="1"/>
  <c r="AE830" i="1"/>
  <c r="AF830" i="1"/>
  <c r="AG830" i="1"/>
  <c r="AD831" i="1"/>
  <c r="AE831" i="1"/>
  <c r="AF831" i="1"/>
  <c r="AG831" i="1"/>
  <c r="AD832" i="1"/>
  <c r="AE832" i="1"/>
  <c r="AF832" i="1"/>
  <c r="AG832" i="1"/>
  <c r="AD833" i="1"/>
  <c r="AE833" i="1"/>
  <c r="AF833" i="1"/>
  <c r="AG833" i="1"/>
  <c r="AD834" i="1"/>
  <c r="AE834" i="1"/>
  <c r="AF834" i="1"/>
  <c r="AG834" i="1"/>
  <c r="AD835" i="1"/>
  <c r="AE835" i="1"/>
  <c r="AF835" i="1"/>
  <c r="AG835" i="1"/>
  <c r="AD836" i="1"/>
  <c r="AE836" i="1"/>
  <c r="AF836" i="1"/>
  <c r="AG836" i="1"/>
  <c r="AD837" i="1"/>
  <c r="AE837" i="1"/>
  <c r="AF837" i="1"/>
  <c r="AG837" i="1"/>
  <c r="AD838" i="1"/>
  <c r="AE838" i="1"/>
  <c r="AF838" i="1"/>
  <c r="AG838" i="1"/>
  <c r="AD839" i="1"/>
  <c r="AE839" i="1"/>
  <c r="AF839" i="1"/>
  <c r="AG839" i="1"/>
  <c r="AD840" i="1"/>
  <c r="AE840" i="1"/>
  <c r="AF840" i="1"/>
  <c r="AG840" i="1"/>
  <c r="AD841" i="1"/>
  <c r="AE841" i="1"/>
  <c r="AF841" i="1"/>
  <c r="AG841" i="1"/>
  <c r="AD842" i="1"/>
  <c r="AE842" i="1"/>
  <c r="AF842" i="1"/>
  <c r="AG842" i="1"/>
  <c r="AD843" i="1"/>
  <c r="AE843" i="1"/>
  <c r="AF843" i="1"/>
  <c r="AG843" i="1"/>
  <c r="AD844" i="1"/>
  <c r="AE844" i="1"/>
  <c r="AF844" i="1"/>
  <c r="AG844" i="1"/>
  <c r="AD845" i="1"/>
  <c r="AE845" i="1"/>
  <c r="AF845" i="1"/>
  <c r="AG845" i="1"/>
  <c r="AD846" i="1"/>
  <c r="AE846" i="1"/>
  <c r="AF846" i="1"/>
  <c r="AG846" i="1"/>
  <c r="AD847" i="1"/>
  <c r="AE847" i="1"/>
  <c r="AF847" i="1"/>
  <c r="AG847" i="1"/>
  <c r="AD848" i="1"/>
  <c r="AE848" i="1"/>
  <c r="AF848" i="1"/>
  <c r="AG848" i="1"/>
  <c r="AD849" i="1"/>
  <c r="AE849" i="1"/>
  <c r="AF849" i="1"/>
  <c r="AG849" i="1"/>
  <c r="AD850" i="1"/>
  <c r="AE850" i="1"/>
  <c r="AF850" i="1"/>
  <c r="AG850" i="1"/>
  <c r="AD851" i="1"/>
  <c r="AE851" i="1"/>
  <c r="AF851" i="1"/>
  <c r="AG851" i="1"/>
  <c r="AD852" i="1"/>
  <c r="AE852" i="1"/>
  <c r="AF852" i="1"/>
  <c r="AG852" i="1"/>
  <c r="AD853" i="1"/>
  <c r="AE853" i="1"/>
  <c r="AF853" i="1"/>
  <c r="AG853" i="1"/>
  <c r="AD854" i="1"/>
  <c r="AE854" i="1"/>
  <c r="AF854" i="1"/>
  <c r="AG854" i="1"/>
  <c r="AD855" i="1"/>
  <c r="AE855" i="1"/>
  <c r="AF855" i="1"/>
  <c r="AG855" i="1"/>
  <c r="AD856" i="1"/>
  <c r="AE856" i="1"/>
  <c r="AF856" i="1"/>
  <c r="AG856" i="1"/>
  <c r="AD857" i="1"/>
  <c r="AE857" i="1"/>
  <c r="AF857" i="1"/>
  <c r="AG857" i="1"/>
  <c r="AD858" i="1"/>
  <c r="AE858" i="1"/>
  <c r="AF858" i="1"/>
  <c r="AG858" i="1"/>
  <c r="AD859" i="1"/>
  <c r="AE859" i="1"/>
  <c r="AF859" i="1"/>
  <c r="AG859" i="1"/>
  <c r="AD860" i="1"/>
  <c r="AE860" i="1"/>
  <c r="AF860" i="1"/>
  <c r="AG860" i="1"/>
  <c r="AD861" i="1"/>
  <c r="AE861" i="1"/>
  <c r="AF861" i="1"/>
  <c r="AG861" i="1"/>
  <c r="AD862" i="1"/>
  <c r="AE862" i="1"/>
  <c r="AF862" i="1"/>
  <c r="AG862" i="1"/>
  <c r="AD863" i="1"/>
  <c r="AE863" i="1"/>
  <c r="AF863" i="1"/>
  <c r="AG863" i="1"/>
  <c r="AD864" i="1"/>
  <c r="AE864" i="1"/>
  <c r="AF864" i="1"/>
  <c r="AG864" i="1"/>
  <c r="AD865" i="1"/>
  <c r="AE865" i="1"/>
  <c r="AF865" i="1"/>
  <c r="AG865" i="1"/>
  <c r="AD866" i="1"/>
  <c r="AE866" i="1"/>
  <c r="AF866" i="1"/>
  <c r="AG866" i="1"/>
  <c r="AD867" i="1"/>
  <c r="AE867" i="1"/>
  <c r="AF867" i="1"/>
  <c r="AG867" i="1"/>
  <c r="AD868" i="1"/>
  <c r="AE868" i="1"/>
  <c r="AF868" i="1"/>
  <c r="AG868" i="1"/>
  <c r="AD869" i="1"/>
  <c r="AE869" i="1"/>
  <c r="AF869" i="1"/>
  <c r="AG869" i="1"/>
  <c r="AD870" i="1"/>
  <c r="AE870" i="1"/>
  <c r="AF870" i="1"/>
  <c r="AG870" i="1"/>
  <c r="AD871" i="1"/>
  <c r="AE871" i="1"/>
  <c r="AF871" i="1"/>
  <c r="AG871" i="1"/>
  <c r="AD872" i="1"/>
  <c r="AE872" i="1"/>
  <c r="AF872" i="1"/>
  <c r="AG872" i="1"/>
  <c r="AD873" i="1"/>
  <c r="AE873" i="1"/>
  <c r="AF873" i="1"/>
  <c r="AG873" i="1"/>
  <c r="AD874" i="1"/>
  <c r="AE874" i="1"/>
  <c r="AF874" i="1"/>
  <c r="AG874" i="1"/>
  <c r="AD875" i="1"/>
  <c r="AE875" i="1"/>
  <c r="AF875" i="1"/>
  <c r="AG875" i="1"/>
  <c r="AD876" i="1"/>
  <c r="AE876" i="1"/>
  <c r="AF876" i="1"/>
  <c r="AG876" i="1"/>
  <c r="AD877" i="1"/>
  <c r="AE877" i="1"/>
  <c r="AF877" i="1"/>
  <c r="AG877" i="1"/>
  <c r="AD878" i="1"/>
  <c r="AE878" i="1"/>
  <c r="AF878" i="1"/>
  <c r="AG878" i="1"/>
  <c r="AD879" i="1"/>
  <c r="AE879" i="1"/>
  <c r="AF879" i="1"/>
  <c r="AG879" i="1"/>
  <c r="AD880" i="1"/>
  <c r="AE880" i="1"/>
  <c r="AF880" i="1"/>
  <c r="AG880" i="1"/>
  <c r="AD881" i="1"/>
  <c r="AE881" i="1"/>
  <c r="AF881" i="1"/>
  <c r="AG881" i="1"/>
  <c r="AD882" i="1"/>
  <c r="AE882" i="1"/>
  <c r="AF882" i="1"/>
  <c r="AG882" i="1"/>
  <c r="AD883" i="1"/>
  <c r="AE883" i="1"/>
  <c r="AF883" i="1"/>
  <c r="AG883" i="1"/>
  <c r="AD884" i="1"/>
  <c r="AE884" i="1"/>
  <c r="AF884" i="1"/>
  <c r="AG884" i="1"/>
  <c r="AD885" i="1"/>
  <c r="AE885" i="1"/>
  <c r="AF885" i="1"/>
  <c r="AG885" i="1"/>
  <c r="AD886" i="1"/>
  <c r="AE886" i="1"/>
  <c r="AF886" i="1"/>
  <c r="AG886" i="1"/>
  <c r="AD887" i="1"/>
  <c r="AE887" i="1"/>
  <c r="AF887" i="1"/>
  <c r="AG887" i="1"/>
  <c r="AD888" i="1"/>
  <c r="AE888" i="1"/>
  <c r="AF888" i="1"/>
  <c r="AG888" i="1"/>
  <c r="AD889" i="1"/>
  <c r="AE889" i="1"/>
  <c r="AF889" i="1"/>
  <c r="AG889" i="1"/>
  <c r="AD890" i="1"/>
  <c r="AE890" i="1"/>
  <c r="AF890" i="1"/>
  <c r="AG890" i="1"/>
  <c r="AD891" i="1"/>
  <c r="AE891" i="1"/>
  <c r="AF891" i="1"/>
  <c r="AG891" i="1"/>
  <c r="AD892" i="1"/>
  <c r="AE892" i="1"/>
  <c r="AF892" i="1"/>
  <c r="AG892" i="1"/>
  <c r="AD893" i="1"/>
  <c r="AE893" i="1"/>
  <c r="AF893" i="1"/>
  <c r="AG893" i="1"/>
  <c r="AD894" i="1"/>
  <c r="AE894" i="1"/>
  <c r="AF894" i="1"/>
  <c r="AG894" i="1"/>
  <c r="AD895" i="1"/>
  <c r="AE895" i="1"/>
  <c r="AF895" i="1"/>
  <c r="AG895" i="1"/>
  <c r="AD896" i="1"/>
  <c r="AE896" i="1"/>
  <c r="AF896" i="1"/>
  <c r="AG896" i="1"/>
  <c r="AD897" i="1"/>
  <c r="AE897" i="1"/>
  <c r="AF897" i="1"/>
  <c r="AG897" i="1"/>
  <c r="AD898" i="1"/>
  <c r="AE898" i="1"/>
  <c r="AF898" i="1"/>
  <c r="AG898" i="1"/>
  <c r="AD899" i="1"/>
  <c r="AE899" i="1"/>
  <c r="AF899" i="1"/>
  <c r="AG899" i="1"/>
  <c r="AD900" i="1"/>
  <c r="AE900" i="1"/>
  <c r="AF900" i="1"/>
  <c r="AG900" i="1"/>
  <c r="AD901" i="1"/>
  <c r="AE901" i="1"/>
  <c r="AF901" i="1"/>
  <c r="AG901" i="1"/>
  <c r="AD902" i="1"/>
  <c r="AE902" i="1"/>
  <c r="AF902" i="1"/>
  <c r="AG902" i="1"/>
  <c r="AD903" i="1"/>
  <c r="AE903" i="1"/>
  <c r="AF903" i="1"/>
  <c r="AG903" i="1"/>
  <c r="AD904" i="1"/>
  <c r="AE904" i="1"/>
  <c r="AF904" i="1"/>
  <c r="AG904" i="1"/>
  <c r="AD905" i="1"/>
  <c r="AE905" i="1"/>
  <c r="AF905" i="1"/>
  <c r="AG905" i="1"/>
  <c r="AD906" i="1"/>
  <c r="AE906" i="1"/>
  <c r="AF906" i="1"/>
  <c r="AG906" i="1"/>
  <c r="AD907" i="1"/>
  <c r="AE907" i="1"/>
  <c r="AF907" i="1"/>
  <c r="AG907" i="1"/>
  <c r="AD908" i="1"/>
  <c r="AE908" i="1"/>
  <c r="AF908" i="1"/>
  <c r="AG908" i="1"/>
  <c r="AD909" i="1"/>
  <c r="AE909" i="1"/>
  <c r="AF909" i="1"/>
  <c r="AG909" i="1"/>
  <c r="AD910" i="1"/>
  <c r="AE910" i="1"/>
  <c r="AF910" i="1"/>
  <c r="AG910" i="1"/>
  <c r="AD911" i="1"/>
  <c r="AE911" i="1"/>
  <c r="AF911" i="1"/>
  <c r="AG911" i="1"/>
  <c r="AD912" i="1"/>
  <c r="AE912" i="1"/>
  <c r="AF912" i="1"/>
  <c r="AG912" i="1"/>
  <c r="AD913" i="1"/>
  <c r="AE913" i="1"/>
  <c r="AF913" i="1"/>
  <c r="AG913" i="1"/>
  <c r="AD914" i="1"/>
  <c r="AE914" i="1"/>
  <c r="AF914" i="1"/>
  <c r="AG914" i="1"/>
  <c r="AD915" i="1"/>
  <c r="AE915" i="1"/>
  <c r="AF915" i="1"/>
  <c r="AG915" i="1"/>
  <c r="AD916" i="1"/>
  <c r="AE916" i="1"/>
  <c r="AF916" i="1"/>
  <c r="AG916" i="1"/>
  <c r="AD917" i="1"/>
  <c r="AE917" i="1"/>
  <c r="AF917" i="1"/>
  <c r="AG917" i="1"/>
  <c r="AD918" i="1"/>
  <c r="AE918" i="1"/>
  <c r="AF918" i="1"/>
  <c r="AG918" i="1"/>
  <c r="AD919" i="1"/>
  <c r="AE919" i="1"/>
  <c r="AF919" i="1"/>
  <c r="AG919" i="1"/>
  <c r="AD920" i="1"/>
  <c r="AE920" i="1"/>
  <c r="AF920" i="1"/>
  <c r="AG920" i="1"/>
  <c r="AD921" i="1"/>
  <c r="AE921" i="1"/>
  <c r="AF921" i="1"/>
  <c r="AG921" i="1"/>
  <c r="AD922" i="1"/>
  <c r="AE922" i="1"/>
  <c r="AF922" i="1"/>
  <c r="AG922" i="1"/>
  <c r="AD923" i="1"/>
  <c r="AE923" i="1"/>
  <c r="AF923" i="1"/>
  <c r="AG923" i="1"/>
  <c r="AD924" i="1"/>
  <c r="AE924" i="1"/>
  <c r="AF924" i="1"/>
  <c r="AG924" i="1"/>
  <c r="AD925" i="1"/>
  <c r="AE925" i="1"/>
  <c r="AF925" i="1"/>
  <c r="AG925" i="1"/>
  <c r="AD926" i="1"/>
  <c r="AE926" i="1"/>
  <c r="AF926" i="1"/>
  <c r="AG926" i="1"/>
  <c r="AD927" i="1"/>
  <c r="AE927" i="1"/>
  <c r="AF927" i="1"/>
  <c r="AG927" i="1"/>
  <c r="AD928" i="1"/>
  <c r="AE928" i="1"/>
  <c r="AF928" i="1"/>
  <c r="AG928" i="1"/>
  <c r="AD929" i="1"/>
  <c r="AE929" i="1"/>
  <c r="AF929" i="1"/>
  <c r="AG929" i="1"/>
  <c r="AD930" i="1"/>
  <c r="AE930" i="1"/>
  <c r="AF930" i="1"/>
  <c r="AG930" i="1"/>
  <c r="AD931" i="1"/>
  <c r="AE931" i="1"/>
  <c r="AF931" i="1"/>
  <c r="AG931" i="1"/>
  <c r="AD932" i="1"/>
  <c r="AE932" i="1"/>
  <c r="AF932" i="1"/>
  <c r="AG932" i="1"/>
  <c r="AD933" i="1"/>
  <c r="AE933" i="1"/>
  <c r="AF933" i="1"/>
  <c r="AG933" i="1"/>
  <c r="AD934" i="1"/>
  <c r="AE934" i="1"/>
  <c r="AF934" i="1"/>
  <c r="AG934" i="1"/>
  <c r="AD935" i="1"/>
  <c r="AE935" i="1"/>
  <c r="AF935" i="1"/>
  <c r="AG935" i="1"/>
  <c r="AD936" i="1"/>
  <c r="AE936" i="1"/>
  <c r="AF936" i="1"/>
  <c r="AG936" i="1"/>
  <c r="AD937" i="1"/>
  <c r="AE937" i="1"/>
  <c r="AF937" i="1"/>
  <c r="AG937" i="1"/>
  <c r="AD938" i="1"/>
  <c r="AE938" i="1"/>
  <c r="AF938" i="1"/>
  <c r="AG938" i="1"/>
  <c r="AD939" i="1"/>
  <c r="AE939" i="1"/>
  <c r="AF939" i="1"/>
  <c r="AG939" i="1"/>
  <c r="AD940" i="1"/>
  <c r="AE940" i="1"/>
  <c r="AF940" i="1"/>
  <c r="AG940" i="1"/>
  <c r="AD941" i="1"/>
  <c r="AE941" i="1"/>
  <c r="AF941" i="1"/>
  <c r="AG941" i="1"/>
  <c r="AD942" i="1"/>
  <c r="AE942" i="1"/>
  <c r="AF942" i="1"/>
  <c r="AG942" i="1"/>
  <c r="AD943" i="1"/>
  <c r="AE943" i="1"/>
  <c r="AF943" i="1"/>
  <c r="AG943" i="1"/>
  <c r="AD944" i="1"/>
  <c r="AE944" i="1"/>
  <c r="AF944" i="1"/>
  <c r="AG944" i="1"/>
  <c r="AD945" i="1"/>
  <c r="AE945" i="1"/>
  <c r="AF945" i="1"/>
  <c r="AG945" i="1"/>
  <c r="AD946" i="1"/>
  <c r="AE946" i="1"/>
  <c r="AF946" i="1"/>
  <c r="AG946" i="1"/>
  <c r="AD947" i="1"/>
  <c r="AE947" i="1"/>
  <c r="AF947" i="1"/>
  <c r="AG947" i="1"/>
  <c r="AD948" i="1"/>
  <c r="AE948" i="1"/>
  <c r="AF948" i="1"/>
  <c r="AG948" i="1"/>
  <c r="AD949" i="1"/>
  <c r="AE949" i="1"/>
  <c r="AF949" i="1"/>
  <c r="AG949" i="1"/>
  <c r="AD950" i="1"/>
  <c r="AE950" i="1"/>
  <c r="AF950" i="1"/>
  <c r="AG950" i="1"/>
  <c r="AD951" i="1"/>
  <c r="AE951" i="1"/>
  <c r="AF951" i="1"/>
  <c r="AG951" i="1"/>
  <c r="AD952" i="1"/>
  <c r="AE952" i="1"/>
  <c r="AF952" i="1"/>
  <c r="AG952" i="1"/>
  <c r="AD953" i="1"/>
  <c r="AE953" i="1"/>
  <c r="AF953" i="1"/>
  <c r="AG953" i="1"/>
  <c r="AD954" i="1"/>
  <c r="AE954" i="1"/>
  <c r="AF954" i="1"/>
  <c r="AG954" i="1"/>
  <c r="AD955" i="1"/>
  <c r="AE955" i="1"/>
  <c r="AF955" i="1"/>
  <c r="AG955" i="1"/>
  <c r="AD956" i="1"/>
  <c r="AE956" i="1"/>
  <c r="AF956" i="1"/>
  <c r="AG956" i="1"/>
  <c r="AD957" i="1"/>
  <c r="AE957" i="1"/>
  <c r="AF957" i="1"/>
  <c r="AG957" i="1"/>
  <c r="AD958" i="1"/>
  <c r="AE958" i="1"/>
  <c r="AF958" i="1"/>
  <c r="AG958" i="1"/>
  <c r="AD959" i="1"/>
  <c r="AE959" i="1"/>
  <c r="AF959" i="1"/>
  <c r="AG959" i="1"/>
  <c r="AD960" i="1"/>
  <c r="AE960" i="1"/>
  <c r="AF960" i="1"/>
  <c r="AG960" i="1"/>
  <c r="AD961" i="1"/>
  <c r="AE961" i="1"/>
  <c r="AF961" i="1"/>
  <c r="AG961" i="1"/>
  <c r="AD962" i="1"/>
  <c r="AE962" i="1"/>
  <c r="AF962" i="1"/>
  <c r="AG962" i="1"/>
  <c r="AD963" i="1"/>
  <c r="AE963" i="1"/>
  <c r="AF963" i="1"/>
  <c r="AG963" i="1"/>
  <c r="AD964" i="1"/>
  <c r="AE964" i="1"/>
  <c r="AF964" i="1"/>
  <c r="AG964" i="1"/>
  <c r="AD965" i="1"/>
  <c r="AE965" i="1"/>
  <c r="AF965" i="1"/>
  <c r="AG965" i="1"/>
  <c r="AD966" i="1"/>
  <c r="AE966" i="1"/>
  <c r="AF966" i="1"/>
  <c r="AG966" i="1"/>
  <c r="AD967" i="1"/>
  <c r="AE967" i="1"/>
  <c r="AF967" i="1"/>
  <c r="AG967" i="1"/>
  <c r="AD968" i="1"/>
  <c r="AE968" i="1"/>
  <c r="AF968" i="1"/>
  <c r="AG968" i="1"/>
  <c r="AD969" i="1"/>
  <c r="AE969" i="1"/>
  <c r="AF969" i="1"/>
  <c r="AG969" i="1"/>
  <c r="AD970" i="1"/>
  <c r="AE970" i="1"/>
  <c r="AF970" i="1"/>
  <c r="AG970" i="1"/>
  <c r="AD971" i="1"/>
  <c r="AE971" i="1"/>
  <c r="AF971" i="1"/>
  <c r="AG971" i="1"/>
  <c r="AD972" i="1"/>
  <c r="AE972" i="1"/>
  <c r="AF972" i="1"/>
  <c r="AG972" i="1"/>
  <c r="AD973" i="1"/>
  <c r="AE973" i="1"/>
  <c r="AF973" i="1"/>
  <c r="AG973" i="1"/>
  <c r="AD974" i="1"/>
  <c r="AE974" i="1"/>
  <c r="AF974" i="1"/>
  <c r="AG974" i="1"/>
  <c r="AD975" i="1"/>
  <c r="AE975" i="1"/>
  <c r="AF975" i="1"/>
  <c r="AG975" i="1"/>
  <c r="AD976" i="1"/>
  <c r="AE976" i="1"/>
  <c r="AF976" i="1"/>
  <c r="AG976" i="1"/>
  <c r="AD977" i="1"/>
  <c r="AE977" i="1"/>
  <c r="AF977" i="1"/>
  <c r="AG977" i="1"/>
  <c r="AD978" i="1"/>
  <c r="AE978" i="1"/>
  <c r="AF978" i="1"/>
  <c r="AG978" i="1"/>
  <c r="AD979" i="1"/>
  <c r="AE979" i="1"/>
  <c r="AF979" i="1"/>
  <c r="AG979" i="1"/>
  <c r="AD980" i="1"/>
  <c r="AE980" i="1"/>
  <c r="AF980" i="1"/>
  <c r="AG980" i="1"/>
  <c r="AD981" i="1"/>
  <c r="AE981" i="1"/>
  <c r="AF981" i="1"/>
  <c r="AG981" i="1"/>
  <c r="AD982" i="1"/>
  <c r="AE982" i="1"/>
  <c r="AF982" i="1"/>
  <c r="AG982" i="1"/>
  <c r="AD983" i="1"/>
  <c r="AE983" i="1"/>
  <c r="AF983" i="1"/>
  <c r="AG983" i="1"/>
  <c r="AD984" i="1"/>
  <c r="AE984" i="1"/>
  <c r="AF984" i="1"/>
  <c r="AG984" i="1"/>
  <c r="AD985" i="1"/>
  <c r="AE985" i="1"/>
  <c r="AF985" i="1"/>
  <c r="AG985" i="1"/>
  <c r="AD986" i="1"/>
  <c r="AE986" i="1"/>
  <c r="AF986" i="1"/>
  <c r="AG986" i="1"/>
  <c r="AD987" i="1"/>
  <c r="AE987" i="1"/>
  <c r="AF987" i="1"/>
  <c r="AG987" i="1"/>
  <c r="AD988" i="1"/>
  <c r="AE988" i="1"/>
  <c r="AF988" i="1"/>
  <c r="AG988" i="1"/>
  <c r="AD989" i="1"/>
  <c r="AE989" i="1"/>
  <c r="AF989" i="1"/>
  <c r="AG989" i="1"/>
  <c r="AD990" i="1"/>
  <c r="AE990" i="1"/>
  <c r="AF990" i="1"/>
  <c r="AG990" i="1"/>
  <c r="AD991" i="1"/>
  <c r="AE991" i="1"/>
  <c r="AF991" i="1"/>
  <c r="AG991" i="1"/>
  <c r="AD992" i="1"/>
  <c r="AE992" i="1"/>
  <c r="AF992" i="1"/>
  <c r="AG992" i="1"/>
  <c r="AD993" i="1"/>
  <c r="AE993" i="1"/>
  <c r="AF993" i="1"/>
  <c r="AG993" i="1"/>
  <c r="AD994" i="1"/>
  <c r="AE994" i="1"/>
  <c r="AF994" i="1"/>
  <c r="AG994" i="1"/>
  <c r="AD995" i="1"/>
  <c r="AE995" i="1"/>
  <c r="AF995" i="1"/>
  <c r="AG995" i="1"/>
  <c r="AD996" i="1"/>
  <c r="AE996" i="1"/>
  <c r="AF996" i="1"/>
  <c r="AG996" i="1"/>
  <c r="AD997" i="1"/>
  <c r="AE997" i="1"/>
  <c r="AF997" i="1"/>
  <c r="AG997" i="1"/>
  <c r="AD998" i="1"/>
  <c r="AE998" i="1"/>
  <c r="AF998" i="1"/>
  <c r="AG998" i="1"/>
  <c r="AD999" i="1"/>
  <c r="AE999" i="1"/>
  <c r="AF999" i="1"/>
  <c r="AG999" i="1"/>
  <c r="AD1000" i="1"/>
  <c r="AE1000" i="1"/>
  <c r="AF1000" i="1"/>
  <c r="AG1000" i="1"/>
  <c r="AD1001" i="1"/>
  <c r="AE1001" i="1"/>
  <c r="AF1001" i="1"/>
  <c r="AG1001" i="1"/>
  <c r="AD1002" i="1"/>
  <c r="AE1002" i="1"/>
  <c r="AF1002" i="1"/>
  <c r="AG1002" i="1"/>
  <c r="AD1003" i="1"/>
  <c r="AE1003" i="1"/>
  <c r="AF1003" i="1"/>
  <c r="AG1003" i="1"/>
  <c r="AD1004" i="1"/>
  <c r="AE1004" i="1"/>
  <c r="AF1004" i="1"/>
  <c r="AG1004" i="1"/>
  <c r="AD1005" i="1"/>
  <c r="AE1005" i="1"/>
  <c r="AF1005" i="1"/>
  <c r="AG1005" i="1"/>
  <c r="AD1006" i="1"/>
  <c r="AE1006" i="1"/>
  <c r="AF1006" i="1"/>
  <c r="AG1006" i="1"/>
  <c r="AD1007" i="1"/>
  <c r="AE1007" i="1"/>
  <c r="AF1007" i="1"/>
  <c r="AG1007" i="1"/>
  <c r="AD1008" i="1"/>
  <c r="AE1008" i="1"/>
  <c r="AF1008" i="1"/>
  <c r="AG1008" i="1"/>
  <c r="AD1009" i="1"/>
  <c r="AE1009" i="1"/>
  <c r="AF1009" i="1"/>
  <c r="AG1009" i="1"/>
  <c r="AD1010" i="1"/>
  <c r="AE1010" i="1"/>
  <c r="AF1010" i="1"/>
  <c r="AG1010" i="1"/>
  <c r="AD1011" i="1"/>
  <c r="AE1011" i="1"/>
  <c r="AF1011" i="1"/>
  <c r="AG1011" i="1"/>
  <c r="AD1012" i="1"/>
  <c r="AE1012" i="1"/>
  <c r="AF1012" i="1"/>
  <c r="AG1012" i="1"/>
  <c r="AD1013" i="1"/>
  <c r="AE1013" i="1"/>
  <c r="AF1013" i="1"/>
  <c r="AG1013" i="1"/>
  <c r="AD1014" i="1"/>
  <c r="AE1014" i="1"/>
  <c r="AF1014" i="1"/>
  <c r="AG1014" i="1"/>
  <c r="AD1015" i="1"/>
  <c r="AE1015" i="1"/>
  <c r="AF1015" i="1"/>
  <c r="AG1015" i="1"/>
  <c r="AD1016" i="1"/>
  <c r="AE1016" i="1"/>
  <c r="AF1016" i="1"/>
  <c r="AG1016" i="1"/>
  <c r="AD1017" i="1"/>
  <c r="AE1017" i="1"/>
  <c r="AF1017" i="1"/>
  <c r="AG1017" i="1"/>
  <c r="AD1018" i="1"/>
  <c r="AE1018" i="1"/>
  <c r="AF1018" i="1"/>
  <c r="AG1018" i="1"/>
  <c r="AD1019" i="1"/>
  <c r="AE1019" i="1"/>
  <c r="AF1019" i="1"/>
  <c r="AG1019" i="1"/>
  <c r="AD1020" i="1"/>
  <c r="AE1020" i="1"/>
  <c r="AF1020" i="1"/>
  <c r="AG1020" i="1"/>
  <c r="AD1021" i="1"/>
  <c r="AE1021" i="1"/>
  <c r="AF1021" i="1"/>
  <c r="AG1021" i="1"/>
  <c r="AD1022" i="1"/>
  <c r="AE1022" i="1"/>
  <c r="AF1022" i="1"/>
  <c r="AG1022" i="1"/>
  <c r="AD1023" i="1"/>
  <c r="AE1023" i="1"/>
  <c r="AF1023" i="1"/>
  <c r="AG1023" i="1"/>
  <c r="AD1024" i="1"/>
  <c r="AE1024" i="1"/>
  <c r="AF1024" i="1"/>
  <c r="AG1024" i="1"/>
  <c r="AD1025" i="1"/>
  <c r="AE1025" i="1"/>
  <c r="AF1025" i="1"/>
  <c r="AG1025" i="1"/>
  <c r="AD1026" i="1"/>
  <c r="AE1026" i="1"/>
  <c r="AF1026" i="1"/>
  <c r="AG1026" i="1"/>
  <c r="AD1027" i="1"/>
  <c r="AE1027" i="1"/>
  <c r="AF1027" i="1"/>
  <c r="AG1027" i="1"/>
  <c r="AD1028" i="1"/>
  <c r="AE1028" i="1"/>
  <c r="AF1028" i="1"/>
  <c r="AG1028" i="1"/>
  <c r="AD1029" i="1"/>
  <c r="AE1029" i="1"/>
  <c r="AF1029" i="1"/>
  <c r="AG1029" i="1"/>
  <c r="AD1030" i="1"/>
  <c r="AE1030" i="1"/>
  <c r="AF1030" i="1"/>
  <c r="AG1030" i="1"/>
  <c r="AD1031" i="1"/>
  <c r="AE1031" i="1"/>
  <c r="AF1031" i="1"/>
  <c r="AG1031" i="1"/>
  <c r="AD1032" i="1"/>
  <c r="AE1032" i="1"/>
  <c r="AF1032" i="1"/>
  <c r="AG1032" i="1"/>
  <c r="AD1033" i="1"/>
  <c r="AE1033" i="1"/>
  <c r="AF1033" i="1"/>
  <c r="AG1033" i="1"/>
  <c r="AD1034" i="1"/>
  <c r="AE1034" i="1"/>
  <c r="AF1034" i="1"/>
  <c r="AG1034" i="1"/>
  <c r="AD1035" i="1"/>
  <c r="AE1035" i="1"/>
  <c r="AF1035" i="1"/>
  <c r="AG1035" i="1"/>
  <c r="AD1036" i="1"/>
  <c r="AE1036" i="1"/>
  <c r="AF1036" i="1"/>
  <c r="AG1036" i="1"/>
  <c r="AD1037" i="1"/>
  <c r="AE1037" i="1"/>
  <c r="AF1037" i="1"/>
  <c r="AG1037" i="1"/>
  <c r="AD1038" i="1"/>
  <c r="AE1038" i="1"/>
  <c r="AF1038" i="1"/>
  <c r="AG1038" i="1"/>
  <c r="AD1039" i="1"/>
  <c r="AE1039" i="1"/>
  <c r="AF1039" i="1"/>
  <c r="AG1039" i="1"/>
  <c r="AD1040" i="1"/>
  <c r="AE1040" i="1"/>
  <c r="AF1040" i="1"/>
  <c r="AG1040" i="1"/>
  <c r="AD1041" i="1"/>
  <c r="AE1041" i="1"/>
  <c r="AF1041" i="1"/>
  <c r="AG1041" i="1"/>
  <c r="AD1042" i="1"/>
  <c r="AE1042" i="1"/>
  <c r="AF1042" i="1"/>
  <c r="AG1042" i="1"/>
  <c r="AD1043" i="1"/>
  <c r="AE1043" i="1"/>
  <c r="AF1043" i="1"/>
  <c r="AG1043" i="1"/>
  <c r="AD1044" i="1"/>
  <c r="AE1044" i="1"/>
  <c r="AF1044" i="1"/>
  <c r="AG1044" i="1"/>
  <c r="AD1045" i="1"/>
  <c r="AE1045" i="1"/>
  <c r="AF1045" i="1"/>
  <c r="AG1045" i="1"/>
  <c r="AD1046" i="1"/>
  <c r="AE1046" i="1"/>
  <c r="AF1046" i="1"/>
  <c r="AG1046" i="1"/>
  <c r="AD1047" i="1"/>
  <c r="AE1047" i="1"/>
  <c r="AF1047" i="1"/>
  <c r="AG1047" i="1"/>
  <c r="AD1048" i="1"/>
  <c r="AE1048" i="1"/>
  <c r="AF1048" i="1"/>
  <c r="AG1048" i="1"/>
  <c r="AD1049" i="1"/>
  <c r="AE1049" i="1"/>
  <c r="AF1049" i="1"/>
  <c r="AG1049" i="1"/>
  <c r="AD1050" i="1"/>
  <c r="AE1050" i="1"/>
  <c r="AF1050" i="1"/>
  <c r="AG1050" i="1"/>
  <c r="AD1051" i="1"/>
  <c r="AE1051" i="1"/>
  <c r="AF1051" i="1"/>
  <c r="AG1051" i="1"/>
  <c r="AD1052" i="1"/>
  <c r="AE1052" i="1"/>
  <c r="AF1052" i="1"/>
  <c r="AG1052" i="1"/>
  <c r="AD1053" i="1"/>
  <c r="AE1053" i="1"/>
  <c r="AF1053" i="1"/>
  <c r="AG1053" i="1"/>
  <c r="AD1054" i="1"/>
  <c r="AE1054" i="1"/>
  <c r="AF1054" i="1"/>
  <c r="AG1054" i="1"/>
  <c r="AD1055" i="1"/>
  <c r="AE1055" i="1"/>
  <c r="AF1055" i="1"/>
  <c r="AG1055" i="1"/>
  <c r="AD1056" i="1"/>
  <c r="AE1056" i="1"/>
  <c r="AF1056" i="1"/>
  <c r="AG1056" i="1"/>
  <c r="AD1057" i="1"/>
  <c r="AE1057" i="1"/>
  <c r="AF1057" i="1"/>
  <c r="AG1057" i="1"/>
  <c r="AD1058" i="1"/>
  <c r="AE1058" i="1"/>
  <c r="AF1058" i="1"/>
  <c r="AG1058" i="1"/>
  <c r="AD1059" i="1"/>
  <c r="AE1059" i="1"/>
  <c r="AF1059" i="1"/>
  <c r="AG1059" i="1"/>
  <c r="AD1060" i="1"/>
  <c r="AE1060" i="1"/>
  <c r="AF1060" i="1"/>
  <c r="AG1060" i="1"/>
  <c r="AD1061" i="1"/>
  <c r="AE1061" i="1"/>
  <c r="AF1061" i="1"/>
  <c r="AG1061" i="1"/>
  <c r="AD1062" i="1"/>
  <c r="AE1062" i="1"/>
  <c r="AF1062" i="1"/>
  <c r="AG1062" i="1"/>
  <c r="AD1063" i="1"/>
  <c r="AE1063" i="1"/>
  <c r="AF1063" i="1"/>
  <c r="AG1063" i="1"/>
  <c r="AD1064" i="1"/>
  <c r="AE1064" i="1"/>
  <c r="AF1064" i="1"/>
  <c r="AG1064" i="1"/>
  <c r="AD1065" i="1"/>
  <c r="AE1065" i="1"/>
  <c r="AF1065" i="1"/>
  <c r="AG1065" i="1"/>
  <c r="AD1066" i="1"/>
  <c r="AE1066" i="1"/>
  <c r="AF1066" i="1"/>
  <c r="AG1066" i="1"/>
  <c r="AD1067" i="1"/>
  <c r="AE1067" i="1"/>
  <c r="AF1067" i="1"/>
  <c r="AG1067" i="1"/>
  <c r="AD1068" i="1"/>
  <c r="AE1068" i="1"/>
  <c r="AF1068" i="1"/>
  <c r="AG1068" i="1"/>
  <c r="AD1069" i="1"/>
  <c r="AE1069" i="1"/>
  <c r="AF1069" i="1"/>
  <c r="AG1069" i="1"/>
  <c r="AD1070" i="1"/>
  <c r="AE1070" i="1"/>
  <c r="AF1070" i="1"/>
  <c r="AG1070" i="1"/>
  <c r="AD1071" i="1"/>
  <c r="AE1071" i="1"/>
  <c r="AF1071" i="1"/>
  <c r="AG1071" i="1"/>
  <c r="AD1072" i="1"/>
  <c r="AE1072" i="1"/>
  <c r="AF1072" i="1"/>
  <c r="AG1072" i="1"/>
  <c r="AD1073" i="1"/>
  <c r="AE1073" i="1"/>
  <c r="AF1073" i="1"/>
  <c r="AG1073" i="1"/>
  <c r="AD1074" i="1"/>
  <c r="AE1074" i="1"/>
  <c r="AF1074" i="1"/>
  <c r="AG1074" i="1"/>
  <c r="AD1075" i="1"/>
  <c r="AE1075" i="1"/>
  <c r="AF1075" i="1"/>
  <c r="AG1075" i="1"/>
  <c r="AD1076" i="1"/>
  <c r="AE1076" i="1"/>
  <c r="AF1076" i="1"/>
  <c r="AG1076" i="1"/>
  <c r="AD1077" i="1"/>
  <c r="AE1077" i="1"/>
  <c r="AF1077" i="1"/>
  <c r="AG1077" i="1"/>
  <c r="AD1078" i="1"/>
  <c r="AE1078" i="1"/>
  <c r="AF1078" i="1"/>
  <c r="AG1078" i="1"/>
  <c r="AD1079" i="1"/>
  <c r="AE1079" i="1"/>
  <c r="AF1079" i="1"/>
  <c r="AG1079" i="1"/>
  <c r="AD1080" i="1"/>
  <c r="AE1080" i="1"/>
  <c r="AF1080" i="1"/>
  <c r="AG1080" i="1"/>
  <c r="AD1081" i="1"/>
  <c r="AE1081" i="1"/>
  <c r="AF1081" i="1"/>
  <c r="AG1081" i="1"/>
  <c r="AD1082" i="1"/>
  <c r="AE1082" i="1"/>
  <c r="AF1082" i="1"/>
  <c r="AG1082" i="1"/>
  <c r="AD1083" i="1"/>
  <c r="AE1083" i="1"/>
  <c r="AF1083" i="1"/>
  <c r="AG1083" i="1"/>
  <c r="AD1084" i="1"/>
  <c r="AE1084" i="1"/>
  <c r="AF1084" i="1"/>
  <c r="AG1084" i="1"/>
  <c r="AD1085" i="1"/>
  <c r="AE1085" i="1"/>
  <c r="AF1085" i="1"/>
  <c r="AG1085" i="1"/>
  <c r="AD1086" i="1"/>
  <c r="AE1086" i="1"/>
  <c r="AF1086" i="1"/>
  <c r="AG1086" i="1"/>
  <c r="AD1087" i="1"/>
  <c r="AE1087" i="1"/>
  <c r="AF1087" i="1"/>
  <c r="AG1087" i="1"/>
  <c r="AD1088" i="1"/>
  <c r="AE1088" i="1"/>
  <c r="AF1088" i="1"/>
  <c r="AG1088" i="1"/>
  <c r="AD1089" i="1"/>
  <c r="AE1089" i="1"/>
  <c r="AF1089" i="1"/>
  <c r="AG1089" i="1"/>
  <c r="AD1090" i="1"/>
  <c r="AE1090" i="1"/>
  <c r="AF1090" i="1"/>
  <c r="AG1090" i="1"/>
  <c r="AD1091" i="1"/>
  <c r="AE1091" i="1"/>
  <c r="AF1091" i="1"/>
  <c r="AG1091" i="1"/>
  <c r="AD1092" i="1"/>
  <c r="AE1092" i="1"/>
  <c r="AF1092" i="1"/>
  <c r="AG1092" i="1"/>
  <c r="AD1093" i="1"/>
  <c r="AE1093" i="1"/>
  <c r="AF1093" i="1"/>
  <c r="AG1093" i="1"/>
  <c r="AD1094" i="1"/>
  <c r="AE1094" i="1"/>
  <c r="AF1094" i="1"/>
  <c r="AG1094" i="1"/>
  <c r="AD1095" i="1"/>
  <c r="AE1095" i="1"/>
  <c r="AF1095" i="1"/>
  <c r="AG1095" i="1"/>
  <c r="AD1096" i="1"/>
  <c r="AE1096" i="1"/>
  <c r="AF1096" i="1"/>
  <c r="AG1096" i="1"/>
  <c r="AD1097" i="1"/>
  <c r="AE1097" i="1"/>
  <c r="AF1097" i="1"/>
  <c r="AG1097" i="1"/>
  <c r="AD1098" i="1"/>
  <c r="AE1098" i="1"/>
  <c r="AF1098" i="1"/>
  <c r="AG1098" i="1"/>
  <c r="AD1099" i="1"/>
  <c r="AE1099" i="1"/>
  <c r="AF1099" i="1"/>
  <c r="AG1099" i="1"/>
  <c r="AD1100" i="1"/>
  <c r="AE1100" i="1"/>
  <c r="AF1100" i="1"/>
  <c r="AG1100" i="1"/>
  <c r="AD1101" i="1"/>
  <c r="AE1101" i="1"/>
  <c r="AF1101" i="1"/>
  <c r="AG1101" i="1"/>
  <c r="AD1102" i="1"/>
  <c r="AE1102" i="1"/>
  <c r="AF1102" i="1"/>
  <c r="AG1102" i="1"/>
  <c r="AD1103" i="1"/>
  <c r="AE1103" i="1"/>
  <c r="AF1103" i="1"/>
  <c r="AG1103" i="1"/>
  <c r="AD1104" i="1"/>
  <c r="AE1104" i="1"/>
  <c r="AF1104" i="1"/>
  <c r="AG1104" i="1"/>
  <c r="AD1105" i="1"/>
  <c r="AE1105" i="1"/>
  <c r="AF1105" i="1"/>
  <c r="AG1105" i="1"/>
  <c r="AD1106" i="1"/>
  <c r="AE1106" i="1"/>
  <c r="AF1106" i="1"/>
  <c r="AG1106" i="1"/>
  <c r="AD1107" i="1"/>
  <c r="AE1107" i="1"/>
  <c r="AF1107" i="1"/>
  <c r="AG1107" i="1"/>
  <c r="AD1108" i="1"/>
  <c r="AE1108" i="1"/>
  <c r="AF1108" i="1"/>
  <c r="AG1108" i="1"/>
  <c r="AD1109" i="1"/>
  <c r="AE1109" i="1"/>
  <c r="AF1109" i="1"/>
  <c r="AG1109" i="1"/>
  <c r="AD1110" i="1"/>
  <c r="AE1110" i="1"/>
  <c r="AF1110" i="1"/>
  <c r="AG1110" i="1"/>
  <c r="AD1111" i="1"/>
  <c r="AE1111" i="1"/>
  <c r="AF1111" i="1"/>
  <c r="AG1111" i="1"/>
  <c r="AD1112" i="1"/>
  <c r="AE1112" i="1"/>
  <c r="AF1112" i="1"/>
  <c r="AG1112" i="1"/>
  <c r="AD1113" i="1"/>
  <c r="AE1113" i="1"/>
  <c r="AF1113" i="1"/>
  <c r="AG1113" i="1"/>
  <c r="AD1114" i="1"/>
  <c r="AE1114" i="1"/>
  <c r="AF1114" i="1"/>
  <c r="AG1114" i="1"/>
  <c r="AD1115" i="1"/>
  <c r="AE1115" i="1"/>
  <c r="AF1115" i="1"/>
  <c r="AG1115" i="1"/>
  <c r="AD1116" i="1"/>
  <c r="AE1116" i="1"/>
  <c r="AF1116" i="1"/>
  <c r="AG1116" i="1"/>
  <c r="AD1117" i="1"/>
  <c r="AE1117" i="1"/>
  <c r="AF1117" i="1"/>
  <c r="AG1117" i="1"/>
  <c r="AD1118" i="1"/>
  <c r="AE1118" i="1"/>
  <c r="AF1118" i="1"/>
  <c r="AG1118" i="1"/>
  <c r="AD1119" i="1"/>
  <c r="AE1119" i="1"/>
  <c r="AF1119" i="1"/>
  <c r="AG1119" i="1"/>
  <c r="AD1120" i="1"/>
  <c r="AE1120" i="1"/>
  <c r="AF1120" i="1"/>
  <c r="AG1120" i="1"/>
  <c r="AD1121" i="1"/>
  <c r="AE1121" i="1"/>
  <c r="AF1121" i="1"/>
  <c r="AG1121" i="1"/>
  <c r="AD1122" i="1"/>
  <c r="AE1122" i="1"/>
  <c r="AF1122" i="1"/>
  <c r="AG1122" i="1"/>
  <c r="AD1123" i="1"/>
  <c r="AE1123" i="1"/>
  <c r="AF1123" i="1"/>
  <c r="AG1123" i="1"/>
  <c r="AD1124" i="1"/>
  <c r="AE1124" i="1"/>
  <c r="AF1124" i="1"/>
  <c r="AG1124" i="1"/>
  <c r="AD1125" i="1"/>
  <c r="AE1125" i="1"/>
  <c r="AF1125" i="1"/>
  <c r="AG1125" i="1"/>
  <c r="AD1126" i="1"/>
  <c r="AE1126" i="1"/>
  <c r="AF1126" i="1"/>
  <c r="AG1126" i="1"/>
  <c r="AD1127" i="1"/>
  <c r="AE1127" i="1"/>
  <c r="AF1127" i="1"/>
  <c r="AG1127" i="1"/>
  <c r="AD1128" i="1"/>
  <c r="AE1128" i="1"/>
  <c r="AF1128" i="1"/>
  <c r="AG1128" i="1"/>
  <c r="AD1129" i="1"/>
  <c r="AE1129" i="1"/>
  <c r="AF1129" i="1"/>
  <c r="AG1129" i="1"/>
  <c r="AD1130" i="1"/>
  <c r="AE1130" i="1"/>
  <c r="AF1130" i="1"/>
  <c r="AG1130" i="1"/>
  <c r="AD1131" i="1"/>
  <c r="AE1131" i="1"/>
  <c r="AF1131" i="1"/>
  <c r="AG1131" i="1"/>
  <c r="AD1132" i="1"/>
  <c r="AE1132" i="1"/>
  <c r="AF1132" i="1"/>
  <c r="AG1132" i="1"/>
  <c r="AD1133" i="1"/>
  <c r="AE1133" i="1"/>
  <c r="AF1133" i="1"/>
  <c r="AG1133" i="1"/>
  <c r="AD1134" i="1"/>
  <c r="AE1134" i="1"/>
  <c r="AF1134" i="1"/>
  <c r="AG1134" i="1"/>
  <c r="AD1135" i="1"/>
  <c r="AE1135" i="1"/>
  <c r="AF1135" i="1"/>
  <c r="AG1135" i="1"/>
  <c r="AD1136" i="1"/>
  <c r="AE1136" i="1"/>
  <c r="AF1136" i="1"/>
  <c r="AG1136" i="1"/>
  <c r="AD1137" i="1"/>
  <c r="AE1137" i="1"/>
  <c r="AF1137" i="1"/>
  <c r="AG1137" i="1"/>
  <c r="AD1138" i="1"/>
  <c r="AE1138" i="1"/>
  <c r="AF1138" i="1"/>
  <c r="AG1138" i="1"/>
  <c r="AD1139" i="1"/>
  <c r="AE1139" i="1"/>
  <c r="AF1139" i="1"/>
  <c r="AG1139" i="1"/>
  <c r="AD1140" i="1"/>
  <c r="AE1140" i="1"/>
  <c r="AF1140" i="1"/>
  <c r="AG1140" i="1"/>
  <c r="AD1141" i="1"/>
  <c r="AE1141" i="1"/>
  <c r="AF1141" i="1"/>
  <c r="AG1141" i="1"/>
  <c r="AD1142" i="1"/>
  <c r="AE1142" i="1"/>
  <c r="AF1142" i="1"/>
  <c r="AG1142" i="1"/>
  <c r="AD1143" i="1"/>
  <c r="AE1143" i="1"/>
  <c r="AF1143" i="1"/>
  <c r="AG1143" i="1"/>
  <c r="AD1144" i="1"/>
  <c r="AE1144" i="1"/>
  <c r="AF1144" i="1"/>
  <c r="AG1144" i="1"/>
  <c r="AD1145" i="1"/>
  <c r="AE1145" i="1"/>
  <c r="AF1145" i="1"/>
  <c r="AG1145" i="1"/>
  <c r="AD1146" i="1"/>
  <c r="AE1146" i="1"/>
  <c r="AF1146" i="1"/>
  <c r="AG1146" i="1"/>
  <c r="AD1147" i="1"/>
  <c r="AE1147" i="1"/>
  <c r="AF1147" i="1"/>
  <c r="AG1147" i="1"/>
  <c r="AD1148" i="1"/>
  <c r="AE1148" i="1"/>
  <c r="AF1148" i="1"/>
  <c r="AG1148" i="1"/>
  <c r="AD1149" i="1"/>
  <c r="AE1149" i="1"/>
  <c r="AF1149" i="1"/>
  <c r="AG1149" i="1"/>
  <c r="AD1150" i="1"/>
  <c r="AE1150" i="1"/>
  <c r="AF1150" i="1"/>
  <c r="AG1150" i="1"/>
  <c r="AD1151" i="1"/>
  <c r="AE1151" i="1"/>
  <c r="AF1151" i="1"/>
  <c r="AG1151" i="1"/>
  <c r="AD1152" i="1"/>
  <c r="AE1152" i="1"/>
  <c r="AF1152" i="1"/>
  <c r="AG1152" i="1"/>
  <c r="AD1153" i="1"/>
  <c r="AE1153" i="1"/>
  <c r="AF1153" i="1"/>
  <c r="AG1153" i="1"/>
  <c r="AD1154" i="1"/>
  <c r="AE1154" i="1"/>
  <c r="AF1154" i="1"/>
  <c r="AG1154" i="1"/>
  <c r="AD1155" i="1"/>
  <c r="AE1155" i="1"/>
  <c r="AF1155" i="1"/>
  <c r="AG1155" i="1"/>
  <c r="AD1156" i="1"/>
  <c r="AE1156" i="1"/>
  <c r="AF1156" i="1"/>
  <c r="AG1156" i="1"/>
  <c r="AD1157" i="1"/>
  <c r="AE1157" i="1"/>
  <c r="AF1157" i="1"/>
  <c r="AG1157" i="1"/>
  <c r="AD1158" i="1"/>
  <c r="AE1158" i="1"/>
  <c r="AF1158" i="1"/>
  <c r="AG1158" i="1"/>
  <c r="AD1159" i="1"/>
  <c r="AE1159" i="1"/>
  <c r="AF1159" i="1"/>
  <c r="AG1159" i="1"/>
  <c r="AD1160" i="1"/>
  <c r="AE1160" i="1"/>
  <c r="AF1160" i="1"/>
  <c r="AG1160" i="1"/>
  <c r="AD1161" i="1"/>
  <c r="AE1161" i="1"/>
  <c r="AF1161" i="1"/>
  <c r="AG1161" i="1"/>
  <c r="AD1162" i="1"/>
  <c r="AE1162" i="1"/>
  <c r="AF1162" i="1"/>
  <c r="AG1162" i="1"/>
  <c r="AD1163" i="1"/>
  <c r="AE1163" i="1"/>
  <c r="AF1163" i="1"/>
  <c r="AG1163" i="1"/>
  <c r="AD1164" i="1"/>
  <c r="AE1164" i="1"/>
  <c r="AF1164" i="1"/>
  <c r="AG1164" i="1"/>
  <c r="AD1165" i="1"/>
  <c r="AE1165" i="1"/>
  <c r="AF1165" i="1"/>
  <c r="AG1165" i="1"/>
  <c r="AD1166" i="1"/>
  <c r="AE1166" i="1"/>
  <c r="AF1166" i="1"/>
  <c r="AG1166" i="1"/>
  <c r="AD1167" i="1"/>
  <c r="AE1167" i="1"/>
  <c r="AF1167" i="1"/>
  <c r="AG1167" i="1"/>
  <c r="AD1168" i="1"/>
  <c r="AE1168" i="1"/>
  <c r="AF1168" i="1"/>
  <c r="AG1168" i="1"/>
  <c r="AD1169" i="1"/>
  <c r="AE1169" i="1"/>
  <c r="AF1169" i="1"/>
  <c r="AG1169" i="1"/>
  <c r="AD1170" i="1"/>
  <c r="AE1170" i="1"/>
  <c r="AF1170" i="1"/>
  <c r="AG1170" i="1"/>
  <c r="AD1171" i="1"/>
  <c r="AE1171" i="1"/>
  <c r="AF1171" i="1"/>
  <c r="AG1171" i="1"/>
  <c r="AD1172" i="1"/>
  <c r="AE1172" i="1"/>
  <c r="AF1172" i="1"/>
  <c r="AG1172" i="1"/>
  <c r="AD1173" i="1"/>
  <c r="AE1173" i="1"/>
  <c r="AF1173" i="1"/>
  <c r="AG1173" i="1"/>
  <c r="AD1174" i="1"/>
  <c r="AE1174" i="1"/>
  <c r="AF1174" i="1"/>
  <c r="AG1174" i="1"/>
  <c r="AD1175" i="1"/>
  <c r="AE1175" i="1"/>
  <c r="AF1175" i="1"/>
  <c r="AG1175" i="1"/>
  <c r="AD1176" i="1"/>
  <c r="AE1176" i="1"/>
  <c r="AF1176" i="1"/>
  <c r="AG1176" i="1"/>
  <c r="AD1177" i="1"/>
  <c r="AE1177" i="1"/>
  <c r="AF1177" i="1"/>
  <c r="AG1177" i="1"/>
  <c r="AD1178" i="1"/>
  <c r="AE1178" i="1"/>
  <c r="AF1178" i="1"/>
  <c r="AG1178" i="1"/>
  <c r="AD1179" i="1"/>
  <c r="AE1179" i="1"/>
  <c r="AF1179" i="1"/>
  <c r="AG1179" i="1"/>
  <c r="AD1180" i="1"/>
  <c r="AE1180" i="1"/>
  <c r="AF1180" i="1"/>
  <c r="AG1180" i="1"/>
  <c r="AD1181" i="1"/>
  <c r="AE1181" i="1"/>
  <c r="AF1181" i="1"/>
  <c r="AG1181" i="1"/>
  <c r="AD1182" i="1"/>
  <c r="AE1182" i="1"/>
  <c r="AF1182" i="1"/>
  <c r="AG1182" i="1"/>
  <c r="AD1183" i="1"/>
  <c r="AE1183" i="1"/>
  <c r="AF1183" i="1"/>
  <c r="AG1183" i="1"/>
  <c r="AD1184" i="1"/>
  <c r="AE1184" i="1"/>
  <c r="AF1184" i="1"/>
  <c r="AG1184" i="1"/>
  <c r="AD1185" i="1"/>
  <c r="AE1185" i="1"/>
  <c r="AF1185" i="1"/>
  <c r="AG1185" i="1"/>
  <c r="AD1186" i="1"/>
  <c r="AE1186" i="1"/>
  <c r="AF1186" i="1"/>
  <c r="AG1186" i="1"/>
  <c r="AD1187" i="1"/>
  <c r="AE1187" i="1"/>
  <c r="AF1187" i="1"/>
  <c r="AG1187" i="1"/>
  <c r="AD1188" i="1"/>
  <c r="AE1188" i="1"/>
  <c r="AF1188" i="1"/>
  <c r="AG1188" i="1"/>
  <c r="AD1189" i="1"/>
  <c r="AE1189" i="1"/>
  <c r="AF1189" i="1"/>
  <c r="AG1189" i="1"/>
  <c r="AD1190" i="1"/>
  <c r="AE1190" i="1"/>
  <c r="AF1190" i="1"/>
  <c r="AG1190" i="1"/>
  <c r="AD1191" i="1"/>
  <c r="AE1191" i="1"/>
  <c r="AF1191" i="1"/>
  <c r="AG1191" i="1"/>
  <c r="AD1192" i="1"/>
  <c r="AE1192" i="1"/>
  <c r="AF1192" i="1"/>
  <c r="AG1192" i="1"/>
  <c r="AD1193" i="1"/>
  <c r="AE1193" i="1"/>
  <c r="AF1193" i="1"/>
  <c r="AG1193" i="1"/>
  <c r="AD1194" i="1"/>
  <c r="AE1194" i="1"/>
  <c r="AF1194" i="1"/>
  <c r="AG1194" i="1"/>
  <c r="AD1195" i="1"/>
  <c r="AE1195" i="1"/>
  <c r="AF1195" i="1"/>
  <c r="AG1195" i="1"/>
  <c r="AD1196" i="1"/>
  <c r="AE1196" i="1"/>
  <c r="AF1196" i="1"/>
  <c r="AG1196" i="1"/>
  <c r="AD1197" i="1"/>
  <c r="AE1197" i="1"/>
  <c r="AF1197" i="1"/>
  <c r="AG1197" i="1"/>
  <c r="AD1198" i="1"/>
  <c r="AE1198" i="1"/>
  <c r="AF1198" i="1"/>
  <c r="AG1198" i="1"/>
  <c r="AD1199" i="1"/>
  <c r="AE1199" i="1"/>
  <c r="AF1199" i="1"/>
  <c r="AG1199" i="1"/>
  <c r="AD1200" i="1"/>
  <c r="AE1200" i="1"/>
  <c r="AF1200" i="1"/>
  <c r="AG1200" i="1"/>
  <c r="AD1201" i="1"/>
  <c r="AE1201" i="1"/>
  <c r="AF1201" i="1"/>
  <c r="AG1201" i="1"/>
  <c r="AD1202" i="1"/>
  <c r="AE1202" i="1"/>
  <c r="AF1202" i="1"/>
  <c r="AG1202" i="1"/>
  <c r="AD1203" i="1"/>
  <c r="AE1203" i="1"/>
  <c r="AF1203" i="1"/>
  <c r="AG1203" i="1"/>
  <c r="AD1204" i="1"/>
  <c r="AE1204" i="1"/>
  <c r="AF1204" i="1"/>
  <c r="AG1204" i="1"/>
  <c r="AD1205" i="1"/>
  <c r="AE1205" i="1"/>
  <c r="AF1205" i="1"/>
  <c r="AG1205" i="1"/>
  <c r="AD1206" i="1"/>
  <c r="AE1206" i="1"/>
  <c r="AF1206" i="1"/>
  <c r="AG1206" i="1"/>
  <c r="AD1207" i="1"/>
  <c r="AE1207" i="1"/>
  <c r="AF1207" i="1"/>
  <c r="AG1207" i="1"/>
  <c r="AD1208" i="1"/>
  <c r="AE1208" i="1"/>
  <c r="AF1208" i="1"/>
  <c r="AG1208" i="1"/>
  <c r="AD1209" i="1"/>
  <c r="AE1209" i="1"/>
  <c r="AF1209" i="1"/>
  <c r="AG1209" i="1"/>
  <c r="AD1210" i="1"/>
  <c r="AE1210" i="1"/>
  <c r="AF1210" i="1"/>
  <c r="AG1210" i="1"/>
  <c r="AD1211" i="1"/>
  <c r="AE1211" i="1"/>
  <c r="AF1211" i="1"/>
  <c r="AG1211" i="1"/>
  <c r="AD1212" i="1"/>
  <c r="AE1212" i="1"/>
  <c r="AF1212" i="1"/>
  <c r="AG1212" i="1"/>
  <c r="AD1213" i="1"/>
  <c r="AE1213" i="1"/>
  <c r="AF1213" i="1"/>
  <c r="AG1213" i="1"/>
  <c r="AD1214" i="1"/>
  <c r="AE1214" i="1"/>
  <c r="AF1214" i="1"/>
  <c r="AG1214" i="1"/>
  <c r="AD1215" i="1"/>
  <c r="AE1215" i="1"/>
  <c r="AF1215" i="1"/>
  <c r="AG1215" i="1"/>
  <c r="AD1216" i="1"/>
  <c r="AE1216" i="1"/>
  <c r="AF1216" i="1"/>
  <c r="AG1216" i="1"/>
  <c r="AD1217" i="1"/>
  <c r="AE1217" i="1"/>
  <c r="AF1217" i="1"/>
  <c r="AG1217" i="1"/>
  <c r="AD1218" i="1"/>
  <c r="AE1218" i="1"/>
  <c r="AF1218" i="1"/>
  <c r="AG1218" i="1"/>
  <c r="AD1219" i="1"/>
  <c r="AE1219" i="1"/>
  <c r="AF1219" i="1"/>
  <c r="AG1219" i="1"/>
  <c r="AD1220" i="1"/>
  <c r="AE1220" i="1"/>
  <c r="AF1220" i="1"/>
  <c r="AG1220" i="1"/>
  <c r="AD1221" i="1"/>
  <c r="AE1221" i="1"/>
  <c r="AF1221" i="1"/>
  <c r="AG1221" i="1"/>
  <c r="AD1222" i="1"/>
  <c r="AE1222" i="1"/>
  <c r="AF1222" i="1"/>
  <c r="AG1222" i="1"/>
  <c r="AD1223" i="1"/>
  <c r="AE1223" i="1"/>
  <c r="AF1223" i="1"/>
  <c r="AG1223" i="1"/>
  <c r="AD1224" i="1"/>
  <c r="AE1224" i="1"/>
  <c r="AF1224" i="1"/>
  <c r="AG1224" i="1"/>
  <c r="AD1225" i="1"/>
  <c r="AE1225" i="1"/>
  <c r="AF1225" i="1"/>
  <c r="AG1225" i="1"/>
  <c r="AD1226" i="1"/>
  <c r="AE1226" i="1"/>
  <c r="AF1226" i="1"/>
  <c r="AG1226" i="1"/>
  <c r="I184" i="3"/>
  <c r="H184" i="3"/>
  <c r="I183" i="3"/>
  <c r="H183" i="3"/>
  <c r="I182" i="3"/>
  <c r="H182" i="3"/>
  <c r="I181" i="3"/>
  <c r="H181" i="3"/>
  <c r="I180" i="3"/>
  <c r="H180" i="3"/>
  <c r="I179" i="3"/>
  <c r="H179" i="3"/>
  <c r="I178" i="3"/>
  <c r="H178" i="3"/>
  <c r="I177" i="3"/>
  <c r="H177" i="3"/>
  <c r="I176" i="3"/>
  <c r="H176" i="3"/>
  <c r="I175" i="3"/>
  <c r="H175" i="3"/>
  <c r="I174" i="3"/>
  <c r="H174" i="3"/>
  <c r="I173" i="3"/>
  <c r="H173" i="3"/>
  <c r="I172" i="3"/>
  <c r="H172" i="3"/>
  <c r="I171" i="3"/>
  <c r="H171" i="3"/>
  <c r="I170" i="3"/>
  <c r="H170" i="3"/>
  <c r="I169" i="3"/>
  <c r="H169" i="3"/>
  <c r="I168" i="3"/>
  <c r="H168" i="3"/>
  <c r="I167" i="3"/>
  <c r="H167" i="3"/>
  <c r="I166" i="3"/>
  <c r="H166" i="3"/>
  <c r="I165" i="3"/>
  <c r="H165" i="3"/>
  <c r="I164" i="3"/>
  <c r="H164" i="3"/>
  <c r="I163" i="3"/>
  <c r="H163" i="3"/>
  <c r="I162" i="3"/>
  <c r="H162" i="3"/>
  <c r="I161" i="3"/>
  <c r="H161" i="3"/>
  <c r="I160" i="3"/>
  <c r="H160" i="3"/>
  <c r="I159" i="3"/>
  <c r="H159" i="3"/>
  <c r="I158" i="3"/>
  <c r="H158" i="3"/>
  <c r="I157" i="3"/>
  <c r="H157" i="3"/>
  <c r="I156" i="3"/>
  <c r="H156" i="3"/>
  <c r="I155" i="3"/>
  <c r="H155" i="3"/>
  <c r="I154" i="3"/>
  <c r="H154" i="3"/>
  <c r="I153" i="3"/>
  <c r="H153" i="3"/>
  <c r="I152" i="3"/>
  <c r="H152" i="3"/>
  <c r="I151" i="3"/>
  <c r="H151" i="3"/>
  <c r="I150" i="3"/>
  <c r="H150" i="3"/>
  <c r="I149" i="3"/>
  <c r="H149" i="3"/>
  <c r="I148" i="3"/>
  <c r="H148" i="3"/>
  <c r="I147" i="3"/>
  <c r="H147" i="3"/>
  <c r="I146" i="3"/>
  <c r="H146" i="3"/>
  <c r="I145" i="3"/>
  <c r="H145" i="3"/>
  <c r="I144" i="3"/>
  <c r="H144" i="3"/>
  <c r="I143" i="3"/>
  <c r="H143" i="3"/>
  <c r="I142" i="3"/>
  <c r="H142" i="3"/>
  <c r="I141" i="3"/>
  <c r="H141" i="3"/>
  <c r="I140" i="3"/>
  <c r="H140" i="3"/>
  <c r="I139" i="3"/>
  <c r="H139" i="3"/>
  <c r="I138" i="3"/>
  <c r="H138" i="3"/>
  <c r="I137" i="3"/>
  <c r="H137" i="3"/>
  <c r="I136" i="3"/>
  <c r="H136" i="3"/>
  <c r="I135" i="3"/>
  <c r="H135" i="3"/>
  <c r="I134" i="3"/>
  <c r="H134" i="3"/>
  <c r="I133" i="3"/>
  <c r="H133" i="3"/>
  <c r="I132" i="3"/>
  <c r="H132" i="3"/>
  <c r="I131" i="3"/>
  <c r="H131" i="3"/>
  <c r="I130" i="3"/>
  <c r="H130" i="3"/>
  <c r="I129" i="3"/>
  <c r="H129" i="3"/>
  <c r="I128" i="3"/>
  <c r="H128" i="3"/>
  <c r="I127" i="3"/>
  <c r="H127" i="3"/>
  <c r="I126" i="3"/>
  <c r="H126" i="3"/>
  <c r="I125" i="3"/>
  <c r="H125" i="3"/>
  <c r="I124" i="3"/>
  <c r="H124" i="3"/>
  <c r="I123" i="3"/>
  <c r="H123" i="3"/>
  <c r="I122" i="3"/>
  <c r="H122" i="3"/>
  <c r="I121" i="3"/>
  <c r="H121" i="3"/>
  <c r="I120" i="3"/>
  <c r="H120" i="3"/>
  <c r="I119" i="3"/>
  <c r="H119" i="3"/>
  <c r="I118" i="3"/>
  <c r="H118" i="3"/>
  <c r="I117" i="3"/>
  <c r="H117" i="3"/>
  <c r="I116" i="3"/>
  <c r="H116" i="3"/>
  <c r="I115" i="3"/>
  <c r="H115" i="3"/>
  <c r="I114" i="3"/>
  <c r="H114" i="3"/>
  <c r="I113" i="3"/>
  <c r="H113" i="3"/>
  <c r="I112" i="3"/>
  <c r="H112" i="3"/>
  <c r="I111" i="3"/>
  <c r="H111" i="3"/>
  <c r="I110" i="3"/>
  <c r="H110" i="3"/>
  <c r="I109" i="3"/>
  <c r="H109" i="3"/>
  <c r="I108" i="3"/>
  <c r="H108" i="3"/>
  <c r="I107" i="3"/>
  <c r="H107" i="3"/>
  <c r="I106" i="3"/>
  <c r="H106" i="3"/>
  <c r="I105" i="3"/>
  <c r="H105" i="3"/>
  <c r="I104" i="3"/>
  <c r="H104" i="3"/>
  <c r="I103" i="3"/>
  <c r="H103" i="3"/>
  <c r="I102" i="3"/>
  <c r="H102" i="3"/>
  <c r="I101" i="3"/>
  <c r="H101" i="3"/>
  <c r="I100" i="3"/>
  <c r="H100" i="3"/>
  <c r="I99" i="3"/>
  <c r="H99" i="3"/>
  <c r="I98" i="3"/>
  <c r="H98" i="3"/>
  <c r="I97" i="3"/>
  <c r="H97" i="3"/>
  <c r="I96" i="3"/>
  <c r="H96" i="3"/>
  <c r="I95" i="3"/>
  <c r="H95" i="3"/>
  <c r="I94" i="3"/>
  <c r="H94" i="3"/>
  <c r="I93" i="3"/>
  <c r="H93" i="3"/>
  <c r="I92" i="3"/>
  <c r="H92" i="3"/>
  <c r="I91" i="3"/>
  <c r="H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I83" i="3"/>
  <c r="H83" i="3"/>
  <c r="I82" i="3"/>
  <c r="H82" i="3"/>
  <c r="I81" i="3"/>
  <c r="H81" i="3"/>
  <c r="I80" i="3"/>
  <c r="H80" i="3"/>
  <c r="I79" i="3"/>
  <c r="H79" i="3"/>
  <c r="I78" i="3"/>
  <c r="H78" i="3"/>
  <c r="I77" i="3"/>
  <c r="H77" i="3"/>
  <c r="I76" i="3"/>
  <c r="H76" i="3"/>
  <c r="I75" i="3"/>
  <c r="H75" i="3"/>
  <c r="I74" i="3"/>
  <c r="H74" i="3"/>
  <c r="I73" i="3"/>
  <c r="H73" i="3"/>
  <c r="I72" i="3"/>
  <c r="H72" i="3"/>
  <c r="I71" i="3"/>
  <c r="H71" i="3"/>
  <c r="I70" i="3"/>
  <c r="H70" i="3"/>
  <c r="I69" i="3"/>
  <c r="H69" i="3"/>
  <c r="I68" i="3"/>
  <c r="H68" i="3"/>
  <c r="I67" i="3"/>
  <c r="H67" i="3"/>
  <c r="I66" i="3"/>
  <c r="H66" i="3"/>
  <c r="I65" i="3"/>
  <c r="H65" i="3"/>
  <c r="I64" i="3"/>
  <c r="H64" i="3"/>
  <c r="I63" i="3"/>
  <c r="H63" i="3"/>
  <c r="I62" i="3"/>
  <c r="H62" i="3"/>
  <c r="I61" i="3"/>
  <c r="H61" i="3"/>
  <c r="I60" i="3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I46" i="3"/>
  <c r="H46" i="3"/>
  <c r="I45" i="3"/>
  <c r="H45" i="3"/>
  <c r="I44" i="3"/>
  <c r="H44" i="3"/>
  <c r="I43" i="3"/>
  <c r="H43" i="3"/>
  <c r="I42" i="3"/>
  <c r="H42" i="3"/>
  <c r="I41" i="3"/>
  <c r="H41" i="3"/>
  <c r="I40" i="3"/>
  <c r="H40" i="3"/>
  <c r="I39" i="3"/>
  <c r="H39" i="3"/>
  <c r="I38" i="3"/>
  <c r="H38" i="3"/>
  <c r="I37" i="3"/>
  <c r="H37" i="3"/>
  <c r="I36" i="3"/>
  <c r="H36" i="3"/>
  <c r="I35" i="3"/>
  <c r="H35" i="3"/>
  <c r="I34" i="3"/>
  <c r="H34" i="3"/>
  <c r="I33" i="3"/>
  <c r="H33" i="3"/>
  <c r="I32" i="3"/>
  <c r="H32" i="3"/>
  <c r="I31" i="3"/>
  <c r="H31" i="3"/>
  <c r="I30" i="3"/>
  <c r="H30" i="3"/>
  <c r="I29" i="3"/>
  <c r="H29" i="3"/>
  <c r="I28" i="3"/>
  <c r="H28" i="3"/>
  <c r="I27" i="3"/>
  <c r="H27" i="3"/>
  <c r="I26" i="3"/>
  <c r="H26" i="3"/>
  <c r="I25" i="3"/>
  <c r="H25" i="3"/>
  <c r="I24" i="3"/>
  <c r="H24" i="3"/>
  <c r="I23" i="3"/>
  <c r="H23" i="3"/>
  <c r="I22" i="3"/>
  <c r="H22" i="3"/>
  <c r="I21" i="3"/>
  <c r="H21" i="3"/>
  <c r="I20" i="3"/>
  <c r="H20" i="3"/>
  <c r="I19" i="3"/>
  <c r="H19" i="3"/>
  <c r="I18" i="3"/>
  <c r="H18" i="3"/>
  <c r="I17" i="3"/>
  <c r="H17" i="3"/>
  <c r="I16" i="3"/>
  <c r="H16" i="3"/>
  <c r="I15" i="3"/>
  <c r="H15" i="3"/>
  <c r="I14" i="3"/>
  <c r="H14" i="3"/>
  <c r="I13" i="3"/>
  <c r="H13" i="3"/>
  <c r="I12" i="3"/>
  <c r="H12" i="3"/>
  <c r="I11" i="3"/>
  <c r="H11" i="3"/>
  <c r="I10" i="3"/>
  <c r="H10" i="3"/>
  <c r="I9" i="3"/>
  <c r="H9" i="3"/>
  <c r="F146" i="3" l="1" a="1"/>
  <c r="F146" i="3" s="1"/>
  <c r="F173" i="3" a="1"/>
  <c r="F173" i="3" s="1"/>
  <c r="F169" i="3" a="1"/>
  <c r="F169" i="3" s="1"/>
  <c r="F165" i="3" a="1"/>
  <c r="F165" i="3" s="1"/>
  <c r="F161" i="3" a="1"/>
  <c r="F161" i="3" s="1"/>
  <c r="F157" i="3" a="1"/>
  <c r="F157" i="3" s="1"/>
  <c r="F153" i="3" a="1"/>
  <c r="F153" i="3" s="1"/>
  <c r="F184" i="3" a="1"/>
  <c r="F184" i="3" s="1"/>
  <c r="F174" i="3" a="1"/>
  <c r="F174" i="3" s="1"/>
  <c r="F170" i="3" a="1"/>
  <c r="F170" i="3" s="1"/>
  <c r="F166" i="3" a="1"/>
  <c r="F166" i="3" s="1"/>
  <c r="F162" i="3" a="1"/>
  <c r="F162" i="3" s="1"/>
  <c r="F158" i="3" a="1"/>
  <c r="F158" i="3" s="1"/>
  <c r="F154" i="3" a="1"/>
  <c r="F154" i="3" s="1"/>
  <c r="F180" i="3" a="1"/>
  <c r="F180" i="3" s="1"/>
  <c r="F175" i="3" a="1"/>
  <c r="F175" i="3" s="1"/>
  <c r="F171" i="3" a="1"/>
  <c r="F171" i="3" s="1"/>
  <c r="F167" i="3" a="1"/>
  <c r="F167" i="3" s="1"/>
  <c r="F163" i="3" a="1"/>
  <c r="F163" i="3" s="1"/>
  <c r="F159" i="3" a="1"/>
  <c r="F159" i="3" s="1"/>
  <c r="F155" i="3" a="1"/>
  <c r="F155" i="3" s="1"/>
  <c r="F176" i="3" a="1"/>
  <c r="F176" i="3" s="1"/>
  <c r="F172" i="3" a="1"/>
  <c r="F172" i="3" s="1"/>
  <c r="F168" i="3" a="1"/>
  <c r="F168" i="3" s="1"/>
  <c r="F164" i="3" a="1"/>
  <c r="F164" i="3" s="1"/>
  <c r="F160" i="3" a="1"/>
  <c r="F160" i="3" s="1"/>
  <c r="F156" i="3" a="1"/>
  <c r="F156" i="3" s="1"/>
  <c r="F152" i="3" a="1"/>
  <c r="F152" i="3" s="1"/>
  <c r="F181" i="3" a="1"/>
  <c r="F181" i="3" s="1"/>
  <c r="F177" i="3" a="1"/>
  <c r="F177" i="3" s="1"/>
  <c r="F182" i="3" a="1"/>
  <c r="F182" i="3" s="1"/>
  <c r="F178" i="3" a="1"/>
  <c r="F178" i="3" s="1"/>
  <c r="F183" i="3" a="1"/>
  <c r="F183" i="3" s="1"/>
  <c r="F179" i="3" a="1"/>
  <c r="F179" i="3" s="1"/>
  <c r="F151" i="3" a="1"/>
  <c r="F151" i="3" s="1"/>
  <c r="F150" i="3" a="1"/>
  <c r="F150" i="3" s="1"/>
  <c r="F149" i="3" a="1"/>
  <c r="F149" i="3" s="1"/>
  <c r="F148" i="3" a="1"/>
  <c r="F148" i="3" s="1"/>
  <c r="F147" i="3" a="1"/>
  <c r="F147" i="3" s="1"/>
  <c r="F137" i="3" a="1"/>
  <c r="F137" i="3" s="1"/>
  <c r="F144" i="3" a="1"/>
  <c r="F144" i="3" s="1"/>
  <c r="F145" i="3" a="1"/>
  <c r="F145" i="3" s="1"/>
  <c r="F143" i="3" a="1"/>
  <c r="F143" i="3" s="1"/>
  <c r="F142" i="3" a="1"/>
  <c r="F142" i="3" s="1"/>
  <c r="F141" i="3" a="1"/>
  <c r="F141" i="3" s="1"/>
  <c r="F140" i="3" a="1"/>
  <c r="F140" i="3" s="1"/>
  <c r="F139" i="3" a="1"/>
  <c r="F139" i="3" s="1"/>
  <c r="F138" i="3" a="1"/>
  <c r="F138" i="3" s="1"/>
  <c r="F19" i="3" l="1" a="1"/>
  <c r="F19" i="3" s="1"/>
  <c r="F135" i="3" l="1" a="1"/>
  <c r="F135" i="3" s="1"/>
  <c r="F131" i="3" a="1"/>
  <c r="F131" i="3" s="1"/>
  <c r="F128" i="3" a="1"/>
  <c r="F128" i="3" s="1"/>
  <c r="F124" i="3" a="1"/>
  <c r="F124" i="3" s="1"/>
  <c r="F121" i="3" a="1"/>
  <c r="F121" i="3" s="1"/>
  <c r="F117" i="3" a="1"/>
  <c r="F117" i="3" s="1"/>
  <c r="F114" i="3" a="1"/>
  <c r="F114" i="3" s="1"/>
  <c r="F110" i="3" a="1"/>
  <c r="F110" i="3" s="1"/>
  <c r="F103" i="3" a="1"/>
  <c r="F103" i="3" s="1"/>
  <c r="F99" i="3" a="1"/>
  <c r="F99" i="3" s="1"/>
  <c r="F96" i="3" a="1"/>
  <c r="F96" i="3" s="1"/>
  <c r="F92" i="3" a="1"/>
  <c r="F92" i="3" s="1"/>
  <c r="F89" i="3" a="1"/>
  <c r="F89" i="3" s="1"/>
  <c r="F85" i="3" a="1"/>
  <c r="F85" i="3" s="1"/>
  <c r="F82" i="3" a="1"/>
  <c r="F82" i="3" s="1"/>
  <c r="F78" i="3" a="1"/>
  <c r="F78" i="3" s="1"/>
  <c r="F75" i="3" a="1"/>
  <c r="F75" i="3" s="1"/>
  <c r="F72" i="3" a="1"/>
  <c r="F72" i="3" s="1"/>
  <c r="F66" i="3" a="1"/>
  <c r="F66" i="3" s="1"/>
  <c r="F62" i="3" a="1"/>
  <c r="F62" i="3" s="1"/>
  <c r="F55" i="3" a="1"/>
  <c r="F55" i="3" s="1"/>
  <c r="F52" i="3" a="1"/>
  <c r="F52" i="3" s="1"/>
  <c r="F49" i="3" a="1"/>
  <c r="F49" i="3" s="1"/>
  <c r="F45" i="3" a="1"/>
  <c r="F45" i="3" s="1"/>
  <c r="F40" i="3" a="1"/>
  <c r="F40" i="3" s="1"/>
  <c r="F37" i="3" a="1"/>
  <c r="F37" i="3" s="1"/>
  <c r="F32" i="3" a="1"/>
  <c r="F32" i="3" s="1"/>
  <c r="F29" i="3" a="1"/>
  <c r="F29" i="3" s="1"/>
  <c r="F24" i="3" a="1"/>
  <c r="F24" i="3" s="1"/>
  <c r="F21" i="3" a="1"/>
  <c r="F21" i="3" s="1"/>
  <c r="F134" i="3" a="1"/>
  <c r="F134" i="3" s="1"/>
  <c r="F127" i="3" a="1"/>
  <c r="F127" i="3" s="1"/>
  <c r="F123" i="3" a="1"/>
  <c r="F123" i="3" s="1"/>
  <c r="F120" i="3" a="1"/>
  <c r="F120" i="3" s="1"/>
  <c r="F116" i="3" a="1"/>
  <c r="F116" i="3" s="1"/>
  <c r="F113" i="3" a="1"/>
  <c r="F113" i="3" s="1"/>
  <c r="F109" i="3" a="1"/>
  <c r="F109" i="3" s="1"/>
  <c r="F106" i="3" a="1"/>
  <c r="F106" i="3" s="1"/>
  <c r="F102" i="3" a="1"/>
  <c r="F102" i="3" s="1"/>
  <c r="F95" i="3" a="1"/>
  <c r="F95" i="3" s="1"/>
  <c r="F91" i="3" a="1"/>
  <c r="F91" i="3" s="1"/>
  <c r="F88" i="3" a="1"/>
  <c r="F88" i="3" s="1"/>
  <c r="F84" i="3" a="1"/>
  <c r="F84" i="3" s="1"/>
  <c r="F81" i="3" a="1"/>
  <c r="F81" i="3" s="1"/>
  <c r="F77" i="3" a="1"/>
  <c r="F77" i="3" s="1"/>
  <c r="F71" i="3" a="1"/>
  <c r="F71" i="3" s="1"/>
  <c r="F68" i="3" a="1"/>
  <c r="F68" i="3" s="1"/>
  <c r="F65" i="3" a="1"/>
  <c r="F65" i="3" s="1"/>
  <c r="F61" i="3" a="1"/>
  <c r="F61" i="3" s="1"/>
  <c r="F58" i="3" a="1"/>
  <c r="F58" i="3" s="1"/>
  <c r="F54" i="3" a="1"/>
  <c r="F54" i="3" s="1"/>
  <c r="F51" i="3" a="1"/>
  <c r="F51" i="3" s="1"/>
  <c r="F48" i="3" a="1"/>
  <c r="F48" i="3" s="1"/>
  <c r="F42" i="3" a="1"/>
  <c r="F42" i="3" s="1"/>
  <c r="F39" i="3" a="1"/>
  <c r="F39" i="3" s="1"/>
  <c r="F34" i="3" a="1"/>
  <c r="F34" i="3" s="1"/>
  <c r="F31" i="3" a="1"/>
  <c r="F31" i="3" s="1"/>
  <c r="F26" i="3" a="1"/>
  <c r="F26" i="3" s="1"/>
  <c r="F23" i="3" a="1"/>
  <c r="F23" i="3" s="1"/>
  <c r="F133" i="3" a="1"/>
  <c r="F133" i="3" s="1"/>
  <c r="F130" i="3" a="1"/>
  <c r="F130" i="3" s="1"/>
  <c r="F126" i="3" a="1"/>
  <c r="F126" i="3" s="1"/>
  <c r="F119" i="3" a="1"/>
  <c r="F119" i="3" s="1"/>
  <c r="F115" i="3" a="1"/>
  <c r="F115" i="3" s="1"/>
  <c r="F112" i="3" a="1"/>
  <c r="F112" i="3" s="1"/>
  <c r="F108" i="3" a="1"/>
  <c r="F108" i="3" s="1"/>
  <c r="F105" i="3" a="1"/>
  <c r="F105" i="3" s="1"/>
  <c r="F101" i="3" a="1"/>
  <c r="F101" i="3" s="1"/>
  <c r="F98" i="3" a="1"/>
  <c r="F98" i="3" s="1"/>
  <c r="F94" i="3" a="1"/>
  <c r="F94" i="3" s="1"/>
  <c r="F87" i="3" a="1"/>
  <c r="F87" i="3" s="1"/>
  <c r="F83" i="3" a="1"/>
  <c r="F83" i="3" s="1"/>
  <c r="F80" i="3" a="1"/>
  <c r="F80" i="3" s="1"/>
  <c r="F74" i="3" a="1"/>
  <c r="F74" i="3" s="1"/>
  <c r="F70" i="3" a="1"/>
  <c r="F70" i="3" s="1"/>
  <c r="F67" i="3" a="1"/>
  <c r="F67" i="3" s="1"/>
  <c r="F64" i="3" a="1"/>
  <c r="F64" i="3" s="1"/>
  <c r="F60" i="3" a="1"/>
  <c r="F60" i="3" s="1"/>
  <c r="F57" i="3" a="1"/>
  <c r="F57" i="3" s="1"/>
  <c r="F53" i="3" a="1"/>
  <c r="F53" i="3" s="1"/>
  <c r="F47" i="3" a="1"/>
  <c r="F47" i="3" s="1"/>
  <c r="F44" i="3" a="1"/>
  <c r="F44" i="3" s="1"/>
  <c r="F41" i="3" a="1"/>
  <c r="F41" i="3" s="1"/>
  <c r="F36" i="3" a="1"/>
  <c r="F36" i="3" s="1"/>
  <c r="F33" i="3" a="1"/>
  <c r="F33" i="3" s="1"/>
  <c r="F28" i="3" a="1"/>
  <c r="F28" i="3" s="1"/>
  <c r="F25" i="3" a="1"/>
  <c r="F25" i="3" s="1"/>
  <c r="F20" i="3" a="1"/>
  <c r="F20" i="3" s="1"/>
  <c r="F136" i="3" a="1"/>
  <c r="F136" i="3" s="1"/>
  <c r="F132" i="3" a="1"/>
  <c r="F132" i="3" s="1"/>
  <c r="F129" i="3" a="1"/>
  <c r="F129" i="3" s="1"/>
  <c r="F125" i="3" a="1"/>
  <c r="F125" i="3" s="1"/>
  <c r="F122" i="3" a="1"/>
  <c r="F122" i="3" s="1"/>
  <c r="F118" i="3" a="1"/>
  <c r="F118" i="3" s="1"/>
  <c r="F111" i="3" a="1"/>
  <c r="F111" i="3" s="1"/>
  <c r="F107" i="3" a="1"/>
  <c r="F107" i="3" s="1"/>
  <c r="F104" i="3" a="1"/>
  <c r="F104" i="3" s="1"/>
  <c r="F100" i="3" a="1"/>
  <c r="F100" i="3" s="1"/>
  <c r="F97" i="3" a="1"/>
  <c r="F97" i="3" s="1"/>
  <c r="F93" i="3" a="1"/>
  <c r="F93" i="3" s="1"/>
  <c r="F90" i="3" a="1"/>
  <c r="F90" i="3" s="1"/>
  <c r="F86" i="3" a="1"/>
  <c r="F86" i="3" s="1"/>
  <c r="F79" i="3" a="1"/>
  <c r="F79" i="3" s="1"/>
  <c r="F76" i="3" a="1"/>
  <c r="F76" i="3" s="1"/>
  <c r="F73" i="3" a="1"/>
  <c r="F73" i="3" s="1"/>
  <c r="F69" i="3" a="1"/>
  <c r="F69" i="3" s="1"/>
  <c r="F63" i="3" a="1"/>
  <c r="F63" i="3" s="1"/>
  <c r="F59" i="3" a="1"/>
  <c r="F59" i="3" s="1"/>
  <c r="F56" i="3" a="1"/>
  <c r="F56" i="3" s="1"/>
  <c r="F50" i="3" a="1"/>
  <c r="F50" i="3" s="1"/>
  <c r="F46" i="3" a="1"/>
  <c r="F46" i="3" s="1"/>
  <c r="F43" i="3" a="1"/>
  <c r="F43" i="3" s="1"/>
  <c r="F38" i="3" a="1"/>
  <c r="F38" i="3" s="1"/>
  <c r="F35" i="3" a="1"/>
  <c r="F35" i="3" s="1"/>
  <c r="F30" i="3" a="1"/>
  <c r="F30" i="3" s="1"/>
  <c r="F27" i="3" a="1"/>
  <c r="F27" i="3" s="1"/>
  <c r="F22" i="3" a="1"/>
  <c r="F22" i="3" s="1"/>
  <c r="F10" i="3" a="1"/>
  <c r="F10" i="3" s="1"/>
  <c r="F16" i="3" a="1"/>
  <c r="F16" i="3" s="1"/>
  <c r="F12" i="3" a="1"/>
  <c r="F12" i="3" s="1"/>
  <c r="F15" i="3" a="1"/>
  <c r="F15" i="3" s="1"/>
  <c r="F18" i="3" a="1"/>
  <c r="F18" i="3" s="1"/>
  <c r="F14" i="3" a="1"/>
  <c r="F14" i="3" s="1"/>
  <c r="F11" i="3" a="1"/>
  <c r="F11" i="3" s="1"/>
  <c r="F17" i="3" a="1"/>
  <c r="F17" i="3" s="1"/>
  <c r="F13" i="3" a="1"/>
  <c r="F13" i="3" s="1"/>
  <c r="F9" i="3" a="1"/>
  <c r="F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<sst xmlns="http://schemas.openxmlformats.org/spreadsheetml/2006/main" count="4160" uniqueCount="348">
  <si>
    <t>Fecha</t>
  </si>
  <si>
    <t>Skill</t>
  </si>
  <si>
    <t>Nombre Skill</t>
  </si>
  <si>
    <t>Nombre Agente</t>
  </si>
  <si>
    <t>Cod. Agente</t>
  </si>
  <si>
    <t>Hora Inicio Intervalo</t>
  </si>
  <si>
    <t>-</t>
  </si>
  <si>
    <t>Hora Fin Intervalo</t>
  </si>
  <si>
    <t>Tiempo ACD</t>
  </si>
  <si>
    <t>Tiempo ACW</t>
  </si>
  <si>
    <t>Otra hora</t>
  </si>
  <si>
    <t>Ring Time</t>
  </si>
  <si>
    <t>Tiempo AUX</t>
  </si>
  <si>
    <t>Tiempo dispon.</t>
  </si>
  <si>
    <t>Tiempo con personal</t>
  </si>
  <si>
    <t>Tiempo de reten.</t>
  </si>
  <si>
    <t>Tiempo Sa. de Ext</t>
  </si>
  <si>
    <t>Auxtime 0</t>
  </si>
  <si>
    <t>Auxtime 1</t>
  </si>
  <si>
    <t>Auxtime 2</t>
  </si>
  <si>
    <t>Auxtime 3</t>
  </si>
  <si>
    <t>Auxtime 4</t>
  </si>
  <si>
    <t>Auxtime 5</t>
  </si>
  <si>
    <t>Auxtime 6</t>
  </si>
  <si>
    <t>Auxtime 7</t>
  </si>
  <si>
    <t>Auxtime 8</t>
  </si>
  <si>
    <t>Auxtime 9</t>
  </si>
  <si>
    <t>Llamadas ACD</t>
  </si>
  <si>
    <t>Llamadas Liberadas</t>
  </si>
  <si>
    <t>PCRC</t>
  </si>
  <si>
    <t>Ll. ACD</t>
  </si>
  <si>
    <t>Inicio</t>
  </si>
  <si>
    <t>Fin</t>
  </si>
  <si>
    <t>LOGUEO</t>
  </si>
  <si>
    <t>OPERADORES S2S - CSV MERA</t>
  </si>
  <si>
    <t>Q. Ventas</t>
  </si>
  <si>
    <t>vma</t>
  </si>
  <si>
    <t>Supervisor</t>
  </si>
  <si>
    <t>OPERADOR</t>
  </si>
  <si>
    <t>S2S NO PREMIUM</t>
  </si>
  <si>
    <t>S2S PREMIUM</t>
  </si>
  <si>
    <t>(en blanco)</t>
  </si>
  <si>
    <t>S2S Premium</t>
  </si>
  <si>
    <t>S2S No Premium</t>
  </si>
  <si>
    <t>P_Martinez Ignac</t>
  </si>
  <si>
    <t>MARTINEZ IGNACIO</t>
  </si>
  <si>
    <t>N2m_Cubilla Marlene</t>
  </si>
  <si>
    <t>N2m_Narbona Susan</t>
  </si>
  <si>
    <t>N2_Martinez Norbert</t>
  </si>
  <si>
    <t>CUBILLA MARLENE ARACELI</t>
  </si>
  <si>
    <t>MARTINEZ NORBERTO GUSTAVO</t>
  </si>
  <si>
    <t>NARBONA SUSAN ABRIL</t>
  </si>
  <si>
    <t>N2m_Riquelme Lu</t>
  </si>
  <si>
    <t>RIQUELME LUCIA</t>
  </si>
  <si>
    <t>N2m_Acosta, Ayelen</t>
  </si>
  <si>
    <t>N2m_Andrzeyevski Ca</t>
  </si>
  <si>
    <t>ACOSTA AYELEN</t>
  </si>
  <si>
    <t>N2m_Fragale Pablo</t>
  </si>
  <si>
    <t>FRAGALE PABLO DANIEL</t>
  </si>
  <si>
    <t>Pm_Demarco Fidel</t>
  </si>
  <si>
    <t>DEMARCO FIDEL</t>
  </si>
  <si>
    <t>N2m_Lopez, Caro</t>
  </si>
  <si>
    <t>N2m_Calahuana Silva</t>
  </si>
  <si>
    <t>CALAHUANA SILVANA</t>
  </si>
  <si>
    <t>LOPEZ CAROLINA</t>
  </si>
  <si>
    <t>N2m_TolozaEstefania</t>
  </si>
  <si>
    <t>TOLOZA ESTEFANIA KAREN</t>
  </si>
  <si>
    <t>ANDRZEYEVSKI NICOLOSI CAMILA BELEN</t>
  </si>
  <si>
    <t>N2_Belchior Medina</t>
  </si>
  <si>
    <t>BELCHIOR MEDINACELLI LUZ MARIA</t>
  </si>
  <si>
    <t>Pm_Cuellar, Joel</t>
  </si>
  <si>
    <t>P_Sosa, Valentina</t>
  </si>
  <si>
    <t>P_Navarro, Bruno</t>
  </si>
  <si>
    <t>Pm_Maraz, Ayelen</t>
  </si>
  <si>
    <t>N2m_Gutierrez, Brisa</t>
  </si>
  <si>
    <t>GUTIERREZ BRISA CRISTAL</t>
  </si>
  <si>
    <t>SOSA VALENTINA</t>
  </si>
  <si>
    <t>CUELLAR JOEL ADRIAN</t>
  </si>
  <si>
    <t>MARAZ AYELEN JACQUELINE</t>
  </si>
  <si>
    <t>NAVARRO BRUNO OCTAVIO</t>
  </si>
  <si>
    <t>PCC_Zalazar Brian</t>
  </si>
  <si>
    <t>ZALAZAR BRAIAN EDGARDO</t>
  </si>
  <si>
    <t>N2m_Castillo Lucian</t>
  </si>
  <si>
    <t>Pm_Sosa,Lucia</t>
  </si>
  <si>
    <t>P_Vergara, Tamara</t>
  </si>
  <si>
    <t>N2m_Fonfria, Valen</t>
  </si>
  <si>
    <t>N2_Mosqueira, Federi</t>
  </si>
  <si>
    <t>Pm_Garrigo Carolina</t>
  </si>
  <si>
    <t>N2m_Quisbert, Andrew</t>
  </si>
  <si>
    <t>N2m_Giavino, Alan</t>
  </si>
  <si>
    <t>Pm_Sánchez, Adrian</t>
  </si>
  <si>
    <t>N2m_Rolon Nancy</t>
  </si>
  <si>
    <t>N2m_Amundarrey Jo</t>
  </si>
  <si>
    <t>AMUNDARREY JOAQUIN LEONEL</t>
  </si>
  <si>
    <t>CASTILLO CUEVA LUCIANA</t>
  </si>
  <si>
    <t>FONFRIA VALENTINO</t>
  </si>
  <si>
    <t>GIAVINO ALAN EMMANUEL</t>
  </si>
  <si>
    <t>MOSQUEIRA HERNAN FEDERICO</t>
  </si>
  <si>
    <t>QUISBERT ARUATA ANDREW ROBERT</t>
  </si>
  <si>
    <t>ROLON NANCY MAGALI</t>
  </si>
  <si>
    <t>GARRIGO CAROLINA</t>
  </si>
  <si>
    <t>SANCHEZ ADRIAN ALEJANDRO</t>
  </si>
  <si>
    <t>SOSA LUCIA CELESTE</t>
  </si>
  <si>
    <t>VERGARA TAMARA</t>
  </si>
  <si>
    <t>N2_Russo, Rocio</t>
  </si>
  <si>
    <t>P_Ferreyra, Tomas</t>
  </si>
  <si>
    <t>N2m_Bertucci Agost</t>
  </si>
  <si>
    <t>N2_Frias, Brenda</t>
  </si>
  <si>
    <t>Pm_Gonzalez, Cande</t>
  </si>
  <si>
    <t>N2_Wetzel, Ignacio</t>
  </si>
  <si>
    <t>N2_Torres Luna</t>
  </si>
  <si>
    <t>BERTUCCI AGOSTINA</t>
  </si>
  <si>
    <t>FRIAS BRENDA ANTONELA</t>
  </si>
  <si>
    <t>TORRES LUNA</t>
  </si>
  <si>
    <t>RUSSO ROCIO BELEN</t>
  </si>
  <si>
    <t>WETZEL IGNACIO EZEQUIEL</t>
  </si>
  <si>
    <t>FERREYRA TOMAS AGUSTIN</t>
  </si>
  <si>
    <t>GONZALEZ CANDELA</t>
  </si>
  <si>
    <t>P_Fraga, Nicolas</t>
  </si>
  <si>
    <t>N2_Acosta,Sebastian</t>
  </si>
  <si>
    <t>Pm_Coria, Candela</t>
  </si>
  <si>
    <t>ACOSTA SEBASTIAN</t>
  </si>
  <si>
    <t>CORIA CANDELA</t>
  </si>
  <si>
    <t>FRAGA NICOLAS</t>
  </si>
  <si>
    <t>N2_Mendoza, Natalia</t>
  </si>
  <si>
    <t>P_D agostino, María</t>
  </si>
  <si>
    <t>P_Gilles, Morena</t>
  </si>
  <si>
    <t>P_Vargas, Carol</t>
  </si>
  <si>
    <t>Pm_Menguez, Luka</t>
  </si>
  <si>
    <t>N2m_Vaca, Andrea</t>
  </si>
  <si>
    <t>N2m_Toffoletti Evely</t>
  </si>
  <si>
    <t>Pm_Cervantes, Lou</t>
  </si>
  <si>
    <t>Pm_Salles, Matias</t>
  </si>
  <si>
    <t>MENDOZA NATALIA ELIZABETH</t>
  </si>
  <si>
    <t>TOFFOLETTI SOTO EVELYN</t>
  </si>
  <si>
    <t>VACA OROZCO ANDREA</t>
  </si>
  <si>
    <t>CERVANTES LOURDES ABRIL</t>
  </si>
  <si>
    <t>D AGOSTINO MARIA BIANCA</t>
  </si>
  <si>
    <t>MENGUEZ LUKA PATRICIO</t>
  </si>
  <si>
    <t>SALLES MATIAS</t>
  </si>
  <si>
    <t>VARGAS CAROLINA MELANY</t>
  </si>
  <si>
    <t>GILLES MORENA</t>
  </si>
  <si>
    <t>P_Maidana, Malena</t>
  </si>
  <si>
    <t>P_Valenzuela, Meli</t>
  </si>
  <si>
    <t>P_Castillo, Micaela</t>
  </si>
  <si>
    <t>P_Sotos, Enzo</t>
  </si>
  <si>
    <t>P_DeVuono, Facundo</t>
  </si>
  <si>
    <t>P_Manfredi, Melina</t>
  </si>
  <si>
    <t>N2m_Solis Melina</t>
  </si>
  <si>
    <t>N2m_Zapata Martina</t>
  </si>
  <si>
    <t>N2m_Castro Cristian</t>
  </si>
  <si>
    <t>P_Vazquez, Sofia</t>
  </si>
  <si>
    <t>N2m_Espinoza, Cielo</t>
  </si>
  <si>
    <t>P_Infante, Enzo</t>
  </si>
  <si>
    <t>P_Benitez, Lou</t>
  </si>
  <si>
    <t>P_Olivares, Miriam</t>
  </si>
  <si>
    <t>N2_Cejas, Mayra</t>
  </si>
  <si>
    <t>P_Gomez, Monica</t>
  </si>
  <si>
    <t>P_Perez, Lourdes</t>
  </si>
  <si>
    <t>N2_Canteros,Johanna</t>
  </si>
  <si>
    <t>N2m_Gomez, Bruno</t>
  </si>
  <si>
    <t>P_Maiz, Camila</t>
  </si>
  <si>
    <t>N2m_Duro, Candela</t>
  </si>
  <si>
    <t>P_Paez, Lucas</t>
  </si>
  <si>
    <t>N2m_Romito Agostina</t>
  </si>
  <si>
    <t>P_Ojeda Mayra</t>
  </si>
  <si>
    <t>P_Donzelli, Angelic</t>
  </si>
  <si>
    <t>P_Franco, Selena</t>
  </si>
  <si>
    <t>N2m_MoreauMic</t>
  </si>
  <si>
    <t>Pm_GonzalezCristian</t>
  </si>
  <si>
    <t>P_Abalos, Daiana</t>
  </si>
  <si>
    <t>P_Pino, Elisa</t>
  </si>
  <si>
    <t>N2m_Gonsalez Emilia</t>
  </si>
  <si>
    <t>N2m_Gayo, Matias</t>
  </si>
  <si>
    <t>N2m_Gomez, Cesar</t>
  </si>
  <si>
    <t>N2m_Sanjuan Laura</t>
  </si>
  <si>
    <t>P_Miragaya Maria</t>
  </si>
  <si>
    <t>N2m_Bursese Maite</t>
  </si>
  <si>
    <t>Pm_Fuhr, Patricio</t>
  </si>
  <si>
    <t>Pm_Machado, Elías</t>
  </si>
  <si>
    <t>N2m_Almiron,Luciana</t>
  </si>
  <si>
    <t>N2m_Sanso, Naomi</t>
  </si>
  <si>
    <t>N2m_Barrojo, Fede</t>
  </si>
  <si>
    <t>N2m_Sotelo, Silva</t>
  </si>
  <si>
    <t>N2m_SosaBernaoMarti</t>
  </si>
  <si>
    <t>Pm_Sagrado Nico</t>
  </si>
  <si>
    <t>N2m_Colmenares, Emi</t>
  </si>
  <si>
    <t>Pm_Sanchez, Juan</t>
  </si>
  <si>
    <t>P_ Ledesma Maxi</t>
  </si>
  <si>
    <t>XN2_Buffa Ivan Eman</t>
  </si>
  <si>
    <t>N1_Carmona Jaquelin</t>
  </si>
  <si>
    <t>N2_Martinez Agostina</t>
  </si>
  <si>
    <t>*N1_Gomez Gisela</t>
  </si>
  <si>
    <t>P_Duran Oriana</t>
  </si>
  <si>
    <t>N2e_Frias Miguel Ang</t>
  </si>
  <si>
    <t>N1m_Meza Malena E</t>
  </si>
  <si>
    <t>N2e _Avalle Cyntia</t>
  </si>
  <si>
    <t>N1_Ponce Marcela</t>
  </si>
  <si>
    <t>N1_Talavera Raquel</t>
  </si>
  <si>
    <t>N1_Rivero B Shaira</t>
  </si>
  <si>
    <t>N1_Di Benedetto Yam</t>
  </si>
  <si>
    <t>*N1_Stori Marianela</t>
  </si>
  <si>
    <t>N1r_Cerdan Lucia Bel</t>
  </si>
  <si>
    <t>N2e_ Ojeda Liliana</t>
  </si>
  <si>
    <t>*N1_Aquino Evelin Ma</t>
  </si>
  <si>
    <t>PCC_Sanchez Maximil</t>
  </si>
  <si>
    <t>PCC_ Monje Rodrigo</t>
  </si>
  <si>
    <t>P_Salina Maria E</t>
  </si>
  <si>
    <t>N1_Cedro Pamela</t>
  </si>
  <si>
    <t>*N1_Mino Walter Man</t>
  </si>
  <si>
    <t>*XN2_Fernandez Rolan</t>
  </si>
  <si>
    <t>N1m_Sanchez Carlina</t>
  </si>
  <si>
    <t>N1_Pitra B Selene</t>
  </si>
  <si>
    <t>N1_ Espinoza Adrian</t>
  </si>
  <si>
    <t>N2_Vande Voorde Bru</t>
  </si>
  <si>
    <t>N2_Martinez Diego</t>
  </si>
  <si>
    <t>N2_Gutierrez Lara</t>
  </si>
  <si>
    <t>PCC_Mattio Villa</t>
  </si>
  <si>
    <t>XPCC_Bres,Andrea Ce</t>
  </si>
  <si>
    <t>PCC_Acuna, Roxana</t>
  </si>
  <si>
    <t>Pm_D'Autilio,Melisa</t>
  </si>
  <si>
    <t>*N2m_Barberan,Prisci</t>
  </si>
  <si>
    <t>*Pm_Bogarin,Santiag</t>
  </si>
  <si>
    <t>*N2m_Gawlik, Luana</t>
  </si>
  <si>
    <t>N2m_Encina, Johana</t>
  </si>
  <si>
    <t>*Pm_Fernandez,Adria</t>
  </si>
  <si>
    <t>XPCC_Rivas,Maxi</t>
  </si>
  <si>
    <t>XPCC_Zarate,Damari</t>
  </si>
  <si>
    <t>XPm_Yuri, Mila</t>
  </si>
  <si>
    <t>*Pm_Olivera, Melisa</t>
  </si>
  <si>
    <t>*N2fm_Gonzalez,Micae</t>
  </si>
  <si>
    <t>XPCC_Narvaez, Magali</t>
  </si>
  <si>
    <t>TXPm_Moreno R,Tobi</t>
  </si>
  <si>
    <t>*N2m_Ocampo,Christia</t>
  </si>
  <si>
    <t>PCC_Recio, Noelia B</t>
  </si>
  <si>
    <t>XN2m_Rojas, Lorena</t>
  </si>
  <si>
    <t>*N2m_Sosa,Maximilian</t>
  </si>
  <si>
    <t>XDPCC_Sosa, Marina</t>
  </si>
  <si>
    <t>*Pm_Barreto, Mauro</t>
  </si>
  <si>
    <t>XDPCC_Moya Romina</t>
  </si>
  <si>
    <t>XPm_Dellamea, Ingri</t>
  </si>
  <si>
    <t>XPm_Romero, Mari</t>
  </si>
  <si>
    <t>Pm_Aguirre, Jorge</t>
  </si>
  <si>
    <t>N2m_Fernandez, Pa</t>
  </si>
  <si>
    <t>PCC_Garcia, Ludmila</t>
  </si>
  <si>
    <t>*N2m_Ramirez Daiana</t>
  </si>
  <si>
    <t>N2mLedesma ,He</t>
  </si>
  <si>
    <t>*N2m_Katona, Sabrina</t>
  </si>
  <si>
    <t>XPm_Maidana, Mila</t>
  </si>
  <si>
    <t>*Pm_Gutierrez, Laura</t>
  </si>
  <si>
    <t>*N2m_Noguera Maria</t>
  </si>
  <si>
    <t>*WN2m_Leguizamon,R</t>
  </si>
  <si>
    <t>XPm_Quiroz Aylen</t>
  </si>
  <si>
    <t>*PWm_SanchezAnt</t>
  </si>
  <si>
    <t>XPm_Longhi, Agust</t>
  </si>
  <si>
    <t>N2CCm_Chazarreta Ma</t>
  </si>
  <si>
    <t>N2m_Maggio, Kevin</t>
  </si>
  <si>
    <t>*N2m_Retamozo SofíaM</t>
  </si>
  <si>
    <t>*N2m_Uria Febe</t>
  </si>
  <si>
    <t>N2m_Vlachoff Rocio</t>
  </si>
  <si>
    <t>Pm_Lencinas, Lucio</t>
  </si>
  <si>
    <t>XN2m_Rodriguez, Bar</t>
  </si>
  <si>
    <t>XPCC_Palavecino, F.</t>
  </si>
  <si>
    <t>XPCC_Sayas, Sara</t>
  </si>
  <si>
    <t>*Pm_Barrios,Facundo</t>
  </si>
  <si>
    <t>PEm_Alfonso, Matias</t>
  </si>
  <si>
    <t>T*N2m_Alarcon, Maria</t>
  </si>
  <si>
    <t>XPm_Monteporc</t>
  </si>
  <si>
    <t>XPm_Gutierrez,Veron</t>
  </si>
  <si>
    <t>*Pm_Alvarez Franco</t>
  </si>
  <si>
    <t>XPm_Riquelme Ale</t>
  </si>
  <si>
    <t>N2rm_Butnariuk Erick</t>
  </si>
  <si>
    <t>XPm_Coceres,Tan</t>
  </si>
  <si>
    <t>XPm_Chamorro,Rocio</t>
  </si>
  <si>
    <t>PCC_Schubert Ingrid</t>
  </si>
  <si>
    <t>XDPCC_Aguirre Leandr</t>
  </si>
  <si>
    <t>XDPCC_Pereyra,Tamar</t>
  </si>
  <si>
    <t>DPCC_Rocio Sanchez</t>
  </si>
  <si>
    <t>XDPCC_GutierrezEvely</t>
  </si>
  <si>
    <t>DPCC_Paciello Irma</t>
  </si>
  <si>
    <t>XPCC_Silvia Iglesias</t>
  </si>
  <si>
    <t>XPCC_Espindola,Malen</t>
  </si>
  <si>
    <t>E*_Viviana Zardi</t>
  </si>
  <si>
    <t>XDPCC_Bordon Debora</t>
  </si>
  <si>
    <t>*N2m_Avalos Diana</t>
  </si>
  <si>
    <t>DPCC_Mateo Margarit</t>
  </si>
  <si>
    <t>PCC_Escual Gabriela</t>
  </si>
  <si>
    <t>XDE_BaezRieraFloren</t>
  </si>
  <si>
    <t>PCC_Bordón Melisa A</t>
  </si>
  <si>
    <t>XPCC_GomezG Merce</t>
  </si>
  <si>
    <t>XDPCC_Mino,Valeria</t>
  </si>
  <si>
    <t>XPCC_Aquino Pamela</t>
  </si>
  <si>
    <t>PCC_Coronel,Isaías</t>
  </si>
  <si>
    <t>XDPCC_Alvarez,Ana</t>
  </si>
  <si>
    <t>XN2m_SkarpHoracio</t>
  </si>
  <si>
    <t>XPm_Benitez,Alejan</t>
  </si>
  <si>
    <t>XPCC_Mitoire,Cecilia</t>
  </si>
  <si>
    <t>XDE_ZalazarAlejandra</t>
  </si>
  <si>
    <t>DPCC_Guex, Lara</t>
  </si>
  <si>
    <t>S2_Rodriguez Susana</t>
  </si>
  <si>
    <t>TN1f_Luna Andrea Car</t>
  </si>
  <si>
    <t>ALMIRON LUCIANA AYELEN</t>
  </si>
  <si>
    <t>BARROJO FEDERICO ALEJANDRO</t>
  </si>
  <si>
    <t>BURSESE MAITE PILAR</t>
  </si>
  <si>
    <t>CANTEROS JOHANNA ANAHI</t>
  </si>
  <si>
    <t>CASTRO CRISTIAN NICOLAS</t>
  </si>
  <si>
    <t>CEJAS MAYRA</t>
  </si>
  <si>
    <t>COLMENARES EMILY</t>
  </si>
  <si>
    <t>DURO CANDELA MILAGROS</t>
  </si>
  <si>
    <t>ESPINOZA CIELO</t>
  </si>
  <si>
    <t>GAYO MATIAS FEDERICO</t>
  </si>
  <si>
    <t>GOMEZ BRUNO NAHUEL</t>
  </si>
  <si>
    <t>GOMEZ CESAR NAHUEL</t>
  </si>
  <si>
    <t>GONSALEZ EMILIANO SEBASTIAN</t>
  </si>
  <si>
    <t>MOREAU MICAELA VICTORIA</t>
  </si>
  <si>
    <t>ROMITO AGOSTINA BELEN</t>
  </si>
  <si>
    <t>SANJUAN LAURA</t>
  </si>
  <si>
    <t>SANSO NOEMI</t>
  </si>
  <si>
    <t>SOLIS MELINA ALEJANDRA</t>
  </si>
  <si>
    <t>SOSA BERNAO MARTINA</t>
  </si>
  <si>
    <t>SOTELO SILVANA ANAHI</t>
  </si>
  <si>
    <t>ZAPATA VAGNINI MARTINA</t>
  </si>
  <si>
    <t>#N/D</t>
  </si>
  <si>
    <t>ABALOS HEREDIA DAIANA BELEN</t>
  </si>
  <si>
    <t>BENITEZ LOURDES ROCIO</t>
  </si>
  <si>
    <t>CASTILLO MICAELA TATIANA</t>
  </si>
  <si>
    <t>DE VUONO FACUNDO SANTIAGO</t>
  </si>
  <si>
    <t>DONZELLI ANGELICA</t>
  </si>
  <si>
    <t>FRANCO SELENA ROCIO</t>
  </si>
  <si>
    <t>FUHR PATRICIO ALEJANDRO</t>
  </si>
  <si>
    <t>GOMEZ ENCISO MONICA</t>
  </si>
  <si>
    <t>GONZALEZ CRISTIAN ALBERTO</t>
  </si>
  <si>
    <t>INFANTE ENZO</t>
  </si>
  <si>
    <t>MACHADO RIVERA ELIAS RAUL</t>
  </si>
  <si>
    <t>MAIDANA MENDOZA MALENA MELISA</t>
  </si>
  <si>
    <t>MAIZ CAMILA</t>
  </si>
  <si>
    <t>MANFREDI RUTH MELINA</t>
  </si>
  <si>
    <t>MIRAGAYA MARIA JOSE</t>
  </si>
  <si>
    <t>OJEDA MAYRA ALEJANDRA</t>
  </si>
  <si>
    <t>OLIVARES MIRIAM DANIELA</t>
  </si>
  <si>
    <t>PAEZ LUCAS ENZO GREGORIO</t>
  </si>
  <si>
    <t>PEREZ LOURDES</t>
  </si>
  <si>
    <t>PINO ELISA</t>
  </si>
  <si>
    <t>SAGRADO NICOLAS</t>
  </si>
  <si>
    <t>SANCHEZ JUAN MARCELO</t>
  </si>
  <si>
    <t>SOTOS LA IACONA ENZO SANTINO</t>
  </si>
  <si>
    <t>VALENZUELA MELINA GISELLE</t>
  </si>
  <si>
    <t>VAZQUEZ ROSSI SOFIA ANAHI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</si>
</sst>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3" borderId="0" xfId="0" applyFill="1"/>
    <xf numFmtId="0" fontId="0" fillId="4" borderId="0" xfId="0" applyFill="1"/>
    <xf numFmtId="20" fontId="0" fillId="3" borderId="0" xfId="0" applyNumberFormat="1" applyFill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902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2" tint="-9.9978637043366805E-2"/>
        </patternFill>
      </fill>
    </dxf>
    <dxf>
      <border>
        <left/>
        <right/>
        <top/>
        <bottom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color theme="0"/>
      </font>
      <fill>
        <patternFill patternType="solid">
          <fgColor indexed="64"/>
          <bgColor theme="3"/>
        </patternFill>
      </fill>
      <alignment horizontal="center" vertical="center"/>
    </dxf>
    <dxf>
      <font>
        <sz val="10"/>
        <color theme="0"/>
      </font>
      <fill>
        <patternFill patternType="solid">
          <fgColor indexed="64"/>
          <bgColor theme="3"/>
        </patternFill>
      </fill>
      <alignment horizontal="center" vertical="center"/>
    </dxf>
    <dxf>
      <font>
        <sz val="10"/>
        <color theme="0"/>
      </font>
      <fill>
        <patternFill patternType="solid">
          <fgColor indexed="64"/>
          <bgColor theme="3"/>
        </patternFill>
      </fill>
      <alignment horizontal="center" vertical="center"/>
    </dxf>
    <dxf>
      <font>
        <sz val="10"/>
        <color theme="0"/>
      </font>
      <fill>
        <patternFill patternType="solid">
          <fgColor indexed="64"/>
          <bgColor theme="3"/>
        </patternFill>
      </fill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0</xdr:rowOff>
    </xdr:from>
    <xdr:to>
      <xdr:col>7</xdr:col>
      <xdr:colOff>781050</xdr:colOff>
      <xdr:row>2</xdr:row>
      <xdr:rowOff>19050</xdr:rowOff>
    </xdr:to>
    <xdr:sp macro="[0]!Operadores_mera_s2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D960A9F-B80C-D3E7-6283-C8C98D7548F3}"/>
            </a:ext>
          </a:extLst>
        </xdr:cNvPr>
        <xdr:cNvSpPr/>
      </xdr:nvSpPr>
      <xdr:spPr>
        <a:xfrm>
          <a:off x="8353425" y="180975"/>
          <a:ext cx="790575" cy="200025"/>
        </a:xfrm>
        <a:prstGeom prst="roundRect">
          <a:avLst/>
        </a:prstGeom>
        <a:solidFill>
          <a:schemeClr val="tx2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Macro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narnia\Command\Campa&#241;as\Visa\GESTI&#211;N%20CSV\N&#211;MINA%20CSV\2024\Octubre\10%20-%20N&#243;mina%20Mera%20CSV%20Octubre%202024.xlsx" TargetMode="External"/><Relationship Id="rId1" Type="http://schemas.openxmlformats.org/officeDocument/2006/relationships/externalLinkPath" Target="/Campa&#241;as/Visa/GESTI&#211;N%20CSV/N&#211;MINA%20CSV/2024/Octubre/10%20-%20N&#243;mina%20Mera%20CSV%20Octubre%2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ómina Agentes"/>
      <sheetName val="Nómina Staff"/>
      <sheetName val="Bajas Operadores en Capa"/>
      <sheetName val="Baja Operadores"/>
      <sheetName val="Omnia Nomina"/>
      <sheetName val="Omnia Payroll"/>
      <sheetName val="RA"/>
      <sheetName val="BASE SUPERS"/>
      <sheetName val="Hoja2"/>
      <sheetName val="Coordinador"/>
      <sheetName val="Nomina para ratio de nomina cli"/>
      <sheetName val="10 - Nómina Mera CSV Octubre 20"/>
      <sheetName val="Hoja1"/>
      <sheetName val="Hoja3"/>
    </sheetNames>
    <sheetDataSet>
      <sheetData sheetId="0">
        <row r="1">
          <cell r="J1" t="str">
            <v>N1</v>
          </cell>
          <cell r="K1"/>
          <cell r="L1"/>
          <cell r="M1" t="str">
            <v>N2</v>
          </cell>
          <cell r="N1"/>
          <cell r="O1" t="str">
            <v>N2 + COMMERCIAL CARDS</v>
          </cell>
          <cell r="P1"/>
          <cell r="Q1" t="str">
            <v>N3</v>
          </cell>
          <cell r="R1" t="str">
            <v>N1</v>
          </cell>
          <cell r="S1" t="str">
            <v>N3</v>
          </cell>
          <cell r="T1"/>
          <cell r="U1"/>
          <cell r="V1" t="str">
            <v>N3</v>
          </cell>
          <cell r="W1"/>
          <cell r="X1" t="str">
            <v>N3</v>
          </cell>
          <cell r="Y1"/>
          <cell r="Z1"/>
          <cell r="AA1"/>
          <cell r="AB1"/>
          <cell r="AC1"/>
          <cell r="AD1"/>
          <cell r="AE1"/>
          <cell r="AF1"/>
          <cell r="AG1" t="str">
            <v>DENUNCIAS</v>
          </cell>
          <cell r="AH1" t="str">
            <v>PMC</v>
          </cell>
          <cell r="AI1" t="str">
            <v>DENUNCIAS</v>
          </cell>
          <cell r="AJ1"/>
          <cell r="AK1" t="str">
            <v>CONSULTAS BANELCO</v>
          </cell>
          <cell r="AL1" t="str">
            <v>HD</v>
          </cell>
          <cell r="AM1" t="str">
            <v>GESTIONES SECUNDARIAS</v>
          </cell>
          <cell r="AN1"/>
          <cell r="AO1" t="str">
            <v>STS</v>
          </cell>
          <cell r="AP1" t="str">
            <v>STS</v>
          </cell>
        </row>
        <row r="2">
          <cell r="C2"/>
          <cell r="D2"/>
          <cell r="E2"/>
          <cell r="F2"/>
          <cell r="G2"/>
          <cell r="H2"/>
          <cell r="I2"/>
          <cell r="J2" t="str">
            <v>BANCOR/BSF</v>
          </cell>
          <cell r="K2" t="str">
            <v>NO PREMIUM</v>
          </cell>
          <cell r="L2"/>
          <cell r="M2"/>
          <cell r="N2"/>
          <cell r="O2" t="str">
            <v>COMMERCIAL CARDS</v>
          </cell>
          <cell r="P2"/>
          <cell r="Q2" t="str">
            <v>PREMIUM</v>
          </cell>
          <cell r="R2"/>
          <cell r="S2"/>
          <cell r="T2"/>
          <cell r="U2"/>
          <cell r="V2" t="str">
            <v>PTO A PTO SANTANDER</v>
          </cell>
          <cell r="W2"/>
          <cell r="X2" t="str">
            <v>AT. EJECUTIVOS VIP</v>
          </cell>
          <cell r="Y2"/>
          <cell r="Z2"/>
          <cell r="AA2"/>
          <cell r="AB2"/>
          <cell r="AC2"/>
          <cell r="AD2"/>
          <cell r="AE2"/>
          <cell r="AF2"/>
          <cell r="AG2" t="str">
            <v>TOKENIZACION</v>
          </cell>
          <cell r="AH2" t="str">
            <v>PAGO DE SERVICIOS</v>
          </cell>
          <cell r="AI2" t="str">
            <v>DENUNCIAS</v>
          </cell>
          <cell r="AJ2"/>
          <cell r="AK2" t="str">
            <v>CONSULTAS BANELCO</v>
          </cell>
          <cell r="AL2" t="str">
            <v>HD</v>
          </cell>
          <cell r="AM2" t="str">
            <v>GESTIONES SECUNDARIAS</v>
          </cell>
          <cell r="AN2"/>
          <cell r="AO2" t="str">
            <v>STS</v>
          </cell>
          <cell r="AP2" t="str">
            <v>STS</v>
          </cell>
        </row>
        <row r="3">
          <cell r="C3"/>
          <cell r="D3"/>
          <cell r="E3"/>
          <cell r="F3"/>
          <cell r="G3"/>
          <cell r="H3"/>
          <cell r="I3"/>
          <cell r="J3" t="str">
            <v>Master Classic/Gold</v>
          </cell>
          <cell r="K3" t="str">
            <v>Ingles</v>
          </cell>
          <cell r="L3" t="str">
            <v>Consultas TJ Credito</v>
          </cell>
          <cell r="M3" t="str">
            <v>Financiacion</v>
          </cell>
          <cell r="N3" t="str">
            <v>Debitos Automaticos</v>
          </cell>
          <cell r="O3" t="str">
            <v>Comm.Cards</v>
          </cell>
          <cell r="P3" t="str">
            <v>Regalo/Recargable</v>
          </cell>
          <cell r="Q3" t="str">
            <v>Upscale expertos</v>
          </cell>
          <cell r="R3" t="str">
            <v>Upscale</v>
          </cell>
          <cell r="S3" t="str">
            <v>Platinum Expertos</v>
          </cell>
          <cell r="T3" t="str">
            <v>Call Collect</v>
          </cell>
          <cell r="U3" t="str">
            <v>PPI</v>
          </cell>
          <cell r="V3" t="str">
            <v>Atencion Personal Socios</v>
          </cell>
          <cell r="W3" t="str">
            <v>Ref Santander</v>
          </cell>
          <cell r="X3" t="str">
            <v>At Ejecutivos Macro</v>
          </cell>
          <cell r="Y3" t="str">
            <v>At Ejecutivos Galicia</v>
          </cell>
          <cell r="Z3" t="str">
            <v>At Ejecutivos Santander</v>
          </cell>
          <cell r="AA3" t="str">
            <v>At Ejecutivos Bancor</v>
          </cell>
          <cell r="AB3" t="str">
            <v>At Ejecutivos HSBC</v>
          </cell>
          <cell r="AC3" t="str">
            <v>At.Ejecutivo BBVA</v>
          </cell>
          <cell r="AD3" t="str">
            <v>At.Ej Bco Industrial</v>
          </cell>
          <cell r="AE3" t="str">
            <v>At Ejecutivo Ciudad</v>
          </cell>
          <cell r="AF3" t="str">
            <v>At Ejecutivos Bica</v>
          </cell>
          <cell r="AG3" t="str">
            <v>Tokenizacion</v>
          </cell>
          <cell r="AH3" t="str">
            <v>Pagos de Servicios</v>
          </cell>
          <cell r="AI3" t="str">
            <v>Reclamos Banelco</v>
          </cell>
          <cell r="AJ3" t="str">
            <v>Denuncias</v>
          </cell>
          <cell r="AK3" t="str">
            <v>Consultas TJ Debito</v>
          </cell>
          <cell r="AL3" t="str">
            <v>HD ME Socios</v>
          </cell>
          <cell r="AM3" t="str">
            <v>GESTIONES SECUNDARIAS</v>
          </cell>
          <cell r="AN3" t="str">
            <v>Sale to Sale</v>
          </cell>
          <cell r="AO3" t="str">
            <v>NO PREMIUM S2S</v>
          </cell>
          <cell r="AP3" t="str">
            <v>PREMIUM S2S</v>
          </cell>
          <cell r="AQ3"/>
          <cell r="AR3"/>
          <cell r="AS3"/>
          <cell r="AT3"/>
          <cell r="AU3"/>
        </row>
        <row r="4">
          <cell r="C4" t="str">
            <v>ID</v>
          </cell>
          <cell r="D4" t="str">
            <v>Apellido y Nombre</v>
          </cell>
          <cell r="E4" t="str">
            <v>Horario</v>
          </cell>
          <cell r="F4" t="str">
            <v>Jornada</v>
          </cell>
          <cell r="G4" t="str">
            <v>Francos</v>
          </cell>
          <cell r="H4" t="str">
            <v>Coordinador</v>
          </cell>
          <cell r="I4" t="str">
            <v>Controller</v>
          </cell>
          <cell r="J4">
            <v>374</v>
          </cell>
          <cell r="K4">
            <v>17</v>
          </cell>
          <cell r="L4">
            <v>7</v>
          </cell>
          <cell r="M4">
            <v>157</v>
          </cell>
          <cell r="N4">
            <v>22</v>
          </cell>
          <cell r="O4">
            <v>2</v>
          </cell>
          <cell r="P4">
            <v>45</v>
          </cell>
          <cell r="Q4">
            <v>612</v>
          </cell>
          <cell r="R4">
            <v>206</v>
          </cell>
          <cell r="S4">
            <v>613</v>
          </cell>
          <cell r="T4">
            <v>27</v>
          </cell>
          <cell r="U4">
            <v>83</v>
          </cell>
          <cell r="V4">
            <v>38</v>
          </cell>
          <cell r="W4">
            <v>358</v>
          </cell>
          <cell r="X4">
            <v>834</v>
          </cell>
          <cell r="Y4">
            <v>836</v>
          </cell>
          <cell r="Z4">
            <v>837</v>
          </cell>
          <cell r="AA4">
            <v>838</v>
          </cell>
          <cell r="AB4">
            <v>839</v>
          </cell>
          <cell r="AC4">
            <v>494</v>
          </cell>
          <cell r="AD4">
            <v>293</v>
          </cell>
          <cell r="AE4">
            <v>473</v>
          </cell>
          <cell r="AF4">
            <v>614</v>
          </cell>
          <cell r="AG4">
            <v>98</v>
          </cell>
          <cell r="AH4">
            <v>1022</v>
          </cell>
          <cell r="AI4">
            <v>353</v>
          </cell>
          <cell r="AJ4">
            <v>13</v>
          </cell>
          <cell r="AK4">
            <v>1020</v>
          </cell>
          <cell r="AL4">
            <v>92</v>
          </cell>
          <cell r="AM4">
            <v>345</v>
          </cell>
          <cell r="AN4" t="str">
            <v>-</v>
          </cell>
          <cell r="AO4" t="str">
            <v>-</v>
          </cell>
          <cell r="AP4" t="str">
            <v>-</v>
          </cell>
          <cell r="AQ4" t="str">
            <v>Fecha Ingreso</v>
          </cell>
          <cell r="AR4" t="str">
            <v>Antigüedad</v>
          </cell>
          <cell r="AS4" t="str">
            <v>Fecha Ultima Capacitacion</v>
          </cell>
          <cell r="AT4" t="str">
            <v>Dias de Atencion desde ultima Capacitacion</v>
          </cell>
          <cell r="AU4" t="str">
            <v>Usuario Host</v>
          </cell>
        </row>
        <row r="5">
          <cell r="C5">
            <v>662499</v>
          </cell>
          <cell r="D5" t="str">
            <v>BALBASTRO ROCIO ANTONELA</v>
          </cell>
          <cell r="E5" t="str">
            <v>07:00 - 13:00</v>
          </cell>
          <cell r="F5" t="str">
            <v>MAÑANA</v>
          </cell>
          <cell r="G5" t="str">
            <v>SAB Y DOM</v>
          </cell>
          <cell r="H5" t="str">
            <v>VEGA, BRIAN NICOLAS</v>
          </cell>
          <cell r="I5" t="str">
            <v>Leandro Muñoz</v>
          </cell>
          <cell r="J5" t="str">
            <v>x</v>
          </cell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  <cell r="Z5"/>
          <cell r="AA5"/>
          <cell r="AB5"/>
          <cell r="AC5"/>
          <cell r="AD5"/>
          <cell r="AE5"/>
          <cell r="AF5"/>
          <cell r="AG5"/>
          <cell r="AH5"/>
          <cell r="AI5"/>
          <cell r="AJ5"/>
          <cell r="AK5"/>
          <cell r="AL5"/>
          <cell r="AM5" t="str">
            <v>x</v>
          </cell>
          <cell r="AN5"/>
          <cell r="AO5"/>
          <cell r="AP5"/>
          <cell r="AQ5">
            <v>42816</v>
          </cell>
          <cell r="AR5">
            <v>2757</v>
          </cell>
          <cell r="AS5">
            <v>43657</v>
          </cell>
          <cell r="AT5">
            <v>1916</v>
          </cell>
          <cell r="AU5" t="str">
            <v>VMAROBAL</v>
          </cell>
        </row>
        <row r="6">
          <cell r="C6">
            <v>662287</v>
          </cell>
          <cell r="D6" t="str">
            <v>BUSTAMANTE YOLANDA EDITH</v>
          </cell>
          <cell r="E6" t="str">
            <v>09:00 - 15:00</v>
          </cell>
          <cell r="F6" t="str">
            <v>MAÑANA</v>
          </cell>
          <cell r="G6" t="str">
            <v>SAB Y DOM</v>
          </cell>
          <cell r="H6" t="str">
            <v>SORIA, ANA PAULA</v>
          </cell>
          <cell r="I6" t="str">
            <v>Romandetto Carlos</v>
          </cell>
          <cell r="J6"/>
          <cell r="K6"/>
          <cell r="L6"/>
          <cell r="M6"/>
          <cell r="N6"/>
          <cell r="O6"/>
          <cell r="P6"/>
          <cell r="Q6"/>
          <cell r="R6"/>
          <cell r="S6"/>
          <cell r="T6"/>
          <cell r="U6"/>
          <cell r="V6"/>
          <cell r="W6"/>
          <cell r="X6"/>
          <cell r="Y6"/>
          <cell r="Z6"/>
          <cell r="AA6"/>
          <cell r="AB6"/>
          <cell r="AC6"/>
          <cell r="AD6"/>
          <cell r="AE6"/>
          <cell r="AF6"/>
          <cell r="AG6"/>
          <cell r="AH6"/>
          <cell r="AI6" t="str">
            <v>x</v>
          </cell>
          <cell r="AJ6" t="str">
            <v>x</v>
          </cell>
          <cell r="AK6"/>
          <cell r="AL6"/>
          <cell r="AM6"/>
          <cell r="AN6"/>
          <cell r="AO6"/>
          <cell r="AP6"/>
          <cell r="AQ6">
            <v>43735</v>
          </cell>
          <cell r="AR6">
            <v>1838</v>
          </cell>
          <cell r="AS6">
            <v>43742</v>
          </cell>
          <cell r="AT6">
            <v>1831</v>
          </cell>
          <cell r="AU6" t="str">
            <v>VMAYOBUS</v>
          </cell>
        </row>
        <row r="7">
          <cell r="C7">
            <v>662596</v>
          </cell>
          <cell r="D7" t="str">
            <v>CABITU MALENA</v>
          </cell>
          <cell r="E7" t="str">
            <v>09:00 - 15:00</v>
          </cell>
          <cell r="F7" t="str">
            <v>MAÑANA</v>
          </cell>
          <cell r="G7" t="str">
            <v>SAB Y DOM</v>
          </cell>
          <cell r="H7" t="str">
            <v>VEGA, BRIAN NICOLAS</v>
          </cell>
          <cell r="I7" t="str">
            <v>Leandro Muñoz</v>
          </cell>
          <cell r="J7" t="str">
            <v>x</v>
          </cell>
          <cell r="K7"/>
          <cell r="L7" t="str">
            <v>x</v>
          </cell>
          <cell r="M7" t="str">
            <v>x</v>
          </cell>
          <cell r="N7" t="str">
            <v>x</v>
          </cell>
          <cell r="O7" t="str">
            <v>x</v>
          </cell>
          <cell r="P7" t="str">
            <v>x</v>
          </cell>
          <cell r="Q7"/>
          <cell r="R7" t="str">
            <v>x</v>
          </cell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 t="str">
            <v>x</v>
          </cell>
          <cell r="AO7" t="str">
            <v>x</v>
          </cell>
          <cell r="AP7"/>
          <cell r="AQ7">
            <v>42431</v>
          </cell>
          <cell r="AR7">
            <v>3142</v>
          </cell>
          <cell r="AS7">
            <v>44720</v>
          </cell>
          <cell r="AT7">
            <v>853</v>
          </cell>
          <cell r="AU7" t="str">
            <v>VMAMACAB</v>
          </cell>
        </row>
        <row r="8">
          <cell r="C8">
            <v>662182</v>
          </cell>
          <cell r="D8" t="str">
            <v>TARABINI CRISTINA</v>
          </cell>
          <cell r="E8" t="str">
            <v>06:00 - 12:00</v>
          </cell>
          <cell r="F8" t="str">
            <v>MAÑANA</v>
          </cell>
          <cell r="G8" t="str">
            <v>MAR Y DOM</v>
          </cell>
          <cell r="H8" t="str">
            <v>MOYANO, DAIANA SOLEDAD</v>
          </cell>
          <cell r="I8" t="str">
            <v>Romandetto Carlos</v>
          </cell>
          <cell r="J8" t="str">
            <v>x</v>
          </cell>
          <cell r="K8"/>
          <cell r="L8" t="str">
            <v>x</v>
          </cell>
          <cell r="M8" t="str">
            <v>x</v>
          </cell>
          <cell r="N8" t="str">
            <v>x</v>
          </cell>
          <cell r="O8"/>
          <cell r="P8"/>
          <cell r="Q8"/>
          <cell r="R8" t="str">
            <v>x</v>
          </cell>
          <cell r="S8"/>
          <cell r="T8"/>
          <cell r="U8"/>
          <cell r="V8"/>
          <cell r="W8"/>
          <cell r="X8"/>
          <cell r="Y8"/>
          <cell r="Z8"/>
          <cell r="AA8"/>
          <cell r="AB8"/>
          <cell r="AC8"/>
          <cell r="AD8"/>
          <cell r="AE8"/>
          <cell r="AF8"/>
          <cell r="AG8"/>
          <cell r="AH8"/>
          <cell r="AI8"/>
          <cell r="AJ8"/>
          <cell r="AK8"/>
          <cell r="AL8"/>
          <cell r="AM8"/>
          <cell r="AN8" t="str">
            <v>x</v>
          </cell>
          <cell r="AO8" t="str">
            <v>x</v>
          </cell>
          <cell r="AP8"/>
          <cell r="AQ8">
            <v>43049</v>
          </cell>
          <cell r="AR8">
            <v>2524</v>
          </cell>
          <cell r="AS8">
            <v>45526</v>
          </cell>
          <cell r="AT8">
            <v>47</v>
          </cell>
          <cell r="AU8" t="str">
            <v>VMACRTAR</v>
          </cell>
        </row>
        <row r="9">
          <cell r="C9">
            <v>661819</v>
          </cell>
          <cell r="D9" t="str">
            <v>CHAVEZ RODRIGO EMANUEL</v>
          </cell>
          <cell r="E9" t="str">
            <v>10:00 - 16:00</v>
          </cell>
          <cell r="F9" t="str">
            <v>MAÑANA</v>
          </cell>
          <cell r="G9" t="str">
            <v>MIE Y DOM</v>
          </cell>
          <cell r="H9" t="str">
            <v>LOUREIRO, FLORENCIA CANDELA</v>
          </cell>
          <cell r="I9" t="str">
            <v>Romandetto Carlos</v>
          </cell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 t="str">
            <v>x</v>
          </cell>
          <cell r="AJ9" t="str">
            <v>x</v>
          </cell>
          <cell r="AK9"/>
          <cell r="AL9"/>
          <cell r="AM9"/>
          <cell r="AN9"/>
          <cell r="AO9"/>
          <cell r="AP9"/>
          <cell r="AQ9">
            <v>42593</v>
          </cell>
          <cell r="AR9">
            <v>2980</v>
          </cell>
          <cell r="AS9">
            <v>42941</v>
          </cell>
          <cell r="AT9">
            <v>2632</v>
          </cell>
          <cell r="AU9" t="str">
            <v>VMARODCH</v>
          </cell>
        </row>
        <row r="10">
          <cell r="C10">
            <v>661915</v>
          </cell>
          <cell r="D10" t="str">
            <v>ENRIQUE NATALY SOL</v>
          </cell>
          <cell r="E10" t="str">
            <v>09:00 - 15:00</v>
          </cell>
          <cell r="F10" t="str">
            <v>MAÑANA</v>
          </cell>
          <cell r="G10" t="str">
            <v>SAB Y DOM</v>
          </cell>
          <cell r="H10" t="str">
            <v>VEGA, BRIAN NICOLAS</v>
          </cell>
          <cell r="I10" t="str">
            <v>Leandro Muñoz</v>
          </cell>
          <cell r="J10" t="str">
            <v>x</v>
          </cell>
          <cell r="K10"/>
          <cell r="L10" t="str">
            <v>x</v>
          </cell>
          <cell r="M10" t="str">
            <v>x</v>
          </cell>
          <cell r="N10" t="str">
            <v>x</v>
          </cell>
          <cell r="O10" t="str">
            <v>x</v>
          </cell>
          <cell r="P10" t="str">
            <v>x</v>
          </cell>
          <cell r="Q10"/>
          <cell r="R10" t="str">
            <v>x</v>
          </cell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 t="str">
            <v>x</v>
          </cell>
          <cell r="AN10"/>
          <cell r="AO10"/>
          <cell r="AP10"/>
          <cell r="AQ10">
            <v>42571</v>
          </cell>
          <cell r="AR10">
            <v>3002</v>
          </cell>
          <cell r="AS10">
            <v>44690</v>
          </cell>
          <cell r="AT10">
            <v>883</v>
          </cell>
          <cell r="AU10" t="str">
            <v>VMANAENR</v>
          </cell>
        </row>
        <row r="11">
          <cell r="C11">
            <v>663554</v>
          </cell>
          <cell r="D11" t="str">
            <v>ESPOSITO PRIETO PALOMA NAHIR</v>
          </cell>
          <cell r="E11" t="str">
            <v>06:00 - 12:00</v>
          </cell>
          <cell r="F11" t="str">
            <v>MAÑANA</v>
          </cell>
          <cell r="G11" t="str">
            <v>MIE Y SAB</v>
          </cell>
          <cell r="H11" t="str">
            <v>MOYANO, DAIANA SOLEDAD</v>
          </cell>
          <cell r="I11" t="str">
            <v>Romandetto Carlos</v>
          </cell>
          <cell r="J11"/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 t="str">
            <v>x</v>
          </cell>
          <cell r="AJ11" t="str">
            <v>x</v>
          </cell>
          <cell r="AK11"/>
          <cell r="AL11"/>
          <cell r="AM11"/>
          <cell r="AN11"/>
          <cell r="AO11"/>
          <cell r="AP11"/>
          <cell r="AQ11">
            <v>43788</v>
          </cell>
          <cell r="AR11">
            <v>1785</v>
          </cell>
          <cell r="AS11">
            <v>43798</v>
          </cell>
          <cell r="AT11">
            <v>1775</v>
          </cell>
          <cell r="AU11" t="str">
            <v>VMAPAESP</v>
          </cell>
        </row>
        <row r="12">
          <cell r="C12">
            <v>662358</v>
          </cell>
          <cell r="D12" t="str">
            <v>GARCIA NADIA SOLEDAD</v>
          </cell>
          <cell r="E12" t="str">
            <v>11:00 - 17:00</v>
          </cell>
          <cell r="F12" t="str">
            <v>MAÑANA</v>
          </cell>
          <cell r="G12" t="str">
            <v>MAR Y DOM</v>
          </cell>
          <cell r="H12" t="str">
            <v>ROBLEDO, YESICA DANIELA</v>
          </cell>
          <cell r="I12" t="str">
            <v>Romandetto Carlos</v>
          </cell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 t="str">
            <v>x</v>
          </cell>
          <cell r="AJ12" t="str">
            <v>x</v>
          </cell>
          <cell r="AK12"/>
          <cell r="AL12"/>
          <cell r="AM12"/>
          <cell r="AN12"/>
          <cell r="AO12"/>
          <cell r="AP12"/>
          <cell r="AQ12">
            <v>43759</v>
          </cell>
          <cell r="AR12">
            <v>1814</v>
          </cell>
          <cell r="AS12">
            <v>43769</v>
          </cell>
          <cell r="AT12">
            <v>1804</v>
          </cell>
          <cell r="AU12" t="str">
            <v>VMAGANAD</v>
          </cell>
        </row>
        <row r="13">
          <cell r="C13">
            <v>662460</v>
          </cell>
          <cell r="D13" t="str">
            <v>GUERRA MAXIMILIANO</v>
          </cell>
          <cell r="E13" t="str">
            <v>09:00 - 15:00</v>
          </cell>
          <cell r="F13" t="str">
            <v>MAÑANA</v>
          </cell>
          <cell r="G13" t="str">
            <v>SAB Y DOM</v>
          </cell>
          <cell r="H13" t="str">
            <v>VEGA, BRIAN NICOLAS</v>
          </cell>
          <cell r="I13" t="str">
            <v>Leandro Muñoz</v>
          </cell>
          <cell r="J13" t="str">
            <v>x</v>
          </cell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 t="str">
            <v>x</v>
          </cell>
          <cell r="AN13"/>
          <cell r="AO13"/>
          <cell r="AP13"/>
          <cell r="AQ13">
            <v>42396</v>
          </cell>
          <cell r="AR13">
            <v>3177</v>
          </cell>
          <cell r="AS13">
            <v>43550</v>
          </cell>
          <cell r="AT13">
            <v>2023</v>
          </cell>
          <cell r="AU13" t="str">
            <v>VMAMAGUE</v>
          </cell>
        </row>
        <row r="14">
          <cell r="C14">
            <v>661977</v>
          </cell>
          <cell r="D14" t="str">
            <v>LESCANO LUCIANA VANESA</v>
          </cell>
          <cell r="E14" t="str">
            <v>16:00 - 22:00</v>
          </cell>
          <cell r="F14" t="str">
            <v>TARDE</v>
          </cell>
          <cell r="G14" t="str">
            <v>SAB Y DOM</v>
          </cell>
          <cell r="H14" t="str">
            <v>YBARRA, LUCIA ALDANA</v>
          </cell>
          <cell r="I14" t="str">
            <v>Romandetto Carlos</v>
          </cell>
          <cell r="J14"/>
          <cell r="K14"/>
          <cell r="L14"/>
          <cell r="M14"/>
          <cell r="N14"/>
          <cell r="O14"/>
          <cell r="P14"/>
          <cell r="Q14"/>
          <cell r="R14"/>
          <cell r="S14"/>
          <cell r="T14"/>
          <cell r="U14"/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 t="str">
            <v>x</v>
          </cell>
          <cell r="AJ14" t="str">
            <v>x</v>
          </cell>
          <cell r="AK14"/>
          <cell r="AL14"/>
          <cell r="AM14"/>
          <cell r="AN14"/>
          <cell r="AO14"/>
          <cell r="AP14"/>
          <cell r="AQ14">
            <v>42586</v>
          </cell>
          <cell r="AR14">
            <v>2987</v>
          </cell>
          <cell r="AS14">
            <v>42632</v>
          </cell>
          <cell r="AT14">
            <v>2941</v>
          </cell>
          <cell r="AU14" t="str">
            <v>VMALULES</v>
          </cell>
        </row>
        <row r="15">
          <cell r="C15">
            <v>661872</v>
          </cell>
          <cell r="D15" t="str">
            <v>PERALTA ACEVEDO KAREN JOHANNA</v>
          </cell>
          <cell r="E15" t="str">
            <v>06:00 - 12:00</v>
          </cell>
          <cell r="F15" t="str">
            <v>MAÑANA</v>
          </cell>
          <cell r="G15" t="str">
            <v>SAB Y DOM</v>
          </cell>
          <cell r="H15" t="str">
            <v>MOYANO, DAIANA SOLEDAD</v>
          </cell>
          <cell r="I15" t="str">
            <v>Romandetto Carlos</v>
          </cell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 t="str">
            <v>x</v>
          </cell>
          <cell r="AJ15" t="str">
            <v>x</v>
          </cell>
          <cell r="AK15"/>
          <cell r="AL15"/>
          <cell r="AM15"/>
          <cell r="AN15"/>
          <cell r="AO15"/>
          <cell r="AP15"/>
          <cell r="AQ15">
            <v>43049</v>
          </cell>
          <cell r="AR15">
            <v>2524</v>
          </cell>
          <cell r="AS15">
            <v>43823</v>
          </cell>
          <cell r="AT15">
            <v>1750</v>
          </cell>
          <cell r="AU15" t="str">
            <v>VMAKAPER</v>
          </cell>
        </row>
        <row r="16">
          <cell r="C16">
            <v>662238</v>
          </cell>
          <cell r="D16" t="str">
            <v>RETAMAL CAMILA NATALY</v>
          </cell>
          <cell r="E16" t="str">
            <v>10:00 - 16:00</v>
          </cell>
          <cell r="F16" t="str">
            <v>MAÑANA</v>
          </cell>
          <cell r="G16" t="str">
            <v>VIE Y SAB</v>
          </cell>
          <cell r="H16" t="str">
            <v>RUIZ, TOMAS EMANUEL</v>
          </cell>
          <cell r="I16" t="str">
            <v>Romandetto Carlos</v>
          </cell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 t="str">
            <v>x</v>
          </cell>
          <cell r="AJ16" t="str">
            <v>x</v>
          </cell>
          <cell r="AK16"/>
          <cell r="AL16"/>
          <cell r="AM16"/>
          <cell r="AN16"/>
          <cell r="AO16"/>
          <cell r="AP16"/>
          <cell r="AQ16">
            <v>43717</v>
          </cell>
          <cell r="AR16">
            <v>1856</v>
          </cell>
          <cell r="AS16">
            <v>44551</v>
          </cell>
          <cell r="AT16">
            <v>1022</v>
          </cell>
          <cell r="AU16" t="str">
            <v>VMACARET</v>
          </cell>
        </row>
        <row r="17">
          <cell r="C17">
            <v>661783</v>
          </cell>
          <cell r="D17" t="str">
            <v>SANDOVAL ANGELICA SALOME</v>
          </cell>
          <cell r="E17" t="str">
            <v>16:00 - 22:00</v>
          </cell>
          <cell r="F17" t="str">
            <v>TARDE</v>
          </cell>
          <cell r="G17" t="str">
            <v>VIE Y DOM</v>
          </cell>
          <cell r="H17" t="str">
            <v>PELOC, MARIA SOLEDAD</v>
          </cell>
          <cell r="I17" t="str">
            <v>Romandetto Carlos</v>
          </cell>
          <cell r="J17" t="str">
            <v>x</v>
          </cell>
          <cell r="K17"/>
          <cell r="L17" t="str">
            <v>x</v>
          </cell>
          <cell r="M17" t="str">
            <v>x</v>
          </cell>
          <cell r="N17" t="str">
            <v>x</v>
          </cell>
          <cell r="O17"/>
          <cell r="P17"/>
          <cell r="Q17"/>
          <cell r="R17" t="str">
            <v>x</v>
          </cell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 t="str">
            <v>x</v>
          </cell>
          <cell r="AO17" t="str">
            <v>x</v>
          </cell>
          <cell r="AP17"/>
          <cell r="AQ17">
            <v>43262</v>
          </cell>
          <cell r="AR17">
            <v>2311</v>
          </cell>
          <cell r="AS17">
            <v>45509</v>
          </cell>
          <cell r="AT17">
            <v>64</v>
          </cell>
          <cell r="AU17" t="str">
            <v>VMAANSAN</v>
          </cell>
        </row>
        <row r="18">
          <cell r="C18">
            <v>662620</v>
          </cell>
          <cell r="D18" t="str">
            <v>SANTILLAN YAMILA JAZMIN</v>
          </cell>
          <cell r="E18" t="str">
            <v>10:00 - 16:00</v>
          </cell>
          <cell r="F18" t="str">
            <v>MAÑANA</v>
          </cell>
          <cell r="G18" t="str">
            <v>JUE Y DOM</v>
          </cell>
          <cell r="H18" t="str">
            <v>ROBLEDO, YESICA DANIELA</v>
          </cell>
          <cell r="I18" t="str">
            <v>Romandetto Carlos</v>
          </cell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 t="str">
            <v>x</v>
          </cell>
          <cell r="AJ18" t="str">
            <v>x</v>
          </cell>
          <cell r="AK18"/>
          <cell r="AL18"/>
          <cell r="AM18"/>
          <cell r="AN18"/>
          <cell r="AO18"/>
          <cell r="AP18"/>
          <cell r="AQ18">
            <v>42440</v>
          </cell>
          <cell r="AR18">
            <v>3133</v>
          </cell>
          <cell r="AS18">
            <v>42716</v>
          </cell>
          <cell r="AT18">
            <v>2857</v>
          </cell>
          <cell r="AU18" t="str">
            <v>VMAYASAN</v>
          </cell>
        </row>
        <row r="19">
          <cell r="C19">
            <v>662816</v>
          </cell>
          <cell r="D19" t="str">
            <v>TARABINI GLORIA INES</v>
          </cell>
          <cell r="E19" t="str">
            <v>06:00 - 12:00</v>
          </cell>
          <cell r="F19" t="str">
            <v>MAÑANA</v>
          </cell>
          <cell r="G19" t="str">
            <v>JUE Y DOM</v>
          </cell>
          <cell r="H19" t="str">
            <v>MOYANO, DAIANA SOLEDAD</v>
          </cell>
          <cell r="I19" t="str">
            <v>Romandetto Carlos</v>
          </cell>
          <cell r="J19" t="str">
            <v>x</v>
          </cell>
          <cell r="K19"/>
          <cell r="L19" t="str">
            <v>x</v>
          </cell>
          <cell r="M19" t="str">
            <v>x</v>
          </cell>
          <cell r="N19" t="str">
            <v>x</v>
          </cell>
          <cell r="O19"/>
          <cell r="P19"/>
          <cell r="Q19"/>
          <cell r="R19" t="str">
            <v>x</v>
          </cell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 t="str">
            <v>x</v>
          </cell>
          <cell r="AO19" t="str">
            <v>x</v>
          </cell>
          <cell r="AP19"/>
          <cell r="AQ19">
            <v>43249</v>
          </cell>
          <cell r="AR19">
            <v>2324</v>
          </cell>
          <cell r="AS19">
            <v>45526</v>
          </cell>
          <cell r="AT19">
            <v>47</v>
          </cell>
          <cell r="AU19" t="str">
            <v>VMAGLTAR</v>
          </cell>
        </row>
        <row r="20">
          <cell r="C20">
            <v>665570</v>
          </cell>
          <cell r="D20" t="str">
            <v>ULIELDIN DANIELA ALEJANDRA</v>
          </cell>
          <cell r="E20" t="str">
            <v>09:00 - 15:00</v>
          </cell>
          <cell r="F20" t="str">
            <v>MAÑANA</v>
          </cell>
          <cell r="G20" t="str">
            <v>JUE Y SAB</v>
          </cell>
          <cell r="H20" t="str">
            <v>GROESMANN, MAYA JUDITH</v>
          </cell>
          <cell r="I20" t="str">
            <v>Romandetto Carlos</v>
          </cell>
          <cell r="J20" t="str">
            <v>x</v>
          </cell>
          <cell r="K20"/>
          <cell r="L20" t="str">
            <v>x</v>
          </cell>
          <cell r="M20" t="str">
            <v>x</v>
          </cell>
          <cell r="N20" t="str">
            <v>x</v>
          </cell>
          <cell r="O20"/>
          <cell r="P20"/>
          <cell r="Q20"/>
          <cell r="R20" t="str">
            <v>x</v>
          </cell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 t="str">
            <v>x</v>
          </cell>
          <cell r="AN20"/>
          <cell r="AO20"/>
          <cell r="AP20"/>
          <cell r="AQ20">
            <v>43129</v>
          </cell>
          <cell r="AR20">
            <v>2444</v>
          </cell>
          <cell r="AS20">
            <v>45509</v>
          </cell>
          <cell r="AT20">
            <v>64</v>
          </cell>
          <cell r="AU20" t="str">
            <v>VMADAULI</v>
          </cell>
        </row>
        <row r="21">
          <cell r="C21">
            <v>661748</v>
          </cell>
          <cell r="D21" t="str">
            <v>URTAZUN LUCIA ANAHI</v>
          </cell>
          <cell r="E21" t="str">
            <v>09:00 - 15:00</v>
          </cell>
          <cell r="F21" t="str">
            <v>MAÑANA</v>
          </cell>
          <cell r="G21" t="str">
            <v>SAB Y DOM</v>
          </cell>
          <cell r="H21" t="str">
            <v>VEGA, BRIAN NICOLAS</v>
          </cell>
          <cell r="I21" t="str">
            <v>Leandro Muñoz</v>
          </cell>
          <cell r="J21" t="str">
            <v>x</v>
          </cell>
          <cell r="K21"/>
          <cell r="L21"/>
          <cell r="M21" t="str">
            <v>x</v>
          </cell>
          <cell r="N21"/>
          <cell r="O21"/>
          <cell r="P21"/>
          <cell r="Q21"/>
          <cell r="R21" t="str">
            <v>x</v>
          </cell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 t="str">
            <v>x</v>
          </cell>
          <cell r="AN21"/>
          <cell r="AO21"/>
          <cell r="AP21"/>
          <cell r="AQ21">
            <v>43213</v>
          </cell>
          <cell r="AR21">
            <v>2360</v>
          </cell>
          <cell r="AS21">
            <v>44720</v>
          </cell>
          <cell r="AT21">
            <v>853</v>
          </cell>
          <cell r="AU21" t="str">
            <v>VMALUURT</v>
          </cell>
        </row>
        <row r="22">
          <cell r="C22">
            <v>662112</v>
          </cell>
          <cell r="D22" t="str">
            <v>VELIZ NORBERTO DANIEL</v>
          </cell>
          <cell r="E22" t="str">
            <v>16:00 - 22:00</v>
          </cell>
          <cell r="F22" t="str">
            <v>TARDE</v>
          </cell>
          <cell r="G22" t="str">
            <v>SAB Y DOM</v>
          </cell>
          <cell r="H22" t="str">
            <v>PELOC, MARIA SOLEDAD</v>
          </cell>
          <cell r="I22" t="str">
            <v>Romandetto Carlos</v>
          </cell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 t="str">
            <v>x</v>
          </cell>
          <cell r="AJ22" t="str">
            <v>x</v>
          </cell>
          <cell r="AK22"/>
          <cell r="AL22"/>
          <cell r="AM22"/>
          <cell r="AN22"/>
          <cell r="AO22"/>
          <cell r="AP22"/>
          <cell r="AQ22">
            <v>42662</v>
          </cell>
          <cell r="AR22">
            <v>2911</v>
          </cell>
          <cell r="AS22">
            <v>42814</v>
          </cell>
          <cell r="AT22">
            <v>2759</v>
          </cell>
          <cell r="AU22" t="str">
            <v>VMANOVEL</v>
          </cell>
        </row>
        <row r="23">
          <cell r="C23">
            <v>605711</v>
          </cell>
          <cell r="D23" t="str">
            <v>FERREIRA AGUSTINA</v>
          </cell>
          <cell r="E23" t="str">
            <v>06:00 - 12:00</v>
          </cell>
          <cell r="F23" t="str">
            <v>MAÑANA</v>
          </cell>
          <cell r="G23" t="str">
            <v>JUE Y DOM</v>
          </cell>
          <cell r="H23" t="str">
            <v>MOYANO, DAIANA SOLEDAD</v>
          </cell>
          <cell r="I23" t="str">
            <v>Romandetto Carlos</v>
          </cell>
          <cell r="J23" t="str">
            <v>x</v>
          </cell>
          <cell r="K23"/>
          <cell r="L23" t="str">
            <v>x</v>
          </cell>
          <cell r="M23" t="str">
            <v>x</v>
          </cell>
          <cell r="N23" t="str">
            <v>x</v>
          </cell>
          <cell r="O23" t="str">
            <v>x</v>
          </cell>
          <cell r="P23" t="str">
            <v>x</v>
          </cell>
          <cell r="Q23" t="str">
            <v>x</v>
          </cell>
          <cell r="R23" t="str">
            <v>x</v>
          </cell>
          <cell r="S23" t="str">
            <v>x</v>
          </cell>
          <cell r="T23" t="str">
            <v>x</v>
          </cell>
          <cell r="U23" t="str">
            <v>x</v>
          </cell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 t="str">
            <v>x</v>
          </cell>
          <cell r="AO23"/>
          <cell r="AP23" t="str">
            <v>x</v>
          </cell>
          <cell r="AQ23">
            <v>43843</v>
          </cell>
          <cell r="AR23">
            <v>1730</v>
          </cell>
          <cell r="AS23">
            <v>45070</v>
          </cell>
          <cell r="AT23">
            <v>503</v>
          </cell>
          <cell r="AU23" t="str">
            <v>vmaagfer</v>
          </cell>
        </row>
        <row r="24">
          <cell r="C24">
            <v>605542</v>
          </cell>
          <cell r="D24" t="str">
            <v>STRECK DANIELA MAILEN</v>
          </cell>
          <cell r="E24" t="str">
            <v>10:00 - 16:00</v>
          </cell>
          <cell r="F24" t="str">
            <v>MAÑANA</v>
          </cell>
          <cell r="G24" t="str">
            <v>SAB Y DOM</v>
          </cell>
          <cell r="H24" t="str">
            <v>ROBLEDO, YESICA DANIELA</v>
          </cell>
          <cell r="I24" t="str">
            <v>Romandetto Carlos</v>
          </cell>
          <cell r="J24" t="str">
            <v>x</v>
          </cell>
          <cell r="K24"/>
          <cell r="L24" t="str">
            <v>x</v>
          </cell>
          <cell r="M24" t="str">
            <v>x</v>
          </cell>
          <cell r="N24" t="str">
            <v>x</v>
          </cell>
          <cell r="O24"/>
          <cell r="P24"/>
          <cell r="Q24"/>
          <cell r="R24" t="str">
            <v>x</v>
          </cell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>
            <v>44188</v>
          </cell>
          <cell r="AR24">
            <v>1385</v>
          </cell>
          <cell r="AS24">
            <v>45565</v>
          </cell>
          <cell r="AT24">
            <v>8</v>
          </cell>
          <cell r="AU24" t="str">
            <v>VMADASTR</v>
          </cell>
        </row>
        <row r="25">
          <cell r="C25">
            <v>605515</v>
          </cell>
          <cell r="D25" t="str">
            <v>SALVI VALENTIN ALEJANDRO</v>
          </cell>
          <cell r="E25" t="str">
            <v>09:00 - 15:00</v>
          </cell>
          <cell r="F25" t="str">
            <v>MAÑANA</v>
          </cell>
          <cell r="G25" t="str">
            <v>JUE Y SAB</v>
          </cell>
          <cell r="H25" t="str">
            <v>LOUREIRO, FLORENCIA CANDELA</v>
          </cell>
          <cell r="I25" t="str">
            <v>Romandetto Carlos</v>
          </cell>
          <cell r="J25" t="str">
            <v>x</v>
          </cell>
          <cell r="K25"/>
          <cell r="L25" t="str">
            <v>x</v>
          </cell>
          <cell r="M25" t="str">
            <v>x</v>
          </cell>
          <cell r="N25" t="str">
            <v>x</v>
          </cell>
          <cell r="O25" t="str">
            <v>x</v>
          </cell>
          <cell r="P25" t="str">
            <v>x</v>
          </cell>
          <cell r="Q25" t="str">
            <v>x</v>
          </cell>
          <cell r="R25" t="str">
            <v>x</v>
          </cell>
          <cell r="S25" t="str">
            <v>x</v>
          </cell>
          <cell r="T25" t="str">
            <v>x</v>
          </cell>
          <cell r="U25" t="str">
            <v>x</v>
          </cell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 t="str">
            <v>x</v>
          </cell>
          <cell r="AO25"/>
          <cell r="AP25" t="str">
            <v>x</v>
          </cell>
          <cell r="AQ25">
            <v>44167</v>
          </cell>
          <cell r="AR25">
            <v>1406</v>
          </cell>
          <cell r="AS25">
            <v>45070</v>
          </cell>
          <cell r="AT25">
            <v>503</v>
          </cell>
          <cell r="AU25" t="str">
            <v>VMAVASAL</v>
          </cell>
        </row>
        <row r="26">
          <cell r="C26">
            <v>605722</v>
          </cell>
          <cell r="D26" t="str">
            <v>REVOLLO DAIANA DENISE</v>
          </cell>
          <cell r="E26" t="str">
            <v>09:00 - 15:00</v>
          </cell>
          <cell r="F26" t="str">
            <v>MAÑANA</v>
          </cell>
          <cell r="G26" t="str">
            <v>SAB Y DOM</v>
          </cell>
          <cell r="H26" t="str">
            <v>MOYANO, DAIANA SOLEDAD</v>
          </cell>
          <cell r="I26" t="str">
            <v>Romandetto Carlos</v>
          </cell>
          <cell r="J26" t="str">
            <v>x</v>
          </cell>
          <cell r="K26"/>
          <cell r="L26" t="str">
            <v>x</v>
          </cell>
          <cell r="M26" t="str">
            <v>x</v>
          </cell>
          <cell r="N26" t="str">
            <v>x</v>
          </cell>
          <cell r="O26"/>
          <cell r="P26"/>
          <cell r="Q26"/>
          <cell r="R26" t="str">
            <v>x</v>
          </cell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 t="str">
            <v>x</v>
          </cell>
          <cell r="AO26" t="str">
            <v>x</v>
          </cell>
          <cell r="AP26"/>
          <cell r="AQ26">
            <v>44207</v>
          </cell>
          <cell r="AR26">
            <v>1366</v>
          </cell>
          <cell r="AS26">
            <v>45443</v>
          </cell>
          <cell r="AT26">
            <v>130</v>
          </cell>
          <cell r="AU26" t="str">
            <v>VMADAREV</v>
          </cell>
        </row>
        <row r="27">
          <cell r="C27">
            <v>605704</v>
          </cell>
          <cell r="D27" t="str">
            <v>RODRIGUEZ NANCY NATALI</v>
          </cell>
          <cell r="E27" t="str">
            <v>09:00 - 15:00</v>
          </cell>
          <cell r="F27" t="str">
            <v>MAÑANA</v>
          </cell>
          <cell r="G27" t="str">
            <v>SAB Y DOM</v>
          </cell>
          <cell r="H27" t="str">
            <v>LOUREIRO, FLORENCIA CANDELA</v>
          </cell>
          <cell r="I27" t="str">
            <v>Romandetto Carlos</v>
          </cell>
          <cell r="J27" t="str">
            <v>x</v>
          </cell>
          <cell r="K27"/>
          <cell r="L27" t="str">
            <v>x</v>
          </cell>
          <cell r="M27" t="str">
            <v>x</v>
          </cell>
          <cell r="N27" t="str">
            <v>x</v>
          </cell>
          <cell r="O27"/>
          <cell r="P27"/>
          <cell r="Q27"/>
          <cell r="R27" t="str">
            <v>x</v>
          </cell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 t="str">
            <v>x</v>
          </cell>
          <cell r="AN27" t="str">
            <v>x</v>
          </cell>
          <cell r="AO27" t="str">
            <v>x</v>
          </cell>
          <cell r="AP27"/>
          <cell r="AQ27">
            <v>44207</v>
          </cell>
          <cell r="AR27">
            <v>1366</v>
          </cell>
          <cell r="AS27">
            <v>45495</v>
          </cell>
          <cell r="AT27">
            <v>78</v>
          </cell>
          <cell r="AU27" t="str">
            <v>VMANAROD</v>
          </cell>
        </row>
        <row r="28">
          <cell r="C28">
            <v>665678</v>
          </cell>
          <cell r="D28" t="str">
            <v>GOMEZ ROCIO BELEN</v>
          </cell>
          <cell r="E28" t="str">
            <v>06:00 - 12:00</v>
          </cell>
          <cell r="F28" t="str">
            <v>MAÑANA</v>
          </cell>
          <cell r="G28" t="str">
            <v>SAB Y DOM</v>
          </cell>
          <cell r="H28" t="str">
            <v>MOYANO, DAIANA SOLEDAD</v>
          </cell>
          <cell r="I28" t="str">
            <v>Romandetto Carlos</v>
          </cell>
          <cell r="J28" t="str">
            <v>x</v>
          </cell>
          <cell r="K28"/>
          <cell r="L28" t="str">
            <v>x</v>
          </cell>
          <cell r="M28" t="str">
            <v>x</v>
          </cell>
          <cell r="N28" t="str">
            <v>x</v>
          </cell>
          <cell r="O28" t="str">
            <v>x</v>
          </cell>
          <cell r="P28" t="str">
            <v>x</v>
          </cell>
          <cell r="Q28" t="str">
            <v>x</v>
          </cell>
          <cell r="R28" t="str">
            <v>x</v>
          </cell>
          <cell r="S28" t="str">
            <v>x</v>
          </cell>
          <cell r="T28" t="str">
            <v>x</v>
          </cell>
          <cell r="U28" t="str">
            <v>x</v>
          </cell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 t="str">
            <v>x</v>
          </cell>
          <cell r="AO28"/>
          <cell r="AP28" t="str">
            <v>x</v>
          </cell>
          <cell r="AQ28">
            <v>44207</v>
          </cell>
          <cell r="AR28">
            <v>1366</v>
          </cell>
          <cell r="AS28">
            <v>45070</v>
          </cell>
          <cell r="AT28">
            <v>503</v>
          </cell>
          <cell r="AU28" t="str">
            <v>VMAROGOM</v>
          </cell>
        </row>
        <row r="29">
          <cell r="C29">
            <v>663078</v>
          </cell>
          <cell r="D29" t="str">
            <v>SOSA LUCIA NAIARA</v>
          </cell>
          <cell r="E29" t="str">
            <v>06:00 - 12:00</v>
          </cell>
          <cell r="F29" t="str">
            <v>MAÑANA</v>
          </cell>
          <cell r="G29" t="str">
            <v>SAB Y DOM</v>
          </cell>
          <cell r="H29" t="str">
            <v>GROESMANN, MAYA JUDITH</v>
          </cell>
          <cell r="I29" t="str">
            <v>Romandetto Carlos</v>
          </cell>
          <cell r="J29" t="str">
            <v>x</v>
          </cell>
          <cell r="K29"/>
          <cell r="L29" t="str">
            <v>x</v>
          </cell>
          <cell r="M29" t="str">
            <v>x</v>
          </cell>
          <cell r="N29" t="str">
            <v>x</v>
          </cell>
          <cell r="O29" t="str">
            <v>x</v>
          </cell>
          <cell r="P29"/>
          <cell r="Q29"/>
          <cell r="R29" t="str">
            <v>x</v>
          </cell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 t="str">
            <v>x</v>
          </cell>
          <cell r="AO29" t="str">
            <v>x</v>
          </cell>
          <cell r="AP29"/>
          <cell r="AQ29">
            <v>44207</v>
          </cell>
          <cell r="AR29">
            <v>1366</v>
          </cell>
          <cell r="AS29">
            <v>45034</v>
          </cell>
          <cell r="AT29">
            <v>539</v>
          </cell>
          <cell r="AU29" t="str">
            <v>VMALUSOS</v>
          </cell>
        </row>
        <row r="30">
          <cell r="C30">
            <v>605532</v>
          </cell>
          <cell r="D30" t="str">
            <v>PANDOLFELLI FLORENCIA</v>
          </cell>
          <cell r="E30" t="str">
            <v>09:00 - 15:00</v>
          </cell>
          <cell r="F30" t="str">
            <v>MAÑANA</v>
          </cell>
          <cell r="G30" t="str">
            <v>SAB Y DOM</v>
          </cell>
          <cell r="H30" t="str">
            <v>RUIZ, TOMAS EMANUEL</v>
          </cell>
          <cell r="I30" t="str">
            <v>Romandetto Carlos</v>
          </cell>
          <cell r="J30" t="str">
            <v>x</v>
          </cell>
          <cell r="K30"/>
          <cell r="L30" t="str">
            <v>x</v>
          </cell>
          <cell r="M30" t="str">
            <v>x</v>
          </cell>
          <cell r="N30" t="str">
            <v>x</v>
          </cell>
          <cell r="O30"/>
          <cell r="P30"/>
          <cell r="Q30"/>
          <cell r="R30" t="str">
            <v>x</v>
          </cell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 t="str">
            <v>x</v>
          </cell>
          <cell r="AO30" t="str">
            <v>x</v>
          </cell>
          <cell r="AP30"/>
          <cell r="AQ30">
            <v>44452</v>
          </cell>
          <cell r="AR30">
            <v>1121</v>
          </cell>
          <cell r="AS30">
            <v>45495</v>
          </cell>
          <cell r="AT30">
            <v>78</v>
          </cell>
          <cell r="AU30" t="str">
            <v>VMAFLPAN</v>
          </cell>
        </row>
        <row r="31">
          <cell r="C31">
            <v>605503</v>
          </cell>
          <cell r="D31" t="str">
            <v>RUSSO ROCIO BELEN</v>
          </cell>
          <cell r="E31" t="str">
            <v>10:00 - 16:00</v>
          </cell>
          <cell r="F31" t="str">
            <v>MAÑANA</v>
          </cell>
          <cell r="G31" t="str">
            <v>SAB Y DOM</v>
          </cell>
          <cell r="H31" t="str">
            <v>ROBLEDO, YESICA DANIELA</v>
          </cell>
          <cell r="I31" t="str">
            <v>Romandetto Carlos</v>
          </cell>
          <cell r="J31" t="str">
            <v>x</v>
          </cell>
          <cell r="K31"/>
          <cell r="L31" t="str">
            <v>x</v>
          </cell>
          <cell r="M31" t="str">
            <v>x</v>
          </cell>
          <cell r="N31" t="str">
            <v>x</v>
          </cell>
          <cell r="O31"/>
          <cell r="P31"/>
          <cell r="Q31"/>
          <cell r="R31" t="str">
            <v>x</v>
          </cell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 t="str">
            <v>x</v>
          </cell>
          <cell r="AO31" t="str">
            <v>x</v>
          </cell>
          <cell r="AP31"/>
          <cell r="AQ31">
            <v>44452</v>
          </cell>
          <cell r="AR31">
            <v>1121</v>
          </cell>
          <cell r="AS31">
            <v>45495</v>
          </cell>
          <cell r="AT31">
            <v>78</v>
          </cell>
          <cell r="AU31" t="str">
            <v>VMARORUS</v>
          </cell>
        </row>
        <row r="32">
          <cell r="C32">
            <v>609919</v>
          </cell>
          <cell r="D32" t="str">
            <v>CARDOSO LUDMILA PAMELA</v>
          </cell>
          <cell r="E32" t="str">
            <v>08:00 - 14:00</v>
          </cell>
          <cell r="F32" t="str">
            <v>MAÑANA</v>
          </cell>
          <cell r="G32" t="str">
            <v>SAB Y DOM</v>
          </cell>
          <cell r="H32" t="str">
            <v>RUIZ, TOMAS EMANUEL</v>
          </cell>
          <cell r="I32" t="str">
            <v>Romandetto Carlos</v>
          </cell>
          <cell r="J32" t="str">
            <v>x</v>
          </cell>
          <cell r="K32"/>
          <cell r="L32" t="str">
            <v>x</v>
          </cell>
          <cell r="M32" t="str">
            <v>x</v>
          </cell>
          <cell r="N32" t="str">
            <v>x</v>
          </cell>
          <cell r="O32"/>
          <cell r="P32"/>
          <cell r="Q32" t="str">
            <v>x</v>
          </cell>
          <cell r="R32" t="str">
            <v>x</v>
          </cell>
          <cell r="S32" t="str">
            <v>x</v>
          </cell>
          <cell r="T32" t="str">
            <v>x</v>
          </cell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 t="str">
            <v>x</v>
          </cell>
          <cell r="AO32"/>
          <cell r="AP32" t="str">
            <v>x</v>
          </cell>
          <cell r="AQ32">
            <v>44505</v>
          </cell>
          <cell r="AR32">
            <v>1068</v>
          </cell>
          <cell r="AS32">
            <v>45322</v>
          </cell>
          <cell r="AT32">
            <v>251</v>
          </cell>
          <cell r="AU32" t="str">
            <v>VMALUCAR</v>
          </cell>
        </row>
        <row r="33">
          <cell r="C33">
            <v>609727</v>
          </cell>
          <cell r="D33" t="str">
            <v>ZALAZAR BRAIAN EDGARDO</v>
          </cell>
          <cell r="E33" t="str">
            <v>09:00 - 15:00</v>
          </cell>
          <cell r="F33" t="str">
            <v>MAÑANA</v>
          </cell>
          <cell r="G33" t="str">
            <v>JUE Y SAB</v>
          </cell>
          <cell r="H33" t="str">
            <v>ROBLEDO, LEANDRO JAVIER</v>
          </cell>
          <cell r="I33" t="str">
            <v>Romandetto Carlos</v>
          </cell>
          <cell r="J33"/>
          <cell r="K33"/>
          <cell r="L33" t="str">
            <v>x</v>
          </cell>
          <cell r="M33" t="str">
            <v>x</v>
          </cell>
          <cell r="N33" t="str">
            <v>x</v>
          </cell>
          <cell r="O33" t="str">
            <v>x</v>
          </cell>
          <cell r="P33" t="str">
            <v>x</v>
          </cell>
          <cell r="Q33" t="str">
            <v>x</v>
          </cell>
          <cell r="R33" t="str">
            <v>x</v>
          </cell>
          <cell r="S33" t="str">
            <v>x</v>
          </cell>
          <cell r="T33" t="str">
            <v>x</v>
          </cell>
          <cell r="U33" t="str">
            <v>x</v>
          </cell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 t="str">
            <v>x</v>
          </cell>
          <cell r="AO33"/>
          <cell r="AP33" t="str">
            <v>x</v>
          </cell>
          <cell r="AQ33">
            <v>44505</v>
          </cell>
          <cell r="AR33">
            <v>1068</v>
          </cell>
          <cell r="AS33">
            <v>45070</v>
          </cell>
          <cell r="AT33">
            <v>503</v>
          </cell>
          <cell r="AU33" t="str">
            <v>VMABRZAL</v>
          </cell>
        </row>
        <row r="34">
          <cell r="C34">
            <v>609708</v>
          </cell>
          <cell r="D34" t="str">
            <v>CASCO NAHUEL MARTIN</v>
          </cell>
          <cell r="E34" t="str">
            <v>09:00 - 15:00</v>
          </cell>
          <cell r="F34" t="str">
            <v>MAÑANA</v>
          </cell>
          <cell r="G34" t="str">
            <v>VIE Y DOM</v>
          </cell>
          <cell r="H34" t="str">
            <v>VILLALBA, VICTORIA</v>
          </cell>
          <cell r="I34" t="str">
            <v>Romandetto Carlos</v>
          </cell>
          <cell r="J34" t="str">
            <v>x</v>
          </cell>
          <cell r="K34"/>
          <cell r="L34" t="str">
            <v>x</v>
          </cell>
          <cell r="M34" t="str">
            <v>x</v>
          </cell>
          <cell r="N34" t="str">
            <v>x</v>
          </cell>
          <cell r="O34"/>
          <cell r="P34"/>
          <cell r="Q34"/>
          <cell r="R34" t="str">
            <v>x</v>
          </cell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 t="str">
            <v>x</v>
          </cell>
          <cell r="AO34" t="str">
            <v>x</v>
          </cell>
          <cell r="AP34"/>
          <cell r="AQ34">
            <v>44505</v>
          </cell>
          <cell r="AR34">
            <v>1068</v>
          </cell>
          <cell r="AS34">
            <v>45471</v>
          </cell>
          <cell r="AT34">
            <v>102</v>
          </cell>
          <cell r="AU34" t="str">
            <v>VMANACAS</v>
          </cell>
        </row>
        <row r="35">
          <cell r="C35">
            <v>665612</v>
          </cell>
          <cell r="D35" t="str">
            <v>GOMEZ MICAELA AYLEN</v>
          </cell>
          <cell r="E35" t="str">
            <v>10:00 - 16:00</v>
          </cell>
          <cell r="F35" t="str">
            <v>MAÑANA</v>
          </cell>
          <cell r="G35" t="str">
            <v>SAB Y DOM</v>
          </cell>
          <cell r="H35" t="str">
            <v>GROESMANN, MAYA JUDITH</v>
          </cell>
          <cell r="I35" t="str">
            <v>Romandetto Carlos</v>
          </cell>
          <cell r="J35"/>
          <cell r="K35"/>
          <cell r="L35" t="str">
            <v>x</v>
          </cell>
          <cell r="M35" t="str">
            <v>x</v>
          </cell>
          <cell r="N35" t="str">
            <v>x</v>
          </cell>
          <cell r="O35"/>
          <cell r="P35"/>
          <cell r="Q35" t="str">
            <v>x</v>
          </cell>
          <cell r="R35" t="str">
            <v>x</v>
          </cell>
          <cell r="S35" t="str">
            <v>x</v>
          </cell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 t="str">
            <v>x</v>
          </cell>
          <cell r="AO35"/>
          <cell r="AP35" t="str">
            <v>x</v>
          </cell>
          <cell r="AQ35">
            <v>44505</v>
          </cell>
          <cell r="AR35">
            <v>1068</v>
          </cell>
          <cell r="AS35">
            <v>45338</v>
          </cell>
          <cell r="AT35">
            <v>235</v>
          </cell>
          <cell r="AU35" t="str">
            <v>VMAMIGOM</v>
          </cell>
        </row>
        <row r="36">
          <cell r="C36">
            <v>605778</v>
          </cell>
          <cell r="D36" t="str">
            <v>NOGUEIRA CELESTE AYLEN</v>
          </cell>
          <cell r="E36" t="str">
            <v>06:00 - 12:00</v>
          </cell>
          <cell r="F36" t="str">
            <v>MAÑANA</v>
          </cell>
          <cell r="G36" t="str">
            <v>MAR Y SAB</v>
          </cell>
          <cell r="H36" t="str">
            <v>MOYANO, DAIANA SOLEDAD</v>
          </cell>
          <cell r="I36" t="str">
            <v>Romandetto Carlos</v>
          </cell>
          <cell r="J36" t="str">
            <v>x</v>
          </cell>
          <cell r="K36"/>
          <cell r="L36" t="str">
            <v>x</v>
          </cell>
          <cell r="M36" t="str">
            <v>x</v>
          </cell>
          <cell r="N36" t="str">
            <v>x</v>
          </cell>
          <cell r="O36" t="str">
            <v>x</v>
          </cell>
          <cell r="P36" t="str">
            <v>x</v>
          </cell>
          <cell r="Q36" t="str">
            <v>x</v>
          </cell>
          <cell r="R36" t="str">
            <v>x</v>
          </cell>
          <cell r="S36" t="str">
            <v>x</v>
          </cell>
          <cell r="T36" t="str">
            <v>x</v>
          </cell>
          <cell r="U36" t="str">
            <v>x</v>
          </cell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 t="str">
            <v>x</v>
          </cell>
          <cell r="AO36"/>
          <cell r="AP36" t="str">
            <v>x</v>
          </cell>
          <cell r="AQ36">
            <v>44533</v>
          </cell>
          <cell r="AR36">
            <v>1040</v>
          </cell>
          <cell r="AS36">
            <v>45070</v>
          </cell>
          <cell r="AT36">
            <v>503</v>
          </cell>
          <cell r="AU36" t="str">
            <v>VMACENOG</v>
          </cell>
        </row>
        <row r="37">
          <cell r="C37">
            <v>665673</v>
          </cell>
          <cell r="D37" t="str">
            <v>AMUNDARREY JOAQUIN LEONEL</v>
          </cell>
          <cell r="E37" t="str">
            <v>09:00 - 15:00</v>
          </cell>
          <cell r="F37" t="str">
            <v>MAÑANA</v>
          </cell>
          <cell r="G37" t="str">
            <v>SAB Y DOM</v>
          </cell>
          <cell r="H37" t="str">
            <v>ROBLEDO, YESICA DANIELA</v>
          </cell>
          <cell r="I37" t="str">
            <v>Romandetto Carlos</v>
          </cell>
          <cell r="J37" t="str">
            <v>x</v>
          </cell>
          <cell r="K37"/>
          <cell r="L37" t="str">
            <v>x</v>
          </cell>
          <cell r="M37" t="str">
            <v>x</v>
          </cell>
          <cell r="N37" t="str">
            <v>x</v>
          </cell>
          <cell r="O37"/>
          <cell r="P37"/>
          <cell r="Q37"/>
          <cell r="R37" t="str">
            <v>x</v>
          </cell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 t="str">
            <v>x</v>
          </cell>
          <cell r="AO37" t="str">
            <v>x</v>
          </cell>
          <cell r="AP37"/>
          <cell r="AQ37">
            <v>44594</v>
          </cell>
          <cell r="AR37">
            <v>979</v>
          </cell>
          <cell r="AS37">
            <v>45443</v>
          </cell>
          <cell r="AT37">
            <v>130</v>
          </cell>
          <cell r="AU37" t="str">
            <v>VMAJOAMU</v>
          </cell>
        </row>
        <row r="38">
          <cell r="C38">
            <v>605731</v>
          </cell>
          <cell r="D38" t="str">
            <v>AVALOS NATALIA</v>
          </cell>
          <cell r="E38" t="str">
            <v>09:00 - 15:00</v>
          </cell>
          <cell r="F38" t="str">
            <v>MAÑANA</v>
          </cell>
          <cell r="G38" t="str">
            <v>SAB Y DOM</v>
          </cell>
          <cell r="H38" t="str">
            <v>LOUREIRO, FLORENCIA CANDELA</v>
          </cell>
          <cell r="I38" t="str">
            <v>Romandetto Carlos</v>
          </cell>
          <cell r="J38"/>
          <cell r="K38"/>
          <cell r="L38" t="str">
            <v>x</v>
          </cell>
          <cell r="M38"/>
          <cell r="N38"/>
          <cell r="O38"/>
          <cell r="P38"/>
          <cell r="Q38"/>
          <cell r="R38" t="str">
            <v>x</v>
          </cell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>
            <v>42614</v>
          </cell>
          <cell r="AR38">
            <v>2959</v>
          </cell>
          <cell r="AS38">
            <v>44991</v>
          </cell>
          <cell r="AT38">
            <v>582</v>
          </cell>
          <cell r="AU38" t="str">
            <v>VMANAAVA</v>
          </cell>
        </row>
        <row r="39">
          <cell r="C39">
            <v>605784</v>
          </cell>
          <cell r="D39" t="str">
            <v>SIMORELLI MARIA BELEN</v>
          </cell>
          <cell r="E39" t="str">
            <v>09:00 - 15:00</v>
          </cell>
          <cell r="F39" t="str">
            <v>MAÑANA</v>
          </cell>
          <cell r="G39" t="str">
            <v>SAB Y DOM</v>
          </cell>
          <cell r="H39" t="str">
            <v>ROBLEDO, LEANDRO JAVIER</v>
          </cell>
          <cell r="I39" t="str">
            <v>Romandetto Carlos</v>
          </cell>
          <cell r="J39" t="str">
            <v>x</v>
          </cell>
          <cell r="K39"/>
          <cell r="L39" t="str">
            <v>x</v>
          </cell>
          <cell r="M39" t="str">
            <v>x</v>
          </cell>
          <cell r="N39" t="str">
            <v>x</v>
          </cell>
          <cell r="O39"/>
          <cell r="P39"/>
          <cell r="Q39"/>
          <cell r="R39" t="str">
            <v>x</v>
          </cell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 t="str">
            <v>x</v>
          </cell>
          <cell r="AP39"/>
          <cell r="AQ39">
            <v>44317</v>
          </cell>
          <cell r="AR39">
            <v>1256</v>
          </cell>
          <cell r="AS39">
            <v>45526</v>
          </cell>
          <cell r="AT39">
            <v>47</v>
          </cell>
          <cell r="AU39" t="str">
            <v>VMAMASIM</v>
          </cell>
        </row>
        <row r="40">
          <cell r="C40">
            <v>605811</v>
          </cell>
          <cell r="D40" t="str">
            <v>ESPINDOLA ROMERO MELODY BELEN</v>
          </cell>
          <cell r="E40" t="str">
            <v>09:00 - 15:00</v>
          </cell>
          <cell r="F40" t="str">
            <v>MAÑANA</v>
          </cell>
          <cell r="G40" t="str">
            <v>JUE Y DOM</v>
          </cell>
          <cell r="H40" t="str">
            <v>RUIZ, TOMAS EMANUEL</v>
          </cell>
          <cell r="I40" t="str">
            <v>Romandetto Carlos</v>
          </cell>
          <cell r="J40" t="str">
            <v>x</v>
          </cell>
          <cell r="K40"/>
          <cell r="L40" t="str">
            <v>x</v>
          </cell>
          <cell r="M40" t="str">
            <v>x</v>
          </cell>
          <cell r="N40" t="str">
            <v>x</v>
          </cell>
          <cell r="O40"/>
          <cell r="P40"/>
          <cell r="Q40" t="str">
            <v>x</v>
          </cell>
          <cell r="R40" t="str">
            <v>x</v>
          </cell>
          <cell r="S40" t="str">
            <v>x</v>
          </cell>
          <cell r="T40" t="str">
            <v>x</v>
          </cell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 t="str">
            <v>x</v>
          </cell>
          <cell r="AO40"/>
          <cell r="AP40" t="str">
            <v>x</v>
          </cell>
          <cell r="AQ40">
            <v>44627</v>
          </cell>
          <cell r="AR40">
            <v>946</v>
          </cell>
          <cell r="AS40">
            <v>45322</v>
          </cell>
          <cell r="AT40">
            <v>251</v>
          </cell>
          <cell r="AU40" t="str">
            <v>VMAMEESP</v>
          </cell>
        </row>
        <row r="41">
          <cell r="C41">
            <v>605813</v>
          </cell>
          <cell r="D41" t="str">
            <v>CASIVA XIMENA MILAGROS</v>
          </cell>
          <cell r="E41" t="str">
            <v>09:00 - 15:00</v>
          </cell>
          <cell r="F41" t="str">
            <v>MAÑANA</v>
          </cell>
          <cell r="G41" t="str">
            <v>SAB Y DOM</v>
          </cell>
          <cell r="H41" t="str">
            <v>ROBLEDO, YESICA DANIELA</v>
          </cell>
          <cell r="I41" t="str">
            <v>Romandetto Carlos</v>
          </cell>
          <cell r="J41" t="str">
            <v>x</v>
          </cell>
          <cell r="K41"/>
          <cell r="L41" t="str">
            <v>x</v>
          </cell>
          <cell r="M41" t="str">
            <v>x</v>
          </cell>
          <cell r="N41" t="str">
            <v>x</v>
          </cell>
          <cell r="O41"/>
          <cell r="P41"/>
          <cell r="Q41" t="str">
            <v>x</v>
          </cell>
          <cell r="R41" t="str">
            <v>x</v>
          </cell>
          <cell r="S41" t="str">
            <v>x</v>
          </cell>
          <cell r="T41" t="str">
            <v>x</v>
          </cell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 t="str">
            <v>x</v>
          </cell>
          <cell r="AO41"/>
          <cell r="AP41" t="str">
            <v>x</v>
          </cell>
          <cell r="AQ41">
            <v>44580</v>
          </cell>
          <cell r="AR41">
            <v>993</v>
          </cell>
          <cell r="AS41">
            <v>45478</v>
          </cell>
          <cell r="AT41">
            <v>95</v>
          </cell>
          <cell r="AU41" t="str">
            <v>VMAXICAS</v>
          </cell>
        </row>
        <row r="42">
          <cell r="C42">
            <v>605859</v>
          </cell>
          <cell r="D42" t="str">
            <v>GALEANO CHAMORRO IVAN FRANCO</v>
          </cell>
          <cell r="E42" t="str">
            <v>09:00 - 15:00</v>
          </cell>
          <cell r="F42" t="str">
            <v>MAÑANA</v>
          </cell>
          <cell r="G42" t="str">
            <v>SAB Y DOM</v>
          </cell>
          <cell r="H42" t="str">
            <v>VEGA, BRIAN NICOLAS</v>
          </cell>
          <cell r="I42" t="str">
            <v>Leandro Muñoz</v>
          </cell>
          <cell r="J42"/>
          <cell r="K42"/>
          <cell r="L42" t="str">
            <v>x</v>
          </cell>
          <cell r="M42" t="str">
            <v>x</v>
          </cell>
          <cell r="N42" t="str">
            <v>x</v>
          </cell>
          <cell r="O42"/>
          <cell r="P42"/>
          <cell r="Q42"/>
          <cell r="R42" t="str">
            <v>x</v>
          </cell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 t="str">
            <v>x</v>
          </cell>
          <cell r="AN42"/>
          <cell r="AO42"/>
          <cell r="AP42"/>
          <cell r="AQ42">
            <v>44622</v>
          </cell>
          <cell r="AR42">
            <v>951</v>
          </cell>
          <cell r="AS42">
            <v>45350</v>
          </cell>
          <cell r="AT42">
            <v>223</v>
          </cell>
          <cell r="AU42" t="str">
            <v>VMAIVGAL</v>
          </cell>
        </row>
        <row r="43">
          <cell r="C43">
            <v>605881</v>
          </cell>
          <cell r="D43" t="str">
            <v>GONZALEZ RODRIGO ALEJANDRO</v>
          </cell>
          <cell r="E43" t="str">
            <v>11:00 - 17:00</v>
          </cell>
          <cell r="F43" t="str">
            <v>MAÑANA</v>
          </cell>
          <cell r="G43" t="str">
            <v>MIE Y SAB</v>
          </cell>
          <cell r="H43" t="str">
            <v>VILLALBA, VICTORIA</v>
          </cell>
          <cell r="I43" t="str">
            <v>Romandetto Carlos</v>
          </cell>
          <cell r="J43" t="str">
            <v>x</v>
          </cell>
          <cell r="K43"/>
          <cell r="L43" t="str">
            <v>x</v>
          </cell>
          <cell r="M43" t="str">
            <v>x</v>
          </cell>
          <cell r="N43" t="str">
            <v>x</v>
          </cell>
          <cell r="O43"/>
          <cell r="P43"/>
          <cell r="Q43"/>
          <cell r="R43" t="str">
            <v>x</v>
          </cell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 t="str">
            <v>x</v>
          </cell>
          <cell r="AO43" t="str">
            <v>x</v>
          </cell>
          <cell r="AP43"/>
          <cell r="AQ43">
            <v>44622</v>
          </cell>
          <cell r="AR43">
            <v>951</v>
          </cell>
          <cell r="AS43">
            <v>45443</v>
          </cell>
          <cell r="AT43">
            <v>130</v>
          </cell>
          <cell r="AU43" t="str">
            <v>VMARODGO</v>
          </cell>
        </row>
        <row r="44">
          <cell r="C44">
            <v>605866</v>
          </cell>
          <cell r="D44" t="str">
            <v>LEIVA BRENDA MARINA</v>
          </cell>
          <cell r="E44" t="str">
            <v>06:00 - 12:00</v>
          </cell>
          <cell r="F44" t="str">
            <v>MAÑANA</v>
          </cell>
          <cell r="G44" t="str">
            <v>SAB Y DOM</v>
          </cell>
          <cell r="H44" t="str">
            <v>SORIA, ANA PAULA</v>
          </cell>
          <cell r="I44" t="str">
            <v>Romandetto Carlos</v>
          </cell>
          <cell r="J44" t="str">
            <v>x</v>
          </cell>
          <cell r="K44"/>
          <cell r="L44" t="str">
            <v>x</v>
          </cell>
          <cell r="M44" t="str">
            <v>x</v>
          </cell>
          <cell r="N44" t="str">
            <v>x</v>
          </cell>
          <cell r="O44"/>
          <cell r="P44"/>
          <cell r="Q44"/>
          <cell r="R44" t="str">
            <v>x</v>
          </cell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 t="str">
            <v>x</v>
          </cell>
          <cell r="AO44" t="str">
            <v>x</v>
          </cell>
          <cell r="AP44"/>
          <cell r="AQ44">
            <v>44622</v>
          </cell>
          <cell r="AR44">
            <v>951</v>
          </cell>
          <cell r="AS44">
            <v>45471</v>
          </cell>
          <cell r="AT44">
            <v>102</v>
          </cell>
          <cell r="AU44" t="str">
            <v>VMABRLEI</v>
          </cell>
        </row>
        <row r="45">
          <cell r="C45">
            <v>605949</v>
          </cell>
          <cell r="D45" t="str">
            <v>TOLOSA MAGALI KIARA</v>
          </cell>
          <cell r="E45" t="str">
            <v>08:00 - 14:00</v>
          </cell>
          <cell r="F45" t="str">
            <v>MAÑANA</v>
          </cell>
          <cell r="G45" t="str">
            <v>LUN Y SAB</v>
          </cell>
          <cell r="H45" t="str">
            <v>MOYANO, DAIANA SOLEDAD</v>
          </cell>
          <cell r="I45" t="str">
            <v>Romandetto Carlos</v>
          </cell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 t="str">
            <v>x</v>
          </cell>
          <cell r="AJ45" t="str">
            <v>x</v>
          </cell>
          <cell r="AK45"/>
          <cell r="AL45"/>
          <cell r="AM45"/>
          <cell r="AN45"/>
          <cell r="AO45"/>
          <cell r="AP45"/>
          <cell r="AQ45">
            <v>44718</v>
          </cell>
          <cell r="AR45">
            <v>855</v>
          </cell>
          <cell r="AS45">
            <v>44671</v>
          </cell>
          <cell r="AT45">
            <v>902</v>
          </cell>
          <cell r="AU45" t="str">
            <v>VMAMATOL</v>
          </cell>
        </row>
        <row r="46">
          <cell r="C46">
            <v>605939</v>
          </cell>
          <cell r="D46" t="str">
            <v>LEUZE AGUSTINA BELEN</v>
          </cell>
          <cell r="E46" t="str">
            <v>15:00 - 21:00</v>
          </cell>
          <cell r="F46" t="str">
            <v>TARDE</v>
          </cell>
          <cell r="G46" t="str">
            <v>MIE Y DOM</v>
          </cell>
          <cell r="H46" t="str">
            <v>ONETTO, MARIA DE LOS MILAGROS</v>
          </cell>
          <cell r="I46" t="str">
            <v>Romandetto Carlos</v>
          </cell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 t="str">
            <v>x</v>
          </cell>
          <cell r="AJ46" t="str">
            <v>x</v>
          </cell>
          <cell r="AK46"/>
          <cell r="AL46"/>
          <cell r="AM46"/>
          <cell r="AN46"/>
          <cell r="AO46"/>
          <cell r="AP46"/>
          <cell r="AQ46">
            <v>44658</v>
          </cell>
          <cell r="AR46">
            <v>915</v>
          </cell>
          <cell r="AS46">
            <v>44671</v>
          </cell>
          <cell r="AT46">
            <v>902</v>
          </cell>
          <cell r="AU46" t="str">
            <v>VMAAGLEU</v>
          </cell>
        </row>
        <row r="47">
          <cell r="C47">
            <v>605876</v>
          </cell>
          <cell r="D47" t="str">
            <v>GAETANI LUCILA CATALINA</v>
          </cell>
          <cell r="E47" t="str">
            <v>11:00 - 17:00</v>
          </cell>
          <cell r="F47" t="str">
            <v>MAÑANA</v>
          </cell>
          <cell r="G47" t="str">
            <v>JUE Y SAB</v>
          </cell>
          <cell r="H47" t="str">
            <v>SORIA, ANA PAULA</v>
          </cell>
          <cell r="I47" t="str">
            <v>Romandetto Carlos</v>
          </cell>
          <cell r="J47" t="str">
            <v>x</v>
          </cell>
          <cell r="K47"/>
          <cell r="L47" t="str">
            <v>x</v>
          </cell>
          <cell r="M47" t="str">
            <v>x</v>
          </cell>
          <cell r="N47" t="str">
            <v>x</v>
          </cell>
          <cell r="O47"/>
          <cell r="P47"/>
          <cell r="Q47"/>
          <cell r="R47" t="str">
            <v>x</v>
          </cell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 t="str">
            <v>x</v>
          </cell>
          <cell r="AO47" t="str">
            <v>x</v>
          </cell>
          <cell r="AP47"/>
          <cell r="AQ47">
            <v>44651</v>
          </cell>
          <cell r="AR47">
            <v>922</v>
          </cell>
          <cell r="AS47">
            <v>45443</v>
          </cell>
          <cell r="AT47">
            <v>130</v>
          </cell>
          <cell r="AU47" t="str">
            <v>VMALUGAE</v>
          </cell>
        </row>
        <row r="48">
          <cell r="C48">
            <v>605858</v>
          </cell>
          <cell r="D48" t="str">
            <v>LLANOS SILVINA ALEJANDRA</v>
          </cell>
          <cell r="E48" t="str">
            <v>09:00 - 15:00</v>
          </cell>
          <cell r="F48" t="str">
            <v>MAÑANA</v>
          </cell>
          <cell r="G48" t="str">
            <v>SAB Y DOM</v>
          </cell>
          <cell r="H48" t="str">
            <v>Supervisor Capacitación, BU No Fijo</v>
          </cell>
          <cell r="I48" t="str">
            <v>-</v>
          </cell>
          <cell r="J48" t="str">
            <v>x</v>
          </cell>
          <cell r="K48"/>
          <cell r="L48" t="str">
            <v>x</v>
          </cell>
          <cell r="M48" t="str">
            <v>x</v>
          </cell>
          <cell r="N48" t="str">
            <v>x</v>
          </cell>
          <cell r="O48"/>
          <cell r="P48"/>
          <cell r="Q48"/>
          <cell r="R48" t="str">
            <v>x</v>
          </cell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 t="str">
            <v>x</v>
          </cell>
          <cell r="AO48" t="str">
            <v>x</v>
          </cell>
          <cell r="AP48"/>
          <cell r="AQ48">
            <v>44651</v>
          </cell>
          <cell r="AR48">
            <v>922</v>
          </cell>
          <cell r="AS48">
            <v>45132</v>
          </cell>
          <cell r="AT48">
            <v>441</v>
          </cell>
          <cell r="AU48" t="str">
            <v>VMASILLA</v>
          </cell>
        </row>
        <row r="49">
          <cell r="C49">
            <v>605837</v>
          </cell>
          <cell r="D49" t="str">
            <v>ROMAN BARRIENTOS JUAN EDUARDO</v>
          </cell>
          <cell r="E49" t="str">
            <v>09:00 - 15:00</v>
          </cell>
          <cell r="F49" t="str">
            <v>MAÑANA</v>
          </cell>
          <cell r="G49" t="str">
            <v>JUE Y DOM</v>
          </cell>
          <cell r="H49" t="str">
            <v>ROBLEDO, YESICA DANIELA</v>
          </cell>
          <cell r="I49" t="str">
            <v>Romandetto Carlos</v>
          </cell>
          <cell r="J49" t="str">
            <v>x</v>
          </cell>
          <cell r="K49"/>
          <cell r="L49" t="str">
            <v>x</v>
          </cell>
          <cell r="M49" t="str">
            <v>x</v>
          </cell>
          <cell r="N49" t="str">
            <v>x</v>
          </cell>
          <cell r="O49"/>
          <cell r="P49"/>
          <cell r="Q49"/>
          <cell r="R49" t="str">
            <v>x</v>
          </cell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 t="str">
            <v>x</v>
          </cell>
          <cell r="AO49" t="str">
            <v>x</v>
          </cell>
          <cell r="AP49"/>
          <cell r="AQ49">
            <v>44651</v>
          </cell>
          <cell r="AR49">
            <v>922</v>
          </cell>
          <cell r="AS49">
            <v>45443</v>
          </cell>
          <cell r="AT49">
            <v>130</v>
          </cell>
          <cell r="AU49" t="str">
            <v>VMAJUBAR</v>
          </cell>
        </row>
        <row r="50">
          <cell r="C50">
            <v>605760</v>
          </cell>
          <cell r="D50" t="str">
            <v>CUELLAR JOEL ADRIAN</v>
          </cell>
          <cell r="E50" t="str">
            <v>09:00 - 15:00</v>
          </cell>
          <cell r="F50" t="str">
            <v>MAÑANA</v>
          </cell>
          <cell r="G50" t="str">
            <v>SAB Y DOM</v>
          </cell>
          <cell r="H50" t="str">
            <v>LOUREIRO, FLORENCIA CANDELA</v>
          </cell>
          <cell r="I50" t="str">
            <v>Romandetto Carlos</v>
          </cell>
          <cell r="J50" t="str">
            <v>x</v>
          </cell>
          <cell r="K50"/>
          <cell r="L50" t="str">
            <v>x</v>
          </cell>
          <cell r="M50"/>
          <cell r="N50"/>
          <cell r="O50"/>
          <cell r="P50"/>
          <cell r="Q50" t="str">
            <v>x</v>
          </cell>
          <cell r="R50" t="str">
            <v>x</v>
          </cell>
          <cell r="S50" t="str">
            <v>x</v>
          </cell>
          <cell r="T50" t="str">
            <v>x</v>
          </cell>
          <cell r="U50" t="str">
            <v>x</v>
          </cell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 t="str">
            <v>x</v>
          </cell>
          <cell r="AO50"/>
          <cell r="AP50" t="str">
            <v>x</v>
          </cell>
          <cell r="AQ50">
            <v>44651</v>
          </cell>
          <cell r="AR50">
            <v>922</v>
          </cell>
          <cell r="AS50">
            <v>45279</v>
          </cell>
          <cell r="AT50">
            <v>294</v>
          </cell>
          <cell r="AU50" t="str">
            <v>VMAJOCUE</v>
          </cell>
        </row>
        <row r="51">
          <cell r="C51">
            <v>605912</v>
          </cell>
          <cell r="D51" t="str">
            <v>SOSA LUCIA CELESTE</v>
          </cell>
          <cell r="E51" t="str">
            <v>09:00 - 15:00</v>
          </cell>
          <cell r="F51" t="str">
            <v>MAÑANA</v>
          </cell>
          <cell r="G51" t="str">
            <v>SAB Y DOM</v>
          </cell>
          <cell r="H51" t="str">
            <v>LOUREIRO, FLORENCIA CANDELA</v>
          </cell>
          <cell r="I51" t="str">
            <v>Romandetto Carlos</v>
          </cell>
          <cell r="J51" t="str">
            <v>x</v>
          </cell>
          <cell r="K51"/>
          <cell r="L51" t="str">
            <v>x</v>
          </cell>
          <cell r="M51"/>
          <cell r="N51"/>
          <cell r="O51"/>
          <cell r="P51"/>
          <cell r="Q51" t="str">
            <v>x</v>
          </cell>
          <cell r="R51" t="str">
            <v>x</v>
          </cell>
          <cell r="S51" t="str">
            <v>x</v>
          </cell>
          <cell r="T51" t="str">
            <v>x</v>
          </cell>
          <cell r="U51" t="str">
            <v>x</v>
          </cell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 t="str">
            <v>x</v>
          </cell>
          <cell r="AO51"/>
          <cell r="AP51" t="str">
            <v>x</v>
          </cell>
          <cell r="AQ51">
            <v>44658</v>
          </cell>
          <cell r="AR51">
            <v>915</v>
          </cell>
          <cell r="AS51">
            <v>45279</v>
          </cell>
          <cell r="AT51">
            <v>294</v>
          </cell>
          <cell r="AU51" t="str">
            <v>VMASOLUC</v>
          </cell>
        </row>
        <row r="52">
          <cell r="C52">
            <v>605924</v>
          </cell>
          <cell r="D52" t="str">
            <v>BENITEZ CAMILA MILAGROS</v>
          </cell>
          <cell r="E52" t="str">
            <v>09:00 - 15:00</v>
          </cell>
          <cell r="F52" t="str">
            <v>MAÑANA</v>
          </cell>
          <cell r="G52" t="str">
            <v>SAB Y DOM</v>
          </cell>
          <cell r="H52" t="str">
            <v>MOYANO, DAIANA SOLEDAD</v>
          </cell>
          <cell r="I52" t="str">
            <v>Romandetto Carlos</v>
          </cell>
          <cell r="J52" t="str">
            <v>x</v>
          </cell>
          <cell r="K52"/>
          <cell r="L52" t="str">
            <v>x</v>
          </cell>
          <cell r="M52" t="str">
            <v>x</v>
          </cell>
          <cell r="N52" t="str">
            <v>x</v>
          </cell>
          <cell r="O52"/>
          <cell r="P52"/>
          <cell r="Q52"/>
          <cell r="R52" t="str">
            <v>x</v>
          </cell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>
            <v>44658</v>
          </cell>
          <cell r="AR52">
            <v>915</v>
          </cell>
          <cell r="AS52">
            <v>45509</v>
          </cell>
          <cell r="AT52">
            <v>64</v>
          </cell>
          <cell r="AU52" t="str">
            <v>VMACABEN</v>
          </cell>
        </row>
        <row r="53">
          <cell r="C53">
            <v>605934</v>
          </cell>
          <cell r="D53" t="str">
            <v>FLEITAS JUAN GABRIEL</v>
          </cell>
          <cell r="E53" t="str">
            <v>09:00 - 15:00</v>
          </cell>
          <cell r="F53" t="str">
            <v>MAÑANA</v>
          </cell>
          <cell r="G53" t="str">
            <v>LUN Y VIE</v>
          </cell>
          <cell r="H53" t="str">
            <v>SORIA, ANA PAULA</v>
          </cell>
          <cell r="I53" t="str">
            <v>Romandetto Carlos</v>
          </cell>
          <cell r="J53" t="str">
            <v>x</v>
          </cell>
          <cell r="K53"/>
          <cell r="L53" t="str">
            <v>x</v>
          </cell>
          <cell r="M53" t="str">
            <v>x</v>
          </cell>
          <cell r="N53" t="str">
            <v>x</v>
          </cell>
          <cell r="O53"/>
          <cell r="P53"/>
          <cell r="Q53"/>
          <cell r="R53" t="str">
            <v>x</v>
          </cell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 t="str">
            <v>x</v>
          </cell>
          <cell r="AJ53" t="str">
            <v>x</v>
          </cell>
          <cell r="AK53"/>
          <cell r="AL53"/>
          <cell r="AM53"/>
          <cell r="AN53"/>
          <cell r="AO53"/>
          <cell r="AP53"/>
          <cell r="AQ53">
            <v>44718</v>
          </cell>
          <cell r="AR53">
            <v>855</v>
          </cell>
          <cell r="AS53">
            <v>45509</v>
          </cell>
          <cell r="AT53">
            <v>64</v>
          </cell>
          <cell r="AU53" t="str">
            <v>VMAJUFLE</v>
          </cell>
        </row>
        <row r="54">
          <cell r="C54">
            <v>605938</v>
          </cell>
          <cell r="D54" t="str">
            <v>AGUILAR CAMPOS MACARENA NOEMI</v>
          </cell>
          <cell r="E54" t="str">
            <v>09:00 - 15:00</v>
          </cell>
          <cell r="F54" t="str">
            <v>MAÑANA</v>
          </cell>
          <cell r="G54" t="str">
            <v>JUE Y DOM</v>
          </cell>
          <cell r="H54" t="str">
            <v>SORIA, ANA PAULA</v>
          </cell>
          <cell r="I54" t="str">
            <v>Romandetto Carlos</v>
          </cell>
          <cell r="J54" t="str">
            <v>x</v>
          </cell>
          <cell r="K54"/>
          <cell r="L54" t="str">
            <v>x</v>
          </cell>
          <cell r="M54" t="str">
            <v>x</v>
          </cell>
          <cell r="N54" t="str">
            <v>x</v>
          </cell>
          <cell r="O54"/>
          <cell r="P54"/>
          <cell r="Q54"/>
          <cell r="R54" t="str">
            <v>x</v>
          </cell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 t="str">
            <v>x</v>
          </cell>
          <cell r="AJ54" t="str">
            <v>x</v>
          </cell>
          <cell r="AK54"/>
          <cell r="AL54"/>
          <cell r="AM54"/>
          <cell r="AN54"/>
          <cell r="AO54"/>
          <cell r="AP54"/>
          <cell r="AQ54">
            <v>44718</v>
          </cell>
          <cell r="AR54">
            <v>855</v>
          </cell>
          <cell r="AS54">
            <v>45509</v>
          </cell>
          <cell r="AT54">
            <v>64</v>
          </cell>
          <cell r="AU54" t="str">
            <v>VMAAGMAC</v>
          </cell>
        </row>
        <row r="55">
          <cell r="C55">
            <v>605963</v>
          </cell>
          <cell r="D55" t="str">
            <v>GOMEZ LEANDRO AGUSTIN</v>
          </cell>
          <cell r="E55" t="str">
            <v>09:00 - 15:00</v>
          </cell>
          <cell r="F55" t="str">
            <v>MAÑANA</v>
          </cell>
          <cell r="G55" t="str">
            <v>SAB Y DOM</v>
          </cell>
          <cell r="H55" t="str">
            <v>SORIA, ANA PAULA</v>
          </cell>
          <cell r="I55" t="str">
            <v>Romandetto Carlos</v>
          </cell>
          <cell r="J55" t="str">
            <v>x</v>
          </cell>
          <cell r="K55"/>
          <cell r="L55" t="str">
            <v>x</v>
          </cell>
          <cell r="M55" t="str">
            <v>x</v>
          </cell>
          <cell r="N55" t="str">
            <v>x</v>
          </cell>
          <cell r="O55"/>
          <cell r="P55"/>
          <cell r="Q55"/>
          <cell r="R55" t="str">
            <v>x</v>
          </cell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 t="str">
            <v>x</v>
          </cell>
          <cell r="AO55" t="str">
            <v>x</v>
          </cell>
          <cell r="AP55"/>
          <cell r="AQ55">
            <v>44658</v>
          </cell>
          <cell r="AR55">
            <v>915</v>
          </cell>
          <cell r="AS55">
            <v>45443</v>
          </cell>
          <cell r="AT55">
            <v>130</v>
          </cell>
          <cell r="AU55" t="str">
            <v>VMALEAGO</v>
          </cell>
        </row>
        <row r="56">
          <cell r="C56">
            <v>605968</v>
          </cell>
          <cell r="D56" t="str">
            <v>ASCONA MILENA AGUSTINA</v>
          </cell>
          <cell r="E56" t="str">
            <v>11:00 - 16:00</v>
          </cell>
          <cell r="F56" t="str">
            <v>MAÑANA</v>
          </cell>
          <cell r="G56" t="str">
            <v>SAB Y DOM</v>
          </cell>
          <cell r="H56" t="str">
            <v>ONETTO, MARIA DE LOS MILAGROS</v>
          </cell>
          <cell r="I56" t="str">
            <v>Romandetto Carlos</v>
          </cell>
          <cell r="J56"/>
          <cell r="K56"/>
          <cell r="L56" t="str">
            <v>x</v>
          </cell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 t="str">
            <v>x</v>
          </cell>
          <cell r="AJ56" t="str">
            <v>x</v>
          </cell>
          <cell r="AK56"/>
          <cell r="AL56"/>
          <cell r="AM56"/>
          <cell r="AN56"/>
          <cell r="AO56"/>
          <cell r="AP56"/>
          <cell r="AQ56">
            <v>44658</v>
          </cell>
          <cell r="AR56">
            <v>915</v>
          </cell>
          <cell r="AS56">
            <v>44768</v>
          </cell>
          <cell r="AT56">
            <v>805</v>
          </cell>
          <cell r="AU56" t="str">
            <v>VMAMIASC</v>
          </cell>
        </row>
        <row r="57">
          <cell r="C57">
            <v>605794</v>
          </cell>
          <cell r="D57" t="str">
            <v>VAZQUEZ ROSSI SOFIA ANAHI</v>
          </cell>
          <cell r="E57" t="str">
            <v>15:00 - 21:00</v>
          </cell>
          <cell r="F57" t="str">
            <v>TARDE</v>
          </cell>
          <cell r="G57" t="str">
            <v>VIE Y DOM</v>
          </cell>
          <cell r="H57" t="str">
            <v>GOMEZ, SASHA</v>
          </cell>
          <cell r="I57" t="str">
            <v>Romandetto Carlos</v>
          </cell>
          <cell r="J57" t="str">
            <v>x</v>
          </cell>
          <cell r="K57"/>
          <cell r="L57" t="str">
            <v>x</v>
          </cell>
          <cell r="M57"/>
          <cell r="N57"/>
          <cell r="O57"/>
          <cell r="P57"/>
          <cell r="Q57" t="str">
            <v>x</v>
          </cell>
          <cell r="R57" t="str">
            <v>x</v>
          </cell>
          <cell r="S57" t="str">
            <v>x</v>
          </cell>
          <cell r="T57" t="str">
            <v>x</v>
          </cell>
          <cell r="U57" t="str">
            <v>x</v>
          </cell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 t="str">
            <v>x</v>
          </cell>
          <cell r="AO57"/>
          <cell r="AP57" t="str">
            <v>x</v>
          </cell>
          <cell r="AQ57">
            <v>44687</v>
          </cell>
          <cell r="AR57">
            <v>886</v>
          </cell>
          <cell r="AS57">
            <v>45279</v>
          </cell>
          <cell r="AT57">
            <v>294</v>
          </cell>
          <cell r="AU57" t="str">
            <v>VMASOVAZ</v>
          </cell>
        </row>
        <row r="58">
          <cell r="C58">
            <v>605882</v>
          </cell>
          <cell r="D58" t="str">
            <v>ESPINOZA CIELO</v>
          </cell>
          <cell r="E58" t="str">
            <v>18:00 - 00:00</v>
          </cell>
          <cell r="F58" t="str">
            <v>NOCHE</v>
          </cell>
          <cell r="G58" t="str">
            <v>SAB Y DOM</v>
          </cell>
          <cell r="H58" t="str">
            <v>PELOC, MARIA SOLEDAD</v>
          </cell>
          <cell r="I58" t="str">
            <v>Romandetto Carlos</v>
          </cell>
          <cell r="J58" t="str">
            <v>x</v>
          </cell>
          <cell r="K58"/>
          <cell r="L58" t="str">
            <v>x</v>
          </cell>
          <cell r="M58" t="str">
            <v>x</v>
          </cell>
          <cell r="N58" t="str">
            <v>x</v>
          </cell>
          <cell r="O58"/>
          <cell r="P58"/>
          <cell r="Q58"/>
          <cell r="R58" t="str">
            <v>x</v>
          </cell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 t="str">
            <v>x</v>
          </cell>
          <cell r="AO58" t="str">
            <v>x</v>
          </cell>
          <cell r="AP58"/>
          <cell r="AQ58">
            <v>44687</v>
          </cell>
          <cell r="AR58">
            <v>886</v>
          </cell>
          <cell r="AS58">
            <v>45471</v>
          </cell>
          <cell r="AT58">
            <v>102</v>
          </cell>
          <cell r="AU58" t="str">
            <v>VMACIESP</v>
          </cell>
        </row>
        <row r="59">
          <cell r="C59">
            <v>605911</v>
          </cell>
          <cell r="D59" t="str">
            <v>INFANTE ENZO</v>
          </cell>
          <cell r="E59" t="str">
            <v>15:00 - 21:00</v>
          </cell>
          <cell r="F59" t="str">
            <v>TARDE</v>
          </cell>
          <cell r="G59" t="str">
            <v>SAB Y DOM</v>
          </cell>
          <cell r="H59" t="str">
            <v>GOMEZ, AYLEN MILAGROS</v>
          </cell>
          <cell r="I59" t="str">
            <v>Romandetto Carlos</v>
          </cell>
          <cell r="J59" t="str">
            <v>x</v>
          </cell>
          <cell r="K59"/>
          <cell r="L59" t="str">
            <v>x</v>
          </cell>
          <cell r="M59"/>
          <cell r="N59"/>
          <cell r="O59"/>
          <cell r="P59"/>
          <cell r="Q59" t="str">
            <v>x</v>
          </cell>
          <cell r="R59" t="str">
            <v>x</v>
          </cell>
          <cell r="S59" t="str">
            <v>x</v>
          </cell>
          <cell r="T59" t="str">
            <v>x</v>
          </cell>
          <cell r="U59" t="str">
            <v>x</v>
          </cell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 t="str">
            <v>x</v>
          </cell>
          <cell r="AO59"/>
          <cell r="AP59" t="str">
            <v>x</v>
          </cell>
          <cell r="AQ59">
            <v>44687</v>
          </cell>
          <cell r="AR59">
            <v>886</v>
          </cell>
          <cell r="AS59">
            <v>45279</v>
          </cell>
          <cell r="AT59">
            <v>294</v>
          </cell>
          <cell r="AU59" t="str">
            <v>VMAENINF</v>
          </cell>
        </row>
        <row r="60">
          <cell r="C60">
            <v>606014</v>
          </cell>
          <cell r="D60" t="str">
            <v>MANSILLA ARREGUI MICAELA ZAIDA</v>
          </cell>
          <cell r="E60" t="str">
            <v>12:00 - 18:00</v>
          </cell>
          <cell r="F60" t="str">
            <v>TARDE</v>
          </cell>
          <cell r="G60" t="str">
            <v>MIE Y DOM</v>
          </cell>
          <cell r="H60" t="str">
            <v>SORIA, ANA PAULA</v>
          </cell>
          <cell r="I60" t="str">
            <v>Romandetto Carlos</v>
          </cell>
          <cell r="J60" t="str">
            <v>x</v>
          </cell>
          <cell r="K60"/>
          <cell r="L60" t="str">
            <v>x</v>
          </cell>
          <cell r="M60" t="str">
            <v>x</v>
          </cell>
          <cell r="N60" t="str">
            <v>x</v>
          </cell>
          <cell r="O60"/>
          <cell r="P60"/>
          <cell r="Q60"/>
          <cell r="R60" t="str">
            <v>x</v>
          </cell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>
            <v>44704</v>
          </cell>
          <cell r="AR60">
            <v>869</v>
          </cell>
          <cell r="AS60">
            <v>45495</v>
          </cell>
          <cell r="AT60">
            <v>78</v>
          </cell>
          <cell r="AU60" t="str">
            <v>VMAZAMAN</v>
          </cell>
        </row>
        <row r="61">
          <cell r="C61">
            <v>605969</v>
          </cell>
          <cell r="D61" t="str">
            <v>DEMARCO FIDEL</v>
          </cell>
          <cell r="E61" t="str">
            <v>09:00 - 15:00</v>
          </cell>
          <cell r="F61" t="str">
            <v>MAÑANA</v>
          </cell>
          <cell r="G61" t="str">
            <v>SAB Y DOM</v>
          </cell>
          <cell r="H61" t="str">
            <v>VILLALBA, VICTORIA</v>
          </cell>
          <cell r="I61" t="str">
            <v>Romandetto Carlos</v>
          </cell>
          <cell r="J61" t="str">
            <v>x</v>
          </cell>
          <cell r="K61"/>
          <cell r="L61" t="str">
            <v>x</v>
          </cell>
          <cell r="M61"/>
          <cell r="N61"/>
          <cell r="O61"/>
          <cell r="P61"/>
          <cell r="Q61" t="str">
            <v>x</v>
          </cell>
          <cell r="R61" t="str">
            <v>x</v>
          </cell>
          <cell r="S61" t="str">
            <v>x</v>
          </cell>
          <cell r="T61" t="str">
            <v>x</v>
          </cell>
          <cell r="U61" t="str">
            <v>x</v>
          </cell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 t="str">
            <v>x</v>
          </cell>
          <cell r="AO61"/>
          <cell r="AP61" t="str">
            <v>x</v>
          </cell>
          <cell r="AQ61">
            <v>44658</v>
          </cell>
          <cell r="AR61">
            <v>915</v>
          </cell>
          <cell r="AS61">
            <v>45279</v>
          </cell>
          <cell r="AT61">
            <v>294</v>
          </cell>
          <cell r="AU61" t="str">
            <v>VMAFIDEM</v>
          </cell>
        </row>
        <row r="62">
          <cell r="C62">
            <v>605986</v>
          </cell>
          <cell r="D62" t="str">
            <v>BENITEZ LOURDES ROCIO</v>
          </cell>
          <cell r="E62" t="str">
            <v>16:00 - 22:00</v>
          </cell>
          <cell r="F62" t="str">
            <v>TARDE</v>
          </cell>
          <cell r="G62" t="str">
            <v>SAB Y DOM</v>
          </cell>
          <cell r="H62" t="str">
            <v>YBARRA, LUCIA ALDANA</v>
          </cell>
          <cell r="I62" t="str">
            <v>Romandetto Carlos</v>
          </cell>
          <cell r="J62" t="str">
            <v>x</v>
          </cell>
          <cell r="K62"/>
          <cell r="L62" t="str">
            <v>x</v>
          </cell>
          <cell r="M62"/>
          <cell r="N62"/>
          <cell r="O62"/>
          <cell r="P62"/>
          <cell r="Q62" t="str">
            <v>x</v>
          </cell>
          <cell r="R62" t="str">
            <v>x</v>
          </cell>
          <cell r="S62" t="str">
            <v>x</v>
          </cell>
          <cell r="T62" t="str">
            <v>x</v>
          </cell>
          <cell r="U62" t="str">
            <v>x</v>
          </cell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 t="str">
            <v>x</v>
          </cell>
          <cell r="AO62"/>
          <cell r="AP62" t="str">
            <v>x</v>
          </cell>
          <cell r="AQ62">
            <v>44704</v>
          </cell>
          <cell r="AR62">
            <v>869</v>
          </cell>
          <cell r="AS62">
            <v>45279</v>
          </cell>
          <cell r="AT62">
            <v>294</v>
          </cell>
          <cell r="AU62" t="str">
            <v>VMALOBEN</v>
          </cell>
        </row>
        <row r="63">
          <cell r="C63">
            <v>605982</v>
          </cell>
          <cell r="D63" t="str">
            <v>WETZEL IGNACIO EZEQUIEL</v>
          </cell>
          <cell r="E63" t="str">
            <v>10:00 - 16:00</v>
          </cell>
          <cell r="F63" t="str">
            <v>MAÑANA</v>
          </cell>
          <cell r="G63" t="str">
            <v>LUN Y DOM</v>
          </cell>
          <cell r="H63" t="str">
            <v>VILLALBA, VICTORIA</v>
          </cell>
          <cell r="I63" t="str">
            <v>Romandetto Carlos</v>
          </cell>
          <cell r="J63" t="str">
            <v>x</v>
          </cell>
          <cell r="K63"/>
          <cell r="L63" t="str">
            <v>x</v>
          </cell>
          <cell r="M63" t="str">
            <v>x</v>
          </cell>
          <cell r="N63" t="str">
            <v>x</v>
          </cell>
          <cell r="O63"/>
          <cell r="P63"/>
          <cell r="Q63"/>
          <cell r="R63" t="str">
            <v>x</v>
          </cell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 t="str">
            <v>x</v>
          </cell>
          <cell r="AO63" t="str">
            <v>x</v>
          </cell>
          <cell r="AP63"/>
          <cell r="AQ63">
            <v>44704</v>
          </cell>
          <cell r="AR63">
            <v>869</v>
          </cell>
          <cell r="AS63">
            <v>45495</v>
          </cell>
          <cell r="AT63">
            <v>78</v>
          </cell>
          <cell r="AU63" t="str">
            <v>VMAIGWET</v>
          </cell>
        </row>
        <row r="64">
          <cell r="C64">
            <v>605990</v>
          </cell>
          <cell r="D64" t="str">
            <v>FALCON NAYLA</v>
          </cell>
          <cell r="E64" t="str">
            <v>06:00 - 12:00</v>
          </cell>
          <cell r="F64" t="str">
            <v>MAÑANA</v>
          </cell>
          <cell r="G64" t="str">
            <v>SAB Y DOM</v>
          </cell>
          <cell r="H64" t="str">
            <v>MOYANO, DAIANA SOLEDAD</v>
          </cell>
          <cell r="I64" t="str">
            <v>Romandetto Carlos</v>
          </cell>
          <cell r="J64" t="str">
            <v>x</v>
          </cell>
          <cell r="K64"/>
          <cell r="L64" t="str">
            <v>x</v>
          </cell>
          <cell r="M64" t="str">
            <v>x</v>
          </cell>
          <cell r="N64" t="str">
            <v>x</v>
          </cell>
          <cell r="O64"/>
          <cell r="P64"/>
          <cell r="Q64"/>
          <cell r="R64" t="str">
            <v>x</v>
          </cell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 t="str">
            <v>x</v>
          </cell>
          <cell r="AO64" t="str">
            <v>x</v>
          </cell>
          <cell r="AP64"/>
          <cell r="AQ64">
            <v>44704</v>
          </cell>
          <cell r="AR64">
            <v>869</v>
          </cell>
          <cell r="AS64">
            <v>45443</v>
          </cell>
          <cell r="AT64">
            <v>130</v>
          </cell>
          <cell r="AU64" t="str">
            <v>VMANAFAL</v>
          </cell>
        </row>
        <row r="65">
          <cell r="C65">
            <v>606031</v>
          </cell>
          <cell r="D65" t="str">
            <v>CEJAS MAYRA</v>
          </cell>
          <cell r="E65" t="str">
            <v>15:00 - 21:00</v>
          </cell>
          <cell r="F65" t="str">
            <v>TARDE</v>
          </cell>
          <cell r="G65" t="str">
            <v>VIE Y DOM</v>
          </cell>
          <cell r="H65" t="str">
            <v>GOMEZ, SASHA</v>
          </cell>
          <cell r="I65" t="str">
            <v>Romandetto Carlos</v>
          </cell>
          <cell r="J65" t="str">
            <v>x</v>
          </cell>
          <cell r="K65"/>
          <cell r="L65" t="str">
            <v>x</v>
          </cell>
          <cell r="M65" t="str">
            <v>x</v>
          </cell>
          <cell r="N65" t="str">
            <v>x</v>
          </cell>
          <cell r="O65"/>
          <cell r="P65"/>
          <cell r="Q65"/>
          <cell r="R65" t="str">
            <v>x</v>
          </cell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 t="str">
            <v>x</v>
          </cell>
          <cell r="AO65" t="str">
            <v>x</v>
          </cell>
          <cell r="AP65"/>
          <cell r="AQ65">
            <v>44722</v>
          </cell>
          <cell r="AR65">
            <v>851</v>
          </cell>
          <cell r="AS65">
            <v>45350</v>
          </cell>
          <cell r="AT65">
            <v>223</v>
          </cell>
          <cell r="AU65" t="str">
            <v>VMAMACEJ</v>
          </cell>
        </row>
        <row r="66">
          <cell r="C66">
            <v>606035</v>
          </cell>
          <cell r="D66" t="str">
            <v>LENTINI MELANIE NOEMI</v>
          </cell>
          <cell r="E66" t="str">
            <v>15:00 - 21:00</v>
          </cell>
          <cell r="F66" t="str">
            <v>TARDE</v>
          </cell>
          <cell r="G66" t="str">
            <v>SAB Y DOM</v>
          </cell>
          <cell r="H66" t="str">
            <v>GOMEZ, SASHA</v>
          </cell>
          <cell r="I66" t="str">
            <v>Romandetto Carlos</v>
          </cell>
          <cell r="J66" t="str">
            <v>x</v>
          </cell>
          <cell r="K66"/>
          <cell r="L66" t="str">
            <v>x</v>
          </cell>
          <cell r="M66" t="str">
            <v>x</v>
          </cell>
          <cell r="N66" t="str">
            <v>x</v>
          </cell>
          <cell r="O66"/>
          <cell r="P66"/>
          <cell r="Q66" t="str">
            <v>x</v>
          </cell>
          <cell r="R66" t="str">
            <v>x</v>
          </cell>
          <cell r="S66" t="str">
            <v>x</v>
          </cell>
          <cell r="T66" t="str">
            <v>x</v>
          </cell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 t="str">
            <v>x</v>
          </cell>
          <cell r="AO66"/>
          <cell r="AP66" t="str">
            <v>x</v>
          </cell>
          <cell r="AQ66">
            <v>44722</v>
          </cell>
          <cell r="AR66">
            <v>851</v>
          </cell>
          <cell r="AS66">
            <v>45478</v>
          </cell>
          <cell r="AT66">
            <v>95</v>
          </cell>
          <cell r="AU66" t="str">
            <v>VMAMELEN</v>
          </cell>
        </row>
        <row r="67">
          <cell r="C67">
            <v>606019</v>
          </cell>
          <cell r="D67" t="str">
            <v>VERGARA TAMARA</v>
          </cell>
          <cell r="E67" t="str">
            <v>09:00 - 15:00</v>
          </cell>
          <cell r="F67" t="str">
            <v>MAÑANA</v>
          </cell>
          <cell r="G67" t="str">
            <v>JUE Y DOM</v>
          </cell>
          <cell r="H67" t="str">
            <v>LOUREIRO, FLORENCIA CANDELA</v>
          </cell>
          <cell r="I67" t="str">
            <v>Romandetto Carlos</v>
          </cell>
          <cell r="J67" t="str">
            <v>x</v>
          </cell>
          <cell r="K67"/>
          <cell r="L67" t="str">
            <v>x</v>
          </cell>
          <cell r="M67" t="str">
            <v>x</v>
          </cell>
          <cell r="N67" t="str">
            <v>x</v>
          </cell>
          <cell r="O67"/>
          <cell r="P67"/>
          <cell r="Q67" t="str">
            <v>x</v>
          </cell>
          <cell r="R67" t="str">
            <v>x</v>
          </cell>
          <cell r="S67" t="str">
            <v>x</v>
          </cell>
          <cell r="T67" t="str">
            <v>x</v>
          </cell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 t="str">
            <v>x</v>
          </cell>
          <cell r="AO67"/>
          <cell r="AP67" t="str">
            <v>x</v>
          </cell>
          <cell r="AQ67">
            <v>44722</v>
          </cell>
          <cell r="AR67">
            <v>851</v>
          </cell>
          <cell r="AS67">
            <v>45322</v>
          </cell>
          <cell r="AT67">
            <v>251</v>
          </cell>
          <cell r="AU67" t="str">
            <v>VMATAVER</v>
          </cell>
        </row>
        <row r="68">
          <cell r="C68">
            <v>606040</v>
          </cell>
          <cell r="D68" t="str">
            <v>SANCHEZ YAMILA</v>
          </cell>
          <cell r="E68" t="str">
            <v>09:00 - 15:00</v>
          </cell>
          <cell r="F68" t="str">
            <v>MAÑANA</v>
          </cell>
          <cell r="G68" t="str">
            <v>MAR Y SAB</v>
          </cell>
          <cell r="H68" t="str">
            <v>RUIZ, TOMAS EMANUEL</v>
          </cell>
          <cell r="I68" t="str">
            <v>Romandetto Carlos</v>
          </cell>
          <cell r="J68" t="str">
            <v>x</v>
          </cell>
          <cell r="K68"/>
          <cell r="L68" t="str">
            <v>x</v>
          </cell>
          <cell r="M68" t="str">
            <v>x</v>
          </cell>
          <cell r="N68" t="str">
            <v>x</v>
          </cell>
          <cell r="O68"/>
          <cell r="P68"/>
          <cell r="Q68"/>
          <cell r="R68" t="str">
            <v>x</v>
          </cell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 t="str">
            <v>x</v>
          </cell>
          <cell r="AO68" t="str">
            <v>x</v>
          </cell>
          <cell r="AP68"/>
          <cell r="AQ68">
            <v>44722</v>
          </cell>
          <cell r="AR68">
            <v>851</v>
          </cell>
          <cell r="AS68">
            <v>45471</v>
          </cell>
          <cell r="AT68">
            <v>102</v>
          </cell>
          <cell r="AU68" t="str">
            <v>VMASAYAM</v>
          </cell>
        </row>
        <row r="69">
          <cell r="C69">
            <v>606011</v>
          </cell>
          <cell r="D69" t="str">
            <v>VIZGARRA SORIA NAHUEL FACUNDO</v>
          </cell>
          <cell r="E69" t="str">
            <v>08:00 - 14:00</v>
          </cell>
          <cell r="F69" t="str">
            <v>MAÑANA</v>
          </cell>
          <cell r="G69" t="str">
            <v>SAB Y DOM</v>
          </cell>
          <cell r="H69" t="str">
            <v>LOUREIRO, FLORENCIA CANDELA</v>
          </cell>
          <cell r="I69" t="str">
            <v>Romandetto Carlos</v>
          </cell>
          <cell r="J69" t="str">
            <v>x</v>
          </cell>
          <cell r="K69"/>
          <cell r="L69" t="str">
            <v>x</v>
          </cell>
          <cell r="M69" t="str">
            <v>x</v>
          </cell>
          <cell r="N69" t="str">
            <v>x</v>
          </cell>
          <cell r="O69"/>
          <cell r="P69"/>
          <cell r="Q69"/>
          <cell r="R69" t="str">
            <v>x</v>
          </cell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 t="str">
            <v>x</v>
          </cell>
          <cell r="AN69"/>
          <cell r="AO69"/>
          <cell r="AP69"/>
          <cell r="AQ69">
            <v>44783</v>
          </cell>
          <cell r="AR69">
            <v>790</v>
          </cell>
          <cell r="AS69">
            <v>45509</v>
          </cell>
          <cell r="AT69">
            <v>64</v>
          </cell>
          <cell r="AU69" t="str">
            <v>VMANAVIZ</v>
          </cell>
        </row>
        <row r="70">
          <cell r="C70">
            <v>605957</v>
          </cell>
          <cell r="D70" t="str">
            <v>VARGAS CAROLINA MELANY</v>
          </cell>
          <cell r="E70" t="str">
            <v>09:00 - 15:00</v>
          </cell>
          <cell r="F70" t="str">
            <v>MAÑANA</v>
          </cell>
          <cell r="G70" t="str">
            <v>VIE Y DOM</v>
          </cell>
          <cell r="H70" t="str">
            <v>GROESMANN, MAYA JUDITH</v>
          </cell>
          <cell r="I70" t="str">
            <v>Romandetto Carlos</v>
          </cell>
          <cell r="J70"/>
          <cell r="K70"/>
          <cell r="L70" t="str">
            <v>x</v>
          </cell>
          <cell r="M70" t="str">
            <v>x</v>
          </cell>
          <cell r="N70" t="str">
            <v>x</v>
          </cell>
          <cell r="O70"/>
          <cell r="P70"/>
          <cell r="Q70" t="str">
            <v>x</v>
          </cell>
          <cell r="R70" t="str">
            <v>x</v>
          </cell>
          <cell r="S70" t="str">
            <v>x</v>
          </cell>
          <cell r="T70" t="str">
            <v>x</v>
          </cell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 t="str">
            <v>x</v>
          </cell>
          <cell r="AO70"/>
          <cell r="AP70" t="str">
            <v>x</v>
          </cell>
          <cell r="AQ70">
            <v>44783</v>
          </cell>
          <cell r="AR70">
            <v>790</v>
          </cell>
          <cell r="AS70">
            <v>45322</v>
          </cell>
          <cell r="AT70">
            <v>251</v>
          </cell>
          <cell r="AU70" t="str">
            <v>VMACAVAR</v>
          </cell>
        </row>
        <row r="71">
          <cell r="C71">
            <v>605995</v>
          </cell>
          <cell r="D71" t="str">
            <v>GONZALEZ LOURDES BELEN</v>
          </cell>
          <cell r="E71" t="str">
            <v>09:00 - 15:00</v>
          </cell>
          <cell r="F71" t="str">
            <v>MAÑANA</v>
          </cell>
          <cell r="G71" t="str">
            <v>SAB Y DOM</v>
          </cell>
          <cell r="H71" t="str">
            <v>VEGA, BRIAN NICOLAS</v>
          </cell>
          <cell r="I71" t="str">
            <v>Leandro Muñoz</v>
          </cell>
          <cell r="J71"/>
          <cell r="K71"/>
          <cell r="L71" t="str">
            <v>x</v>
          </cell>
          <cell r="M71" t="str">
            <v>x</v>
          </cell>
          <cell r="N71" t="str">
            <v>x</v>
          </cell>
          <cell r="O71"/>
          <cell r="P71"/>
          <cell r="Q71"/>
          <cell r="R71" t="str">
            <v>x</v>
          </cell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 t="str">
            <v>x</v>
          </cell>
          <cell r="AN71"/>
          <cell r="AO71"/>
          <cell r="AP71"/>
          <cell r="AQ71">
            <v>44783</v>
          </cell>
          <cell r="AR71">
            <v>790</v>
          </cell>
          <cell r="AS71">
            <v>45350</v>
          </cell>
          <cell r="AT71">
            <v>223</v>
          </cell>
          <cell r="AU71" t="str">
            <v>VMALOGON</v>
          </cell>
        </row>
        <row r="72">
          <cell r="C72">
            <v>606057</v>
          </cell>
          <cell r="D72" t="str">
            <v>ASCONA IARA MAGALI</v>
          </cell>
          <cell r="E72" t="str">
            <v>11:00 - 17:00</v>
          </cell>
          <cell r="F72" t="str">
            <v>MAÑANA</v>
          </cell>
          <cell r="G72" t="str">
            <v>SAB Y DOM</v>
          </cell>
          <cell r="H72" t="str">
            <v>GOMEZ, AYLEN MILAGROS</v>
          </cell>
          <cell r="I72" t="str">
            <v>Romandetto Carlos</v>
          </cell>
          <cell r="J72" t="str">
            <v>x</v>
          </cell>
          <cell r="K72"/>
          <cell r="L72" t="str">
            <v>x</v>
          </cell>
          <cell r="M72" t="str">
            <v>x</v>
          </cell>
          <cell r="N72" t="str">
            <v>x</v>
          </cell>
          <cell r="O72"/>
          <cell r="P72"/>
          <cell r="Q72"/>
          <cell r="R72" t="str">
            <v>x</v>
          </cell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 t="str">
            <v>x</v>
          </cell>
          <cell r="AJ72"/>
          <cell r="AK72"/>
          <cell r="AL72"/>
          <cell r="AM72"/>
          <cell r="AN72"/>
          <cell r="AO72"/>
          <cell r="AP72"/>
          <cell r="AQ72">
            <v>44778</v>
          </cell>
          <cell r="AR72">
            <v>795</v>
          </cell>
          <cell r="AS72">
            <v>45509</v>
          </cell>
          <cell r="AT72">
            <v>64</v>
          </cell>
          <cell r="AU72" t="str">
            <v>VMAIAASC</v>
          </cell>
        </row>
        <row r="73">
          <cell r="C73">
            <v>605996</v>
          </cell>
          <cell r="D73" t="str">
            <v>AGUINAGA GOMEZ MARIA MAGALI</v>
          </cell>
          <cell r="E73" t="str">
            <v>06:00 - 12:00</v>
          </cell>
          <cell r="F73" t="str">
            <v>MAÑANA</v>
          </cell>
          <cell r="G73" t="str">
            <v>SAB Y DOM</v>
          </cell>
          <cell r="H73" t="str">
            <v>MOYANO, DAIANA SOLEDAD</v>
          </cell>
          <cell r="I73" t="str">
            <v>Romandetto Carlos</v>
          </cell>
          <cell r="J73" t="str">
            <v>x</v>
          </cell>
          <cell r="K73"/>
          <cell r="L73" t="str">
            <v>x</v>
          </cell>
          <cell r="M73" t="str">
            <v>x</v>
          </cell>
          <cell r="N73" t="str">
            <v>x</v>
          </cell>
          <cell r="O73"/>
          <cell r="P73"/>
          <cell r="Q73"/>
          <cell r="R73" t="str">
            <v>x</v>
          </cell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 t="str">
            <v>x</v>
          </cell>
          <cell r="AO73" t="str">
            <v>x</v>
          </cell>
          <cell r="AP73"/>
          <cell r="AQ73">
            <v>44896</v>
          </cell>
          <cell r="AR73">
            <v>677</v>
          </cell>
          <cell r="AS73">
            <v>45350</v>
          </cell>
          <cell r="AT73">
            <v>223</v>
          </cell>
          <cell r="AU73" t="str">
            <v>VMAMARAG</v>
          </cell>
        </row>
        <row r="74">
          <cell r="C74">
            <v>606039</v>
          </cell>
          <cell r="D74" t="str">
            <v>GOMEZ ENCISO MONICA</v>
          </cell>
          <cell r="E74" t="str">
            <v>15:00 - 21:00</v>
          </cell>
          <cell r="F74" t="str">
            <v>TARDE</v>
          </cell>
          <cell r="G74" t="str">
            <v>VIE Y DOM</v>
          </cell>
          <cell r="H74" t="str">
            <v>GOMEZ, SASHA</v>
          </cell>
          <cell r="I74" t="str">
            <v>Romandetto Carlos</v>
          </cell>
          <cell r="J74" t="str">
            <v>x</v>
          </cell>
          <cell r="K74"/>
          <cell r="L74" t="str">
            <v>x</v>
          </cell>
          <cell r="M74"/>
          <cell r="N74"/>
          <cell r="O74"/>
          <cell r="P74"/>
          <cell r="Q74" t="str">
            <v>x</v>
          </cell>
          <cell r="R74" t="str">
            <v>x</v>
          </cell>
          <cell r="S74" t="str">
            <v>x</v>
          </cell>
          <cell r="T74" t="str">
            <v>x</v>
          </cell>
          <cell r="U74" t="str">
            <v>x</v>
          </cell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 t="str">
            <v>x</v>
          </cell>
          <cell r="AO74"/>
          <cell r="AP74" t="str">
            <v>x</v>
          </cell>
          <cell r="AQ74">
            <v>44896</v>
          </cell>
          <cell r="AR74">
            <v>677</v>
          </cell>
          <cell r="AS74">
            <v>45279</v>
          </cell>
          <cell r="AT74">
            <v>294</v>
          </cell>
          <cell r="AU74" t="str">
            <v>VMAMOGOM</v>
          </cell>
        </row>
        <row r="75">
          <cell r="C75">
            <v>606053</v>
          </cell>
          <cell r="D75" t="str">
            <v>SANCHEZ FLORENCIA ARIADNA</v>
          </cell>
          <cell r="E75" t="str">
            <v>15:00 - 21:00</v>
          </cell>
          <cell r="F75" t="str">
            <v>TARDE</v>
          </cell>
          <cell r="G75" t="str">
            <v>SAB Y DOM</v>
          </cell>
          <cell r="H75" t="str">
            <v>GOMEZ, SASHA</v>
          </cell>
          <cell r="I75" t="str">
            <v>Romandetto Carlos</v>
          </cell>
          <cell r="J75"/>
          <cell r="K75"/>
          <cell r="L75" t="str">
            <v>x</v>
          </cell>
          <cell r="M75" t="str">
            <v>x</v>
          </cell>
          <cell r="N75" t="str">
            <v>x</v>
          </cell>
          <cell r="O75"/>
          <cell r="P75"/>
          <cell r="Q75" t="str">
            <v>x</v>
          </cell>
          <cell r="R75" t="str">
            <v>x</v>
          </cell>
          <cell r="S75" t="str">
            <v>x</v>
          </cell>
          <cell r="T75" t="str">
            <v>x</v>
          </cell>
          <cell r="U75" t="str">
            <v>x</v>
          </cell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 t="str">
            <v>x</v>
          </cell>
          <cell r="AO75"/>
          <cell r="AP75" t="str">
            <v>x</v>
          </cell>
          <cell r="AQ75">
            <v>44778</v>
          </cell>
          <cell r="AR75">
            <v>795</v>
          </cell>
          <cell r="AS75">
            <v>45210</v>
          </cell>
          <cell r="AT75">
            <v>363</v>
          </cell>
          <cell r="AU75" t="str">
            <v>VMAFLSAN</v>
          </cell>
        </row>
        <row r="76">
          <cell r="C76">
            <v>606046</v>
          </cell>
          <cell r="D76" t="str">
            <v>LOPEZ CANDELA YAZMIN</v>
          </cell>
          <cell r="E76" t="str">
            <v>09:00 - 15:00</v>
          </cell>
          <cell r="F76" t="str">
            <v>MAÑANA</v>
          </cell>
          <cell r="G76" t="str">
            <v>SAB Y DOM</v>
          </cell>
          <cell r="H76" t="str">
            <v>Supervisor Capacitación, BU No Fijo</v>
          </cell>
          <cell r="I76" t="str">
            <v>-</v>
          </cell>
          <cell r="J76" t="str">
            <v>x</v>
          </cell>
          <cell r="K76"/>
          <cell r="L76" t="str">
            <v>x</v>
          </cell>
          <cell r="M76" t="str">
            <v>x</v>
          </cell>
          <cell r="N76" t="str">
            <v>x</v>
          </cell>
          <cell r="O76"/>
          <cell r="P76"/>
          <cell r="Q76" t="str">
            <v>x</v>
          </cell>
          <cell r="R76" t="str">
            <v>x</v>
          </cell>
          <cell r="S76" t="str">
            <v>x</v>
          </cell>
          <cell r="T76" t="str">
            <v>x</v>
          </cell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 t="str">
            <v>x</v>
          </cell>
          <cell r="AO76"/>
          <cell r="AP76" t="str">
            <v>x</v>
          </cell>
          <cell r="AQ76">
            <v>44896</v>
          </cell>
          <cell r="AR76">
            <v>677</v>
          </cell>
          <cell r="AS76">
            <v>45329</v>
          </cell>
          <cell r="AT76">
            <v>244</v>
          </cell>
          <cell r="AU76" t="str">
            <v>VMACALOP</v>
          </cell>
        </row>
        <row r="77">
          <cell r="C77">
            <v>606070</v>
          </cell>
          <cell r="D77" t="str">
            <v>LOPEZ VICTORIA ABRIL</v>
          </cell>
          <cell r="E77" t="str">
            <v>09:00 - 15:00</v>
          </cell>
          <cell r="F77" t="str">
            <v>MAÑANA</v>
          </cell>
          <cell r="G77" t="str">
            <v>SAB Y DOM</v>
          </cell>
          <cell r="H77" t="str">
            <v>GROESMANN, MAYA JUDITH</v>
          </cell>
          <cell r="I77" t="str">
            <v>Romandetto Carlos</v>
          </cell>
          <cell r="J77" t="str">
            <v>x</v>
          </cell>
          <cell r="K77"/>
          <cell r="L77" t="str">
            <v>x</v>
          </cell>
          <cell r="M77" t="str">
            <v>x</v>
          </cell>
          <cell r="N77" t="str">
            <v>x</v>
          </cell>
          <cell r="O77"/>
          <cell r="P77"/>
          <cell r="Q77"/>
          <cell r="R77" t="str">
            <v>x</v>
          </cell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 t="str">
            <v>x</v>
          </cell>
          <cell r="AO77" t="str">
            <v>x</v>
          </cell>
          <cell r="AP77"/>
          <cell r="AQ77">
            <v>44811</v>
          </cell>
          <cell r="AR77">
            <v>762</v>
          </cell>
          <cell r="AS77">
            <v>45443</v>
          </cell>
          <cell r="AT77">
            <v>130</v>
          </cell>
          <cell r="AU77" t="str">
            <v>VMAVILOP</v>
          </cell>
        </row>
        <row r="78">
          <cell r="C78">
            <v>606109</v>
          </cell>
          <cell r="D78" t="str">
            <v>SARAVIA CAROLINA</v>
          </cell>
          <cell r="E78" t="str">
            <v>09:00 - 15:00</v>
          </cell>
          <cell r="F78" t="str">
            <v>MAÑANA</v>
          </cell>
          <cell r="G78" t="str">
            <v>MAR Y DOM</v>
          </cell>
          <cell r="H78" t="str">
            <v>VILLALBA, VICTORIA</v>
          </cell>
          <cell r="I78" t="str">
            <v>Romandetto Carlos</v>
          </cell>
          <cell r="J78" t="str">
            <v>x</v>
          </cell>
          <cell r="K78"/>
          <cell r="L78" t="str">
            <v>x</v>
          </cell>
          <cell r="M78" t="str">
            <v>x</v>
          </cell>
          <cell r="N78" t="str">
            <v>x</v>
          </cell>
          <cell r="O78"/>
          <cell r="P78"/>
          <cell r="Q78"/>
          <cell r="R78" t="str">
            <v>x</v>
          </cell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 t="str">
            <v>x</v>
          </cell>
          <cell r="AO78" t="str">
            <v>x</v>
          </cell>
          <cell r="AP78"/>
          <cell r="AQ78">
            <v>44811</v>
          </cell>
          <cell r="AR78">
            <v>762</v>
          </cell>
          <cell r="AS78">
            <v>45495</v>
          </cell>
          <cell r="AT78">
            <v>78</v>
          </cell>
          <cell r="AU78" t="str">
            <v>VMACASAR</v>
          </cell>
        </row>
        <row r="79">
          <cell r="C79">
            <v>605550</v>
          </cell>
          <cell r="D79" t="str">
            <v>GONZALEZ ALDANA AYELEN</v>
          </cell>
          <cell r="E79" t="str">
            <v>09:00 - 15:00</v>
          </cell>
          <cell r="F79" t="str">
            <v>MAÑANA</v>
          </cell>
          <cell r="G79" t="str">
            <v>JUE Y SAB</v>
          </cell>
          <cell r="H79" t="str">
            <v>ROBLEDO, YESICA DANIELA</v>
          </cell>
          <cell r="I79" t="str">
            <v>Romandetto Carlos</v>
          </cell>
          <cell r="J79" t="str">
            <v>x</v>
          </cell>
          <cell r="K79"/>
          <cell r="L79" t="str">
            <v>x</v>
          </cell>
          <cell r="M79" t="str">
            <v>x</v>
          </cell>
          <cell r="N79" t="str">
            <v>x</v>
          </cell>
          <cell r="O79"/>
          <cell r="P79"/>
          <cell r="Q79"/>
          <cell r="R79" t="str">
            <v>x</v>
          </cell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 t="str">
            <v>x</v>
          </cell>
          <cell r="AK79"/>
          <cell r="AL79"/>
          <cell r="AM79"/>
          <cell r="AN79"/>
          <cell r="AO79"/>
          <cell r="AP79"/>
          <cell r="AQ79">
            <v>44811</v>
          </cell>
          <cell r="AR79">
            <v>762</v>
          </cell>
          <cell r="AS79">
            <v>45509</v>
          </cell>
          <cell r="AT79">
            <v>64</v>
          </cell>
          <cell r="AU79" t="str">
            <v>VMAALGON</v>
          </cell>
        </row>
        <row r="80">
          <cell r="C80">
            <v>606066</v>
          </cell>
          <cell r="D80" t="str">
            <v>PANIAGUA CARLA NOEMI</v>
          </cell>
          <cell r="E80" t="str">
            <v>08:00 - 14:00</v>
          </cell>
          <cell r="F80" t="str">
            <v>MAÑANA</v>
          </cell>
          <cell r="G80" t="str">
            <v>MIE Y DOM</v>
          </cell>
          <cell r="H80" t="str">
            <v>ROBLEDO, YESICA DANIELA</v>
          </cell>
          <cell r="I80" t="str">
            <v>Romandetto Carlos</v>
          </cell>
          <cell r="J80" t="str">
            <v>x</v>
          </cell>
          <cell r="K80"/>
          <cell r="L80" t="str">
            <v>x</v>
          </cell>
          <cell r="M80"/>
          <cell r="N80"/>
          <cell r="O80"/>
          <cell r="P80"/>
          <cell r="Q80" t="str">
            <v>x</v>
          </cell>
          <cell r="R80" t="str">
            <v>x</v>
          </cell>
          <cell r="S80" t="str">
            <v>x</v>
          </cell>
          <cell r="T80" t="str">
            <v>x</v>
          </cell>
          <cell r="U80" t="str">
            <v>x</v>
          </cell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 t="str">
            <v>x</v>
          </cell>
          <cell r="AO80"/>
          <cell r="AP80" t="str">
            <v>x</v>
          </cell>
          <cell r="AQ80">
            <v>44833</v>
          </cell>
          <cell r="AR80">
            <v>740</v>
          </cell>
          <cell r="AS80">
            <v>45279</v>
          </cell>
          <cell r="AT80">
            <v>294</v>
          </cell>
          <cell r="AU80" t="str">
            <v>VMACAPAN</v>
          </cell>
        </row>
        <row r="81">
          <cell r="C81">
            <v>606075</v>
          </cell>
          <cell r="D81" t="str">
            <v>CORPUS BARRIOS CANDELA GIOVANNA</v>
          </cell>
          <cell r="E81" t="str">
            <v>09:00 - 15:00</v>
          </cell>
          <cell r="F81" t="str">
            <v>MAÑANA</v>
          </cell>
          <cell r="G81" t="str">
            <v>JUE Y DOM</v>
          </cell>
          <cell r="H81" t="str">
            <v>GROESMANN, MAYA JUDITH</v>
          </cell>
          <cell r="I81" t="str">
            <v>Romandetto Carlos</v>
          </cell>
          <cell r="J81" t="str">
            <v>x</v>
          </cell>
          <cell r="K81"/>
          <cell r="L81" t="str">
            <v>x</v>
          </cell>
          <cell r="M81" t="str">
            <v>x</v>
          </cell>
          <cell r="N81" t="str">
            <v>x</v>
          </cell>
          <cell r="O81"/>
          <cell r="P81"/>
          <cell r="Q81"/>
          <cell r="R81" t="str">
            <v>x</v>
          </cell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 t="str">
            <v>x</v>
          </cell>
          <cell r="AO81" t="str">
            <v>x</v>
          </cell>
          <cell r="AP81"/>
          <cell r="AQ81">
            <v>44928</v>
          </cell>
          <cell r="AR81">
            <v>645</v>
          </cell>
          <cell r="AS81">
            <v>44840</v>
          </cell>
          <cell r="AT81">
            <v>733</v>
          </cell>
          <cell r="AU81" t="str">
            <v>VMACACOR</v>
          </cell>
        </row>
        <row r="82">
          <cell r="C82">
            <v>606085</v>
          </cell>
          <cell r="D82" t="str">
            <v>CARDILLO MARIANELLA BIANCA</v>
          </cell>
          <cell r="E82" t="str">
            <v>07:00 - 13:00</v>
          </cell>
          <cell r="F82" t="str">
            <v>MAÑANA</v>
          </cell>
          <cell r="G82" t="str">
            <v>MIE Y SAB</v>
          </cell>
          <cell r="H82" t="str">
            <v>MOYANO, DAIANA SOLEDAD</v>
          </cell>
          <cell r="I82" t="str">
            <v>Romandetto Carlos</v>
          </cell>
          <cell r="J82" t="str">
            <v>x</v>
          </cell>
          <cell r="K82"/>
          <cell r="L82" t="str">
            <v>x</v>
          </cell>
          <cell r="M82"/>
          <cell r="N82"/>
          <cell r="O82"/>
          <cell r="P82"/>
          <cell r="Q82" t="str">
            <v>x</v>
          </cell>
          <cell r="R82" t="str">
            <v>x</v>
          </cell>
          <cell r="S82" t="str">
            <v>x</v>
          </cell>
          <cell r="T82" t="str">
            <v>x</v>
          </cell>
          <cell r="U82" t="str">
            <v>x</v>
          </cell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 t="str">
            <v>x</v>
          </cell>
          <cell r="AO82"/>
          <cell r="AP82" t="str">
            <v>x</v>
          </cell>
          <cell r="AQ82">
            <v>44833</v>
          </cell>
          <cell r="AR82">
            <v>740</v>
          </cell>
          <cell r="AS82">
            <v>45279</v>
          </cell>
          <cell r="AT82">
            <v>294</v>
          </cell>
          <cell r="AU82" t="str">
            <v>VMACAMAR</v>
          </cell>
        </row>
        <row r="83">
          <cell r="C83">
            <v>606123</v>
          </cell>
          <cell r="D83" t="str">
            <v>MENGUEZ LUKA PATRICIO</v>
          </cell>
          <cell r="E83" t="str">
            <v>11:00 - 17:00</v>
          </cell>
          <cell r="F83" t="str">
            <v>MAÑANA</v>
          </cell>
          <cell r="G83" t="str">
            <v>SAB Y DOM</v>
          </cell>
          <cell r="H83" t="str">
            <v>LOUREIRO, FLORENCIA CANDELA</v>
          </cell>
          <cell r="I83" t="str">
            <v>Romandetto Carlos</v>
          </cell>
          <cell r="J83" t="str">
            <v>x</v>
          </cell>
          <cell r="K83"/>
          <cell r="L83" t="str">
            <v>x</v>
          </cell>
          <cell r="M83"/>
          <cell r="N83"/>
          <cell r="O83"/>
          <cell r="P83"/>
          <cell r="Q83" t="str">
            <v>x</v>
          </cell>
          <cell r="R83" t="str">
            <v>x</v>
          </cell>
          <cell r="S83" t="str">
            <v>x</v>
          </cell>
          <cell r="T83" t="str">
            <v>x</v>
          </cell>
          <cell r="U83" t="str">
            <v>x</v>
          </cell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 t="str">
            <v>x</v>
          </cell>
          <cell r="AO83"/>
          <cell r="AP83" t="str">
            <v>x</v>
          </cell>
          <cell r="AQ83">
            <v>44833</v>
          </cell>
          <cell r="AR83">
            <v>740</v>
          </cell>
          <cell r="AS83">
            <v>45279</v>
          </cell>
          <cell r="AT83">
            <v>294</v>
          </cell>
          <cell r="AU83" t="str">
            <v>VMALUMEN</v>
          </cell>
        </row>
        <row r="84">
          <cell r="C84">
            <v>606130</v>
          </cell>
          <cell r="D84" t="str">
            <v>GOLDMAN DAMARIS ELIZABETH</v>
          </cell>
          <cell r="E84" t="str">
            <v>13:00 - 19:00</v>
          </cell>
          <cell r="F84" t="str">
            <v>TARDE</v>
          </cell>
          <cell r="G84" t="str">
            <v>VIE Y DOM</v>
          </cell>
          <cell r="H84" t="str">
            <v>GOMEZ, AYLEN MILAGROS</v>
          </cell>
          <cell r="I84" t="str">
            <v>Romandetto Carlos</v>
          </cell>
          <cell r="J84" t="str">
            <v>x</v>
          </cell>
          <cell r="K84"/>
          <cell r="L84" t="str">
            <v>x</v>
          </cell>
          <cell r="M84" t="str">
            <v>x</v>
          </cell>
          <cell r="N84" t="str">
            <v>x</v>
          </cell>
          <cell r="O84"/>
          <cell r="P84"/>
          <cell r="Q84"/>
          <cell r="R84" t="str">
            <v>x</v>
          </cell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 t="str">
            <v>x</v>
          </cell>
          <cell r="AJ84"/>
          <cell r="AK84"/>
          <cell r="AL84"/>
          <cell r="AM84"/>
          <cell r="AN84"/>
          <cell r="AO84"/>
          <cell r="AP84"/>
          <cell r="AQ84">
            <v>44833</v>
          </cell>
          <cell r="AR84">
            <v>740</v>
          </cell>
          <cell r="AS84">
            <v>45509</v>
          </cell>
          <cell r="AT84">
            <v>64</v>
          </cell>
          <cell r="AU84" t="str">
            <v>VMADAGOL</v>
          </cell>
        </row>
        <row r="85">
          <cell r="C85">
            <v>606135</v>
          </cell>
          <cell r="D85" t="str">
            <v>GONZA DIEGO MAXIMILIANO</v>
          </cell>
          <cell r="E85" t="str">
            <v>14:00 - 20:00</v>
          </cell>
          <cell r="F85" t="str">
            <v>TARDE</v>
          </cell>
          <cell r="G85" t="str">
            <v>LUN Y SAB</v>
          </cell>
          <cell r="H85" t="str">
            <v>ONETTO, MARIA DE LOS MILAGROS</v>
          </cell>
          <cell r="I85" t="str">
            <v>Romandetto Carlos</v>
          </cell>
          <cell r="J85" t="str">
            <v>x</v>
          </cell>
          <cell r="K85"/>
          <cell r="L85" t="str">
            <v>x</v>
          </cell>
          <cell r="M85" t="str">
            <v>x</v>
          </cell>
          <cell r="N85" t="str">
            <v>x</v>
          </cell>
          <cell r="O85"/>
          <cell r="P85"/>
          <cell r="Q85"/>
          <cell r="R85" t="str">
            <v>x</v>
          </cell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 t="str">
            <v>x</v>
          </cell>
          <cell r="AO85" t="str">
            <v>x</v>
          </cell>
          <cell r="AP85"/>
          <cell r="AQ85">
            <v>44833</v>
          </cell>
          <cell r="AR85">
            <v>740</v>
          </cell>
          <cell r="AS85">
            <v>45443</v>
          </cell>
          <cell r="AT85">
            <v>130</v>
          </cell>
          <cell r="AU85" t="str">
            <v>VMADIGON</v>
          </cell>
        </row>
        <row r="86">
          <cell r="C86">
            <v>605591</v>
          </cell>
          <cell r="D86" t="str">
            <v>BERTUCCI AGOSTINA</v>
          </cell>
          <cell r="E86" t="str">
            <v>10:00 - 16:00</v>
          </cell>
          <cell r="F86" t="str">
            <v>MAÑANA</v>
          </cell>
          <cell r="G86" t="str">
            <v>SAB Y DOM</v>
          </cell>
          <cell r="H86" t="str">
            <v>ROBLEDO, YESICA DANIELA</v>
          </cell>
          <cell r="I86" t="str">
            <v>Romandetto Carlos</v>
          </cell>
          <cell r="J86" t="str">
            <v>x</v>
          </cell>
          <cell r="K86"/>
          <cell r="L86" t="str">
            <v>x</v>
          </cell>
          <cell r="M86" t="str">
            <v>x</v>
          </cell>
          <cell r="N86" t="str">
            <v>x</v>
          </cell>
          <cell r="O86"/>
          <cell r="P86"/>
          <cell r="Q86"/>
          <cell r="R86" t="str">
            <v>x</v>
          </cell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 t="str">
            <v>x</v>
          </cell>
          <cell r="AO86" t="str">
            <v>x</v>
          </cell>
          <cell r="AP86"/>
          <cell r="AQ86">
            <v>44861</v>
          </cell>
          <cell r="AR86">
            <v>712</v>
          </cell>
          <cell r="AS86">
            <v>45471</v>
          </cell>
          <cell r="AT86">
            <v>102</v>
          </cell>
          <cell r="AU86" t="str">
            <v>vmaagber</v>
          </cell>
        </row>
        <row r="87">
          <cell r="C87">
            <v>606076</v>
          </cell>
          <cell r="D87" t="str">
            <v>MARTINEZ DIANA ELIZABETH</v>
          </cell>
          <cell r="E87" t="str">
            <v>09:00 - 15:00</v>
          </cell>
          <cell r="F87" t="str">
            <v>MAÑANA</v>
          </cell>
          <cell r="G87" t="str">
            <v>SAB Y DOM</v>
          </cell>
          <cell r="H87" t="str">
            <v>VEGA, BRIAN NICOLAS</v>
          </cell>
          <cell r="I87" t="str">
            <v>Leandro Muñoz</v>
          </cell>
          <cell r="J87" t="str">
            <v>x</v>
          </cell>
          <cell r="K87"/>
          <cell r="L87" t="str">
            <v>x</v>
          </cell>
          <cell r="M87" t="str">
            <v>x</v>
          </cell>
          <cell r="N87" t="str">
            <v>x</v>
          </cell>
          <cell r="O87"/>
          <cell r="P87"/>
          <cell r="Q87" t="str">
            <v>x</v>
          </cell>
          <cell r="R87" t="str">
            <v>x</v>
          </cell>
          <cell r="S87" t="str">
            <v>x</v>
          </cell>
          <cell r="T87" t="str">
            <v>x</v>
          </cell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 t="str">
            <v>x</v>
          </cell>
          <cell r="AN87" t="str">
            <v>x</v>
          </cell>
          <cell r="AO87"/>
          <cell r="AP87" t="str">
            <v>x</v>
          </cell>
          <cell r="AQ87">
            <v>44833</v>
          </cell>
          <cell r="AR87">
            <v>740</v>
          </cell>
          <cell r="AS87">
            <v>45322</v>
          </cell>
          <cell r="AT87">
            <v>251</v>
          </cell>
          <cell r="AU87" t="str">
            <v>VMADIAMA</v>
          </cell>
        </row>
        <row r="88">
          <cell r="C88">
            <v>605597</v>
          </cell>
          <cell r="D88" t="str">
            <v>LOPEZ FRANCO NICOLAS</v>
          </cell>
          <cell r="E88" t="str">
            <v>14:00 - 20:00</v>
          </cell>
          <cell r="F88" t="str">
            <v>TARDE</v>
          </cell>
          <cell r="G88" t="str">
            <v>VIE Y SAB</v>
          </cell>
          <cell r="H88" t="str">
            <v>GOMEZ, AYLEN MILAGROS</v>
          </cell>
          <cell r="I88" t="str">
            <v>Romandetto Carlos</v>
          </cell>
          <cell r="J88" t="str">
            <v>x</v>
          </cell>
          <cell r="K88"/>
          <cell r="L88" t="str">
            <v>x</v>
          </cell>
          <cell r="M88" t="str">
            <v>x</v>
          </cell>
          <cell r="N88" t="str">
            <v>x</v>
          </cell>
          <cell r="O88"/>
          <cell r="P88"/>
          <cell r="Q88"/>
          <cell r="R88" t="str">
            <v>x</v>
          </cell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 t="str">
            <v>x</v>
          </cell>
          <cell r="AO88" t="str">
            <v>x</v>
          </cell>
          <cell r="AP88"/>
          <cell r="AQ88">
            <v>44861</v>
          </cell>
          <cell r="AR88">
            <v>712</v>
          </cell>
          <cell r="AS88">
            <v>45443</v>
          </cell>
          <cell r="AT88">
            <v>130</v>
          </cell>
          <cell r="AU88" t="str">
            <v>vmafrlop</v>
          </cell>
        </row>
        <row r="89">
          <cell r="C89">
            <v>606088</v>
          </cell>
          <cell r="D89" t="str">
            <v>PEDRAZA PATRICIO ELIAS</v>
          </cell>
          <cell r="E89" t="str">
            <v>15:00 - 21:00</v>
          </cell>
          <cell r="F89" t="str">
            <v>TARDE</v>
          </cell>
          <cell r="G89" t="str">
            <v>SAB Y DOM</v>
          </cell>
          <cell r="H89" t="str">
            <v>ONETTO, MARIA DE LOS MILAGROS</v>
          </cell>
          <cell r="I89" t="str">
            <v>Romandetto Carlos</v>
          </cell>
          <cell r="J89" t="str">
            <v>x</v>
          </cell>
          <cell r="K89"/>
          <cell r="L89" t="str">
            <v>x</v>
          </cell>
          <cell r="M89" t="str">
            <v>x</v>
          </cell>
          <cell r="N89" t="str">
            <v>x</v>
          </cell>
          <cell r="O89"/>
          <cell r="P89"/>
          <cell r="Q89"/>
          <cell r="R89" t="str">
            <v>x</v>
          </cell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 t="str">
            <v>x</v>
          </cell>
          <cell r="AO89" t="str">
            <v>x</v>
          </cell>
          <cell r="AP89"/>
          <cell r="AQ89">
            <v>44861</v>
          </cell>
          <cell r="AR89">
            <v>712</v>
          </cell>
          <cell r="AS89">
            <v>45443</v>
          </cell>
          <cell r="AT89">
            <v>130</v>
          </cell>
          <cell r="AU89" t="str">
            <v>VMAPAPED</v>
          </cell>
        </row>
        <row r="90">
          <cell r="C90">
            <v>606140</v>
          </cell>
          <cell r="D90" t="str">
            <v>LANCHI NOELIA</v>
          </cell>
          <cell r="E90" t="str">
            <v>16:00 - 22:00</v>
          </cell>
          <cell r="F90" t="str">
            <v>TARDE</v>
          </cell>
          <cell r="G90" t="str">
            <v>SAB Y DOM</v>
          </cell>
          <cell r="H90" t="str">
            <v>PELOC, MARIA SOLEDAD</v>
          </cell>
          <cell r="I90" t="str">
            <v>Romandetto Carlos</v>
          </cell>
          <cell r="J90" t="str">
            <v>x</v>
          </cell>
          <cell r="K90"/>
          <cell r="L90" t="str">
            <v>x</v>
          </cell>
          <cell r="M90" t="str">
            <v>x</v>
          </cell>
          <cell r="N90" t="str">
            <v>x</v>
          </cell>
          <cell r="O90"/>
          <cell r="P90"/>
          <cell r="Q90"/>
          <cell r="R90" t="str">
            <v>x</v>
          </cell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>
            <v>44869</v>
          </cell>
          <cell r="AR90">
            <v>704</v>
          </cell>
          <cell r="AS90">
            <v>45565</v>
          </cell>
          <cell r="AT90">
            <v>8</v>
          </cell>
          <cell r="AU90" t="str">
            <v>VMANOLAN</v>
          </cell>
        </row>
        <row r="91">
          <cell r="C91">
            <v>606137</v>
          </cell>
          <cell r="D91" t="str">
            <v>ROJAS RICARDO ARIEL</v>
          </cell>
          <cell r="E91" t="str">
            <v>15:00 - 21:00</v>
          </cell>
          <cell r="F91" t="str">
            <v>TARDE</v>
          </cell>
          <cell r="G91" t="str">
            <v>SAB Y DOM</v>
          </cell>
          <cell r="H91" t="str">
            <v>ONETTO, MARIA DE LOS MILAGROS</v>
          </cell>
          <cell r="I91" t="str">
            <v>Romandetto Carlos</v>
          </cell>
          <cell r="J91" t="str">
            <v>x</v>
          </cell>
          <cell r="K91"/>
          <cell r="L91" t="str">
            <v>x</v>
          </cell>
          <cell r="M91" t="str">
            <v>x</v>
          </cell>
          <cell r="N91" t="str">
            <v>x</v>
          </cell>
          <cell r="O91"/>
          <cell r="P91"/>
          <cell r="Q91"/>
          <cell r="R91" t="str">
            <v>x</v>
          </cell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 t="str">
            <v>x</v>
          </cell>
          <cell r="AO91" t="str">
            <v>x</v>
          </cell>
          <cell r="AP91"/>
          <cell r="AQ91">
            <v>44869</v>
          </cell>
          <cell r="AR91">
            <v>704</v>
          </cell>
          <cell r="AS91">
            <v>45443</v>
          </cell>
          <cell r="AT91">
            <v>130</v>
          </cell>
          <cell r="AU91" t="str">
            <v>VMARIROJ</v>
          </cell>
        </row>
        <row r="92">
          <cell r="C92">
            <v>606064</v>
          </cell>
          <cell r="D92" t="str">
            <v>JARA KAREN</v>
          </cell>
          <cell r="E92" t="str">
            <v>09:00 - 15:00</v>
          </cell>
          <cell r="F92" t="str">
            <v>MAÑANA</v>
          </cell>
          <cell r="G92" t="str">
            <v>SAB Y DOM</v>
          </cell>
          <cell r="H92" t="str">
            <v>SORIA, ANA PAULA</v>
          </cell>
          <cell r="I92" t="str">
            <v>Romandetto Carlos</v>
          </cell>
          <cell r="J92" t="str">
            <v>x</v>
          </cell>
          <cell r="K92"/>
          <cell r="L92" t="str">
            <v>x</v>
          </cell>
          <cell r="M92" t="str">
            <v>x</v>
          </cell>
          <cell r="N92" t="str">
            <v>x</v>
          </cell>
          <cell r="O92"/>
          <cell r="P92"/>
          <cell r="Q92"/>
          <cell r="R92" t="str">
            <v>x</v>
          </cell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 t="str">
            <v>x</v>
          </cell>
          <cell r="AO92" t="str">
            <v>x</v>
          </cell>
          <cell r="AP92"/>
          <cell r="AQ92">
            <v>44894</v>
          </cell>
          <cell r="AR92">
            <v>679</v>
          </cell>
          <cell r="AS92">
            <v>45113</v>
          </cell>
          <cell r="AT92">
            <v>460</v>
          </cell>
          <cell r="AU92" t="str">
            <v>VMAKAJAR</v>
          </cell>
        </row>
        <row r="93">
          <cell r="C93">
            <v>606063</v>
          </cell>
          <cell r="D93" t="str">
            <v>DOMINGUEZ LAUTARO IVAN</v>
          </cell>
          <cell r="E93" t="str">
            <v>15:00 - 21:00</v>
          </cell>
          <cell r="F93" t="str">
            <v>TARDE</v>
          </cell>
          <cell r="G93" t="str">
            <v>SAB Y DOM</v>
          </cell>
          <cell r="H93" t="str">
            <v>PELOC, MARIA SOLEDAD</v>
          </cell>
          <cell r="I93" t="str">
            <v>Romandetto Carlos</v>
          </cell>
          <cell r="J93" t="str">
            <v>x</v>
          </cell>
          <cell r="K93"/>
          <cell r="L93" t="str">
            <v>x</v>
          </cell>
          <cell r="M93" t="str">
            <v>x</v>
          </cell>
          <cell r="N93" t="str">
            <v>x</v>
          </cell>
          <cell r="O93"/>
          <cell r="P93"/>
          <cell r="Q93"/>
          <cell r="R93" t="str">
            <v>x</v>
          </cell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 t="str">
            <v>x</v>
          </cell>
          <cell r="AO93" t="str">
            <v>x</v>
          </cell>
          <cell r="AP93"/>
          <cell r="AQ93">
            <v>44861</v>
          </cell>
          <cell r="AR93">
            <v>712</v>
          </cell>
          <cell r="AS93">
            <v>45443</v>
          </cell>
          <cell r="AT93">
            <v>130</v>
          </cell>
          <cell r="AU93" t="str">
            <v>VMALADOM</v>
          </cell>
        </row>
        <row r="94">
          <cell r="C94">
            <v>605691</v>
          </cell>
          <cell r="D94" t="str">
            <v>MOLINA THALIA</v>
          </cell>
          <cell r="E94" t="str">
            <v>18:00 - 00:00</v>
          </cell>
          <cell r="F94" t="str">
            <v>NOCHE</v>
          </cell>
          <cell r="G94" t="str">
            <v>SAB Y DOM</v>
          </cell>
          <cell r="H94" t="str">
            <v>PELOC, MARIA SOLEDAD</v>
          </cell>
          <cell r="I94" t="str">
            <v>Romandetto Carlos</v>
          </cell>
          <cell r="J94" t="str">
            <v>x</v>
          </cell>
          <cell r="K94"/>
          <cell r="L94" t="str">
            <v>x</v>
          </cell>
          <cell r="M94" t="str">
            <v>x</v>
          </cell>
          <cell r="N94" t="str">
            <v>x</v>
          </cell>
          <cell r="O94"/>
          <cell r="P94"/>
          <cell r="Q94"/>
          <cell r="R94" t="str">
            <v>x</v>
          </cell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 t="str">
            <v>x</v>
          </cell>
          <cell r="AO94" t="str">
            <v>x</v>
          </cell>
          <cell r="AP94"/>
          <cell r="AQ94">
            <v>44894</v>
          </cell>
          <cell r="AR94">
            <v>679</v>
          </cell>
          <cell r="AS94">
            <v>45471</v>
          </cell>
          <cell r="AT94">
            <v>102</v>
          </cell>
          <cell r="AU94" t="str">
            <v>VMATHMOL</v>
          </cell>
        </row>
        <row r="95">
          <cell r="C95">
            <v>605696</v>
          </cell>
          <cell r="D95" t="str">
            <v>MARTINEZ IGNACIO</v>
          </cell>
          <cell r="E95" t="str">
            <v>09:00 - 15:00</v>
          </cell>
          <cell r="F95" t="str">
            <v>MAÑANA</v>
          </cell>
          <cell r="G95" t="str">
            <v>MIE Y SAB</v>
          </cell>
          <cell r="H95" t="str">
            <v>VILLALBA, VICTORIA</v>
          </cell>
          <cell r="I95" t="str">
            <v>Romandetto Carlos</v>
          </cell>
          <cell r="J95" t="str">
            <v>x</v>
          </cell>
          <cell r="K95"/>
          <cell r="L95" t="str">
            <v>x</v>
          </cell>
          <cell r="M95"/>
          <cell r="N95"/>
          <cell r="O95"/>
          <cell r="P95"/>
          <cell r="Q95" t="str">
            <v>x</v>
          </cell>
          <cell r="R95" t="str">
            <v>x</v>
          </cell>
          <cell r="S95" t="str">
            <v>x</v>
          </cell>
          <cell r="T95" t="str">
            <v>x</v>
          </cell>
          <cell r="U95" t="str">
            <v>x</v>
          </cell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 t="str">
            <v>x</v>
          </cell>
          <cell r="AO95"/>
          <cell r="AP95" t="str">
            <v>x</v>
          </cell>
          <cell r="AQ95">
            <v>44894</v>
          </cell>
          <cell r="AR95">
            <v>679</v>
          </cell>
          <cell r="AS95">
            <v>45279</v>
          </cell>
          <cell r="AT95">
            <v>294</v>
          </cell>
          <cell r="AU95" t="str">
            <v>VMAIGMAR</v>
          </cell>
        </row>
        <row r="96">
          <cell r="C96">
            <v>605698</v>
          </cell>
          <cell r="D96" t="str">
            <v>SOLIS MELINA ALEJANDRA</v>
          </cell>
          <cell r="E96" t="str">
            <v>16:00 - 22:00</v>
          </cell>
          <cell r="F96" t="str">
            <v>TARDE</v>
          </cell>
          <cell r="G96" t="str">
            <v>SAB Y DOM</v>
          </cell>
          <cell r="H96" t="str">
            <v>PELOC, MARIA SOLEDAD</v>
          </cell>
          <cell r="I96" t="str">
            <v>Romandetto Carlos</v>
          </cell>
          <cell r="J96" t="str">
            <v>x</v>
          </cell>
          <cell r="K96"/>
          <cell r="L96" t="str">
            <v>x</v>
          </cell>
          <cell r="M96" t="str">
            <v>x</v>
          </cell>
          <cell r="N96" t="str">
            <v>x</v>
          </cell>
          <cell r="O96"/>
          <cell r="P96"/>
          <cell r="Q96"/>
          <cell r="R96" t="str">
            <v>x</v>
          </cell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 t="str">
            <v>x</v>
          </cell>
          <cell r="AO96" t="str">
            <v>x</v>
          </cell>
          <cell r="AP96"/>
          <cell r="AQ96">
            <v>44894</v>
          </cell>
          <cell r="AR96">
            <v>679</v>
          </cell>
          <cell r="AS96">
            <v>45471</v>
          </cell>
          <cell r="AT96">
            <v>102</v>
          </cell>
          <cell r="AU96" t="str">
            <v>VMAMELSO</v>
          </cell>
        </row>
        <row r="97">
          <cell r="C97">
            <v>605546</v>
          </cell>
          <cell r="D97" t="str">
            <v>ABALO MATIAS</v>
          </cell>
          <cell r="E97" t="str">
            <v>09:00 - 15:00</v>
          </cell>
          <cell r="F97" t="str">
            <v>MAÑANA</v>
          </cell>
          <cell r="G97" t="str">
            <v>SAB Y DOM</v>
          </cell>
          <cell r="H97" t="str">
            <v>SORIA, ANA PAULA</v>
          </cell>
          <cell r="I97" t="str">
            <v>Romandetto Carlos</v>
          </cell>
          <cell r="J97" t="str">
            <v>x</v>
          </cell>
          <cell r="K97"/>
          <cell r="L97" t="str">
            <v>x</v>
          </cell>
          <cell r="M97" t="str">
            <v>x</v>
          </cell>
          <cell r="N97" t="str">
            <v>x</v>
          </cell>
          <cell r="O97"/>
          <cell r="P97"/>
          <cell r="Q97" t="str">
            <v>x</v>
          </cell>
          <cell r="R97" t="str">
            <v>x</v>
          </cell>
          <cell r="S97" t="str">
            <v>x</v>
          </cell>
          <cell r="T97" t="str">
            <v>x</v>
          </cell>
          <cell r="U97" t="str">
            <v>x</v>
          </cell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 t="str">
            <v>x</v>
          </cell>
          <cell r="AO97"/>
          <cell r="AP97" t="str">
            <v>x</v>
          </cell>
          <cell r="AQ97">
            <v>44894</v>
          </cell>
          <cell r="AR97">
            <v>679</v>
          </cell>
          <cell r="AS97">
            <v>45210</v>
          </cell>
          <cell r="AT97">
            <v>363</v>
          </cell>
          <cell r="AU97" t="str">
            <v>VMAMAABA</v>
          </cell>
        </row>
        <row r="98">
          <cell r="C98">
            <v>605545</v>
          </cell>
          <cell r="D98" t="str">
            <v>VALENZUELA MELINA GISELLE</v>
          </cell>
          <cell r="E98" t="str">
            <v>15:00 - 21:00</v>
          </cell>
          <cell r="F98" t="str">
            <v>TARDE</v>
          </cell>
          <cell r="G98" t="str">
            <v>SAB Y DOM</v>
          </cell>
          <cell r="H98" t="str">
            <v>GOMEZ, SASHA</v>
          </cell>
          <cell r="I98" t="str">
            <v>Romandetto Carlos</v>
          </cell>
          <cell r="J98" t="str">
            <v>x</v>
          </cell>
          <cell r="K98"/>
          <cell r="L98" t="str">
            <v>x</v>
          </cell>
          <cell r="M98" t="str">
            <v>x</v>
          </cell>
          <cell r="N98" t="str">
            <v>x</v>
          </cell>
          <cell r="O98"/>
          <cell r="P98"/>
          <cell r="Q98" t="str">
            <v>x</v>
          </cell>
          <cell r="R98" t="str">
            <v>x</v>
          </cell>
          <cell r="S98" t="str">
            <v>x</v>
          </cell>
          <cell r="T98" t="str">
            <v>x</v>
          </cell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 t="str">
            <v>x</v>
          </cell>
          <cell r="AO98"/>
          <cell r="AP98" t="str">
            <v>x</v>
          </cell>
          <cell r="AQ98">
            <v>44894</v>
          </cell>
          <cell r="AR98">
            <v>679</v>
          </cell>
          <cell r="AS98">
            <v>45322</v>
          </cell>
          <cell r="AT98">
            <v>251</v>
          </cell>
          <cell r="AU98" t="str">
            <v>VMAMEVAL</v>
          </cell>
        </row>
        <row r="99">
          <cell r="C99">
            <v>605702</v>
          </cell>
          <cell r="D99" t="str">
            <v>GUTIERREZ YAEL</v>
          </cell>
          <cell r="E99" t="str">
            <v>15:00 - 21:00</v>
          </cell>
          <cell r="F99" t="str">
            <v>TARDE</v>
          </cell>
          <cell r="G99" t="str">
            <v>SAB Y DOM</v>
          </cell>
          <cell r="H99" t="str">
            <v>GOMEZ, AYLEN MILAGROS</v>
          </cell>
          <cell r="I99" t="str">
            <v>Romandetto Carlos</v>
          </cell>
          <cell r="J99" t="str">
            <v>x</v>
          </cell>
          <cell r="K99"/>
          <cell r="L99" t="str">
            <v>x</v>
          </cell>
          <cell r="M99" t="str">
            <v>x</v>
          </cell>
          <cell r="N99" t="str">
            <v>x</v>
          </cell>
          <cell r="O99"/>
          <cell r="P99"/>
          <cell r="Q99"/>
          <cell r="R99" t="str">
            <v>x</v>
          </cell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 t="str">
            <v>x</v>
          </cell>
          <cell r="AO99" t="str">
            <v>x</v>
          </cell>
          <cell r="AP99"/>
          <cell r="AQ99">
            <v>44928</v>
          </cell>
          <cell r="AR99">
            <v>645</v>
          </cell>
          <cell r="AS99">
            <v>45113</v>
          </cell>
          <cell r="AT99">
            <v>460</v>
          </cell>
          <cell r="AU99" t="str">
            <v>VMAYAGUT</v>
          </cell>
        </row>
        <row r="100">
          <cell r="C100">
            <v>606186</v>
          </cell>
          <cell r="D100" t="str">
            <v>CORONEL GIULIANA MILAGROS</v>
          </cell>
          <cell r="E100" t="str">
            <v>09:00 - 15:00</v>
          </cell>
          <cell r="F100" t="str">
            <v>MAÑANA</v>
          </cell>
          <cell r="G100" t="str">
            <v>SAB Y DOM</v>
          </cell>
          <cell r="H100" t="str">
            <v>GROESMANN, MAYA JUDITH</v>
          </cell>
          <cell r="I100" t="str">
            <v>Romandetto Carlos</v>
          </cell>
          <cell r="J100" t="str">
            <v>x</v>
          </cell>
          <cell r="K100"/>
          <cell r="L100" t="str">
            <v>x</v>
          </cell>
          <cell r="M100" t="str">
            <v>x</v>
          </cell>
          <cell r="N100" t="str">
            <v>x</v>
          </cell>
          <cell r="O100"/>
          <cell r="P100"/>
          <cell r="Q100"/>
          <cell r="R100" t="str">
            <v>x</v>
          </cell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 t="str">
            <v>x</v>
          </cell>
          <cell r="AK100"/>
          <cell r="AL100"/>
          <cell r="AM100"/>
          <cell r="AN100"/>
          <cell r="AO100"/>
          <cell r="AP100"/>
          <cell r="AQ100">
            <v>44928</v>
          </cell>
          <cell r="AR100">
            <v>645</v>
          </cell>
          <cell r="AS100">
            <v>45509</v>
          </cell>
          <cell r="AT100">
            <v>64</v>
          </cell>
          <cell r="AU100" t="str">
            <v>VMAGICOR</v>
          </cell>
        </row>
        <row r="101">
          <cell r="C101">
            <v>606115</v>
          </cell>
          <cell r="D101" t="str">
            <v>DELIA NAHOMI AURELIANO</v>
          </cell>
          <cell r="E101" t="str">
            <v>12:00 - 18:00</v>
          </cell>
          <cell r="F101" t="str">
            <v>TARDE</v>
          </cell>
          <cell r="G101" t="str">
            <v>MIE Y DOM</v>
          </cell>
          <cell r="H101" t="str">
            <v>GROESMANN, MAYA JUDITH</v>
          </cell>
          <cell r="I101" t="str">
            <v>Romandetto Carlos</v>
          </cell>
          <cell r="J101" t="str">
            <v>x</v>
          </cell>
          <cell r="K101"/>
          <cell r="L101" t="str">
            <v>x</v>
          </cell>
          <cell r="M101" t="str">
            <v>x</v>
          </cell>
          <cell r="N101" t="str">
            <v>x</v>
          </cell>
          <cell r="O101"/>
          <cell r="P101"/>
          <cell r="Q101"/>
          <cell r="R101" t="str">
            <v>x</v>
          </cell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 t="str">
            <v>x</v>
          </cell>
          <cell r="AO101" t="str">
            <v>x</v>
          </cell>
          <cell r="AP101"/>
          <cell r="AQ101">
            <v>44928</v>
          </cell>
          <cell r="AR101">
            <v>645</v>
          </cell>
          <cell r="AS101">
            <v>45113</v>
          </cell>
          <cell r="AT101">
            <v>460</v>
          </cell>
          <cell r="AU101" t="str">
            <v>VMADEAUR</v>
          </cell>
        </row>
        <row r="102">
          <cell r="C102">
            <v>605827</v>
          </cell>
          <cell r="D102" t="str">
            <v>QUINTEROS LUCIANA MARIBEL</v>
          </cell>
          <cell r="E102" t="str">
            <v>15:00 - 21:00</v>
          </cell>
          <cell r="F102" t="str">
            <v>TARDE</v>
          </cell>
          <cell r="G102" t="str">
            <v>LUN Y DOM</v>
          </cell>
          <cell r="H102" t="str">
            <v>ONETTO, MARIA DE LOS MILAGROS</v>
          </cell>
          <cell r="I102" t="str">
            <v>Romandetto Carlos</v>
          </cell>
          <cell r="J102" t="str">
            <v>x</v>
          </cell>
          <cell r="K102"/>
          <cell r="L102" t="str">
            <v>x</v>
          </cell>
          <cell r="M102" t="str">
            <v>x</v>
          </cell>
          <cell r="N102" t="str">
            <v>x</v>
          </cell>
          <cell r="O102"/>
          <cell r="P102"/>
          <cell r="Q102"/>
          <cell r="R102" t="str">
            <v>x</v>
          </cell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 t="str">
            <v>x</v>
          </cell>
          <cell r="AO102" t="str">
            <v>x</v>
          </cell>
          <cell r="AP102"/>
          <cell r="AQ102">
            <v>44928</v>
          </cell>
          <cell r="AR102">
            <v>645</v>
          </cell>
          <cell r="AS102">
            <v>45443</v>
          </cell>
          <cell r="AT102">
            <v>130</v>
          </cell>
          <cell r="AU102" t="str">
            <v>VMALUCQU</v>
          </cell>
        </row>
        <row r="103">
          <cell r="C103">
            <v>605958</v>
          </cell>
          <cell r="D103" t="str">
            <v>CEPELOVICH EVELYN MARIEL</v>
          </cell>
          <cell r="E103" t="str">
            <v>09:00 - 15:00</v>
          </cell>
          <cell r="F103" t="str">
            <v>MAÑANA</v>
          </cell>
          <cell r="G103" t="str">
            <v>SAB Y DOM</v>
          </cell>
          <cell r="H103" t="str">
            <v>RUIZ, TOMAS EMANUEL</v>
          </cell>
          <cell r="I103" t="str">
            <v>Romandetto Carlos</v>
          </cell>
          <cell r="J103" t="str">
            <v>x</v>
          </cell>
          <cell r="K103"/>
          <cell r="L103" t="str">
            <v>x</v>
          </cell>
          <cell r="M103" t="str">
            <v>x</v>
          </cell>
          <cell r="N103" t="str">
            <v>x</v>
          </cell>
          <cell r="O103"/>
          <cell r="P103"/>
          <cell r="Q103"/>
          <cell r="R103" t="str">
            <v>x</v>
          </cell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 t="str">
            <v>x</v>
          </cell>
          <cell r="AO103" t="str">
            <v>x</v>
          </cell>
          <cell r="AP103"/>
          <cell r="AQ103">
            <v>44928</v>
          </cell>
          <cell r="AR103">
            <v>645</v>
          </cell>
          <cell r="AS103">
            <v>45471</v>
          </cell>
          <cell r="AT103">
            <v>102</v>
          </cell>
          <cell r="AU103" t="str">
            <v>VMAMACEP</v>
          </cell>
        </row>
        <row r="104">
          <cell r="C104">
            <v>606026</v>
          </cell>
          <cell r="D104" t="str">
            <v>OLIVARES MIRIAM DANIELA</v>
          </cell>
          <cell r="E104" t="str">
            <v>15:00 - 21:00</v>
          </cell>
          <cell r="F104" t="str">
            <v>TARDE</v>
          </cell>
          <cell r="G104" t="str">
            <v>MAR Y DOM</v>
          </cell>
          <cell r="H104" t="str">
            <v>GOMEZ, SASHA</v>
          </cell>
          <cell r="I104" t="str">
            <v>Romandetto Carlos</v>
          </cell>
          <cell r="J104" t="str">
            <v>x</v>
          </cell>
          <cell r="K104"/>
          <cell r="L104" t="str">
            <v>x</v>
          </cell>
          <cell r="M104"/>
          <cell r="N104"/>
          <cell r="O104"/>
          <cell r="P104"/>
          <cell r="Q104" t="str">
            <v>x</v>
          </cell>
          <cell r="R104" t="str">
            <v>x</v>
          </cell>
          <cell r="S104" t="str">
            <v>x</v>
          </cell>
          <cell r="T104" t="str">
            <v>x</v>
          </cell>
          <cell r="U104" t="str">
            <v>x</v>
          </cell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 t="str">
            <v>x</v>
          </cell>
          <cell r="AO104"/>
          <cell r="AP104" t="str">
            <v>x</v>
          </cell>
          <cell r="AQ104">
            <v>44928</v>
          </cell>
          <cell r="AR104">
            <v>645</v>
          </cell>
          <cell r="AS104">
            <v>45279</v>
          </cell>
          <cell r="AT104">
            <v>294</v>
          </cell>
          <cell r="AU104" t="str">
            <v>VMAMIOLI</v>
          </cell>
        </row>
        <row r="105">
          <cell r="C105">
            <v>606104</v>
          </cell>
          <cell r="D105" t="str">
            <v>BENITEZ MICAELA AGUSTINA</v>
          </cell>
          <cell r="E105" t="str">
            <v>11:00 - 17:00</v>
          </cell>
          <cell r="F105" t="str">
            <v>MAÑANA</v>
          </cell>
          <cell r="G105" t="str">
            <v>MIE Y SAB</v>
          </cell>
          <cell r="H105" t="str">
            <v>GOMEZ, AYLEN MILAGROS</v>
          </cell>
          <cell r="I105" t="str">
            <v>Romandetto Carlos</v>
          </cell>
          <cell r="J105" t="str">
            <v>x</v>
          </cell>
          <cell r="K105"/>
          <cell r="L105" t="str">
            <v>x</v>
          </cell>
          <cell r="M105" t="str">
            <v>x</v>
          </cell>
          <cell r="N105" t="str">
            <v>x</v>
          </cell>
          <cell r="O105"/>
          <cell r="P105"/>
          <cell r="Q105"/>
          <cell r="R105" t="str">
            <v>x</v>
          </cell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 t="str">
            <v>x</v>
          </cell>
          <cell r="AK105"/>
          <cell r="AL105"/>
          <cell r="AM105"/>
          <cell r="AN105"/>
          <cell r="AO105"/>
          <cell r="AP105"/>
          <cell r="AQ105">
            <v>44928</v>
          </cell>
          <cell r="AR105">
            <v>645</v>
          </cell>
          <cell r="AS105">
            <v>45509</v>
          </cell>
          <cell r="AT105">
            <v>64</v>
          </cell>
          <cell r="AU105" t="str">
            <v>VMAMIBEN</v>
          </cell>
        </row>
        <row r="106">
          <cell r="C106">
            <v>606163</v>
          </cell>
          <cell r="D106" t="str">
            <v>FRANCO MICAELA AYLEN</v>
          </cell>
          <cell r="E106" t="str">
            <v>15:00 - 21:00</v>
          </cell>
          <cell r="F106" t="str">
            <v>TARDE</v>
          </cell>
          <cell r="G106" t="str">
            <v>VIE Y SAB</v>
          </cell>
          <cell r="H106" t="str">
            <v>ONETTO, MARIA DE LOS MILAGROS</v>
          </cell>
          <cell r="I106" t="str">
            <v>Romandetto Carlos</v>
          </cell>
          <cell r="J106" t="str">
            <v>x</v>
          </cell>
          <cell r="K106"/>
          <cell r="L106" t="str">
            <v>x</v>
          </cell>
          <cell r="M106" t="str">
            <v>x</v>
          </cell>
          <cell r="N106" t="str">
            <v>x</v>
          </cell>
          <cell r="O106"/>
          <cell r="P106"/>
          <cell r="Q106" t="str">
            <v>x</v>
          </cell>
          <cell r="R106" t="str">
            <v>x</v>
          </cell>
          <cell r="S106" t="str">
            <v>x</v>
          </cell>
          <cell r="T106" t="str">
            <v>x</v>
          </cell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 t="str">
            <v>x</v>
          </cell>
          <cell r="AO106"/>
          <cell r="AP106" t="str">
            <v>x</v>
          </cell>
          <cell r="AQ106">
            <v>44928</v>
          </cell>
          <cell r="AR106">
            <v>645</v>
          </cell>
          <cell r="AS106">
            <v>45478</v>
          </cell>
          <cell r="AT106">
            <v>95</v>
          </cell>
          <cell r="AU106" t="str">
            <v>VMAMIFRA</v>
          </cell>
        </row>
        <row r="107">
          <cell r="C107">
            <v>606116</v>
          </cell>
          <cell r="D107" t="str">
            <v>TORRENTE GABRIEL NICOLAS</v>
          </cell>
          <cell r="E107" t="str">
            <v>15:00 - 21:00</v>
          </cell>
          <cell r="F107" t="str">
            <v>TARDE</v>
          </cell>
          <cell r="G107" t="str">
            <v>SAB Y DOM</v>
          </cell>
          <cell r="H107" t="str">
            <v>ROJAS, LUCAS</v>
          </cell>
          <cell r="I107" t="str">
            <v>Romandetto Carlos</v>
          </cell>
          <cell r="J107" t="str">
            <v>x</v>
          </cell>
          <cell r="K107"/>
          <cell r="L107" t="str">
            <v>x</v>
          </cell>
          <cell r="M107" t="str">
            <v>x</v>
          </cell>
          <cell r="N107" t="str">
            <v>x</v>
          </cell>
          <cell r="O107"/>
          <cell r="P107"/>
          <cell r="Q107" t="str">
            <v>x</v>
          </cell>
          <cell r="R107" t="str">
            <v>x</v>
          </cell>
          <cell r="S107" t="str">
            <v>x</v>
          </cell>
          <cell r="T107" t="str">
            <v>x</v>
          </cell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  <cell r="AH107"/>
          <cell r="AI107"/>
          <cell r="AJ107"/>
          <cell r="AK107"/>
          <cell r="AL107"/>
          <cell r="AM107"/>
          <cell r="AN107" t="str">
            <v>x</v>
          </cell>
          <cell r="AO107" t="str">
            <v>x</v>
          </cell>
          <cell r="AP107"/>
          <cell r="AQ107">
            <v>44928</v>
          </cell>
          <cell r="AR107">
            <v>645</v>
          </cell>
          <cell r="AS107">
            <v>45562</v>
          </cell>
          <cell r="AT107">
            <v>11</v>
          </cell>
          <cell r="AU107" t="str">
            <v>VMAGATOR</v>
          </cell>
        </row>
        <row r="108">
          <cell r="C108">
            <v>606125</v>
          </cell>
          <cell r="D108" t="str">
            <v>BENITEZ MELANIE</v>
          </cell>
          <cell r="E108" t="str">
            <v>15:00 - 21:00</v>
          </cell>
          <cell r="F108" t="str">
            <v>TARDE</v>
          </cell>
          <cell r="G108" t="str">
            <v>MIE Y SAB</v>
          </cell>
          <cell r="H108" t="str">
            <v>PELOC, MARIA SOLEDAD</v>
          </cell>
          <cell r="I108" t="str">
            <v>Romandetto Carlos</v>
          </cell>
          <cell r="J108" t="str">
            <v>x</v>
          </cell>
          <cell r="K108"/>
          <cell r="L108" t="str">
            <v>x</v>
          </cell>
          <cell r="M108" t="str">
            <v>x</v>
          </cell>
          <cell r="N108" t="str">
            <v>x</v>
          </cell>
          <cell r="O108"/>
          <cell r="P108"/>
          <cell r="Q108"/>
          <cell r="R108" t="str">
            <v>x</v>
          </cell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 t="str">
            <v>x</v>
          </cell>
          <cell r="AO108" t="str">
            <v>x</v>
          </cell>
          <cell r="AP108"/>
          <cell r="AQ108">
            <v>44928</v>
          </cell>
          <cell r="AR108">
            <v>645</v>
          </cell>
          <cell r="AS108">
            <v>45443</v>
          </cell>
          <cell r="AT108">
            <v>130</v>
          </cell>
          <cell r="AU108" t="str">
            <v>VMAMELBE</v>
          </cell>
        </row>
        <row r="109">
          <cell r="C109">
            <v>606139</v>
          </cell>
          <cell r="D109" t="str">
            <v>RAMOS HERNAN</v>
          </cell>
          <cell r="E109" t="str">
            <v>17:00 - 23:00</v>
          </cell>
          <cell r="F109" t="str">
            <v>NOCHE</v>
          </cell>
          <cell r="G109" t="str">
            <v>SAB Y DOM</v>
          </cell>
          <cell r="H109" t="str">
            <v>PELOC, MARIA SOLEDAD</v>
          </cell>
          <cell r="I109" t="str">
            <v>Romandetto Carlos</v>
          </cell>
          <cell r="J109" t="str">
            <v>x</v>
          </cell>
          <cell r="K109"/>
          <cell r="L109" t="str">
            <v>x</v>
          </cell>
          <cell r="M109" t="str">
            <v>x</v>
          </cell>
          <cell r="N109" t="str">
            <v>x</v>
          </cell>
          <cell r="O109"/>
          <cell r="P109"/>
          <cell r="Q109"/>
          <cell r="R109" t="str">
            <v>x</v>
          </cell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 t="str">
            <v>x</v>
          </cell>
          <cell r="AO109" t="str">
            <v>x</v>
          </cell>
          <cell r="AP109"/>
          <cell r="AQ109">
            <v>44928</v>
          </cell>
          <cell r="AR109">
            <v>645</v>
          </cell>
          <cell r="AS109">
            <v>45443</v>
          </cell>
          <cell r="AT109">
            <v>130</v>
          </cell>
          <cell r="AU109" t="str">
            <v>VMAHERAM</v>
          </cell>
        </row>
        <row r="110">
          <cell r="C110">
            <v>606141</v>
          </cell>
          <cell r="D110" t="str">
            <v>NAVARRETE JULIANA EDIT</v>
          </cell>
          <cell r="E110" t="str">
            <v>09:00 - 15:00</v>
          </cell>
          <cell r="F110" t="str">
            <v>MAÑANA</v>
          </cell>
          <cell r="G110" t="str">
            <v>MIE Y DOM</v>
          </cell>
          <cell r="H110" t="str">
            <v>SORIA, ANA PAULA</v>
          </cell>
          <cell r="I110" t="str">
            <v>Romandetto Carlos</v>
          </cell>
          <cell r="J110" t="str">
            <v>x</v>
          </cell>
          <cell r="K110"/>
          <cell r="L110" t="str">
            <v>x</v>
          </cell>
          <cell r="M110" t="str">
            <v>x</v>
          </cell>
          <cell r="N110" t="str">
            <v>x</v>
          </cell>
          <cell r="O110"/>
          <cell r="P110"/>
          <cell r="Q110"/>
          <cell r="R110" t="str">
            <v>x</v>
          </cell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 t="str">
            <v>x</v>
          </cell>
          <cell r="AO110" t="str">
            <v>x</v>
          </cell>
          <cell r="AP110"/>
          <cell r="AQ110">
            <v>44901</v>
          </cell>
          <cell r="AR110">
            <v>672</v>
          </cell>
          <cell r="AS110">
            <v>45443</v>
          </cell>
          <cell r="AT110">
            <v>130</v>
          </cell>
          <cell r="AU110" t="str">
            <v>VMAJUNAV</v>
          </cell>
        </row>
        <row r="111">
          <cell r="C111">
            <v>606165</v>
          </cell>
          <cell r="D111" t="str">
            <v>PERALTA FRANCO</v>
          </cell>
          <cell r="E111" t="str">
            <v>17:00 - 23:00</v>
          </cell>
          <cell r="F111" t="str">
            <v>NOCHE</v>
          </cell>
          <cell r="G111" t="str">
            <v>MAR Y SAB</v>
          </cell>
          <cell r="H111" t="str">
            <v>PELOC, MARIA SOLEDAD</v>
          </cell>
          <cell r="I111" t="str">
            <v>Romandetto Carlos</v>
          </cell>
          <cell r="J111" t="str">
            <v>x</v>
          </cell>
          <cell r="K111"/>
          <cell r="L111" t="str">
            <v>x</v>
          </cell>
          <cell r="M111" t="str">
            <v>x</v>
          </cell>
          <cell r="N111" t="str">
            <v>x</v>
          </cell>
          <cell r="O111"/>
          <cell r="P111"/>
          <cell r="Q111"/>
          <cell r="R111" t="str">
            <v>x</v>
          </cell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 t="str">
            <v>x</v>
          </cell>
          <cell r="AK111"/>
          <cell r="AL111"/>
          <cell r="AM111"/>
          <cell r="AN111"/>
          <cell r="AO111"/>
          <cell r="AP111"/>
          <cell r="AQ111">
            <v>44928</v>
          </cell>
          <cell r="AR111">
            <v>645</v>
          </cell>
          <cell r="AS111">
            <v>45509</v>
          </cell>
          <cell r="AT111">
            <v>64</v>
          </cell>
          <cell r="AU111" t="str">
            <v>VMAFRPER</v>
          </cell>
        </row>
        <row r="112">
          <cell r="C112">
            <v>605580</v>
          </cell>
          <cell r="D112" t="str">
            <v>FERREYRA TOMAS AGUSTIN</v>
          </cell>
          <cell r="E112" t="str">
            <v>12:00 - 18:00</v>
          </cell>
          <cell r="F112" t="str">
            <v>TARDE</v>
          </cell>
          <cell r="G112" t="str">
            <v>LUN Y DOM</v>
          </cell>
          <cell r="H112" t="str">
            <v>GROESMANN, MAYA JUDITH</v>
          </cell>
          <cell r="I112" t="str">
            <v>Romandetto Carlos</v>
          </cell>
          <cell r="J112" t="str">
            <v>x</v>
          </cell>
          <cell r="K112"/>
          <cell r="L112" t="str">
            <v>x</v>
          </cell>
          <cell r="M112" t="str">
            <v>x</v>
          </cell>
          <cell r="N112" t="str">
            <v>x</v>
          </cell>
          <cell r="O112"/>
          <cell r="P112"/>
          <cell r="Q112" t="str">
            <v>x</v>
          </cell>
          <cell r="R112" t="str">
            <v>x</v>
          </cell>
          <cell r="S112" t="str">
            <v>x</v>
          </cell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 t="str">
            <v>x</v>
          </cell>
          <cell r="AO112"/>
          <cell r="AP112" t="str">
            <v>x</v>
          </cell>
          <cell r="AQ112">
            <v>44952</v>
          </cell>
          <cell r="AR112">
            <v>621</v>
          </cell>
          <cell r="AS112">
            <v>45338</v>
          </cell>
          <cell r="AT112">
            <v>235</v>
          </cell>
          <cell r="AU112" t="str">
            <v>VMATOFER</v>
          </cell>
        </row>
        <row r="113">
          <cell r="C113">
            <v>606138</v>
          </cell>
          <cell r="D113" t="str">
            <v>BORQUEZ NAZARENO</v>
          </cell>
          <cell r="E113" t="str">
            <v>09:00 - 15:00</v>
          </cell>
          <cell r="F113" t="str">
            <v>MAÑANA</v>
          </cell>
          <cell r="G113" t="str">
            <v>VIE Y SAB</v>
          </cell>
          <cell r="H113" t="str">
            <v>MOYANO, DAIANA SOLEDAD</v>
          </cell>
          <cell r="I113" t="str">
            <v>Romandetto Carlos</v>
          </cell>
          <cell r="J113" t="str">
            <v>x</v>
          </cell>
          <cell r="K113"/>
          <cell r="L113" t="str">
            <v>x</v>
          </cell>
          <cell r="M113" t="str">
            <v>x</v>
          </cell>
          <cell r="N113" t="str">
            <v>x</v>
          </cell>
          <cell r="O113"/>
          <cell r="P113"/>
          <cell r="Q113"/>
          <cell r="R113" t="str">
            <v>x</v>
          </cell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/>
          <cell r="AJ113"/>
          <cell r="AK113"/>
          <cell r="AL113"/>
          <cell r="AM113"/>
          <cell r="AN113" t="str">
            <v>x</v>
          </cell>
          <cell r="AO113" t="str">
            <v>x</v>
          </cell>
          <cell r="AP113"/>
          <cell r="AQ113">
            <v>44952</v>
          </cell>
          <cell r="AR113">
            <v>621</v>
          </cell>
          <cell r="AS113">
            <v>45471</v>
          </cell>
          <cell r="AT113">
            <v>102</v>
          </cell>
          <cell r="AU113" t="str">
            <v>VMANASOS</v>
          </cell>
        </row>
        <row r="114">
          <cell r="C114">
            <v>605826</v>
          </cell>
          <cell r="D114" t="str">
            <v>GONZALEZ CANDELA</v>
          </cell>
          <cell r="E114" t="str">
            <v>09:00 - 15:00</v>
          </cell>
          <cell r="F114" t="str">
            <v>MAÑANA</v>
          </cell>
          <cell r="G114" t="str">
            <v>LUN Y SAB</v>
          </cell>
          <cell r="H114" t="str">
            <v>GROESMANN, MAYA JUDITH</v>
          </cell>
          <cell r="I114" t="str">
            <v>Romandetto Carlos</v>
          </cell>
          <cell r="J114" t="str">
            <v>x</v>
          </cell>
          <cell r="K114"/>
          <cell r="L114" t="str">
            <v>x</v>
          </cell>
          <cell r="M114"/>
          <cell r="N114"/>
          <cell r="O114"/>
          <cell r="P114"/>
          <cell r="Q114" t="str">
            <v>x</v>
          </cell>
          <cell r="R114" t="str">
            <v>x</v>
          </cell>
          <cell r="S114" t="str">
            <v>x</v>
          </cell>
          <cell r="T114" t="str">
            <v>x</v>
          </cell>
          <cell r="U114" t="str">
            <v>x</v>
          </cell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/>
          <cell r="AN114" t="str">
            <v>x</v>
          </cell>
          <cell r="AO114"/>
          <cell r="AP114" t="str">
            <v>x</v>
          </cell>
          <cell r="AQ114">
            <v>44952</v>
          </cell>
          <cell r="AR114">
            <v>621</v>
          </cell>
          <cell r="AS114">
            <v>45279</v>
          </cell>
          <cell r="AT114">
            <v>294</v>
          </cell>
          <cell r="AU114" t="str">
            <v>VMACAGON</v>
          </cell>
        </row>
        <row r="115">
          <cell r="C115">
            <v>606142</v>
          </cell>
          <cell r="D115" t="str">
            <v>MARAZ AYELEN JACQUELINE</v>
          </cell>
          <cell r="E115" t="str">
            <v>09:00 - 15:00</v>
          </cell>
          <cell r="F115" t="str">
            <v>MAÑANA</v>
          </cell>
          <cell r="G115" t="str">
            <v>SAB Y DOM</v>
          </cell>
          <cell r="H115" t="str">
            <v>SORIA, ANA PAULA</v>
          </cell>
          <cell r="I115" t="str">
            <v>Romandetto Carlos</v>
          </cell>
          <cell r="J115" t="str">
            <v>x</v>
          </cell>
          <cell r="K115"/>
          <cell r="L115" t="str">
            <v>x</v>
          </cell>
          <cell r="M115"/>
          <cell r="N115"/>
          <cell r="O115"/>
          <cell r="P115"/>
          <cell r="Q115" t="str">
            <v>x</v>
          </cell>
          <cell r="R115" t="str">
            <v>x</v>
          </cell>
          <cell r="S115" t="str">
            <v>x</v>
          </cell>
          <cell r="T115" t="str">
            <v>x</v>
          </cell>
          <cell r="U115" t="str">
            <v>x</v>
          </cell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 t="str">
            <v>x</v>
          </cell>
          <cell r="AO115"/>
          <cell r="AP115" t="str">
            <v>x</v>
          </cell>
          <cell r="AQ115">
            <v>44952</v>
          </cell>
          <cell r="AR115">
            <v>621</v>
          </cell>
          <cell r="AS115">
            <v>45279</v>
          </cell>
          <cell r="AT115">
            <v>294</v>
          </cell>
          <cell r="AU115" t="str">
            <v>VMAAYMAR</v>
          </cell>
        </row>
        <row r="116">
          <cell r="C116">
            <v>606049</v>
          </cell>
          <cell r="D116" t="str">
            <v>NAVARRO BRUNO OCTAVIO</v>
          </cell>
          <cell r="E116" t="str">
            <v>09:00 - 15:00</v>
          </cell>
          <cell r="F116" t="str">
            <v>MAÑANA</v>
          </cell>
          <cell r="G116" t="str">
            <v>SAB Y DOM</v>
          </cell>
          <cell r="H116" t="str">
            <v>SORIA, ANA PAULA</v>
          </cell>
          <cell r="I116" t="str">
            <v>Romandetto Carlos</v>
          </cell>
          <cell r="J116" t="str">
            <v>x</v>
          </cell>
          <cell r="K116"/>
          <cell r="L116" t="str">
            <v>x</v>
          </cell>
          <cell r="M116" t="str">
            <v>x</v>
          </cell>
          <cell r="N116" t="str">
            <v>x</v>
          </cell>
          <cell r="O116"/>
          <cell r="P116"/>
          <cell r="Q116" t="str">
            <v>x</v>
          </cell>
          <cell r="R116" t="str">
            <v>x</v>
          </cell>
          <cell r="S116" t="str">
            <v>x</v>
          </cell>
          <cell r="T116" t="str">
            <v>x</v>
          </cell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 t="str">
            <v>x</v>
          </cell>
          <cell r="AO116"/>
          <cell r="AP116" t="str">
            <v>x</v>
          </cell>
          <cell r="AQ116">
            <v>44952</v>
          </cell>
          <cell r="AR116">
            <v>621</v>
          </cell>
          <cell r="AS116">
            <v>45329</v>
          </cell>
          <cell r="AT116">
            <v>244</v>
          </cell>
          <cell r="AU116" t="str">
            <v>VMABRNAV</v>
          </cell>
        </row>
        <row r="117">
          <cell r="C117">
            <v>605592</v>
          </cell>
          <cell r="D117" t="str">
            <v>FERNANDEZ PAULA DENISSE</v>
          </cell>
          <cell r="E117" t="str">
            <v>15:00 - 21:00</v>
          </cell>
          <cell r="F117" t="str">
            <v>TARDE</v>
          </cell>
          <cell r="G117" t="str">
            <v>JUE Y DOM</v>
          </cell>
          <cell r="H117" t="str">
            <v>GOMEZ, AYLEN MILAGROS</v>
          </cell>
          <cell r="I117" t="str">
            <v>Romandetto Carlos</v>
          </cell>
          <cell r="J117" t="str">
            <v>x</v>
          </cell>
          <cell r="K117"/>
          <cell r="L117" t="str">
            <v>x</v>
          </cell>
          <cell r="M117" t="str">
            <v>x</v>
          </cell>
          <cell r="N117" t="str">
            <v>x</v>
          </cell>
          <cell r="O117"/>
          <cell r="P117"/>
          <cell r="Q117"/>
          <cell r="R117" t="str">
            <v>x</v>
          </cell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 t="str">
            <v>x</v>
          </cell>
          <cell r="AO117" t="str">
            <v>x</v>
          </cell>
          <cell r="AP117"/>
          <cell r="AQ117">
            <v>44952</v>
          </cell>
          <cell r="AR117">
            <v>621</v>
          </cell>
          <cell r="AS117">
            <v>45471</v>
          </cell>
          <cell r="AT117">
            <v>102</v>
          </cell>
          <cell r="AU117" t="str">
            <v>VMAPAFER</v>
          </cell>
        </row>
        <row r="118">
          <cell r="C118">
            <v>606099</v>
          </cell>
          <cell r="D118" t="str">
            <v>MIRANDA NOELIA</v>
          </cell>
          <cell r="E118" t="str">
            <v>06:00 - 12:00</v>
          </cell>
          <cell r="F118" t="str">
            <v>MAÑANA</v>
          </cell>
          <cell r="G118" t="str">
            <v>SAB Y DOM</v>
          </cell>
          <cell r="H118" t="str">
            <v>MOYANO, DAIANA SOLEDAD</v>
          </cell>
          <cell r="I118" t="str">
            <v>Romandetto Carlos</v>
          </cell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 t="str">
            <v>x</v>
          </cell>
          <cell r="AJ118" t="str">
            <v>x</v>
          </cell>
          <cell r="AK118"/>
          <cell r="AL118"/>
          <cell r="AM118"/>
          <cell r="AN118"/>
          <cell r="AO118"/>
          <cell r="AP118"/>
          <cell r="AQ118">
            <v>45110</v>
          </cell>
          <cell r="AR118">
            <v>463</v>
          </cell>
          <cell r="AS118">
            <v>45001</v>
          </cell>
          <cell r="AT118">
            <v>572</v>
          </cell>
          <cell r="AU118" t="str">
            <v>VMANOMIR</v>
          </cell>
        </row>
        <row r="119">
          <cell r="C119">
            <v>606148</v>
          </cell>
          <cell r="D119" t="str">
            <v>VERA MILENA CARLA</v>
          </cell>
          <cell r="E119" t="str">
            <v>18:00 - 00:00</v>
          </cell>
          <cell r="F119" t="str">
            <v>NOCHE</v>
          </cell>
          <cell r="G119" t="str">
            <v>JUE Y DOM</v>
          </cell>
          <cell r="H119" t="str">
            <v>PELOC, MARIA SOLEDAD</v>
          </cell>
          <cell r="I119" t="str">
            <v>Romandetto Carlos</v>
          </cell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 t="str">
            <v>x</v>
          </cell>
          <cell r="AJ119" t="str">
            <v>x</v>
          </cell>
          <cell r="AK119"/>
          <cell r="AL119"/>
          <cell r="AM119"/>
          <cell r="AN119"/>
          <cell r="AO119"/>
          <cell r="AP119"/>
          <cell r="AQ119">
            <v>44986</v>
          </cell>
          <cell r="AR119">
            <v>587</v>
          </cell>
          <cell r="AS119">
            <v>45001</v>
          </cell>
          <cell r="AT119">
            <v>572</v>
          </cell>
          <cell r="AU119" t="str">
            <v>VMAMIVER</v>
          </cell>
        </row>
        <row r="120">
          <cell r="C120">
            <v>606149</v>
          </cell>
          <cell r="D120" t="str">
            <v>MARTINEZ SOFIA</v>
          </cell>
          <cell r="E120" t="str">
            <v>18:00 - 00:00</v>
          </cell>
          <cell r="F120" t="str">
            <v>NOCHE</v>
          </cell>
          <cell r="G120" t="str">
            <v>MIE Y DOM</v>
          </cell>
          <cell r="H120" t="str">
            <v>PELOC, MARIA SOLEDAD</v>
          </cell>
          <cell r="I120" t="str">
            <v>Romandetto Carlos</v>
          </cell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 t="str">
            <v>x</v>
          </cell>
          <cell r="AJ120" t="str">
            <v>x</v>
          </cell>
          <cell r="AK120"/>
          <cell r="AL120"/>
          <cell r="AM120"/>
          <cell r="AN120"/>
          <cell r="AO120"/>
          <cell r="AP120"/>
          <cell r="AQ120">
            <v>44986</v>
          </cell>
          <cell r="AR120">
            <v>587</v>
          </cell>
          <cell r="AS120">
            <v>45001</v>
          </cell>
          <cell r="AT120">
            <v>572</v>
          </cell>
          <cell r="AU120" t="str">
            <v>VMASOMAR</v>
          </cell>
        </row>
        <row r="121">
          <cell r="C121">
            <v>606150</v>
          </cell>
          <cell r="D121" t="str">
            <v>QUIROGA CAMILA</v>
          </cell>
          <cell r="E121" t="str">
            <v>09:00 - 15:00</v>
          </cell>
          <cell r="F121" t="str">
            <v>MAÑANA</v>
          </cell>
          <cell r="G121" t="str">
            <v>SAB Y DOM</v>
          </cell>
          <cell r="H121" t="str">
            <v>RUIZ, TOMAS EMANUEL</v>
          </cell>
          <cell r="I121" t="str">
            <v>Romandetto Carlos</v>
          </cell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 t="str">
            <v>x</v>
          </cell>
          <cell r="AJ121" t="str">
            <v>x</v>
          </cell>
          <cell r="AK121"/>
          <cell r="AL121"/>
          <cell r="AM121"/>
          <cell r="AN121"/>
          <cell r="AO121"/>
          <cell r="AP121"/>
          <cell r="AQ121">
            <v>44986</v>
          </cell>
          <cell r="AR121">
            <v>587</v>
          </cell>
          <cell r="AS121">
            <v>45001</v>
          </cell>
          <cell r="AT121">
            <v>572</v>
          </cell>
          <cell r="AU121" t="str">
            <v>VMACAQUI</v>
          </cell>
        </row>
        <row r="122">
          <cell r="C122">
            <v>606216</v>
          </cell>
          <cell r="D122" t="str">
            <v>GOMEZ BRUNO NAHUEL</v>
          </cell>
          <cell r="E122" t="str">
            <v>15:00 - 21:00</v>
          </cell>
          <cell r="F122" t="str">
            <v>TARDE</v>
          </cell>
          <cell r="G122" t="str">
            <v>SAB Y DOM</v>
          </cell>
          <cell r="H122" t="str">
            <v>ONETTO, MARIA DE LOS MILAGROS</v>
          </cell>
          <cell r="I122" t="str">
            <v>Romandetto Carlos</v>
          </cell>
          <cell r="J122" t="str">
            <v>x</v>
          </cell>
          <cell r="K122"/>
          <cell r="L122" t="str">
            <v>x</v>
          </cell>
          <cell r="M122" t="str">
            <v>x</v>
          </cell>
          <cell r="N122" t="str">
            <v>x</v>
          </cell>
          <cell r="O122"/>
          <cell r="P122"/>
          <cell r="Q122"/>
          <cell r="R122" t="str">
            <v>x</v>
          </cell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 t="str">
            <v>x</v>
          </cell>
          <cell r="AO122" t="str">
            <v>x</v>
          </cell>
          <cell r="AP122"/>
          <cell r="AQ122">
            <v>44991</v>
          </cell>
          <cell r="AR122">
            <v>582</v>
          </cell>
          <cell r="AS122">
            <v>45443</v>
          </cell>
          <cell r="AT122">
            <v>130</v>
          </cell>
          <cell r="AU122" t="str">
            <v>VMABRGOM</v>
          </cell>
        </row>
        <row r="123">
          <cell r="C123">
            <v>606234</v>
          </cell>
          <cell r="D123" t="str">
            <v>GIMENEZ ANGEL DANIEL</v>
          </cell>
          <cell r="E123" t="str">
            <v>09:00 - 15:00</v>
          </cell>
          <cell r="F123" t="str">
            <v>MAÑANA</v>
          </cell>
          <cell r="G123" t="str">
            <v>SAB Y DOM</v>
          </cell>
          <cell r="H123" t="str">
            <v>VEGA, BRIAN NICOLAS</v>
          </cell>
          <cell r="I123" t="str">
            <v>Leandro Muñoz</v>
          </cell>
          <cell r="J123"/>
          <cell r="K123"/>
          <cell r="L123" t="str">
            <v>x</v>
          </cell>
          <cell r="M123" t="str">
            <v>x</v>
          </cell>
          <cell r="N123" t="str">
            <v>x</v>
          </cell>
          <cell r="O123"/>
          <cell r="P123"/>
          <cell r="Q123"/>
          <cell r="R123" t="str">
            <v>x</v>
          </cell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 t="str">
            <v>x</v>
          </cell>
          <cell r="AN123" t="str">
            <v>x</v>
          </cell>
          <cell r="AO123" t="str">
            <v>x</v>
          </cell>
          <cell r="AP123"/>
          <cell r="AQ123">
            <v>44986</v>
          </cell>
          <cell r="AR123">
            <v>587</v>
          </cell>
          <cell r="AS123">
            <v>45350</v>
          </cell>
          <cell r="AT123">
            <v>223</v>
          </cell>
          <cell r="AU123" t="str">
            <v>VMAANGIM</v>
          </cell>
        </row>
        <row r="124">
          <cell r="C124">
            <v>606225</v>
          </cell>
          <cell r="D124" t="str">
            <v>TORANZO MILAGROS</v>
          </cell>
          <cell r="E124" t="str">
            <v>17:00 - 23:00</v>
          </cell>
          <cell r="F124" t="str">
            <v>NOCHE</v>
          </cell>
          <cell r="G124" t="str">
            <v>SAB Y DOM</v>
          </cell>
          <cell r="H124" t="str">
            <v>PELOC, MARIA SOLEDAD</v>
          </cell>
          <cell r="I124" t="str">
            <v>Romandetto Carlos</v>
          </cell>
          <cell r="J124" t="str">
            <v>x</v>
          </cell>
          <cell r="K124"/>
          <cell r="L124" t="str">
            <v>x</v>
          </cell>
          <cell r="M124" t="str">
            <v>x</v>
          </cell>
          <cell r="N124" t="str">
            <v>x</v>
          </cell>
          <cell r="O124"/>
          <cell r="P124"/>
          <cell r="Q124"/>
          <cell r="R124" t="str">
            <v>x</v>
          </cell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 t="str">
            <v>x</v>
          </cell>
          <cell r="AO124" t="str">
            <v>x</v>
          </cell>
          <cell r="AP124"/>
          <cell r="AQ124">
            <v>44991</v>
          </cell>
          <cell r="AR124">
            <v>582</v>
          </cell>
          <cell r="AS124">
            <v>45471</v>
          </cell>
          <cell r="AT124">
            <v>102</v>
          </cell>
          <cell r="AU124" t="str">
            <v>VMAMILTO</v>
          </cell>
        </row>
        <row r="125">
          <cell r="C125">
            <v>606204</v>
          </cell>
          <cell r="D125" t="str">
            <v>CARRO AILEN ZOE</v>
          </cell>
          <cell r="E125" t="str">
            <v>10:00 - 16:00</v>
          </cell>
          <cell r="F125" t="str">
            <v>MAÑANA</v>
          </cell>
          <cell r="G125" t="str">
            <v>VIE Y DOM</v>
          </cell>
          <cell r="H125" t="str">
            <v>MOYANO, DAIANA SOLEDAD</v>
          </cell>
          <cell r="I125" t="str">
            <v>Romandetto Carlos</v>
          </cell>
          <cell r="J125" t="str">
            <v>x</v>
          </cell>
          <cell r="K125"/>
          <cell r="L125" t="str">
            <v>x</v>
          </cell>
          <cell r="M125"/>
          <cell r="N125"/>
          <cell r="O125"/>
          <cell r="P125"/>
          <cell r="Q125" t="str">
            <v>x</v>
          </cell>
          <cell r="R125" t="str">
            <v>x</v>
          </cell>
          <cell r="S125" t="str">
            <v>x</v>
          </cell>
          <cell r="T125" t="str">
            <v>x</v>
          </cell>
          <cell r="U125" t="str">
            <v>x</v>
          </cell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 t="str">
            <v>x</v>
          </cell>
          <cell r="AO125"/>
          <cell r="AP125" t="str">
            <v>x</v>
          </cell>
          <cell r="AQ125">
            <v>44987</v>
          </cell>
          <cell r="AR125">
            <v>586</v>
          </cell>
          <cell r="AS125">
            <v>45279</v>
          </cell>
          <cell r="AT125">
            <v>294</v>
          </cell>
          <cell r="AU125" t="str">
            <v>VMAAICAR</v>
          </cell>
        </row>
        <row r="126">
          <cell r="C126">
            <v>606167</v>
          </cell>
          <cell r="D126" t="str">
            <v>BENITEZ JOANA SOLEDAD</v>
          </cell>
          <cell r="E126" t="str">
            <v>09:00 - 15:00</v>
          </cell>
          <cell r="F126" t="str">
            <v>MAÑANA</v>
          </cell>
          <cell r="G126" t="str">
            <v>SAB Y DOM</v>
          </cell>
          <cell r="H126" t="str">
            <v>RUIZ, TOMAS EMANUEL</v>
          </cell>
          <cell r="I126" t="str">
            <v>Romandetto Carlos</v>
          </cell>
          <cell r="J126" t="str">
            <v>x</v>
          </cell>
          <cell r="K126"/>
          <cell r="L126" t="str">
            <v>x</v>
          </cell>
          <cell r="M126" t="str">
            <v>x</v>
          </cell>
          <cell r="N126" t="str">
            <v>x</v>
          </cell>
          <cell r="O126"/>
          <cell r="P126"/>
          <cell r="Q126"/>
          <cell r="R126" t="str">
            <v>x</v>
          </cell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 t="str">
            <v>x</v>
          </cell>
          <cell r="AO126" t="str">
            <v>x</v>
          </cell>
          <cell r="AP126"/>
          <cell r="AQ126">
            <v>44987</v>
          </cell>
          <cell r="AR126">
            <v>586</v>
          </cell>
          <cell r="AS126">
            <v>45443</v>
          </cell>
          <cell r="AT126">
            <v>130</v>
          </cell>
          <cell r="AU126" t="str">
            <v>VMAJOBEN</v>
          </cell>
        </row>
        <row r="127">
          <cell r="C127">
            <v>606219</v>
          </cell>
          <cell r="D127" t="str">
            <v>MAIZ CAMILA</v>
          </cell>
          <cell r="E127" t="str">
            <v>15:00 - 21:00</v>
          </cell>
          <cell r="F127" t="str">
            <v>TARDE</v>
          </cell>
          <cell r="G127" t="str">
            <v>SAB Y DOM</v>
          </cell>
          <cell r="H127" t="str">
            <v>ONETTO, MARIA DE LOS MILAGROS</v>
          </cell>
          <cell r="I127" t="str">
            <v>Romandetto Carlos</v>
          </cell>
          <cell r="J127" t="str">
            <v>x</v>
          </cell>
          <cell r="K127"/>
          <cell r="L127" t="str">
            <v>x</v>
          </cell>
          <cell r="M127"/>
          <cell r="N127"/>
          <cell r="O127"/>
          <cell r="P127"/>
          <cell r="Q127" t="str">
            <v>x</v>
          </cell>
          <cell r="R127" t="str">
            <v>x</v>
          </cell>
          <cell r="S127" t="str">
            <v>x</v>
          </cell>
          <cell r="T127" t="str">
            <v>x</v>
          </cell>
          <cell r="U127" t="str">
            <v>x</v>
          </cell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 t="str">
            <v>x</v>
          </cell>
          <cell r="AO127"/>
          <cell r="AP127" t="str">
            <v>x</v>
          </cell>
          <cell r="AQ127">
            <v>44991</v>
          </cell>
          <cell r="AR127">
            <v>582</v>
          </cell>
          <cell r="AS127">
            <v>45279</v>
          </cell>
          <cell r="AT127">
            <v>294</v>
          </cell>
          <cell r="AU127" t="str">
            <v>VMACAMAI</v>
          </cell>
        </row>
        <row r="128">
          <cell r="C128">
            <v>606214</v>
          </cell>
          <cell r="D128" t="str">
            <v>ENRRIQUE ARIADNA FELISA</v>
          </cell>
          <cell r="E128" t="str">
            <v>15:00 - 21:00</v>
          </cell>
          <cell r="F128" t="str">
            <v>TARDE</v>
          </cell>
          <cell r="G128" t="str">
            <v>SAB Y DOM</v>
          </cell>
          <cell r="H128" t="str">
            <v>YBARRA, LUCIA ALDANA</v>
          </cell>
          <cell r="I128" t="str">
            <v>Romandetto Carlos</v>
          </cell>
          <cell r="J128" t="str">
            <v>x</v>
          </cell>
          <cell r="K128"/>
          <cell r="L128" t="str">
            <v>x</v>
          </cell>
          <cell r="M128" t="str">
            <v>x</v>
          </cell>
          <cell r="N128" t="str">
            <v>x</v>
          </cell>
          <cell r="O128"/>
          <cell r="P128"/>
          <cell r="Q128"/>
          <cell r="R128" t="str">
            <v>x</v>
          </cell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 t="str">
            <v>x</v>
          </cell>
          <cell r="AO128" t="str">
            <v>x</v>
          </cell>
          <cell r="AP128"/>
          <cell r="AQ128">
            <v>44991</v>
          </cell>
          <cell r="AR128">
            <v>582</v>
          </cell>
          <cell r="AS128">
            <v>45443</v>
          </cell>
          <cell r="AT128">
            <v>130</v>
          </cell>
          <cell r="AU128" t="str">
            <v>VMAARENR</v>
          </cell>
        </row>
        <row r="129">
          <cell r="C129">
            <v>606233</v>
          </cell>
          <cell r="D129" t="str">
            <v>VIQUE JUAN MANUEL</v>
          </cell>
          <cell r="E129" t="str">
            <v>09:00 - 15:00</v>
          </cell>
          <cell r="F129" t="str">
            <v>MAÑANA</v>
          </cell>
          <cell r="G129" t="str">
            <v>SAB Y DOM</v>
          </cell>
          <cell r="H129" t="str">
            <v>VILLALBA, VICTORIA</v>
          </cell>
          <cell r="I129" t="str">
            <v>Romandetto Carlos</v>
          </cell>
          <cell r="J129" t="str">
            <v>x</v>
          </cell>
          <cell r="K129"/>
          <cell r="L129" t="str">
            <v>x</v>
          </cell>
          <cell r="M129" t="str">
            <v>x</v>
          </cell>
          <cell r="N129" t="str">
            <v>x</v>
          </cell>
          <cell r="O129"/>
          <cell r="P129"/>
          <cell r="Q129"/>
          <cell r="R129" t="str">
            <v>x</v>
          </cell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 t="str">
            <v>x</v>
          </cell>
          <cell r="AO129" t="str">
            <v>x</v>
          </cell>
          <cell r="AP129"/>
          <cell r="AQ129">
            <v>44986</v>
          </cell>
          <cell r="AR129">
            <v>587</v>
          </cell>
          <cell r="AS129">
            <v>45471</v>
          </cell>
          <cell r="AT129">
            <v>102</v>
          </cell>
          <cell r="AU129" t="str">
            <v>VMAJUVIQ</v>
          </cell>
        </row>
        <row r="130">
          <cell r="C130">
            <v>605643</v>
          </cell>
          <cell r="D130" t="str">
            <v>SOTO JESUS AGUSTIN</v>
          </cell>
          <cell r="E130" t="str">
            <v>09:00 - 15:00</v>
          </cell>
          <cell r="F130" t="str">
            <v>MAÑANA</v>
          </cell>
          <cell r="G130" t="str">
            <v>SAB Y DOM</v>
          </cell>
          <cell r="H130" t="str">
            <v>ROBLEDO, YESICA DANIELA</v>
          </cell>
          <cell r="I130" t="str">
            <v>Romandetto Carlos</v>
          </cell>
          <cell r="J130" t="str">
            <v>x</v>
          </cell>
          <cell r="K130"/>
          <cell r="L130" t="str">
            <v>x</v>
          </cell>
          <cell r="M130" t="str">
            <v>x</v>
          </cell>
          <cell r="N130" t="str">
            <v>x</v>
          </cell>
          <cell r="O130"/>
          <cell r="P130"/>
          <cell r="Q130"/>
          <cell r="R130" t="str">
            <v>x</v>
          </cell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 t="str">
            <v>x</v>
          </cell>
          <cell r="AO130" t="str">
            <v>x</v>
          </cell>
          <cell r="AP130"/>
          <cell r="AQ130">
            <v>45110</v>
          </cell>
          <cell r="AR130">
            <v>463</v>
          </cell>
          <cell r="AS130">
            <v>45350</v>
          </cell>
          <cell r="AT130">
            <v>223</v>
          </cell>
          <cell r="AU130" t="str">
            <v>VMAJESOT</v>
          </cell>
        </row>
        <row r="131">
          <cell r="C131">
            <v>606237</v>
          </cell>
          <cell r="D131" t="str">
            <v>ARAGON AGUSTINA</v>
          </cell>
          <cell r="E131" t="str">
            <v>09:00 - 15:00</v>
          </cell>
          <cell r="F131" t="str">
            <v>MAÑANA</v>
          </cell>
          <cell r="G131" t="str">
            <v>JUE Y DOM</v>
          </cell>
          <cell r="H131" t="str">
            <v>LOUREIRO, FLORENCIA CANDELA</v>
          </cell>
          <cell r="I131" t="str">
            <v>Romandetto Carlos</v>
          </cell>
          <cell r="J131" t="str">
            <v>x</v>
          </cell>
          <cell r="K131"/>
          <cell r="L131" t="str">
            <v>x</v>
          </cell>
          <cell r="M131" t="str">
            <v>x</v>
          </cell>
          <cell r="N131" t="str">
            <v>x</v>
          </cell>
          <cell r="O131"/>
          <cell r="P131"/>
          <cell r="Q131"/>
          <cell r="R131" t="str">
            <v>x</v>
          </cell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 t="str">
            <v>x</v>
          </cell>
          <cell r="AN131"/>
          <cell r="AO131" t="str">
            <v>x</v>
          </cell>
          <cell r="AP131"/>
          <cell r="AQ131">
            <v>44986</v>
          </cell>
          <cell r="AR131">
            <v>587</v>
          </cell>
          <cell r="AS131">
            <v>45526</v>
          </cell>
          <cell r="AT131">
            <v>47</v>
          </cell>
          <cell r="AU131" t="str">
            <v>VMAAGARA</v>
          </cell>
        </row>
        <row r="132">
          <cell r="C132">
            <v>606267</v>
          </cell>
          <cell r="D132" t="str">
            <v>FERREYRA CANDELA JAEL</v>
          </cell>
          <cell r="E132" t="str">
            <v>06:00 - 12:00</v>
          </cell>
          <cell r="F132" t="str">
            <v>MAÑANA</v>
          </cell>
          <cell r="G132" t="str">
            <v>SAB Y DOM</v>
          </cell>
          <cell r="H132" t="str">
            <v>RUIZ, TOMAS EMANUEL</v>
          </cell>
          <cell r="I132" t="str">
            <v>Romandetto Carlos</v>
          </cell>
          <cell r="J132" t="str">
            <v>x</v>
          </cell>
          <cell r="K132"/>
          <cell r="L132" t="str">
            <v>x</v>
          </cell>
          <cell r="M132" t="str">
            <v>x</v>
          </cell>
          <cell r="N132" t="str">
            <v>x</v>
          </cell>
          <cell r="O132"/>
          <cell r="P132"/>
          <cell r="Q132"/>
          <cell r="R132" t="str">
            <v>x</v>
          </cell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 t="str">
            <v>x</v>
          </cell>
          <cell r="AO132" t="str">
            <v>x</v>
          </cell>
          <cell r="AP132"/>
          <cell r="AQ132">
            <v>45139</v>
          </cell>
          <cell r="AR132">
            <v>434</v>
          </cell>
          <cell r="AS132">
            <v>45350</v>
          </cell>
          <cell r="AT132">
            <v>223</v>
          </cell>
          <cell r="AU132" t="str">
            <v>VMACAFER</v>
          </cell>
        </row>
        <row r="133">
          <cell r="C133">
            <v>606239</v>
          </cell>
          <cell r="D133" t="str">
            <v>TORRES LUNA</v>
          </cell>
          <cell r="E133" t="str">
            <v>09:00 - 15:00</v>
          </cell>
          <cell r="F133" t="str">
            <v>MAÑANA</v>
          </cell>
          <cell r="G133" t="str">
            <v>SAB Y DOM</v>
          </cell>
          <cell r="H133" t="str">
            <v>RUIZ, TOMAS EMANUEL</v>
          </cell>
          <cell r="I133" t="str">
            <v>Romandetto Carlos</v>
          </cell>
          <cell r="J133" t="str">
            <v>x</v>
          </cell>
          <cell r="K133"/>
          <cell r="L133" t="str">
            <v>x</v>
          </cell>
          <cell r="M133" t="str">
            <v>x</v>
          </cell>
          <cell r="N133" t="str">
            <v>x</v>
          </cell>
          <cell r="O133"/>
          <cell r="P133"/>
          <cell r="Q133"/>
          <cell r="R133" t="str">
            <v>x</v>
          </cell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 t="str">
            <v>x</v>
          </cell>
          <cell r="AO133" t="str">
            <v>x</v>
          </cell>
          <cell r="AP133"/>
          <cell r="AQ133">
            <v>45014</v>
          </cell>
          <cell r="AR133">
            <v>559</v>
          </cell>
          <cell r="AS133">
            <v>45350</v>
          </cell>
          <cell r="AT133">
            <v>223</v>
          </cell>
          <cell r="AU133" t="str">
            <v>VMALUTOR</v>
          </cell>
        </row>
        <row r="134">
          <cell r="C134">
            <v>605648</v>
          </cell>
          <cell r="D134" t="str">
            <v>HILARION MALENA BELEN</v>
          </cell>
          <cell r="E134" t="str">
            <v>09:00 - 15:00</v>
          </cell>
          <cell r="F134" t="str">
            <v>MAÑANA</v>
          </cell>
          <cell r="G134" t="str">
            <v>SAB Y DOM</v>
          </cell>
          <cell r="H134" t="str">
            <v>ROBLEDO, YESICA DANIELA</v>
          </cell>
          <cell r="I134" t="str">
            <v>Romandetto Carlos</v>
          </cell>
          <cell r="J134" t="str">
            <v>x</v>
          </cell>
          <cell r="K134"/>
          <cell r="L134" t="str">
            <v>x</v>
          </cell>
          <cell r="M134"/>
          <cell r="N134"/>
          <cell r="O134"/>
          <cell r="P134"/>
          <cell r="Q134" t="str">
            <v>x</v>
          </cell>
          <cell r="R134" t="str">
            <v>x</v>
          </cell>
          <cell r="S134" t="str">
            <v>x</v>
          </cell>
          <cell r="T134" t="str">
            <v>x</v>
          </cell>
          <cell r="U134" t="str">
            <v>x</v>
          </cell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 t="str">
            <v>x</v>
          </cell>
          <cell r="AO134"/>
          <cell r="AP134" t="str">
            <v>x</v>
          </cell>
          <cell r="AQ134">
            <v>45014</v>
          </cell>
          <cell r="AR134">
            <v>559</v>
          </cell>
          <cell r="AS134">
            <v>45279</v>
          </cell>
          <cell r="AT134">
            <v>294</v>
          </cell>
          <cell r="AU134" t="str">
            <v>VMAMAHIL</v>
          </cell>
        </row>
        <row r="135">
          <cell r="C135">
            <v>605654</v>
          </cell>
          <cell r="D135" t="str">
            <v>RUIZ ELIANA</v>
          </cell>
          <cell r="E135" t="str">
            <v>15:00 - 20:00</v>
          </cell>
          <cell r="F135" t="str">
            <v>TARDE</v>
          </cell>
          <cell r="G135" t="str">
            <v>SAB Y DOM</v>
          </cell>
          <cell r="H135" t="str">
            <v>GOMEZ, AYLEN MILAGROS</v>
          </cell>
          <cell r="I135" t="str">
            <v>Romandetto Carlos</v>
          </cell>
          <cell r="J135" t="str">
            <v>x</v>
          </cell>
          <cell r="K135"/>
          <cell r="L135" t="str">
            <v>x</v>
          </cell>
          <cell r="M135" t="str">
            <v>x</v>
          </cell>
          <cell r="N135" t="str">
            <v>x</v>
          </cell>
          <cell r="O135"/>
          <cell r="P135"/>
          <cell r="Q135"/>
          <cell r="R135" t="str">
            <v>x</v>
          </cell>
          <cell r="S135"/>
          <cell r="T135"/>
          <cell r="U135"/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>
            <v>45014</v>
          </cell>
          <cell r="AR135">
            <v>559</v>
          </cell>
          <cell r="AS135">
            <v>45044</v>
          </cell>
          <cell r="AT135">
            <v>529</v>
          </cell>
          <cell r="AU135" t="str">
            <v>VMAELRUI</v>
          </cell>
        </row>
        <row r="136">
          <cell r="C136">
            <v>605660</v>
          </cell>
          <cell r="D136" t="str">
            <v>GARRETTO MILAGROS BELEN</v>
          </cell>
          <cell r="E136" t="str">
            <v>06:00 - 12:00</v>
          </cell>
          <cell r="F136" t="str">
            <v>MAÑANA</v>
          </cell>
          <cell r="G136" t="str">
            <v>VIE Y SAB</v>
          </cell>
          <cell r="H136" t="str">
            <v>MOYANO, DAIANA SOLEDAD</v>
          </cell>
          <cell r="I136" t="str">
            <v>Romandetto Carlos</v>
          </cell>
          <cell r="J136" t="str">
            <v>x</v>
          </cell>
          <cell r="K136"/>
          <cell r="L136" t="str">
            <v>x</v>
          </cell>
          <cell r="M136"/>
          <cell r="N136"/>
          <cell r="O136"/>
          <cell r="P136"/>
          <cell r="Q136" t="str">
            <v>x</v>
          </cell>
          <cell r="R136" t="str">
            <v>x</v>
          </cell>
          <cell r="S136" t="str">
            <v>x</v>
          </cell>
          <cell r="T136" t="str">
            <v>x</v>
          </cell>
          <cell r="U136" t="str">
            <v>x</v>
          </cell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 t="str">
            <v>x</v>
          </cell>
          <cell r="AO136"/>
          <cell r="AP136" t="str">
            <v>x</v>
          </cell>
          <cell r="AQ136">
            <v>45014</v>
          </cell>
          <cell r="AR136">
            <v>559</v>
          </cell>
          <cell r="AS136">
            <v>45279</v>
          </cell>
          <cell r="AT136">
            <v>294</v>
          </cell>
          <cell r="AU136" t="str">
            <v>VMAMIGAR</v>
          </cell>
        </row>
        <row r="137">
          <cell r="C137">
            <v>605666</v>
          </cell>
          <cell r="D137" t="str">
            <v>BRIZUELA CELESTE</v>
          </cell>
          <cell r="E137" t="str">
            <v>09:00 - 15:00</v>
          </cell>
          <cell r="F137" t="str">
            <v>MAÑANA</v>
          </cell>
          <cell r="G137" t="str">
            <v>SAB Y DOM</v>
          </cell>
          <cell r="H137" t="str">
            <v>VILLALBA, VICTORIA</v>
          </cell>
          <cell r="I137" t="str">
            <v>Romandetto Carlos</v>
          </cell>
          <cell r="J137" t="str">
            <v>x</v>
          </cell>
          <cell r="K137"/>
          <cell r="L137" t="str">
            <v>x</v>
          </cell>
          <cell r="M137" t="str">
            <v>x</v>
          </cell>
          <cell r="N137" t="str">
            <v>x</v>
          </cell>
          <cell r="O137"/>
          <cell r="P137"/>
          <cell r="Q137"/>
          <cell r="R137" t="str">
            <v>x</v>
          </cell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 t="str">
            <v>x</v>
          </cell>
          <cell r="AO137" t="str">
            <v>x</v>
          </cell>
          <cell r="AP137"/>
          <cell r="AQ137">
            <v>45014</v>
          </cell>
          <cell r="AR137">
            <v>559</v>
          </cell>
          <cell r="AS137">
            <v>45443</v>
          </cell>
          <cell r="AT137">
            <v>130</v>
          </cell>
          <cell r="AU137" t="str">
            <v>VMACEBRI</v>
          </cell>
        </row>
        <row r="138">
          <cell r="C138">
            <v>606286</v>
          </cell>
          <cell r="D138" t="str">
            <v>ROMITO AGOSTINA BELEN</v>
          </cell>
          <cell r="E138" t="str">
            <v>15:00 - 21:00</v>
          </cell>
          <cell r="F138" t="str">
            <v>TARDE</v>
          </cell>
          <cell r="G138" t="str">
            <v>SAB Y DOM</v>
          </cell>
          <cell r="H138" t="str">
            <v>ONETTO, MARIA DE LOS MILAGROS</v>
          </cell>
          <cell r="I138" t="str">
            <v>Romandetto Carlos</v>
          </cell>
          <cell r="J138" t="str">
            <v>x</v>
          </cell>
          <cell r="K138"/>
          <cell r="L138" t="str">
            <v>x</v>
          </cell>
          <cell r="M138" t="str">
            <v>x</v>
          </cell>
          <cell r="N138" t="str">
            <v>x</v>
          </cell>
          <cell r="O138"/>
          <cell r="P138"/>
          <cell r="Q138"/>
          <cell r="R138" t="str">
            <v>x</v>
          </cell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 t="str">
            <v>x</v>
          </cell>
          <cell r="AO138" t="str">
            <v>x</v>
          </cell>
          <cell r="AP138"/>
          <cell r="AQ138">
            <v>45043</v>
          </cell>
          <cell r="AR138">
            <v>530</v>
          </cell>
          <cell r="AS138">
            <v>45471</v>
          </cell>
          <cell r="AT138">
            <v>102</v>
          </cell>
          <cell r="AU138" t="str">
            <v>VMAAGROM</v>
          </cell>
        </row>
        <row r="139">
          <cell r="C139">
            <v>606288</v>
          </cell>
          <cell r="D139" t="str">
            <v>OJEDA MAYRA ALEJANDRA</v>
          </cell>
          <cell r="E139" t="str">
            <v>18:00 - 00:00</v>
          </cell>
          <cell r="F139" t="str">
            <v>NOCHE</v>
          </cell>
          <cell r="G139" t="str">
            <v>VIE Y DOM</v>
          </cell>
          <cell r="H139" t="str">
            <v>GOMEZ, SASHA</v>
          </cell>
          <cell r="I139" t="str">
            <v>Romandetto Carlos</v>
          </cell>
          <cell r="J139" t="str">
            <v>x</v>
          </cell>
          <cell r="K139"/>
          <cell r="L139" t="str">
            <v>x</v>
          </cell>
          <cell r="M139"/>
          <cell r="N139"/>
          <cell r="O139"/>
          <cell r="P139"/>
          <cell r="Q139" t="str">
            <v>x</v>
          </cell>
          <cell r="R139" t="str">
            <v>x</v>
          </cell>
          <cell r="S139" t="str">
            <v>x</v>
          </cell>
          <cell r="T139" t="str">
            <v>x</v>
          </cell>
          <cell r="U139" t="str">
            <v>x</v>
          </cell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 t="str">
            <v>x</v>
          </cell>
          <cell r="AO139"/>
          <cell r="AP139" t="str">
            <v>x</v>
          </cell>
          <cell r="AQ139">
            <v>45043</v>
          </cell>
          <cell r="AR139">
            <v>530</v>
          </cell>
          <cell r="AS139">
            <v>45279</v>
          </cell>
          <cell r="AT139">
            <v>294</v>
          </cell>
          <cell r="AU139" t="str">
            <v>VMAMAYOJ</v>
          </cell>
        </row>
        <row r="140">
          <cell r="C140">
            <v>606285</v>
          </cell>
          <cell r="D140" t="str">
            <v>PAEZ LUCAS ENZO GREGORIO</v>
          </cell>
          <cell r="E140" t="str">
            <v>15:00 - 21:00</v>
          </cell>
          <cell r="F140" t="str">
            <v>TARDE</v>
          </cell>
          <cell r="G140" t="str">
            <v>MAR Y DOM</v>
          </cell>
          <cell r="H140" t="str">
            <v>ONETTO, MARIA DE LOS MILAGROS</v>
          </cell>
          <cell r="I140" t="str">
            <v>Romandetto Carlos</v>
          </cell>
          <cell r="J140" t="str">
            <v>x</v>
          </cell>
          <cell r="K140"/>
          <cell r="L140" t="str">
            <v>x</v>
          </cell>
          <cell r="M140"/>
          <cell r="N140"/>
          <cell r="O140"/>
          <cell r="P140"/>
          <cell r="Q140" t="str">
            <v>x</v>
          </cell>
          <cell r="R140" t="str">
            <v>x</v>
          </cell>
          <cell r="S140" t="str">
            <v>x</v>
          </cell>
          <cell r="T140" t="str">
            <v>x</v>
          </cell>
          <cell r="U140" t="str">
            <v>x</v>
          </cell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 t="str">
            <v>x</v>
          </cell>
          <cell r="AO140"/>
          <cell r="AP140" t="str">
            <v>x</v>
          </cell>
          <cell r="AQ140">
            <v>45043</v>
          </cell>
          <cell r="AR140">
            <v>530</v>
          </cell>
          <cell r="AS140">
            <v>45279</v>
          </cell>
          <cell r="AT140">
            <v>294</v>
          </cell>
          <cell r="AU140" t="str">
            <v>VMALUPAE</v>
          </cell>
        </row>
        <row r="141">
          <cell r="C141">
            <v>605768</v>
          </cell>
          <cell r="D141" t="str">
            <v>FRIAS BRENDA ANTONELA</v>
          </cell>
          <cell r="E141" t="str">
            <v>09:00 - 15:00</v>
          </cell>
          <cell r="F141" t="str">
            <v>MAÑANA</v>
          </cell>
          <cell r="G141" t="str">
            <v>SAB Y DOM</v>
          </cell>
          <cell r="H141" t="str">
            <v>VILLALBA, MAITEN</v>
          </cell>
          <cell r="I141" t="str">
            <v>Romandetto Carlos</v>
          </cell>
          <cell r="J141" t="str">
            <v>x</v>
          </cell>
          <cell r="K141"/>
          <cell r="L141" t="str">
            <v>x</v>
          </cell>
          <cell r="M141" t="str">
            <v>x</v>
          </cell>
          <cell r="N141" t="str">
            <v>x</v>
          </cell>
          <cell r="O141"/>
          <cell r="P141"/>
          <cell r="Q141"/>
          <cell r="R141" t="str">
            <v>x</v>
          </cell>
          <cell r="S141"/>
          <cell r="T141"/>
          <cell r="U141"/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 t="str">
            <v>x</v>
          </cell>
          <cell r="AO141" t="str">
            <v>x</v>
          </cell>
          <cell r="AP141"/>
          <cell r="AQ141">
            <v>45077</v>
          </cell>
          <cell r="AR141">
            <v>496</v>
          </cell>
          <cell r="AS141">
            <v>45124</v>
          </cell>
          <cell r="AT141">
            <v>449</v>
          </cell>
          <cell r="AU141" t="str">
            <v>VMABRFRI</v>
          </cell>
        </row>
        <row r="142">
          <cell r="C142">
            <v>605769</v>
          </cell>
          <cell r="D142" t="str">
            <v>SOSA VALENTINA</v>
          </cell>
          <cell r="E142" t="str">
            <v>09:00 - 15:00</v>
          </cell>
          <cell r="F142" t="str">
            <v>MAÑANA</v>
          </cell>
          <cell r="G142" t="str">
            <v>SAB Y DOM</v>
          </cell>
          <cell r="H142" t="str">
            <v>ROBLEDO, LEANDRO JAVIER</v>
          </cell>
          <cell r="I142" t="str">
            <v>Romandetto Carlos</v>
          </cell>
          <cell r="J142" t="str">
            <v>x</v>
          </cell>
          <cell r="K142"/>
          <cell r="L142" t="str">
            <v>x</v>
          </cell>
          <cell r="M142" t="str">
            <v>x</v>
          </cell>
          <cell r="N142" t="str">
            <v>x</v>
          </cell>
          <cell r="O142"/>
          <cell r="P142"/>
          <cell r="Q142" t="str">
            <v>x</v>
          </cell>
          <cell r="R142" t="str">
            <v>x</v>
          </cell>
          <cell r="S142" t="str">
            <v>x</v>
          </cell>
          <cell r="T142" t="str">
            <v>x</v>
          </cell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 t="str">
            <v>x</v>
          </cell>
          <cell r="AO142"/>
          <cell r="AP142" t="str">
            <v>x</v>
          </cell>
          <cell r="AQ142">
            <v>45077</v>
          </cell>
          <cell r="AR142">
            <v>496</v>
          </cell>
          <cell r="AS142">
            <v>45320</v>
          </cell>
          <cell r="AT142">
            <v>253</v>
          </cell>
          <cell r="AU142" t="str">
            <v>VMAVASOS</v>
          </cell>
        </row>
        <row r="143">
          <cell r="C143">
            <v>606202</v>
          </cell>
          <cell r="D143" t="str">
            <v>ALANIS LUCIANO AGUSTIN</v>
          </cell>
          <cell r="E143" t="str">
            <v>07:00 - 13:00</v>
          </cell>
          <cell r="F143" t="str">
            <v>MAÑANA</v>
          </cell>
          <cell r="G143" t="str">
            <v>MAR Y DOM</v>
          </cell>
          <cell r="H143" t="str">
            <v>ROBLEDO, LEANDRO JAVIER</v>
          </cell>
          <cell r="I143" t="str">
            <v>Romandetto Carlos</v>
          </cell>
          <cell r="J143" t="str">
            <v>x</v>
          </cell>
          <cell r="K143"/>
          <cell r="L143" t="str">
            <v>x</v>
          </cell>
          <cell r="M143" t="str">
            <v>x</v>
          </cell>
          <cell r="N143" t="str">
            <v>x</v>
          </cell>
          <cell r="O143"/>
          <cell r="P143"/>
          <cell r="Q143" t="str">
            <v>x</v>
          </cell>
          <cell r="R143" t="str">
            <v>x</v>
          </cell>
          <cell r="S143" t="str">
            <v>x</v>
          </cell>
          <cell r="T143" t="str">
            <v>x</v>
          </cell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 t="str">
            <v>x</v>
          </cell>
          <cell r="AO143"/>
          <cell r="AP143" t="str">
            <v>x</v>
          </cell>
          <cell r="AQ143">
            <v>45077</v>
          </cell>
          <cell r="AR143">
            <v>496</v>
          </cell>
          <cell r="AS143">
            <v>45320</v>
          </cell>
          <cell r="AT143">
            <v>253</v>
          </cell>
          <cell r="AU143" t="str">
            <v>VMAAGALA</v>
          </cell>
        </row>
        <row r="144">
          <cell r="C144">
            <v>606241</v>
          </cell>
          <cell r="D144" t="str">
            <v>MACIEL AGUSTINA</v>
          </cell>
          <cell r="E144" t="str">
            <v>14:00 - 20:00</v>
          </cell>
          <cell r="F144" t="str">
            <v>TARDE</v>
          </cell>
          <cell r="G144" t="str">
            <v>VIE Y DOM</v>
          </cell>
          <cell r="H144" t="str">
            <v>GARZON, ROCIO BELEN</v>
          </cell>
          <cell r="I144" t="str">
            <v>Romandetto Carlos</v>
          </cell>
          <cell r="J144"/>
          <cell r="K144"/>
          <cell r="L144" t="str">
            <v>x</v>
          </cell>
          <cell r="M144" t="str">
            <v>x</v>
          </cell>
          <cell r="N144" t="str">
            <v>x</v>
          </cell>
          <cell r="O144" t="str">
            <v>x</v>
          </cell>
          <cell r="P144"/>
          <cell r="Q144"/>
          <cell r="R144" t="str">
            <v>x</v>
          </cell>
          <cell r="S144"/>
          <cell r="T144"/>
          <cell r="U144"/>
          <cell r="V144"/>
          <cell r="W144"/>
          <cell r="X144"/>
          <cell r="Y144"/>
          <cell r="Z144"/>
          <cell r="AA144"/>
          <cell r="AB144"/>
          <cell r="AC144"/>
          <cell r="AD144"/>
          <cell r="AE144"/>
          <cell r="AF144"/>
          <cell r="AG144"/>
          <cell r="AH144"/>
          <cell r="AI144"/>
          <cell r="AJ144"/>
          <cell r="AK144"/>
          <cell r="AL144"/>
          <cell r="AM144"/>
          <cell r="AN144" t="str">
            <v>x</v>
          </cell>
          <cell r="AO144" t="str">
            <v>x</v>
          </cell>
          <cell r="AP144"/>
          <cell r="AQ144">
            <v>45077</v>
          </cell>
          <cell r="AR144">
            <v>496</v>
          </cell>
          <cell r="AS144">
            <v>45456</v>
          </cell>
          <cell r="AT144">
            <v>117</v>
          </cell>
          <cell r="AU144" t="str">
            <v>VMAAGUMA</v>
          </cell>
        </row>
        <row r="145">
          <cell r="C145">
            <v>605511</v>
          </cell>
          <cell r="D145" t="str">
            <v>MENDOZA NATALIA ELIZABETH</v>
          </cell>
          <cell r="E145" t="str">
            <v>08:00 - 14:00</v>
          </cell>
          <cell r="F145" t="str">
            <v>MAÑANA</v>
          </cell>
          <cell r="G145" t="str">
            <v>SAB Y DOM</v>
          </cell>
          <cell r="H145" t="str">
            <v>VILLALBA, VICTORIA</v>
          </cell>
          <cell r="I145" t="str">
            <v>Romandetto Carlos</v>
          </cell>
          <cell r="J145" t="str">
            <v>x</v>
          </cell>
          <cell r="K145"/>
          <cell r="L145" t="str">
            <v>x</v>
          </cell>
          <cell r="M145" t="str">
            <v>x</v>
          </cell>
          <cell r="N145" t="str">
            <v>x</v>
          </cell>
          <cell r="O145"/>
          <cell r="P145"/>
          <cell r="Q145"/>
          <cell r="R145" t="str">
            <v>x</v>
          </cell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 t="str">
            <v>x</v>
          </cell>
          <cell r="AO145" t="str">
            <v>x</v>
          </cell>
          <cell r="AP145"/>
          <cell r="AQ145">
            <v>45098</v>
          </cell>
          <cell r="AR145">
            <v>475</v>
          </cell>
          <cell r="AS145">
            <v>45139</v>
          </cell>
          <cell r="AT145">
            <v>434</v>
          </cell>
          <cell r="AU145" t="str">
            <v>VMANAMEN</v>
          </cell>
        </row>
        <row r="146">
          <cell r="C146">
            <v>605520</v>
          </cell>
          <cell r="D146" t="str">
            <v>SEGUI CAMILA JACQUELINE</v>
          </cell>
          <cell r="E146" t="str">
            <v>09:00 - 15:00</v>
          </cell>
          <cell r="F146" t="str">
            <v>MAÑANA</v>
          </cell>
          <cell r="G146" t="str">
            <v>SAB Y DOM</v>
          </cell>
          <cell r="H146" t="str">
            <v>VEGA, BRIAN NICOLAS</v>
          </cell>
          <cell r="I146" t="str">
            <v>Leandro Muñoz</v>
          </cell>
          <cell r="J146"/>
          <cell r="K146"/>
          <cell r="L146" t="str">
            <v>x</v>
          </cell>
          <cell r="M146" t="str">
            <v>x</v>
          </cell>
          <cell r="N146" t="str">
            <v>x</v>
          </cell>
          <cell r="O146"/>
          <cell r="P146"/>
          <cell r="Q146" t="str">
            <v>x</v>
          </cell>
          <cell r="R146" t="str">
            <v>x</v>
          </cell>
          <cell r="S146" t="str">
            <v>x</v>
          </cell>
          <cell r="T146" t="str">
            <v>x</v>
          </cell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 t="str">
            <v>x</v>
          </cell>
          <cell r="AN146" t="str">
            <v>x</v>
          </cell>
          <cell r="AO146"/>
          <cell r="AP146" t="str">
            <v>x</v>
          </cell>
          <cell r="AQ146">
            <v>45098</v>
          </cell>
          <cell r="AR146">
            <v>475</v>
          </cell>
          <cell r="AS146">
            <v>45322</v>
          </cell>
          <cell r="AT146">
            <v>251</v>
          </cell>
          <cell r="AU146" t="str">
            <v>VMACASEG</v>
          </cell>
        </row>
        <row r="147">
          <cell r="C147">
            <v>605632</v>
          </cell>
          <cell r="D147" t="str">
            <v>MANFREDI RUTH MELINA</v>
          </cell>
          <cell r="E147" t="str">
            <v>15:00 - 21:00</v>
          </cell>
          <cell r="F147" t="str">
            <v>TARDE</v>
          </cell>
          <cell r="G147" t="str">
            <v>SAB Y DOM</v>
          </cell>
          <cell r="H147" t="str">
            <v>GOMEZ, SASHA</v>
          </cell>
          <cell r="I147" t="str">
            <v>Romandetto Carlos</v>
          </cell>
          <cell r="J147" t="str">
            <v>x</v>
          </cell>
          <cell r="K147"/>
          <cell r="L147" t="str">
            <v>x</v>
          </cell>
          <cell r="M147" t="str">
            <v>x</v>
          </cell>
          <cell r="N147" t="str">
            <v>x</v>
          </cell>
          <cell r="O147"/>
          <cell r="P147"/>
          <cell r="Q147" t="str">
            <v>x</v>
          </cell>
          <cell r="R147" t="str">
            <v>x</v>
          </cell>
          <cell r="S147" t="str">
            <v>x</v>
          </cell>
          <cell r="T147" t="str">
            <v>x</v>
          </cell>
          <cell r="U147" t="str">
            <v>x</v>
          </cell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 t="str">
            <v>x</v>
          </cell>
          <cell r="AO147"/>
          <cell r="AP147" t="str">
            <v>x</v>
          </cell>
          <cell r="AQ147">
            <v>45098</v>
          </cell>
          <cell r="AR147">
            <v>475</v>
          </cell>
          <cell r="AS147">
            <v>45210</v>
          </cell>
          <cell r="AT147">
            <v>363</v>
          </cell>
          <cell r="AU147" t="str">
            <v>VMAMEMAN</v>
          </cell>
        </row>
        <row r="148">
          <cell r="C148">
            <v>605530</v>
          </cell>
          <cell r="D148" t="str">
            <v>RUIZ ALEX IVAN</v>
          </cell>
          <cell r="E148" t="str">
            <v>10:00 - 16:00</v>
          </cell>
          <cell r="F148" t="str">
            <v>MAÑANA</v>
          </cell>
          <cell r="G148" t="str">
            <v>SAB Y DOM</v>
          </cell>
          <cell r="H148" t="str">
            <v>GROESMANN, MAYA JUDITH</v>
          </cell>
          <cell r="I148" t="str">
            <v>Romandetto Carlos</v>
          </cell>
          <cell r="J148"/>
          <cell r="K148"/>
          <cell r="L148" t="str">
            <v>x</v>
          </cell>
          <cell r="M148" t="str">
            <v>x</v>
          </cell>
          <cell r="N148" t="str">
            <v>x</v>
          </cell>
          <cell r="O148"/>
          <cell r="P148"/>
          <cell r="Q148" t="str">
            <v>x</v>
          </cell>
          <cell r="R148" t="str">
            <v>x</v>
          </cell>
          <cell r="S148" t="str">
            <v>x</v>
          </cell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 t="str">
            <v>x</v>
          </cell>
          <cell r="AO148"/>
          <cell r="AP148" t="str">
            <v>x</v>
          </cell>
          <cell r="AQ148">
            <v>45098</v>
          </cell>
          <cell r="AR148">
            <v>475</v>
          </cell>
          <cell r="AS148">
            <v>45338</v>
          </cell>
          <cell r="AT148">
            <v>235</v>
          </cell>
          <cell r="AU148" t="str">
            <v>VMAALRUI</v>
          </cell>
        </row>
        <row r="149">
          <cell r="C149">
            <v>605589</v>
          </cell>
          <cell r="D149" t="str">
            <v>CASTILLO MICAELA TATIANA</v>
          </cell>
          <cell r="E149" t="str">
            <v>15:00 - 21:00</v>
          </cell>
          <cell r="F149" t="str">
            <v>TARDE</v>
          </cell>
          <cell r="G149" t="str">
            <v>SAB Y DOM</v>
          </cell>
          <cell r="H149" t="str">
            <v>GOMEZ, SASHA</v>
          </cell>
          <cell r="I149" t="str">
            <v>Romandetto Carlos</v>
          </cell>
          <cell r="J149" t="str">
            <v>x</v>
          </cell>
          <cell r="K149"/>
          <cell r="L149" t="str">
            <v>x</v>
          </cell>
          <cell r="M149" t="str">
            <v>x</v>
          </cell>
          <cell r="N149" t="str">
            <v>x</v>
          </cell>
          <cell r="O149"/>
          <cell r="P149"/>
          <cell r="Q149" t="str">
            <v>x</v>
          </cell>
          <cell r="R149" t="str">
            <v>x</v>
          </cell>
          <cell r="S149" t="str">
            <v>x</v>
          </cell>
          <cell r="T149" t="str">
            <v>x</v>
          </cell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 t="str">
            <v>x</v>
          </cell>
          <cell r="AO149"/>
          <cell r="AP149" t="str">
            <v>x</v>
          </cell>
          <cell r="AQ149">
            <v>45098</v>
          </cell>
          <cell r="AR149">
            <v>475</v>
          </cell>
          <cell r="AS149">
            <v>45322</v>
          </cell>
          <cell r="AT149">
            <v>251</v>
          </cell>
          <cell r="AU149" t="str">
            <v>VMAMICCA</v>
          </cell>
        </row>
        <row r="150">
          <cell r="C150">
            <v>605610</v>
          </cell>
          <cell r="D150" t="str">
            <v>REGUEIRO MARTINA ESTEFANIA</v>
          </cell>
          <cell r="E150" t="str">
            <v>10:00 - 16:00</v>
          </cell>
          <cell r="F150" t="str">
            <v>MAÑANA</v>
          </cell>
          <cell r="G150" t="str">
            <v>SAB Y DOM</v>
          </cell>
          <cell r="H150" t="str">
            <v>SORIA, ANA PAULA</v>
          </cell>
          <cell r="I150" t="str">
            <v>Romandetto Carlos</v>
          </cell>
          <cell r="J150" t="str">
            <v>x</v>
          </cell>
          <cell r="K150"/>
          <cell r="L150" t="str">
            <v>x</v>
          </cell>
          <cell r="M150" t="str">
            <v>x</v>
          </cell>
          <cell r="N150" t="str">
            <v>x</v>
          </cell>
          <cell r="O150"/>
          <cell r="P150"/>
          <cell r="Q150" t="str">
            <v>x</v>
          </cell>
          <cell r="R150" t="str">
            <v>x</v>
          </cell>
          <cell r="S150" t="str">
            <v>x</v>
          </cell>
          <cell r="T150" t="str">
            <v>x</v>
          </cell>
          <cell r="U150" t="str">
            <v>x</v>
          </cell>
          <cell r="V150"/>
          <cell r="W150"/>
          <cell r="X150"/>
          <cell r="Y150"/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 t="str">
            <v>x</v>
          </cell>
          <cell r="AO150"/>
          <cell r="AP150" t="str">
            <v>x</v>
          </cell>
          <cell r="AQ150">
            <v>45098</v>
          </cell>
          <cell r="AR150">
            <v>475</v>
          </cell>
          <cell r="AS150">
            <v>45210</v>
          </cell>
          <cell r="AT150">
            <v>363</v>
          </cell>
          <cell r="AU150" t="str">
            <v>VMAMAREG</v>
          </cell>
        </row>
        <row r="151">
          <cell r="C151">
            <v>605513</v>
          </cell>
          <cell r="D151" t="str">
            <v>MAIDANA MENDOZA MALENA MELISA</v>
          </cell>
          <cell r="E151" t="str">
            <v>14:00 - 20:00</v>
          </cell>
          <cell r="F151" t="str">
            <v>TARDE</v>
          </cell>
          <cell r="G151" t="str">
            <v>SAB Y DOM</v>
          </cell>
          <cell r="H151" t="str">
            <v>YBARRA, LUCIA ALDANA</v>
          </cell>
          <cell r="I151" t="str">
            <v>Romandetto Carlos</v>
          </cell>
          <cell r="J151" t="str">
            <v>x</v>
          </cell>
          <cell r="K151"/>
          <cell r="L151" t="str">
            <v>x</v>
          </cell>
          <cell r="M151" t="str">
            <v>x</v>
          </cell>
          <cell r="N151" t="str">
            <v>x</v>
          </cell>
          <cell r="O151"/>
          <cell r="P151"/>
          <cell r="Q151" t="str">
            <v>x</v>
          </cell>
          <cell r="R151" t="str">
            <v>x</v>
          </cell>
          <cell r="S151" t="str">
            <v>x</v>
          </cell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 t="str">
            <v>x</v>
          </cell>
          <cell r="AO151"/>
          <cell r="AP151" t="str">
            <v>x</v>
          </cell>
          <cell r="AQ151">
            <v>45131</v>
          </cell>
          <cell r="AR151">
            <v>442</v>
          </cell>
          <cell r="AS151">
            <v>45338</v>
          </cell>
          <cell r="AT151">
            <v>235</v>
          </cell>
          <cell r="AU151" t="str">
            <v>VMAMAMAI</v>
          </cell>
        </row>
        <row r="152">
          <cell r="C152">
            <v>605612</v>
          </cell>
          <cell r="D152" t="str">
            <v>SOTOS LA IACONA ENZO SANTINO</v>
          </cell>
          <cell r="E152" t="str">
            <v>15:00 - 21:00</v>
          </cell>
          <cell r="F152" t="str">
            <v>TARDE</v>
          </cell>
          <cell r="G152" t="str">
            <v>SAB Y DOM</v>
          </cell>
          <cell r="H152" t="str">
            <v>GOMEZ, SASHA</v>
          </cell>
          <cell r="I152" t="str">
            <v>Romandetto Carlos</v>
          </cell>
          <cell r="J152" t="str">
            <v>x</v>
          </cell>
          <cell r="K152"/>
          <cell r="L152" t="str">
            <v>x</v>
          </cell>
          <cell r="M152" t="str">
            <v>x</v>
          </cell>
          <cell r="N152" t="str">
            <v>x</v>
          </cell>
          <cell r="O152"/>
          <cell r="P152"/>
          <cell r="Q152" t="str">
            <v>x</v>
          </cell>
          <cell r="R152" t="str">
            <v>x</v>
          </cell>
          <cell r="S152" t="str">
            <v>x</v>
          </cell>
          <cell r="T152" t="str">
            <v>x</v>
          </cell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 t="str">
            <v>x</v>
          </cell>
          <cell r="AO152"/>
          <cell r="AP152" t="str">
            <v>x</v>
          </cell>
          <cell r="AQ152">
            <v>45131</v>
          </cell>
          <cell r="AR152">
            <v>442</v>
          </cell>
          <cell r="AS152">
            <v>45322</v>
          </cell>
          <cell r="AT152">
            <v>251</v>
          </cell>
          <cell r="AU152" t="str">
            <v>VMAENSOT</v>
          </cell>
        </row>
        <row r="153">
          <cell r="C153">
            <v>605615</v>
          </cell>
          <cell r="D153" t="str">
            <v>FARFAN BELEN ROXANA</v>
          </cell>
          <cell r="E153" t="str">
            <v>14:00 - 20:00</v>
          </cell>
          <cell r="F153" t="str">
            <v>TARDE</v>
          </cell>
          <cell r="G153" t="str">
            <v>SAB Y DOM</v>
          </cell>
          <cell r="H153" t="str">
            <v>GOMEZ, AYLEN MILAGROS</v>
          </cell>
          <cell r="I153" t="str">
            <v>Romandetto Carlos</v>
          </cell>
          <cell r="J153"/>
          <cell r="K153"/>
          <cell r="L153" t="str">
            <v>x</v>
          </cell>
          <cell r="M153" t="str">
            <v>x</v>
          </cell>
          <cell r="N153" t="str">
            <v>x</v>
          </cell>
          <cell r="O153"/>
          <cell r="P153"/>
          <cell r="Q153" t="str">
            <v>x</v>
          </cell>
          <cell r="R153" t="str">
            <v>x</v>
          </cell>
          <cell r="S153" t="str">
            <v>x</v>
          </cell>
          <cell r="T153" t="str">
            <v>x</v>
          </cell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 t="str">
            <v>x</v>
          </cell>
          <cell r="AO153"/>
          <cell r="AP153" t="str">
            <v>x</v>
          </cell>
          <cell r="AQ153">
            <v>45131</v>
          </cell>
          <cell r="AR153">
            <v>442</v>
          </cell>
          <cell r="AS153">
            <v>45322</v>
          </cell>
          <cell r="AT153">
            <v>251</v>
          </cell>
          <cell r="AU153" t="str">
            <v>VMABEFAR</v>
          </cell>
        </row>
        <row r="154">
          <cell r="C154">
            <v>605617</v>
          </cell>
          <cell r="D154" t="str">
            <v>DE VUONO FACUNDO SANTIAGO</v>
          </cell>
          <cell r="E154" t="str">
            <v>15:00 - 21:00</v>
          </cell>
          <cell r="F154" t="str">
            <v>TARDE</v>
          </cell>
          <cell r="G154" t="str">
            <v>VIE Y SAB</v>
          </cell>
          <cell r="H154" t="str">
            <v>GOMEZ, SASHA</v>
          </cell>
          <cell r="I154" t="str">
            <v>Romandetto Carlos</v>
          </cell>
          <cell r="J154" t="str">
            <v>x</v>
          </cell>
          <cell r="K154"/>
          <cell r="L154" t="str">
            <v>x</v>
          </cell>
          <cell r="M154" t="str">
            <v>x</v>
          </cell>
          <cell r="N154" t="str">
            <v>x</v>
          </cell>
          <cell r="O154"/>
          <cell r="P154"/>
          <cell r="Q154" t="str">
            <v>x</v>
          </cell>
          <cell r="R154" t="str">
            <v>x</v>
          </cell>
          <cell r="S154" t="str">
            <v>x</v>
          </cell>
          <cell r="T154" t="str">
            <v>x</v>
          </cell>
          <cell r="U154"/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 t="str">
            <v>x</v>
          </cell>
          <cell r="AO154"/>
          <cell r="AP154" t="str">
            <v>x</v>
          </cell>
          <cell r="AQ154">
            <v>45131</v>
          </cell>
          <cell r="AR154">
            <v>442</v>
          </cell>
          <cell r="AS154">
            <v>45322</v>
          </cell>
          <cell r="AT154">
            <v>251</v>
          </cell>
          <cell r="AU154" t="str">
            <v>VMAFACDE</v>
          </cell>
        </row>
        <row r="155">
          <cell r="C155">
            <v>605638</v>
          </cell>
          <cell r="D155" t="str">
            <v>LUTTER IARA CATARINA INES</v>
          </cell>
          <cell r="E155" t="str">
            <v>15:00 - 21:00</v>
          </cell>
          <cell r="F155" t="str">
            <v>TARDE</v>
          </cell>
          <cell r="G155" t="str">
            <v>SAB Y DOM</v>
          </cell>
          <cell r="H155" t="str">
            <v>ONETTO, MARIA DE LOS MILAGROS</v>
          </cell>
          <cell r="I155" t="str">
            <v>Romandetto Carlos</v>
          </cell>
          <cell r="J155" t="str">
            <v>x</v>
          </cell>
          <cell r="K155"/>
          <cell r="L155" t="str">
            <v>x</v>
          </cell>
          <cell r="M155" t="str">
            <v>x</v>
          </cell>
          <cell r="N155" t="str">
            <v>x</v>
          </cell>
          <cell r="O155"/>
          <cell r="P155"/>
          <cell r="Q155"/>
          <cell r="R155" t="str">
            <v>x</v>
          </cell>
          <cell r="S155"/>
          <cell r="T155"/>
          <cell r="U155"/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 t="str">
            <v>x</v>
          </cell>
          <cell r="AJ155" t="str">
            <v>x</v>
          </cell>
          <cell r="AK155"/>
          <cell r="AL155"/>
          <cell r="AM155"/>
          <cell r="AN155" t="str">
            <v>x</v>
          </cell>
          <cell r="AO155" t="str">
            <v>x</v>
          </cell>
          <cell r="AP155"/>
          <cell r="AQ155">
            <v>45131</v>
          </cell>
          <cell r="AR155">
            <v>442</v>
          </cell>
          <cell r="AS155">
            <v>45224</v>
          </cell>
          <cell r="AT155">
            <v>349</v>
          </cell>
          <cell r="AU155" t="str">
            <v>VMAIALUT</v>
          </cell>
        </row>
        <row r="156">
          <cell r="C156">
            <v>605652</v>
          </cell>
          <cell r="D156" t="str">
            <v>RESTELLI MAIRA ALEJANDRA</v>
          </cell>
          <cell r="E156" t="str">
            <v>18:00 - 00:00</v>
          </cell>
          <cell r="F156" t="str">
            <v>NOCHE</v>
          </cell>
          <cell r="G156" t="str">
            <v>LUN Y SAB</v>
          </cell>
          <cell r="H156" t="str">
            <v>YBARRA, LUCIA ALDANA</v>
          </cell>
          <cell r="I156" t="str">
            <v>Romandetto Carlos</v>
          </cell>
          <cell r="J156" t="str">
            <v>x</v>
          </cell>
          <cell r="K156"/>
          <cell r="L156" t="str">
            <v>x</v>
          </cell>
          <cell r="M156" t="str">
            <v>x</v>
          </cell>
          <cell r="N156" t="str">
            <v>x</v>
          </cell>
          <cell r="O156"/>
          <cell r="P156"/>
          <cell r="Q156"/>
          <cell r="R156" t="str">
            <v>x</v>
          </cell>
          <cell r="S156"/>
          <cell r="T156"/>
          <cell r="U156"/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/>
          <cell r="AI156" t="str">
            <v>x</v>
          </cell>
          <cell r="AJ156" t="str">
            <v>x</v>
          </cell>
          <cell r="AK156"/>
          <cell r="AL156"/>
          <cell r="AM156"/>
          <cell r="AN156" t="str">
            <v>x</v>
          </cell>
          <cell r="AO156" t="str">
            <v>x</v>
          </cell>
          <cell r="AP156"/>
          <cell r="AQ156">
            <v>45131</v>
          </cell>
          <cell r="AR156">
            <v>442</v>
          </cell>
          <cell r="AS156">
            <v>45224</v>
          </cell>
          <cell r="AT156">
            <v>349</v>
          </cell>
          <cell r="AU156" t="str">
            <v>VMAMARES</v>
          </cell>
        </row>
        <row r="157">
          <cell r="C157">
            <v>606320</v>
          </cell>
          <cell r="D157" t="str">
            <v>RAMOS LASTRA PABLO</v>
          </cell>
          <cell r="E157" t="str">
            <v>08:00 - 14:00</v>
          </cell>
          <cell r="F157" t="str">
            <v>MAÑANA</v>
          </cell>
          <cell r="G157" t="str">
            <v>SAB Y DOM</v>
          </cell>
          <cell r="H157" t="str">
            <v>GOYECHEA, AGUSTINA LOURDES</v>
          </cell>
          <cell r="I157" t="str">
            <v>Romandetto Carlos</v>
          </cell>
          <cell r="J157" t="str">
            <v>x</v>
          </cell>
          <cell r="K157"/>
          <cell r="L157" t="str">
            <v>x</v>
          </cell>
          <cell r="M157" t="str">
            <v>x</v>
          </cell>
          <cell r="N157" t="str">
            <v>x</v>
          </cell>
          <cell r="O157"/>
          <cell r="P157"/>
          <cell r="Q157"/>
          <cell r="R157" t="str">
            <v>x</v>
          </cell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/>
          <cell r="AJ157"/>
          <cell r="AK157"/>
          <cell r="AL157"/>
          <cell r="AM157"/>
          <cell r="AN157" t="str">
            <v>x</v>
          </cell>
          <cell r="AO157" t="str">
            <v>x</v>
          </cell>
          <cell r="AP157"/>
          <cell r="AQ157">
            <v>45132</v>
          </cell>
          <cell r="AR157">
            <v>441</v>
          </cell>
          <cell r="AS157">
            <v>45163</v>
          </cell>
          <cell r="AT157">
            <v>410</v>
          </cell>
          <cell r="AU157" t="str">
            <v>VMAPABRA</v>
          </cell>
        </row>
        <row r="158">
          <cell r="C158">
            <v>606321</v>
          </cell>
          <cell r="D158" t="str">
            <v>FERNANDEZ KAREN SOFIA</v>
          </cell>
          <cell r="E158" t="str">
            <v>08:00 - 14:00</v>
          </cell>
          <cell r="F158" t="str">
            <v>MAÑANA</v>
          </cell>
          <cell r="G158" t="str">
            <v>MIE Y SAB</v>
          </cell>
          <cell r="H158" t="str">
            <v>GOYECHEA, AGUSTINA LOURDES</v>
          </cell>
          <cell r="I158" t="str">
            <v>Romandetto Carlos</v>
          </cell>
          <cell r="J158" t="str">
            <v>x</v>
          </cell>
          <cell r="K158"/>
          <cell r="L158" t="str">
            <v>x</v>
          </cell>
          <cell r="M158" t="str">
            <v>x</v>
          </cell>
          <cell r="N158" t="str">
            <v>x</v>
          </cell>
          <cell r="O158"/>
          <cell r="P158"/>
          <cell r="Q158" t="str">
            <v>x</v>
          </cell>
          <cell r="R158" t="str">
            <v>x</v>
          </cell>
          <cell r="S158" t="str">
            <v>x</v>
          </cell>
          <cell r="T158" t="str">
            <v>x</v>
          </cell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 t="str">
            <v>x</v>
          </cell>
          <cell r="AO158"/>
          <cell r="AP158" t="str">
            <v>x</v>
          </cell>
          <cell r="AQ158">
            <v>45132</v>
          </cell>
          <cell r="AR158">
            <v>441</v>
          </cell>
          <cell r="AS158">
            <v>45320</v>
          </cell>
          <cell r="AT158">
            <v>253</v>
          </cell>
          <cell r="AU158" t="str">
            <v>VMAKARFE</v>
          </cell>
        </row>
        <row r="159">
          <cell r="C159">
            <v>605672</v>
          </cell>
          <cell r="D159" t="str">
            <v>FERNANDEZ HELENA</v>
          </cell>
          <cell r="E159" t="str">
            <v>08:00 - 14:00</v>
          </cell>
          <cell r="F159" t="str">
            <v>MAÑANA</v>
          </cell>
          <cell r="G159" t="str">
            <v>SAB Y DOM</v>
          </cell>
          <cell r="H159" t="str">
            <v>GOYECHEA, AGUSTINA LOURDES</v>
          </cell>
          <cell r="I159" t="str">
            <v>Romandetto Carlos</v>
          </cell>
          <cell r="J159" t="str">
            <v>x</v>
          </cell>
          <cell r="K159"/>
          <cell r="L159" t="str">
            <v>x</v>
          </cell>
          <cell r="M159" t="str">
            <v>x</v>
          </cell>
          <cell r="N159" t="str">
            <v>x</v>
          </cell>
          <cell r="O159"/>
          <cell r="P159"/>
          <cell r="Q159" t="str">
            <v>x</v>
          </cell>
          <cell r="R159" t="str">
            <v>x</v>
          </cell>
          <cell r="S159" t="str">
            <v>x</v>
          </cell>
          <cell r="T159" t="str">
            <v>x</v>
          </cell>
          <cell r="U159"/>
          <cell r="V159"/>
          <cell r="W159"/>
          <cell r="X159"/>
          <cell r="Y159"/>
          <cell r="Z159"/>
          <cell r="AA159"/>
          <cell r="AB159"/>
          <cell r="AC159"/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 t="str">
            <v>x</v>
          </cell>
          <cell r="AO159"/>
          <cell r="AP159" t="str">
            <v>x</v>
          </cell>
          <cell r="AQ159">
            <v>45132</v>
          </cell>
          <cell r="AR159">
            <v>441</v>
          </cell>
          <cell r="AS159">
            <v>45320</v>
          </cell>
          <cell r="AT159">
            <v>253</v>
          </cell>
          <cell r="AU159" t="str">
            <v>VMAHEFER</v>
          </cell>
        </row>
        <row r="160">
          <cell r="C160">
            <v>605681</v>
          </cell>
          <cell r="D160" t="str">
            <v>MACALELLO ROCIO MICAELA</v>
          </cell>
          <cell r="E160" t="str">
            <v>09:00 - 15:00</v>
          </cell>
          <cell r="F160" t="str">
            <v>MAÑANA</v>
          </cell>
          <cell r="G160" t="str">
            <v>SAB Y DOM</v>
          </cell>
          <cell r="H160" t="str">
            <v>ROBLEDO, LEANDRO JAVIER</v>
          </cell>
          <cell r="I160" t="str">
            <v>Romandetto Carlos</v>
          </cell>
          <cell r="J160" t="str">
            <v>x</v>
          </cell>
          <cell r="K160"/>
          <cell r="L160" t="str">
            <v>x</v>
          </cell>
          <cell r="M160" t="str">
            <v>x</v>
          </cell>
          <cell r="N160" t="str">
            <v>x</v>
          </cell>
          <cell r="O160"/>
          <cell r="P160"/>
          <cell r="Q160" t="str">
            <v>x</v>
          </cell>
          <cell r="R160" t="str">
            <v>x</v>
          </cell>
          <cell r="S160" t="str">
            <v>x</v>
          </cell>
          <cell r="T160" t="str">
            <v>x</v>
          </cell>
          <cell r="U160"/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 t="str">
            <v>x</v>
          </cell>
          <cell r="AO160"/>
          <cell r="AP160" t="str">
            <v>x</v>
          </cell>
          <cell r="AQ160">
            <v>45132</v>
          </cell>
          <cell r="AR160">
            <v>441</v>
          </cell>
          <cell r="AS160">
            <v>45320</v>
          </cell>
          <cell r="AT160">
            <v>253</v>
          </cell>
          <cell r="AU160" t="str">
            <v>VMAROMAC</v>
          </cell>
        </row>
        <row r="161">
          <cell r="C161">
            <v>605665</v>
          </cell>
          <cell r="D161" t="str">
            <v>BARRIOS CACERES BRISA DANIELA</v>
          </cell>
          <cell r="E161" t="str">
            <v>08:00 - 14:00</v>
          </cell>
          <cell r="F161" t="str">
            <v>MAÑANA</v>
          </cell>
          <cell r="G161" t="str">
            <v>JUE Y SAB</v>
          </cell>
          <cell r="H161" t="str">
            <v>GOYECHEA, AGUSTINA LOURDES</v>
          </cell>
          <cell r="I161" t="str">
            <v>Romandetto Carlos</v>
          </cell>
          <cell r="J161" t="str">
            <v>x</v>
          </cell>
          <cell r="K161"/>
          <cell r="L161" t="str">
            <v>x</v>
          </cell>
          <cell r="M161" t="str">
            <v>x</v>
          </cell>
          <cell r="N161" t="str">
            <v>x</v>
          </cell>
          <cell r="O161"/>
          <cell r="P161"/>
          <cell r="Q161" t="str">
            <v>x</v>
          </cell>
          <cell r="R161" t="str">
            <v>x</v>
          </cell>
          <cell r="S161" t="str">
            <v>x</v>
          </cell>
          <cell r="T161"/>
          <cell r="U161"/>
          <cell r="V161"/>
          <cell r="W161"/>
          <cell r="X161"/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 t="str">
            <v>x</v>
          </cell>
          <cell r="AO161"/>
          <cell r="AP161" t="str">
            <v>x</v>
          </cell>
          <cell r="AQ161">
            <v>45125</v>
          </cell>
          <cell r="AR161">
            <v>448</v>
          </cell>
          <cell r="AS161">
            <v>45338</v>
          </cell>
          <cell r="AT161">
            <v>235</v>
          </cell>
          <cell r="AU161" t="str">
            <v>VMABRBAR</v>
          </cell>
        </row>
        <row r="162">
          <cell r="C162">
            <v>605668</v>
          </cell>
          <cell r="D162" t="str">
            <v>LEMOS MARIA DE LOS ANGELES</v>
          </cell>
          <cell r="E162" t="str">
            <v>12:00 - 18:00</v>
          </cell>
          <cell r="F162" t="str">
            <v>TARDE</v>
          </cell>
          <cell r="G162" t="str">
            <v>SAB Y DOM</v>
          </cell>
          <cell r="H162" t="str">
            <v>GOYECHEA, AGUSTINA LOURDES</v>
          </cell>
          <cell r="I162" t="str">
            <v>Romandetto Carlos</v>
          </cell>
          <cell r="J162" t="str">
            <v>x</v>
          </cell>
          <cell r="K162"/>
          <cell r="L162" t="str">
            <v>x</v>
          </cell>
          <cell r="M162" t="str">
            <v>x</v>
          </cell>
          <cell r="N162" t="str">
            <v>x</v>
          </cell>
          <cell r="O162"/>
          <cell r="P162"/>
          <cell r="Q162"/>
          <cell r="R162" t="str">
            <v>x</v>
          </cell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 t="str">
            <v>x</v>
          </cell>
          <cell r="AO162" t="str">
            <v>x</v>
          </cell>
          <cell r="AP162"/>
          <cell r="AQ162">
            <v>45125</v>
          </cell>
          <cell r="AR162">
            <v>448</v>
          </cell>
          <cell r="AS162">
            <v>45169</v>
          </cell>
          <cell r="AT162">
            <v>404</v>
          </cell>
          <cell r="AU162" t="str">
            <v>VMAMALEM</v>
          </cell>
        </row>
        <row r="163">
          <cell r="C163">
            <v>605669</v>
          </cell>
          <cell r="D163" t="str">
            <v>MAKOWSKI CAÑETE MILAGROS</v>
          </cell>
          <cell r="E163" t="str">
            <v>09:00 - 15:00</v>
          </cell>
          <cell r="F163" t="str">
            <v>MAÑANA</v>
          </cell>
          <cell r="G163" t="str">
            <v>SAB Y DOM</v>
          </cell>
          <cell r="H163" t="str">
            <v>ROBLEDO, LEANDRO JAVIER</v>
          </cell>
          <cell r="I163" t="str">
            <v>Romandetto Carlos</v>
          </cell>
          <cell r="J163"/>
          <cell r="K163"/>
          <cell r="L163" t="str">
            <v>x</v>
          </cell>
          <cell r="M163" t="str">
            <v>x</v>
          </cell>
          <cell r="N163" t="str">
            <v>x</v>
          </cell>
          <cell r="O163"/>
          <cell r="P163"/>
          <cell r="Q163" t="str">
            <v>x</v>
          </cell>
          <cell r="R163" t="str">
            <v>x</v>
          </cell>
          <cell r="S163" t="str">
            <v>x</v>
          </cell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 t="str">
            <v>x</v>
          </cell>
          <cell r="AO163"/>
          <cell r="AP163" t="str">
            <v>x</v>
          </cell>
          <cell r="AQ163">
            <v>45125</v>
          </cell>
          <cell r="AR163">
            <v>448</v>
          </cell>
          <cell r="AS163">
            <v>45338</v>
          </cell>
          <cell r="AT163">
            <v>235</v>
          </cell>
          <cell r="AU163" t="str">
            <v>VMAMIMAK</v>
          </cell>
        </row>
        <row r="164">
          <cell r="C164">
            <v>605670</v>
          </cell>
          <cell r="D164" t="str">
            <v>MUÑOZ NOELIA</v>
          </cell>
          <cell r="E164" t="str">
            <v>09:00 - 15:00</v>
          </cell>
          <cell r="F164" t="str">
            <v>MAÑANA</v>
          </cell>
          <cell r="G164" t="str">
            <v>MIE Y DOM</v>
          </cell>
          <cell r="H164" t="str">
            <v>ROBLEDO, LEANDRO JAVIER</v>
          </cell>
          <cell r="I164" t="str">
            <v>Romandetto Carlos</v>
          </cell>
          <cell r="J164" t="str">
            <v>x</v>
          </cell>
          <cell r="K164"/>
          <cell r="L164" t="str">
            <v>x</v>
          </cell>
          <cell r="M164" t="str">
            <v>x</v>
          </cell>
          <cell r="N164" t="str">
            <v>x</v>
          </cell>
          <cell r="O164"/>
          <cell r="P164"/>
          <cell r="Q164" t="str">
            <v>x</v>
          </cell>
          <cell r="R164" t="str">
            <v>x</v>
          </cell>
          <cell r="S164" t="str">
            <v>x</v>
          </cell>
          <cell r="T164" t="str">
            <v>x</v>
          </cell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 t="str">
            <v>x</v>
          </cell>
          <cell r="AO164"/>
          <cell r="AP164" t="str">
            <v>x</v>
          </cell>
          <cell r="AQ164">
            <v>45125</v>
          </cell>
          <cell r="AR164">
            <v>448</v>
          </cell>
          <cell r="AS164">
            <v>45320</v>
          </cell>
          <cell r="AT164">
            <v>253</v>
          </cell>
          <cell r="AU164" t="str">
            <v>VMANOMUN</v>
          </cell>
        </row>
        <row r="165">
          <cell r="C165">
            <v>605694</v>
          </cell>
          <cell r="D165" t="str">
            <v>GILLES MORENA</v>
          </cell>
          <cell r="E165" t="str">
            <v>14:00 - 20:00</v>
          </cell>
          <cell r="F165" t="str">
            <v>TARDE</v>
          </cell>
          <cell r="G165" t="str">
            <v>SAB Y DOM</v>
          </cell>
          <cell r="H165" t="str">
            <v>ROJAS, LUCAS</v>
          </cell>
          <cell r="I165" t="str">
            <v>Romandetto Carlos</v>
          </cell>
          <cell r="J165" t="str">
            <v>x</v>
          </cell>
          <cell r="K165"/>
          <cell r="L165" t="str">
            <v>x</v>
          </cell>
          <cell r="M165" t="str">
            <v>x</v>
          </cell>
          <cell r="N165" t="str">
            <v>x</v>
          </cell>
          <cell r="O165"/>
          <cell r="P165"/>
          <cell r="Q165" t="str">
            <v>x</v>
          </cell>
          <cell r="R165" t="str">
            <v>x</v>
          </cell>
          <cell r="S165" t="str">
            <v>x</v>
          </cell>
          <cell r="T165" t="str">
            <v>x</v>
          </cell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 t="str">
            <v>x</v>
          </cell>
          <cell r="AO165"/>
          <cell r="AP165" t="str">
            <v>x</v>
          </cell>
          <cell r="AQ165">
            <v>45125</v>
          </cell>
          <cell r="AR165">
            <v>448</v>
          </cell>
          <cell r="AS165">
            <v>45320</v>
          </cell>
          <cell r="AT165">
            <v>253</v>
          </cell>
          <cell r="AU165" t="str">
            <v>VMAMOGIL</v>
          </cell>
        </row>
        <row r="166">
          <cell r="C166">
            <v>605762</v>
          </cell>
          <cell r="D166" t="str">
            <v>VALDEZ GAMARRA NAHUEL</v>
          </cell>
          <cell r="E166" t="str">
            <v>16:00 - 22:00</v>
          </cell>
          <cell r="F166" t="str">
            <v>TARDE</v>
          </cell>
          <cell r="G166" t="str">
            <v>MIE Y DOM</v>
          </cell>
          <cell r="H166" t="str">
            <v>MIR, TOMAS MAURICIO</v>
          </cell>
          <cell r="I166" t="str">
            <v>Romandetto Carlos</v>
          </cell>
          <cell r="J166" t="str">
            <v>x</v>
          </cell>
          <cell r="K166"/>
          <cell r="L166" t="str">
            <v>x</v>
          </cell>
          <cell r="M166" t="str">
            <v>x</v>
          </cell>
          <cell r="N166" t="str">
            <v>x</v>
          </cell>
          <cell r="O166"/>
          <cell r="P166"/>
          <cell r="Q166"/>
          <cell r="R166" t="str">
            <v>x</v>
          </cell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 t="str">
            <v>x</v>
          </cell>
          <cell r="AO166" t="str">
            <v>x</v>
          </cell>
          <cell r="AP166"/>
          <cell r="AQ166">
            <v>45125</v>
          </cell>
          <cell r="AR166">
            <v>448</v>
          </cell>
          <cell r="AS166">
            <v>45169</v>
          </cell>
          <cell r="AT166">
            <v>404</v>
          </cell>
          <cell r="AU166" t="str">
            <v>VMANAVAL</v>
          </cell>
        </row>
        <row r="167">
          <cell r="C167">
            <v>605763</v>
          </cell>
          <cell r="D167" t="str">
            <v>FRAGA NICOLAS</v>
          </cell>
          <cell r="E167" t="str">
            <v>14:00 - 20:00</v>
          </cell>
          <cell r="F167" t="str">
            <v>TARDE</v>
          </cell>
          <cell r="G167" t="str">
            <v>SAB Y DOM</v>
          </cell>
          <cell r="H167" t="str">
            <v>ROJAS, LUCAS</v>
          </cell>
          <cell r="I167" t="str">
            <v>Romandetto Carlos</v>
          </cell>
          <cell r="J167" t="str">
            <v>x</v>
          </cell>
          <cell r="K167"/>
          <cell r="L167" t="str">
            <v>x</v>
          </cell>
          <cell r="M167" t="str">
            <v>x</v>
          </cell>
          <cell r="N167" t="str">
            <v>x</v>
          </cell>
          <cell r="O167"/>
          <cell r="P167"/>
          <cell r="Q167" t="str">
            <v>x</v>
          </cell>
          <cell r="R167" t="str">
            <v>x</v>
          </cell>
          <cell r="S167" t="str">
            <v>x</v>
          </cell>
          <cell r="T167" t="str">
            <v>x</v>
          </cell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 t="str">
            <v>x</v>
          </cell>
          <cell r="AO167"/>
          <cell r="AP167" t="str">
            <v>x</v>
          </cell>
          <cell r="AQ167">
            <v>45125</v>
          </cell>
          <cell r="AR167">
            <v>448</v>
          </cell>
          <cell r="AS167">
            <v>45320</v>
          </cell>
          <cell r="AT167">
            <v>253</v>
          </cell>
          <cell r="AU167" t="str">
            <v>VMANIFRA</v>
          </cell>
        </row>
        <row r="168">
          <cell r="C168">
            <v>605818</v>
          </cell>
          <cell r="D168" t="str">
            <v>DUCHANDU ROMINA</v>
          </cell>
          <cell r="E168" t="str">
            <v>16:00 - 22:00</v>
          </cell>
          <cell r="F168" t="str">
            <v>TARDE</v>
          </cell>
          <cell r="G168" t="str">
            <v>MIE Y DOM</v>
          </cell>
          <cell r="H168" t="str">
            <v>GARZON, ROCIO BELEN</v>
          </cell>
          <cell r="I168" t="str">
            <v>Romandetto Carlos</v>
          </cell>
          <cell r="J168" t="str">
            <v>x</v>
          </cell>
          <cell r="K168"/>
          <cell r="L168" t="str">
            <v>x</v>
          </cell>
          <cell r="M168" t="str">
            <v>x</v>
          </cell>
          <cell r="N168" t="str">
            <v>x</v>
          </cell>
          <cell r="O168"/>
          <cell r="P168"/>
          <cell r="Q168" t="str">
            <v>x</v>
          </cell>
          <cell r="R168" t="str">
            <v>x</v>
          </cell>
          <cell r="S168" t="str">
            <v>x</v>
          </cell>
          <cell r="T168" t="str">
            <v>x</v>
          </cell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 t="str">
            <v>x</v>
          </cell>
          <cell r="AO168"/>
          <cell r="AP168" t="str">
            <v>x</v>
          </cell>
          <cell r="AQ168">
            <v>45125</v>
          </cell>
          <cell r="AR168">
            <v>448</v>
          </cell>
          <cell r="AS168">
            <v>45320</v>
          </cell>
          <cell r="AT168">
            <v>253</v>
          </cell>
          <cell r="AU168" t="str">
            <v>VMARODUC</v>
          </cell>
        </row>
        <row r="169">
          <cell r="C169">
            <v>606278</v>
          </cell>
          <cell r="D169" t="str">
            <v>MEJIAS ARO YUDALY</v>
          </cell>
          <cell r="E169" t="str">
            <v>08:00 - 14:00</v>
          </cell>
          <cell r="F169" t="str">
            <v>MAÑANA</v>
          </cell>
          <cell r="G169" t="str">
            <v>VIE Y DOM</v>
          </cell>
          <cell r="H169" t="str">
            <v>GOYECHEA, AGUSTINA LOURDES</v>
          </cell>
          <cell r="I169" t="str">
            <v>Romandetto Carlos</v>
          </cell>
          <cell r="J169"/>
          <cell r="K169"/>
          <cell r="L169" t="str">
            <v>x</v>
          </cell>
          <cell r="M169" t="str">
            <v>x</v>
          </cell>
          <cell r="N169" t="str">
            <v>x</v>
          </cell>
          <cell r="O169"/>
          <cell r="P169"/>
          <cell r="Q169" t="str">
            <v>x</v>
          </cell>
          <cell r="R169" t="str">
            <v>x</v>
          </cell>
          <cell r="S169" t="str">
            <v>x</v>
          </cell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 t="str">
            <v>x</v>
          </cell>
          <cell r="AO169"/>
          <cell r="AP169" t="str">
            <v>x</v>
          </cell>
          <cell r="AQ169">
            <v>45154</v>
          </cell>
          <cell r="AR169">
            <v>419</v>
          </cell>
          <cell r="AS169">
            <v>45338</v>
          </cell>
          <cell r="AT169">
            <v>235</v>
          </cell>
          <cell r="AU169" t="str">
            <v>VMAYUMEJ</v>
          </cell>
        </row>
        <row r="170">
          <cell r="C170">
            <v>606287</v>
          </cell>
          <cell r="D170" t="str">
            <v>ARIAS FRANCO</v>
          </cell>
          <cell r="E170" t="str">
            <v>08:00 - 14:00</v>
          </cell>
          <cell r="F170" t="str">
            <v>MAÑANA</v>
          </cell>
          <cell r="G170" t="str">
            <v>SAB Y DOM</v>
          </cell>
          <cell r="H170" t="str">
            <v>GOYECHEA, AGUSTINA LOURDES</v>
          </cell>
          <cell r="I170" t="str">
            <v>Romandetto Carlos</v>
          </cell>
          <cell r="J170" t="str">
            <v>x</v>
          </cell>
          <cell r="K170"/>
          <cell r="L170" t="str">
            <v>x</v>
          </cell>
          <cell r="M170" t="str">
            <v>x</v>
          </cell>
          <cell r="N170" t="str">
            <v>x</v>
          </cell>
          <cell r="O170"/>
          <cell r="P170"/>
          <cell r="Q170" t="str">
            <v>x</v>
          </cell>
          <cell r="R170" t="str">
            <v>x</v>
          </cell>
          <cell r="S170" t="str">
            <v>x</v>
          </cell>
          <cell r="T170" t="str">
            <v>x</v>
          </cell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 t="str">
            <v>x</v>
          </cell>
          <cell r="AO170"/>
          <cell r="AP170" t="str">
            <v>x</v>
          </cell>
          <cell r="AQ170">
            <v>45154</v>
          </cell>
          <cell r="AR170">
            <v>419</v>
          </cell>
          <cell r="AS170">
            <v>45394</v>
          </cell>
          <cell r="AT170">
            <v>179</v>
          </cell>
          <cell r="AU170" t="str">
            <v>VMAFRAAR</v>
          </cell>
        </row>
        <row r="171">
          <cell r="C171">
            <v>606296</v>
          </cell>
          <cell r="D171" t="str">
            <v>PALACIOS MAURA</v>
          </cell>
          <cell r="E171" t="str">
            <v>10:00 - 16:00</v>
          </cell>
          <cell r="F171" t="str">
            <v>MAÑANA</v>
          </cell>
          <cell r="G171" t="str">
            <v>JUE Y SAB</v>
          </cell>
          <cell r="H171" t="str">
            <v>ROBLEDO, LEANDRO JAVIER</v>
          </cell>
          <cell r="I171" t="str">
            <v>Romandetto Carlos</v>
          </cell>
          <cell r="J171" t="str">
            <v>x</v>
          </cell>
          <cell r="K171"/>
          <cell r="L171" t="str">
            <v>x</v>
          </cell>
          <cell r="M171" t="str">
            <v>x</v>
          </cell>
          <cell r="N171" t="str">
            <v>x</v>
          </cell>
          <cell r="O171"/>
          <cell r="P171"/>
          <cell r="Q171" t="str">
            <v>x</v>
          </cell>
          <cell r="R171" t="str">
            <v>x</v>
          </cell>
          <cell r="S171" t="str">
            <v>x</v>
          </cell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 t="str">
            <v>x</v>
          </cell>
          <cell r="AO171"/>
          <cell r="AP171" t="str">
            <v>x</v>
          </cell>
          <cell r="AQ171">
            <v>45154</v>
          </cell>
          <cell r="AR171">
            <v>419</v>
          </cell>
          <cell r="AS171">
            <v>45338</v>
          </cell>
          <cell r="AT171">
            <v>235</v>
          </cell>
          <cell r="AU171" t="str">
            <v>VMAMAUPA</v>
          </cell>
        </row>
        <row r="172">
          <cell r="C172">
            <v>606300</v>
          </cell>
          <cell r="D172" t="str">
            <v>GONZALEZ GONZALO</v>
          </cell>
          <cell r="E172" t="str">
            <v>06:00 - 12:00</v>
          </cell>
          <cell r="F172" t="str">
            <v>MAÑANA</v>
          </cell>
          <cell r="G172" t="str">
            <v>SAB Y DOM</v>
          </cell>
          <cell r="H172" t="str">
            <v>VILLALBA, MAITEN</v>
          </cell>
          <cell r="I172" t="str">
            <v>Romandetto Carlos</v>
          </cell>
          <cell r="J172" t="str">
            <v>x</v>
          </cell>
          <cell r="K172"/>
          <cell r="L172" t="str">
            <v>x</v>
          </cell>
          <cell r="M172" t="str">
            <v>x</v>
          </cell>
          <cell r="N172" t="str">
            <v>x</v>
          </cell>
          <cell r="O172"/>
          <cell r="P172"/>
          <cell r="Q172" t="str">
            <v>x</v>
          </cell>
          <cell r="R172" t="str">
            <v>x</v>
          </cell>
          <cell r="S172" t="str">
            <v>x</v>
          </cell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 t="str">
            <v>x</v>
          </cell>
          <cell r="AO172"/>
          <cell r="AP172" t="str">
            <v>x</v>
          </cell>
          <cell r="AQ172">
            <v>45154</v>
          </cell>
          <cell r="AR172">
            <v>419</v>
          </cell>
          <cell r="AS172">
            <v>45338</v>
          </cell>
          <cell r="AT172">
            <v>235</v>
          </cell>
          <cell r="AU172" t="str">
            <v>VMAGOGON</v>
          </cell>
        </row>
        <row r="173">
          <cell r="C173">
            <v>606349</v>
          </cell>
          <cell r="D173" t="str">
            <v>ROMERO FRANCO</v>
          </cell>
          <cell r="E173" t="str">
            <v>08:00 - 14:00</v>
          </cell>
          <cell r="F173" t="str">
            <v>MAÑANA</v>
          </cell>
          <cell r="G173" t="str">
            <v>VIE Y DOM</v>
          </cell>
          <cell r="H173" t="str">
            <v>VILLALBA, MAITEN</v>
          </cell>
          <cell r="I173" t="str">
            <v>Romandetto Carlos</v>
          </cell>
          <cell r="J173" t="str">
            <v>x</v>
          </cell>
          <cell r="K173"/>
          <cell r="L173" t="str">
            <v>x</v>
          </cell>
          <cell r="M173" t="str">
            <v>x</v>
          </cell>
          <cell r="N173" t="str">
            <v>x</v>
          </cell>
          <cell r="O173"/>
          <cell r="P173"/>
          <cell r="Q173" t="str">
            <v>x</v>
          </cell>
          <cell r="R173" t="str">
            <v>x</v>
          </cell>
          <cell r="S173" t="str">
            <v>x</v>
          </cell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 t="str">
            <v>x</v>
          </cell>
          <cell r="AO173"/>
          <cell r="AP173" t="str">
            <v>x</v>
          </cell>
          <cell r="AQ173">
            <v>45154</v>
          </cell>
          <cell r="AR173">
            <v>419</v>
          </cell>
          <cell r="AS173">
            <v>45338</v>
          </cell>
          <cell r="AT173">
            <v>235</v>
          </cell>
          <cell r="AU173" t="str">
            <v>VMAFRROM</v>
          </cell>
        </row>
        <row r="174">
          <cell r="C174">
            <v>606306</v>
          </cell>
          <cell r="D174" t="str">
            <v>MOSQUEIRA HERNAN FEDERICO</v>
          </cell>
          <cell r="E174" t="str">
            <v>11:00 - 17:00</v>
          </cell>
          <cell r="F174" t="str">
            <v>MAÑANA</v>
          </cell>
          <cell r="G174" t="str">
            <v>SAB Y DOM</v>
          </cell>
          <cell r="H174" t="str">
            <v>DIAZ, PAULA</v>
          </cell>
          <cell r="I174" t="str">
            <v>Romandetto Carlos</v>
          </cell>
          <cell r="J174" t="str">
            <v>x</v>
          </cell>
          <cell r="K174"/>
          <cell r="L174" t="str">
            <v>x</v>
          </cell>
          <cell r="M174" t="str">
            <v>x</v>
          </cell>
          <cell r="N174" t="str">
            <v>x</v>
          </cell>
          <cell r="O174"/>
          <cell r="P174"/>
          <cell r="Q174"/>
          <cell r="R174" t="str">
            <v>x</v>
          </cell>
          <cell r="S174"/>
          <cell r="T174"/>
          <cell r="U174"/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 t="str">
            <v>x</v>
          </cell>
          <cell r="AO174" t="str">
            <v>x</v>
          </cell>
          <cell r="AP174"/>
          <cell r="AQ174">
            <v>45154</v>
          </cell>
          <cell r="AR174">
            <v>419</v>
          </cell>
          <cell r="AS174">
            <v>45198</v>
          </cell>
          <cell r="AT174">
            <v>375</v>
          </cell>
          <cell r="AU174" t="str">
            <v>VMAFEMOS</v>
          </cell>
        </row>
        <row r="175">
          <cell r="C175">
            <v>606309</v>
          </cell>
          <cell r="D175" t="str">
            <v>DONZELLI ANGELICA</v>
          </cell>
          <cell r="E175" t="str">
            <v>15:00 - 21:00</v>
          </cell>
          <cell r="F175" t="str">
            <v>TARDE</v>
          </cell>
          <cell r="G175" t="str">
            <v>SAB Y DOM</v>
          </cell>
          <cell r="H175" t="str">
            <v>ROBLEDO, LEANDRO JAVIER</v>
          </cell>
          <cell r="I175" t="str">
            <v>Romandetto Carlos</v>
          </cell>
          <cell r="J175"/>
          <cell r="K175"/>
          <cell r="L175" t="str">
            <v>x</v>
          </cell>
          <cell r="M175" t="str">
            <v>x</v>
          </cell>
          <cell r="N175" t="str">
            <v>x</v>
          </cell>
          <cell r="O175"/>
          <cell r="P175"/>
          <cell r="Q175" t="str">
            <v>x</v>
          </cell>
          <cell r="R175" t="str">
            <v>x</v>
          </cell>
          <cell r="S175" t="str">
            <v>x</v>
          </cell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 t="str">
            <v>x</v>
          </cell>
          <cell r="AO175"/>
          <cell r="AP175" t="str">
            <v>x</v>
          </cell>
          <cell r="AQ175">
            <v>45154</v>
          </cell>
          <cell r="AR175">
            <v>419</v>
          </cell>
          <cell r="AS175">
            <v>45338</v>
          </cell>
          <cell r="AT175">
            <v>235</v>
          </cell>
          <cell r="AU175" t="str">
            <v>VMAANDON</v>
          </cell>
        </row>
        <row r="176">
          <cell r="C176">
            <v>606315</v>
          </cell>
          <cell r="D176" t="str">
            <v>MAMANI EVELIN ARAZELY</v>
          </cell>
          <cell r="E176" t="str">
            <v>09:00 - 15:00</v>
          </cell>
          <cell r="F176" t="str">
            <v>MAÑANA</v>
          </cell>
          <cell r="G176" t="str">
            <v>MIE Y SAB</v>
          </cell>
          <cell r="H176" t="str">
            <v>VILLALBA, MAITEN</v>
          </cell>
          <cell r="I176" t="str">
            <v>Romandetto Carlos</v>
          </cell>
          <cell r="J176" t="str">
            <v>x</v>
          </cell>
          <cell r="K176"/>
          <cell r="L176" t="str">
            <v>x</v>
          </cell>
          <cell r="M176" t="str">
            <v>x</v>
          </cell>
          <cell r="N176" t="str">
            <v>x</v>
          </cell>
          <cell r="O176"/>
          <cell r="P176"/>
          <cell r="Q176" t="str">
            <v>x</v>
          </cell>
          <cell r="R176" t="str">
            <v>x</v>
          </cell>
          <cell r="S176" t="str">
            <v>x</v>
          </cell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 t="str">
            <v>x</v>
          </cell>
          <cell r="AO176"/>
          <cell r="AP176" t="str">
            <v>x</v>
          </cell>
          <cell r="AQ176">
            <v>45154</v>
          </cell>
          <cell r="AR176">
            <v>419</v>
          </cell>
          <cell r="AS176">
            <v>45338</v>
          </cell>
          <cell r="AT176">
            <v>235</v>
          </cell>
          <cell r="AU176" t="str">
            <v>VMAEVMAM</v>
          </cell>
        </row>
        <row r="177">
          <cell r="C177">
            <v>606317</v>
          </cell>
          <cell r="D177" t="str">
            <v>ROJAS MATIAS</v>
          </cell>
          <cell r="E177" t="str">
            <v>09:00 - 15:00</v>
          </cell>
          <cell r="F177" t="str">
            <v>MAÑANA</v>
          </cell>
          <cell r="G177" t="str">
            <v>SAB Y DOM</v>
          </cell>
          <cell r="H177" t="str">
            <v>ROBLEDO, LEANDRO JAVIER</v>
          </cell>
          <cell r="I177" t="str">
            <v>Romandetto Carlos</v>
          </cell>
          <cell r="J177" t="str">
            <v>x</v>
          </cell>
          <cell r="K177"/>
          <cell r="L177" t="str">
            <v>x</v>
          </cell>
          <cell r="M177" t="str">
            <v>x</v>
          </cell>
          <cell r="N177" t="str">
            <v>x</v>
          </cell>
          <cell r="O177"/>
          <cell r="P177"/>
          <cell r="Q177"/>
          <cell r="R177" t="str">
            <v>x</v>
          </cell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 t="str">
            <v>x</v>
          </cell>
          <cell r="AO177" t="str">
            <v>x</v>
          </cell>
          <cell r="AP177"/>
          <cell r="AQ177">
            <v>45154</v>
          </cell>
          <cell r="AR177">
            <v>419</v>
          </cell>
          <cell r="AS177">
            <v>45198</v>
          </cell>
          <cell r="AT177">
            <v>375</v>
          </cell>
          <cell r="AU177" t="str">
            <v>VMASEROJ</v>
          </cell>
        </row>
        <row r="178">
          <cell r="C178">
            <v>606054</v>
          </cell>
          <cell r="D178" t="str">
            <v>ROJAS ROCIO LUMILA</v>
          </cell>
          <cell r="E178" t="str">
            <v>08:00 - 14:00</v>
          </cell>
          <cell r="F178" t="str">
            <v>MAÑANA</v>
          </cell>
          <cell r="G178" t="str">
            <v>SAB Y DOM</v>
          </cell>
          <cell r="H178" t="str">
            <v>VILLALBA, MAITEN</v>
          </cell>
          <cell r="I178" t="str">
            <v>Romandetto Carlos</v>
          </cell>
          <cell r="J178"/>
          <cell r="K178"/>
          <cell r="L178" t="str">
            <v>x</v>
          </cell>
          <cell r="M178" t="str">
            <v>x</v>
          </cell>
          <cell r="N178" t="str">
            <v>x</v>
          </cell>
          <cell r="O178"/>
          <cell r="P178"/>
          <cell r="Q178" t="str">
            <v>x</v>
          </cell>
          <cell r="R178" t="str">
            <v>x</v>
          </cell>
          <cell r="S178" t="str">
            <v>x</v>
          </cell>
          <cell r="T178" t="str">
            <v>x</v>
          </cell>
          <cell r="U178"/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 t="str">
            <v>x</v>
          </cell>
          <cell r="AO178"/>
          <cell r="AP178" t="str">
            <v>x</v>
          </cell>
          <cell r="AQ178">
            <v>45154</v>
          </cell>
          <cell r="AR178">
            <v>419</v>
          </cell>
          <cell r="AS178">
            <v>45324</v>
          </cell>
          <cell r="AT178">
            <v>249</v>
          </cell>
          <cell r="AU178" t="str">
            <v>VMAROROJ</v>
          </cell>
        </row>
        <row r="179">
          <cell r="C179">
            <v>605642</v>
          </cell>
          <cell r="D179" t="str">
            <v>LEITO DOMINGUEZ JONATHAN</v>
          </cell>
          <cell r="E179" t="str">
            <v>09:00 - 15:00</v>
          </cell>
          <cell r="F179" t="str">
            <v>MAÑANA</v>
          </cell>
          <cell r="G179" t="str">
            <v>JUE Y SAB</v>
          </cell>
          <cell r="H179" t="str">
            <v>VILLALBA, MAITEN</v>
          </cell>
          <cell r="I179" t="str">
            <v>Romandetto Carlos</v>
          </cell>
          <cell r="J179" t="str">
            <v>x</v>
          </cell>
          <cell r="K179"/>
          <cell r="L179" t="str">
            <v>x</v>
          </cell>
          <cell r="M179" t="str">
            <v>x</v>
          </cell>
          <cell r="N179" t="str">
            <v>x</v>
          </cell>
          <cell r="O179"/>
          <cell r="P179"/>
          <cell r="Q179" t="str">
            <v>x</v>
          </cell>
          <cell r="R179" t="str">
            <v>x</v>
          </cell>
          <cell r="S179" t="str">
            <v>x</v>
          </cell>
          <cell r="T179"/>
          <cell r="U179"/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 t="str">
            <v>x</v>
          </cell>
          <cell r="AO179"/>
          <cell r="AP179" t="str">
            <v>x</v>
          </cell>
          <cell r="AQ179">
            <v>45154</v>
          </cell>
          <cell r="AR179">
            <v>419</v>
          </cell>
          <cell r="AS179">
            <v>45338</v>
          </cell>
          <cell r="AT179">
            <v>235</v>
          </cell>
          <cell r="AU179" t="str">
            <v>VMAJOLEI</v>
          </cell>
        </row>
        <row r="180">
          <cell r="C180">
            <v>606058</v>
          </cell>
          <cell r="D180" t="str">
            <v>PEREZ LOURDES</v>
          </cell>
          <cell r="E180" t="str">
            <v>16:00 - 22:00</v>
          </cell>
          <cell r="F180" t="str">
            <v>TARDE</v>
          </cell>
          <cell r="G180" t="str">
            <v>SAB Y DOM</v>
          </cell>
          <cell r="H180" t="str">
            <v>MIR, TOMAS MAURICIO</v>
          </cell>
          <cell r="I180" t="str">
            <v>Romandetto Carlos</v>
          </cell>
          <cell r="J180"/>
          <cell r="K180"/>
          <cell r="L180" t="str">
            <v>x</v>
          </cell>
          <cell r="M180" t="str">
            <v>x</v>
          </cell>
          <cell r="N180" t="str">
            <v>x</v>
          </cell>
          <cell r="O180"/>
          <cell r="P180"/>
          <cell r="Q180" t="str">
            <v>x</v>
          </cell>
          <cell r="R180" t="str">
            <v>x</v>
          </cell>
          <cell r="S180" t="str">
            <v>x</v>
          </cell>
          <cell r="T180" t="str">
            <v>x</v>
          </cell>
          <cell r="U180"/>
          <cell r="V180"/>
          <cell r="W180"/>
          <cell r="X180"/>
          <cell r="Y180"/>
          <cell r="Z180"/>
          <cell r="AA180"/>
          <cell r="AB180"/>
          <cell r="AC180"/>
          <cell r="AD180"/>
          <cell r="AE180"/>
          <cell r="AF180"/>
          <cell r="AG180"/>
          <cell r="AH180"/>
          <cell r="AI180"/>
          <cell r="AJ180"/>
          <cell r="AK180"/>
          <cell r="AL180"/>
          <cell r="AM180"/>
          <cell r="AN180" t="str">
            <v>x</v>
          </cell>
          <cell r="AO180"/>
          <cell r="AP180" t="str">
            <v>x</v>
          </cell>
          <cell r="AQ180">
            <v>45154</v>
          </cell>
          <cell r="AR180">
            <v>419</v>
          </cell>
          <cell r="AS180">
            <v>45324</v>
          </cell>
          <cell r="AT180">
            <v>249</v>
          </cell>
          <cell r="AU180" t="str">
            <v>VMALOPER</v>
          </cell>
        </row>
        <row r="181">
          <cell r="C181">
            <v>606210</v>
          </cell>
          <cell r="D181" t="str">
            <v>CANTEROS JOHANNA ANAHI</v>
          </cell>
          <cell r="E181" t="str">
            <v>16:00 - 22:00</v>
          </cell>
          <cell r="F181" t="str">
            <v>TARDE</v>
          </cell>
          <cell r="G181" t="str">
            <v>SAB Y DOM</v>
          </cell>
          <cell r="H181" t="str">
            <v>MIR, TOMAS MAURICIO</v>
          </cell>
          <cell r="I181" t="str">
            <v>Romandetto Carlos</v>
          </cell>
          <cell r="J181" t="str">
            <v>x</v>
          </cell>
          <cell r="K181"/>
          <cell r="L181" t="str">
            <v>x</v>
          </cell>
          <cell r="M181" t="str">
            <v>x</v>
          </cell>
          <cell r="N181" t="str">
            <v>x</v>
          </cell>
          <cell r="O181"/>
          <cell r="P181"/>
          <cell r="Q181"/>
          <cell r="R181" t="str">
            <v>x</v>
          </cell>
          <cell r="S181"/>
          <cell r="T181"/>
          <cell r="U181"/>
          <cell r="V181"/>
          <cell r="W181"/>
          <cell r="X181"/>
          <cell r="Y181"/>
          <cell r="Z181"/>
          <cell r="AA181"/>
          <cell r="AB181"/>
          <cell r="AC181"/>
          <cell r="AD181"/>
          <cell r="AE181"/>
          <cell r="AF181"/>
          <cell r="AG181"/>
          <cell r="AH181"/>
          <cell r="AI181"/>
          <cell r="AJ181"/>
          <cell r="AK181"/>
          <cell r="AL181"/>
          <cell r="AM181"/>
          <cell r="AN181" t="str">
            <v>x</v>
          </cell>
          <cell r="AO181" t="str">
            <v>x</v>
          </cell>
          <cell r="AP181"/>
          <cell r="AQ181">
            <v>45154</v>
          </cell>
          <cell r="AR181">
            <v>419</v>
          </cell>
          <cell r="AS181">
            <v>45198</v>
          </cell>
          <cell r="AT181">
            <v>375</v>
          </cell>
          <cell r="AU181" t="str">
            <v>VMAJOCAN</v>
          </cell>
        </row>
        <row r="182">
          <cell r="C182">
            <v>606262</v>
          </cell>
          <cell r="D182" t="str">
            <v>COSTANTINI ANDRES IVAN</v>
          </cell>
          <cell r="E182" t="str">
            <v>14:00 - 20:00</v>
          </cell>
          <cell r="F182" t="str">
            <v>TARDE</v>
          </cell>
          <cell r="G182" t="str">
            <v>JUE Y DOM</v>
          </cell>
          <cell r="H182" t="str">
            <v>GOMEZ, SASHA</v>
          </cell>
          <cell r="I182" t="str">
            <v>Romandetto Carlos</v>
          </cell>
          <cell r="J182" t="str">
            <v>x</v>
          </cell>
          <cell r="K182"/>
          <cell r="L182" t="str">
            <v>x</v>
          </cell>
          <cell r="M182" t="str">
            <v>x</v>
          </cell>
          <cell r="N182" t="str">
            <v>x</v>
          </cell>
          <cell r="O182" t="str">
            <v>x</v>
          </cell>
          <cell r="P182"/>
          <cell r="Q182"/>
          <cell r="R182" t="str">
            <v>x</v>
          </cell>
          <cell r="S182"/>
          <cell r="T182"/>
          <cell r="U182"/>
          <cell r="V182"/>
          <cell r="W182"/>
          <cell r="X182"/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 t="str">
            <v>x</v>
          </cell>
          <cell r="AO182" t="str">
            <v>x</v>
          </cell>
          <cell r="AP182"/>
          <cell r="AQ182">
            <v>45154</v>
          </cell>
          <cell r="AR182">
            <v>419</v>
          </cell>
          <cell r="AS182">
            <v>45373</v>
          </cell>
          <cell r="AT182">
            <v>200</v>
          </cell>
          <cell r="AU182" t="str">
            <v>VMAANCOS</v>
          </cell>
        </row>
        <row r="183">
          <cell r="C183">
            <v>606264</v>
          </cell>
          <cell r="D183" t="str">
            <v>ACOSTA SEBASTIAN</v>
          </cell>
          <cell r="E183" t="str">
            <v>14:00 - 20:00</v>
          </cell>
          <cell r="F183" t="str">
            <v>TARDE</v>
          </cell>
          <cell r="G183" t="str">
            <v>SAB Y DOM</v>
          </cell>
          <cell r="H183" t="str">
            <v>ROJAS, LUCAS</v>
          </cell>
          <cell r="I183" t="str">
            <v>Romandetto Carlos</v>
          </cell>
          <cell r="J183" t="str">
            <v>x</v>
          </cell>
          <cell r="K183"/>
          <cell r="L183" t="str">
            <v>x</v>
          </cell>
          <cell r="M183" t="str">
            <v>x</v>
          </cell>
          <cell r="N183" t="str">
            <v>x</v>
          </cell>
          <cell r="O183"/>
          <cell r="P183"/>
          <cell r="Q183"/>
          <cell r="R183" t="str">
            <v>x</v>
          </cell>
          <cell r="S183"/>
          <cell r="T183"/>
          <cell r="U183"/>
          <cell r="V183"/>
          <cell r="W183"/>
          <cell r="X183"/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 t="str">
            <v>x</v>
          </cell>
          <cell r="AO183" t="str">
            <v>x</v>
          </cell>
          <cell r="AP183"/>
          <cell r="AQ183">
            <v>45154</v>
          </cell>
          <cell r="AR183">
            <v>419</v>
          </cell>
          <cell r="AS183">
            <v>45198</v>
          </cell>
          <cell r="AT183">
            <v>375</v>
          </cell>
          <cell r="AU183" t="str">
            <v>VMASEACO</v>
          </cell>
        </row>
        <row r="184">
          <cell r="C184">
            <v>606346</v>
          </cell>
          <cell r="D184" t="str">
            <v>ESCOBAL EMILCE GISSELLE</v>
          </cell>
          <cell r="E184" t="str">
            <v>18:00 - 00:00</v>
          </cell>
          <cell r="F184" t="str">
            <v>NOCHE</v>
          </cell>
          <cell r="G184" t="str">
            <v>LUN Y SAB</v>
          </cell>
          <cell r="H184" t="str">
            <v>MIR, TOMAS MAURICIO</v>
          </cell>
          <cell r="I184" t="str">
            <v>Romandetto Carlos</v>
          </cell>
          <cell r="J184" t="str">
            <v>x</v>
          </cell>
          <cell r="K184"/>
          <cell r="L184" t="str">
            <v>x</v>
          </cell>
          <cell r="M184" t="str">
            <v>x</v>
          </cell>
          <cell r="N184" t="str">
            <v>x</v>
          </cell>
          <cell r="O184" t="str">
            <v>x</v>
          </cell>
          <cell r="P184"/>
          <cell r="Q184"/>
          <cell r="R184" t="str">
            <v>x</v>
          </cell>
          <cell r="S184"/>
          <cell r="T184"/>
          <cell r="U184"/>
          <cell r="V184"/>
          <cell r="W184"/>
          <cell r="X184"/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>
            <v>45154</v>
          </cell>
          <cell r="AR184">
            <v>419</v>
          </cell>
          <cell r="AS184">
            <v>45373</v>
          </cell>
          <cell r="AT184">
            <v>200</v>
          </cell>
          <cell r="AU184" t="str">
            <v>VMAEMESC</v>
          </cell>
        </row>
        <row r="185">
          <cell r="C185">
            <v>606338</v>
          </cell>
          <cell r="D185" t="str">
            <v>GONZALEZ CRISTIAN ALBERTO</v>
          </cell>
          <cell r="E185" t="str">
            <v>18:00 - 00:00</v>
          </cell>
          <cell r="F185" t="str">
            <v>NOCHE</v>
          </cell>
          <cell r="G185" t="str">
            <v>LUN Y DOM</v>
          </cell>
          <cell r="H185" t="str">
            <v>ROJAS, LUCAS</v>
          </cell>
          <cell r="I185" t="str">
            <v>Romandetto Carlos</v>
          </cell>
          <cell r="J185"/>
          <cell r="K185"/>
          <cell r="L185" t="str">
            <v>x</v>
          </cell>
          <cell r="M185" t="str">
            <v>x</v>
          </cell>
          <cell r="N185" t="str">
            <v>x</v>
          </cell>
          <cell r="O185"/>
          <cell r="P185"/>
          <cell r="Q185" t="str">
            <v>x</v>
          </cell>
          <cell r="R185" t="str">
            <v>x</v>
          </cell>
          <cell r="S185" t="str">
            <v>x</v>
          </cell>
          <cell r="T185" t="str">
            <v>x</v>
          </cell>
          <cell r="U185"/>
          <cell r="V185"/>
          <cell r="W185"/>
          <cell r="X185"/>
          <cell r="Y185"/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 t="str">
            <v>x</v>
          </cell>
          <cell r="AO185"/>
          <cell r="AP185" t="str">
            <v>x</v>
          </cell>
          <cell r="AQ185">
            <v>45154</v>
          </cell>
          <cell r="AR185">
            <v>419</v>
          </cell>
          <cell r="AS185">
            <v>45397</v>
          </cell>
          <cell r="AT185">
            <v>176</v>
          </cell>
          <cell r="AU185" t="str">
            <v>VMACRGON</v>
          </cell>
        </row>
        <row r="186">
          <cell r="C186">
            <v>606348</v>
          </cell>
          <cell r="D186" t="str">
            <v>ABALOS HEREDIA DAIANA BELEN</v>
          </cell>
          <cell r="E186" t="str">
            <v>15:00 - 21:00</v>
          </cell>
          <cell r="F186" t="str">
            <v>TARDE</v>
          </cell>
          <cell r="G186" t="str">
            <v>MAR Y SAB</v>
          </cell>
          <cell r="H186" t="str">
            <v>ROJAS, LUCAS</v>
          </cell>
          <cell r="I186" t="str">
            <v>Romandetto Carlos</v>
          </cell>
          <cell r="J186" t="str">
            <v>x</v>
          </cell>
          <cell r="K186"/>
          <cell r="L186" t="str">
            <v>x</v>
          </cell>
          <cell r="M186" t="str">
            <v>x</v>
          </cell>
          <cell r="N186" t="str">
            <v>x</v>
          </cell>
          <cell r="O186"/>
          <cell r="P186"/>
          <cell r="Q186" t="str">
            <v>x</v>
          </cell>
          <cell r="R186" t="str">
            <v>x</v>
          </cell>
          <cell r="S186" t="str">
            <v>x</v>
          </cell>
          <cell r="T186" t="str">
            <v>x</v>
          </cell>
          <cell r="U186"/>
          <cell r="V186"/>
          <cell r="W186"/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 t="str">
            <v>x</v>
          </cell>
          <cell r="AO186"/>
          <cell r="AP186" t="str">
            <v>x</v>
          </cell>
          <cell r="AQ186">
            <v>45154</v>
          </cell>
          <cell r="AR186">
            <v>419</v>
          </cell>
          <cell r="AS186">
            <v>45324</v>
          </cell>
          <cell r="AT186">
            <v>249</v>
          </cell>
          <cell r="AU186" t="str">
            <v>VMADAABA</v>
          </cell>
        </row>
        <row r="187">
          <cell r="C187">
            <v>605692</v>
          </cell>
          <cell r="D187" t="str">
            <v>LATORRE CANDELA</v>
          </cell>
          <cell r="E187" t="str">
            <v>08:00 - 14:00</v>
          </cell>
          <cell r="F187" t="str">
            <v>MAÑANA</v>
          </cell>
          <cell r="G187" t="str">
            <v>SAB Y DOM</v>
          </cell>
          <cell r="H187" t="str">
            <v>RUIZ, TOMAS EMANUEL</v>
          </cell>
          <cell r="I187" t="str">
            <v>Romandetto Carlos</v>
          </cell>
          <cell r="J187" t="str">
            <v>x</v>
          </cell>
          <cell r="K187"/>
          <cell r="L187" t="str">
            <v>x</v>
          </cell>
          <cell r="M187" t="str">
            <v>x</v>
          </cell>
          <cell r="N187" t="str">
            <v>x</v>
          </cell>
          <cell r="O187"/>
          <cell r="P187"/>
          <cell r="Q187"/>
          <cell r="R187" t="str">
            <v>x</v>
          </cell>
          <cell r="S187"/>
          <cell r="T187"/>
          <cell r="U187"/>
          <cell r="V187"/>
          <cell r="W187"/>
          <cell r="X187"/>
          <cell r="Y187"/>
          <cell r="Z187"/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 t="str">
            <v>x</v>
          </cell>
          <cell r="AO187" t="str">
            <v>x</v>
          </cell>
          <cell r="AP187"/>
          <cell r="AQ187">
            <v>45166</v>
          </cell>
          <cell r="AR187">
            <v>407</v>
          </cell>
          <cell r="AS187">
            <v>45198</v>
          </cell>
          <cell r="AT187">
            <v>375</v>
          </cell>
          <cell r="AU187" t="str">
            <v>VMACALAT</v>
          </cell>
        </row>
        <row r="188">
          <cell r="C188">
            <v>606326</v>
          </cell>
          <cell r="D188" t="str">
            <v>SORMANI LUANA AILIN</v>
          </cell>
          <cell r="E188" t="str">
            <v>09:00 - 15:00</v>
          </cell>
          <cell r="F188" t="str">
            <v>MAÑANA</v>
          </cell>
          <cell r="G188" t="str">
            <v>SAB Y DOM</v>
          </cell>
          <cell r="H188" t="str">
            <v>GROESMANN, MAYA JUDITH</v>
          </cell>
          <cell r="I188" t="str">
            <v>Romandetto Carlos</v>
          </cell>
          <cell r="J188" t="str">
            <v>x</v>
          </cell>
          <cell r="K188"/>
          <cell r="L188" t="str">
            <v>x</v>
          </cell>
          <cell r="M188" t="str">
            <v>x</v>
          </cell>
          <cell r="N188" t="str">
            <v>x</v>
          </cell>
          <cell r="O188"/>
          <cell r="P188"/>
          <cell r="Q188" t="str">
            <v>x</v>
          </cell>
          <cell r="R188" t="str">
            <v>x</v>
          </cell>
          <cell r="S188" t="str">
            <v>x</v>
          </cell>
          <cell r="T188"/>
          <cell r="U188"/>
          <cell r="V188"/>
          <cell r="W188"/>
          <cell r="X188"/>
          <cell r="Y188"/>
          <cell r="Z188"/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 t="str">
            <v>x</v>
          </cell>
          <cell r="AO188"/>
          <cell r="AP188" t="str">
            <v>x</v>
          </cell>
          <cell r="AQ188">
            <v>45166</v>
          </cell>
          <cell r="AR188">
            <v>407</v>
          </cell>
          <cell r="AS188">
            <v>45338</v>
          </cell>
          <cell r="AT188">
            <v>235</v>
          </cell>
          <cell r="AU188" t="str">
            <v>VMALUSOR</v>
          </cell>
        </row>
        <row r="189">
          <cell r="C189">
            <v>606327</v>
          </cell>
          <cell r="D189" t="str">
            <v>QUINTERO DEMATTEI CAMILA</v>
          </cell>
          <cell r="E189" t="str">
            <v>09:00 - 15:00</v>
          </cell>
          <cell r="F189" t="str">
            <v>MAÑANA</v>
          </cell>
          <cell r="G189" t="str">
            <v>SAB Y DOM</v>
          </cell>
          <cell r="H189" t="str">
            <v>VILLALBA, VICTORIA</v>
          </cell>
          <cell r="I189" t="str">
            <v>Romandetto Carlos</v>
          </cell>
          <cell r="J189" t="str">
            <v>x</v>
          </cell>
          <cell r="K189"/>
          <cell r="L189" t="str">
            <v>x</v>
          </cell>
          <cell r="M189" t="str">
            <v>x</v>
          </cell>
          <cell r="N189" t="str">
            <v>x</v>
          </cell>
          <cell r="O189"/>
          <cell r="P189"/>
          <cell r="Q189"/>
          <cell r="R189" t="str">
            <v>x</v>
          </cell>
          <cell r="S189"/>
          <cell r="T189"/>
          <cell r="U189"/>
          <cell r="V189"/>
          <cell r="W189"/>
          <cell r="X189"/>
          <cell r="Y189"/>
          <cell r="Z189"/>
          <cell r="AA189"/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 t="str">
            <v>x</v>
          </cell>
          <cell r="AO189" t="str">
            <v>x</v>
          </cell>
          <cell r="AP189"/>
          <cell r="AQ189">
            <v>45166</v>
          </cell>
          <cell r="AR189">
            <v>407</v>
          </cell>
          <cell r="AS189">
            <v>45198</v>
          </cell>
          <cell r="AT189">
            <v>375</v>
          </cell>
          <cell r="AU189" t="str">
            <v>VMACAMQU</v>
          </cell>
        </row>
        <row r="190">
          <cell r="C190">
            <v>606368</v>
          </cell>
          <cell r="D190" t="str">
            <v>ROMERO ROMINA</v>
          </cell>
          <cell r="E190" t="str">
            <v>09:00 - 15:00</v>
          </cell>
          <cell r="F190" t="str">
            <v>MAÑANA</v>
          </cell>
          <cell r="G190" t="str">
            <v>SAB Y DOM</v>
          </cell>
          <cell r="H190" t="str">
            <v>SORIA, ANA PAULA</v>
          </cell>
          <cell r="I190" t="str">
            <v>Romandetto Carlos</v>
          </cell>
          <cell r="J190" t="str">
            <v>x</v>
          </cell>
          <cell r="K190"/>
          <cell r="L190" t="str">
            <v>x</v>
          </cell>
          <cell r="M190" t="str">
            <v>x</v>
          </cell>
          <cell r="N190" t="str">
            <v>x</v>
          </cell>
          <cell r="O190"/>
          <cell r="P190"/>
          <cell r="Q190" t="str">
            <v>x</v>
          </cell>
          <cell r="R190" t="str">
            <v>x</v>
          </cell>
          <cell r="S190" t="str">
            <v>x</v>
          </cell>
          <cell r="T190" t="str">
            <v>x</v>
          </cell>
          <cell r="U190"/>
          <cell r="V190"/>
          <cell r="W190"/>
          <cell r="X190"/>
          <cell r="Y190"/>
          <cell r="Z190"/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 t="str">
            <v>x</v>
          </cell>
          <cell r="AO190"/>
          <cell r="AP190" t="str">
            <v>x</v>
          </cell>
          <cell r="AQ190">
            <v>45166</v>
          </cell>
          <cell r="AR190">
            <v>407</v>
          </cell>
          <cell r="AS190">
            <v>45329</v>
          </cell>
          <cell r="AT190">
            <v>244</v>
          </cell>
          <cell r="AU190" t="str">
            <v>VMAROROM</v>
          </cell>
        </row>
        <row r="191">
          <cell r="C191">
            <v>606369</v>
          </cell>
          <cell r="D191" t="str">
            <v>BAREIRO JONATAN EMANUEL</v>
          </cell>
          <cell r="E191" t="str">
            <v>09:00 - 15:00</v>
          </cell>
          <cell r="F191" t="str">
            <v>MAÑANA</v>
          </cell>
          <cell r="G191" t="str">
            <v>SAB Y DOM</v>
          </cell>
          <cell r="H191" t="str">
            <v>VILLALBA, VICTORIA</v>
          </cell>
          <cell r="I191" t="str">
            <v>Romandetto Carlos</v>
          </cell>
          <cell r="J191" t="str">
            <v>x</v>
          </cell>
          <cell r="K191"/>
          <cell r="L191" t="str">
            <v>x</v>
          </cell>
          <cell r="M191" t="str">
            <v>x</v>
          </cell>
          <cell r="N191" t="str">
            <v>x</v>
          </cell>
          <cell r="O191"/>
          <cell r="P191"/>
          <cell r="Q191" t="str">
            <v>x</v>
          </cell>
          <cell r="R191" t="str">
            <v>x</v>
          </cell>
          <cell r="S191" t="str">
            <v>x</v>
          </cell>
          <cell r="T191" t="str">
            <v>x</v>
          </cell>
          <cell r="U191"/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 t="str">
            <v>x</v>
          </cell>
          <cell r="AO191"/>
          <cell r="AP191" t="str">
            <v>x</v>
          </cell>
          <cell r="AQ191">
            <v>45166</v>
          </cell>
          <cell r="AR191">
            <v>407</v>
          </cell>
          <cell r="AS191">
            <v>45322</v>
          </cell>
          <cell r="AT191">
            <v>251</v>
          </cell>
          <cell r="AU191" t="str">
            <v>VMAJOBAR</v>
          </cell>
        </row>
        <row r="192">
          <cell r="C192">
            <v>606370</v>
          </cell>
          <cell r="D192" t="str">
            <v>PINO ELISA</v>
          </cell>
          <cell r="E192" t="str">
            <v>15:00 - 21:00</v>
          </cell>
          <cell r="F192" t="str">
            <v>TARDE</v>
          </cell>
          <cell r="G192" t="str">
            <v>SAB Y DOM</v>
          </cell>
          <cell r="H192" t="str">
            <v>SORIA, ANA PAULA</v>
          </cell>
          <cell r="I192" t="str">
            <v>Romandetto Carlos</v>
          </cell>
          <cell r="J192" t="str">
            <v>x</v>
          </cell>
          <cell r="K192"/>
          <cell r="L192" t="str">
            <v>x</v>
          </cell>
          <cell r="M192" t="str">
            <v>x</v>
          </cell>
          <cell r="N192" t="str">
            <v>x</v>
          </cell>
          <cell r="O192"/>
          <cell r="P192"/>
          <cell r="Q192" t="str">
            <v>x</v>
          </cell>
          <cell r="R192" t="str">
            <v>x</v>
          </cell>
          <cell r="S192" t="str">
            <v>x</v>
          </cell>
          <cell r="T192" t="str">
            <v>x</v>
          </cell>
          <cell r="U192"/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 t="str">
            <v>x</v>
          </cell>
          <cell r="AO192"/>
          <cell r="AP192" t="str">
            <v>x</v>
          </cell>
          <cell r="AQ192">
            <v>45152</v>
          </cell>
          <cell r="AR192">
            <v>421</v>
          </cell>
          <cell r="AS192">
            <v>45338</v>
          </cell>
          <cell r="AT192">
            <v>235</v>
          </cell>
          <cell r="AU192" t="str">
            <v>VMAELPIN</v>
          </cell>
        </row>
        <row r="193">
          <cell r="C193">
            <v>606357</v>
          </cell>
          <cell r="D193" t="str">
            <v>PADILLA RUTH NOEMI</v>
          </cell>
          <cell r="E193" t="str">
            <v>07:00 - 13:00</v>
          </cell>
          <cell r="F193" t="str">
            <v>MAÑANA</v>
          </cell>
          <cell r="G193" t="str">
            <v>SAB Y DOM</v>
          </cell>
          <cell r="H193" t="str">
            <v>VILLALBA, VICTORIA</v>
          </cell>
          <cell r="I193" t="str">
            <v>Romandetto Carlos</v>
          </cell>
          <cell r="J193" t="str">
            <v>x</v>
          </cell>
          <cell r="K193"/>
          <cell r="L193" t="str">
            <v>x</v>
          </cell>
          <cell r="M193" t="str">
            <v>x</v>
          </cell>
          <cell r="N193" t="str">
            <v>x</v>
          </cell>
          <cell r="O193"/>
          <cell r="P193"/>
          <cell r="Q193"/>
          <cell r="R193" t="str">
            <v>x</v>
          </cell>
          <cell r="S193"/>
          <cell r="T193"/>
          <cell r="U193"/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/>
          <cell r="AI193"/>
          <cell r="AJ193"/>
          <cell r="AK193"/>
          <cell r="AL193"/>
          <cell r="AM193"/>
          <cell r="AN193" t="str">
            <v>x</v>
          </cell>
          <cell r="AO193" t="str">
            <v>x</v>
          </cell>
          <cell r="AP193"/>
          <cell r="AQ193">
            <v>45166</v>
          </cell>
          <cell r="AR193">
            <v>407</v>
          </cell>
          <cell r="AS193">
            <v>45198</v>
          </cell>
          <cell r="AT193">
            <v>375</v>
          </cell>
          <cell r="AU193" t="str">
            <v>VMARUPAD</v>
          </cell>
        </row>
        <row r="194">
          <cell r="C194">
            <v>606366</v>
          </cell>
          <cell r="D194" t="str">
            <v>POSDELEY AILEN ABIGAIL</v>
          </cell>
          <cell r="E194" t="str">
            <v>09:00 - 15:00</v>
          </cell>
          <cell r="F194" t="str">
            <v>MAÑANA</v>
          </cell>
          <cell r="G194" t="str">
            <v>SAB Y DOM</v>
          </cell>
          <cell r="H194" t="str">
            <v>ROBLEDO, YESICA DANIELA</v>
          </cell>
          <cell r="I194" t="str">
            <v>Romandetto Carlos</v>
          </cell>
          <cell r="J194" t="str">
            <v>x</v>
          </cell>
          <cell r="K194"/>
          <cell r="L194" t="str">
            <v>x</v>
          </cell>
          <cell r="M194" t="str">
            <v>x</v>
          </cell>
          <cell r="N194" t="str">
            <v>x</v>
          </cell>
          <cell r="O194"/>
          <cell r="P194"/>
          <cell r="Q194" t="str">
            <v>x</v>
          </cell>
          <cell r="R194" t="str">
            <v>x</v>
          </cell>
          <cell r="S194" t="str">
            <v>x</v>
          </cell>
          <cell r="T194" t="str">
            <v>x</v>
          </cell>
          <cell r="U194"/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/>
          <cell r="AI194"/>
          <cell r="AJ194"/>
          <cell r="AK194"/>
          <cell r="AL194"/>
          <cell r="AM194"/>
          <cell r="AN194" t="str">
            <v>x</v>
          </cell>
          <cell r="AO194"/>
          <cell r="AP194" t="str">
            <v>x</v>
          </cell>
          <cell r="AQ194">
            <v>45166</v>
          </cell>
          <cell r="AR194">
            <v>407</v>
          </cell>
          <cell r="AS194">
            <v>45329</v>
          </cell>
          <cell r="AT194">
            <v>244</v>
          </cell>
          <cell r="AU194" t="str">
            <v>VMAAIPOS</v>
          </cell>
        </row>
        <row r="195">
          <cell r="C195">
            <v>605611</v>
          </cell>
          <cell r="D195" t="str">
            <v>D AGOSTINO MARIA BIANCA</v>
          </cell>
          <cell r="E195" t="str">
            <v>14:00 - 20:00</v>
          </cell>
          <cell r="F195" t="str">
            <v>TARDE</v>
          </cell>
          <cell r="G195" t="str">
            <v>VIE Y SAB</v>
          </cell>
          <cell r="H195" t="str">
            <v>YBARRA, LUCIA ALDANA</v>
          </cell>
          <cell r="I195" t="str">
            <v>Romandetto Carlos</v>
          </cell>
          <cell r="J195" t="str">
            <v>x</v>
          </cell>
          <cell r="K195"/>
          <cell r="L195" t="str">
            <v>x</v>
          </cell>
          <cell r="M195" t="str">
            <v>x</v>
          </cell>
          <cell r="N195" t="str">
            <v>x</v>
          </cell>
          <cell r="O195"/>
          <cell r="P195"/>
          <cell r="Q195" t="str">
            <v>x</v>
          </cell>
          <cell r="R195" t="str">
            <v>x</v>
          </cell>
          <cell r="S195" t="str">
            <v>x</v>
          </cell>
          <cell r="T195"/>
          <cell r="U195"/>
          <cell r="V195"/>
          <cell r="W195"/>
          <cell r="X195"/>
          <cell r="Y195"/>
          <cell r="Z195"/>
          <cell r="AA195"/>
          <cell r="AB195"/>
          <cell r="AC195"/>
          <cell r="AD195"/>
          <cell r="AE195"/>
          <cell r="AF195"/>
          <cell r="AG195"/>
          <cell r="AH195"/>
          <cell r="AI195"/>
          <cell r="AJ195"/>
          <cell r="AK195"/>
          <cell r="AL195"/>
          <cell r="AM195"/>
          <cell r="AN195" t="str">
            <v>x</v>
          </cell>
          <cell r="AO195"/>
          <cell r="AP195" t="str">
            <v>x</v>
          </cell>
          <cell r="AQ195">
            <v>45166</v>
          </cell>
          <cell r="AR195">
            <v>407</v>
          </cell>
          <cell r="AS195">
            <v>45338</v>
          </cell>
          <cell r="AT195">
            <v>235</v>
          </cell>
          <cell r="AU195" t="str">
            <v>VMAMADAG</v>
          </cell>
        </row>
        <row r="196">
          <cell r="C196">
            <v>606305</v>
          </cell>
          <cell r="D196" t="str">
            <v>GOMEZ AGUSTINA TATIANA</v>
          </cell>
          <cell r="E196" t="str">
            <v>14:00 - 20:00</v>
          </cell>
          <cell r="F196" t="str">
            <v>TARDE</v>
          </cell>
          <cell r="G196" t="str">
            <v>MIE Y SAB</v>
          </cell>
          <cell r="H196" t="str">
            <v>GOMEZ, SASHA</v>
          </cell>
          <cell r="I196" t="str">
            <v>Romandetto Carlos</v>
          </cell>
          <cell r="J196" t="str">
            <v>x</v>
          </cell>
          <cell r="K196"/>
          <cell r="L196" t="str">
            <v>x</v>
          </cell>
          <cell r="M196" t="str">
            <v>x</v>
          </cell>
          <cell r="N196" t="str">
            <v>x</v>
          </cell>
          <cell r="O196"/>
          <cell r="P196"/>
          <cell r="Q196" t="str">
            <v>x</v>
          </cell>
          <cell r="R196" t="str">
            <v>x</v>
          </cell>
          <cell r="S196" t="str">
            <v>x</v>
          </cell>
          <cell r="T196" t="str">
            <v>x</v>
          </cell>
          <cell r="U196"/>
          <cell r="V196"/>
          <cell r="W196"/>
          <cell r="X196"/>
          <cell r="Y196"/>
          <cell r="Z196"/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 t="str">
            <v>x</v>
          </cell>
          <cell r="AO196"/>
          <cell r="AP196" t="str">
            <v>x</v>
          </cell>
          <cell r="AQ196">
            <v>45166</v>
          </cell>
          <cell r="AR196">
            <v>407</v>
          </cell>
          <cell r="AS196">
            <v>45322</v>
          </cell>
          <cell r="AT196">
            <v>251</v>
          </cell>
          <cell r="AU196" t="str">
            <v>VMAAGGOM</v>
          </cell>
        </row>
        <row r="197">
          <cell r="C197">
            <v>606330</v>
          </cell>
          <cell r="D197" t="str">
            <v>FRANCO SELENA ROCIO</v>
          </cell>
          <cell r="E197" t="str">
            <v>15:00 - 21:00</v>
          </cell>
          <cell r="F197" t="str">
            <v>TARDE</v>
          </cell>
          <cell r="G197" t="str">
            <v>SAB Y DOM</v>
          </cell>
          <cell r="H197" t="str">
            <v>GOMEZ, AYLEN MILAGROS</v>
          </cell>
          <cell r="I197" t="str">
            <v>Romandetto Carlos</v>
          </cell>
          <cell r="J197" t="str">
            <v>x</v>
          </cell>
          <cell r="K197"/>
          <cell r="L197" t="str">
            <v>x</v>
          </cell>
          <cell r="M197" t="str">
            <v>x</v>
          </cell>
          <cell r="N197" t="str">
            <v>x</v>
          </cell>
          <cell r="O197"/>
          <cell r="P197"/>
          <cell r="Q197" t="str">
            <v>x</v>
          </cell>
          <cell r="R197" t="str">
            <v>x</v>
          </cell>
          <cell r="S197" t="str">
            <v>x</v>
          </cell>
          <cell r="T197" t="str">
            <v>x</v>
          </cell>
          <cell r="U197"/>
          <cell r="V197"/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 t="str">
            <v>x</v>
          </cell>
          <cell r="AO197"/>
          <cell r="AP197" t="str">
            <v>x</v>
          </cell>
          <cell r="AQ197">
            <v>45166</v>
          </cell>
          <cell r="AR197">
            <v>407</v>
          </cell>
          <cell r="AS197">
            <v>45322</v>
          </cell>
          <cell r="AT197">
            <v>251</v>
          </cell>
          <cell r="AU197" t="str">
            <v>VMASEFRA</v>
          </cell>
        </row>
        <row r="198">
          <cell r="C198">
            <v>606378</v>
          </cell>
          <cell r="D198" t="str">
            <v>CASTORO SOFIA ABRIL</v>
          </cell>
          <cell r="E198" t="str">
            <v>08:00 - 14:00</v>
          </cell>
          <cell r="F198" t="str">
            <v>MAÑANA</v>
          </cell>
          <cell r="G198" t="str">
            <v>SAB Y DOM</v>
          </cell>
          <cell r="H198" t="str">
            <v>VILLALBA, MAITEN</v>
          </cell>
          <cell r="I198" t="str">
            <v>Romandetto Carlos</v>
          </cell>
          <cell r="J198"/>
          <cell r="K198"/>
          <cell r="L198" t="str">
            <v>x</v>
          </cell>
          <cell r="M198" t="str">
            <v>x</v>
          </cell>
          <cell r="N198" t="str">
            <v>x</v>
          </cell>
          <cell r="O198"/>
          <cell r="P198"/>
          <cell r="Q198" t="str">
            <v>x</v>
          </cell>
          <cell r="R198" t="str">
            <v>x</v>
          </cell>
          <cell r="S198" t="str">
            <v>x</v>
          </cell>
          <cell r="T198" t="str">
            <v>x</v>
          </cell>
          <cell r="U198"/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/>
          <cell r="AI198"/>
          <cell r="AJ198"/>
          <cell r="AK198"/>
          <cell r="AL198"/>
          <cell r="AM198"/>
          <cell r="AN198" t="str">
            <v>x</v>
          </cell>
          <cell r="AO198"/>
          <cell r="AP198" t="str">
            <v>x</v>
          </cell>
          <cell r="AQ198">
            <v>45184</v>
          </cell>
          <cell r="AR198">
            <v>389</v>
          </cell>
          <cell r="AS198">
            <v>45394</v>
          </cell>
          <cell r="AT198">
            <v>179</v>
          </cell>
          <cell r="AU198" t="str">
            <v>VMASOCAS</v>
          </cell>
        </row>
        <row r="199">
          <cell r="C199">
            <v>606398</v>
          </cell>
          <cell r="D199" t="str">
            <v>MANFREDI AGOSTINA JIMENA</v>
          </cell>
          <cell r="E199" t="str">
            <v>09:00 - 15:00</v>
          </cell>
          <cell r="F199" t="str">
            <v>MAÑANA</v>
          </cell>
          <cell r="G199" t="str">
            <v>VIE Y DOM</v>
          </cell>
          <cell r="H199" t="str">
            <v>VILLALBA, MAITEN</v>
          </cell>
          <cell r="I199" t="str">
            <v>Romandetto Carlos</v>
          </cell>
          <cell r="J199" t="str">
            <v>x</v>
          </cell>
          <cell r="K199"/>
          <cell r="L199" t="str">
            <v>x</v>
          </cell>
          <cell r="M199" t="str">
            <v>x</v>
          </cell>
          <cell r="N199" t="str">
            <v>x</v>
          </cell>
          <cell r="O199"/>
          <cell r="P199"/>
          <cell r="Q199"/>
          <cell r="R199" t="str">
            <v>x</v>
          </cell>
          <cell r="S199"/>
          <cell r="T199"/>
          <cell r="U199"/>
          <cell r="V199"/>
          <cell r="W199"/>
          <cell r="X199"/>
          <cell r="Y199"/>
          <cell r="Z199"/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 t="str">
            <v>x</v>
          </cell>
          <cell r="AO199" t="str">
            <v>x</v>
          </cell>
          <cell r="AP199"/>
          <cell r="AQ199">
            <v>45184</v>
          </cell>
          <cell r="AR199">
            <v>389</v>
          </cell>
          <cell r="AS199">
            <v>45231</v>
          </cell>
          <cell r="AT199">
            <v>342</v>
          </cell>
          <cell r="AU199" t="str">
            <v>VMAAGMAN</v>
          </cell>
        </row>
        <row r="200">
          <cell r="C200">
            <v>606399</v>
          </cell>
          <cell r="D200" t="str">
            <v>GONZALEZ ELIANA</v>
          </cell>
          <cell r="E200" t="str">
            <v>09:00 - 15:00</v>
          </cell>
          <cell r="F200" t="str">
            <v>MAÑANA</v>
          </cell>
          <cell r="G200" t="str">
            <v>SAB Y DOM</v>
          </cell>
          <cell r="H200" t="str">
            <v>VILLALBA, MAITEN</v>
          </cell>
          <cell r="I200" t="str">
            <v>Romandetto Carlos</v>
          </cell>
          <cell r="J200" t="str">
            <v>x</v>
          </cell>
          <cell r="K200"/>
          <cell r="L200" t="str">
            <v>x</v>
          </cell>
          <cell r="M200" t="str">
            <v>x</v>
          </cell>
          <cell r="N200" t="str">
            <v>x</v>
          </cell>
          <cell r="O200"/>
          <cell r="P200"/>
          <cell r="Q200" t="str">
            <v>x</v>
          </cell>
          <cell r="R200" t="str">
            <v>x</v>
          </cell>
          <cell r="S200" t="str">
            <v>x</v>
          </cell>
          <cell r="T200" t="str">
            <v>x</v>
          </cell>
          <cell r="U200"/>
          <cell r="V200"/>
          <cell r="W200"/>
          <cell r="X200"/>
          <cell r="Y200"/>
          <cell r="Z200"/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 t="str">
            <v>x</v>
          </cell>
          <cell r="AO200"/>
          <cell r="AP200" t="str">
            <v>x</v>
          </cell>
          <cell r="AQ200">
            <v>45184</v>
          </cell>
          <cell r="AR200">
            <v>389</v>
          </cell>
          <cell r="AS200">
            <v>45324</v>
          </cell>
          <cell r="AT200">
            <v>249</v>
          </cell>
          <cell r="AU200" t="str">
            <v>VMAELGON</v>
          </cell>
        </row>
        <row r="201">
          <cell r="C201">
            <v>606416</v>
          </cell>
          <cell r="D201" t="str">
            <v>FRANCO BRUNO EZEQUIEL</v>
          </cell>
          <cell r="E201" t="str">
            <v>09:00 - 15:00</v>
          </cell>
          <cell r="F201" t="str">
            <v>MAÑANA</v>
          </cell>
          <cell r="G201" t="str">
            <v>SAB Y DOM</v>
          </cell>
          <cell r="H201" t="str">
            <v>DIAZ, PAULA</v>
          </cell>
          <cell r="I201" t="str">
            <v>Romandetto Carlos</v>
          </cell>
          <cell r="J201" t="str">
            <v>x</v>
          </cell>
          <cell r="K201"/>
          <cell r="L201" t="str">
            <v>x</v>
          </cell>
          <cell r="M201" t="str">
            <v>x</v>
          </cell>
          <cell r="N201" t="str">
            <v>x</v>
          </cell>
          <cell r="O201"/>
          <cell r="P201"/>
          <cell r="Q201" t="str">
            <v>x</v>
          </cell>
          <cell r="R201" t="str">
            <v>x</v>
          </cell>
          <cell r="S201" t="str">
            <v>x</v>
          </cell>
          <cell r="T201"/>
          <cell r="U201"/>
          <cell r="V201"/>
          <cell r="W201"/>
          <cell r="X201"/>
          <cell r="Y201"/>
          <cell r="Z201"/>
          <cell r="AA201"/>
          <cell r="AB201"/>
          <cell r="AC201"/>
          <cell r="AD201"/>
          <cell r="AE201"/>
          <cell r="AF201"/>
          <cell r="AG201"/>
          <cell r="AH201"/>
          <cell r="AI201"/>
          <cell r="AJ201"/>
          <cell r="AK201"/>
          <cell r="AL201"/>
          <cell r="AM201"/>
          <cell r="AN201" t="str">
            <v>x</v>
          </cell>
          <cell r="AO201"/>
          <cell r="AP201" t="str">
            <v>x</v>
          </cell>
          <cell r="AQ201">
            <v>45184</v>
          </cell>
          <cell r="AR201">
            <v>389</v>
          </cell>
          <cell r="AS201">
            <v>45338</v>
          </cell>
          <cell r="AT201">
            <v>235</v>
          </cell>
          <cell r="AU201" t="str">
            <v>VMABRFRA</v>
          </cell>
        </row>
        <row r="202">
          <cell r="C202">
            <v>606431</v>
          </cell>
          <cell r="D202" t="str">
            <v>VARELA LAUTARO DAMIAN</v>
          </cell>
          <cell r="E202" t="str">
            <v>12:00 - 18:00</v>
          </cell>
          <cell r="F202" t="str">
            <v>TARDE</v>
          </cell>
          <cell r="G202" t="str">
            <v>SAB Y DOM</v>
          </cell>
          <cell r="H202" t="str">
            <v>DIAZ, PAULA</v>
          </cell>
          <cell r="I202" t="str">
            <v>Romandetto Carlos</v>
          </cell>
          <cell r="J202" t="str">
            <v>x</v>
          </cell>
          <cell r="K202"/>
          <cell r="L202" t="str">
            <v>x</v>
          </cell>
          <cell r="M202" t="str">
            <v>x</v>
          </cell>
          <cell r="N202" t="str">
            <v>x</v>
          </cell>
          <cell r="O202"/>
          <cell r="P202"/>
          <cell r="Q202"/>
          <cell r="R202" t="str">
            <v>x</v>
          </cell>
          <cell r="S202"/>
          <cell r="T202"/>
          <cell r="U202"/>
          <cell r="V202"/>
          <cell r="W202"/>
          <cell r="X202"/>
          <cell r="Y202"/>
          <cell r="Z202"/>
          <cell r="AA202"/>
          <cell r="AB202"/>
          <cell r="AC202"/>
          <cell r="AD202"/>
          <cell r="AE202"/>
          <cell r="AF202"/>
          <cell r="AG202"/>
          <cell r="AH202"/>
          <cell r="AI202"/>
          <cell r="AJ202"/>
          <cell r="AK202"/>
          <cell r="AL202"/>
          <cell r="AM202"/>
          <cell r="AN202" t="str">
            <v>x</v>
          </cell>
          <cell r="AO202" t="str">
            <v>x</v>
          </cell>
          <cell r="AP202"/>
          <cell r="AQ202">
            <v>45184</v>
          </cell>
          <cell r="AR202">
            <v>389</v>
          </cell>
          <cell r="AS202">
            <v>45231</v>
          </cell>
          <cell r="AT202">
            <v>342</v>
          </cell>
          <cell r="AU202" t="str">
            <v>VMADAVAR</v>
          </cell>
        </row>
        <row r="203">
          <cell r="C203">
            <v>606424</v>
          </cell>
          <cell r="D203" t="str">
            <v>MARCOS MALENA</v>
          </cell>
          <cell r="E203" t="str">
            <v>14:00 - 20:00</v>
          </cell>
          <cell r="F203" t="str">
            <v>TARDE</v>
          </cell>
          <cell r="G203" t="str">
            <v>SAB Y DOM</v>
          </cell>
          <cell r="H203" t="str">
            <v>ROJAS, LUCAS</v>
          </cell>
          <cell r="I203" t="str">
            <v>Romandetto Carlos</v>
          </cell>
          <cell r="J203"/>
          <cell r="K203"/>
          <cell r="L203" t="str">
            <v>x</v>
          </cell>
          <cell r="M203" t="str">
            <v>x</v>
          </cell>
          <cell r="N203" t="str">
            <v>x</v>
          </cell>
          <cell r="O203"/>
          <cell r="P203"/>
          <cell r="Q203"/>
          <cell r="R203" t="str">
            <v>x</v>
          </cell>
          <cell r="S203"/>
          <cell r="T203"/>
          <cell r="U203"/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 t="str">
            <v>x</v>
          </cell>
          <cell r="AO203" t="str">
            <v>x</v>
          </cell>
          <cell r="AP203"/>
          <cell r="AQ203">
            <v>45184</v>
          </cell>
          <cell r="AR203">
            <v>389</v>
          </cell>
          <cell r="AS203">
            <v>45231</v>
          </cell>
          <cell r="AT203">
            <v>342</v>
          </cell>
          <cell r="AU203" t="str">
            <v>VMAMALMA</v>
          </cell>
        </row>
        <row r="204">
          <cell r="C204">
            <v>606437</v>
          </cell>
          <cell r="D204" t="str">
            <v>MIRAGAYA MARIA JOSE</v>
          </cell>
          <cell r="E204" t="str">
            <v>14:00 - 20:00</v>
          </cell>
          <cell r="F204" t="str">
            <v>TARDE</v>
          </cell>
          <cell r="G204" t="str">
            <v>SAB Y DOM</v>
          </cell>
          <cell r="H204" t="str">
            <v>ROJAS, LUCAS</v>
          </cell>
          <cell r="I204" t="str">
            <v>Romandetto Carlos</v>
          </cell>
          <cell r="J204"/>
          <cell r="K204"/>
          <cell r="L204" t="str">
            <v>x</v>
          </cell>
          <cell r="M204" t="str">
            <v>x</v>
          </cell>
          <cell r="N204" t="str">
            <v>x</v>
          </cell>
          <cell r="O204"/>
          <cell r="P204"/>
          <cell r="Q204" t="str">
            <v>x</v>
          </cell>
          <cell r="R204" t="str">
            <v>x</v>
          </cell>
          <cell r="S204" t="str">
            <v>x</v>
          </cell>
          <cell r="T204" t="str">
            <v>x</v>
          </cell>
          <cell r="U204"/>
          <cell r="V204"/>
          <cell r="W204"/>
          <cell r="X204"/>
          <cell r="Y204"/>
          <cell r="Z204"/>
          <cell r="AA204"/>
          <cell r="AB204"/>
          <cell r="AC204"/>
          <cell r="AD204"/>
          <cell r="AE204"/>
          <cell r="AF204"/>
          <cell r="AG204"/>
          <cell r="AH204"/>
          <cell r="AI204"/>
          <cell r="AJ204"/>
          <cell r="AK204"/>
          <cell r="AL204"/>
          <cell r="AM204"/>
          <cell r="AN204" t="str">
            <v>x</v>
          </cell>
          <cell r="AO204"/>
          <cell r="AP204" t="str">
            <v>x</v>
          </cell>
          <cell r="AQ204">
            <v>45184</v>
          </cell>
          <cell r="AR204">
            <v>389</v>
          </cell>
          <cell r="AS204">
            <v>45324</v>
          </cell>
          <cell r="AT204">
            <v>249</v>
          </cell>
          <cell r="AU204" t="str">
            <v>VMAMAMIR</v>
          </cell>
        </row>
        <row r="205">
          <cell r="C205">
            <v>606420</v>
          </cell>
          <cell r="D205" t="str">
            <v>GAUNA EVELYN DENISE</v>
          </cell>
          <cell r="E205" t="str">
            <v>18:00 - 00:00</v>
          </cell>
          <cell r="F205" t="str">
            <v>NOCHE</v>
          </cell>
          <cell r="G205" t="str">
            <v>MIE Y DOM</v>
          </cell>
          <cell r="H205" t="str">
            <v>ROJAS, LUCAS</v>
          </cell>
          <cell r="I205" t="str">
            <v>Romandetto Carlos</v>
          </cell>
          <cell r="J205"/>
          <cell r="K205"/>
          <cell r="L205" t="str">
            <v>x</v>
          </cell>
          <cell r="M205" t="str">
            <v>x</v>
          </cell>
          <cell r="N205" t="str">
            <v>x</v>
          </cell>
          <cell r="O205"/>
          <cell r="P205"/>
          <cell r="Q205" t="str">
            <v>x</v>
          </cell>
          <cell r="R205" t="str">
            <v>x</v>
          </cell>
          <cell r="S205" t="str">
            <v>x</v>
          </cell>
          <cell r="T205"/>
          <cell r="U205"/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/>
          <cell r="AH205"/>
          <cell r="AI205"/>
          <cell r="AJ205"/>
          <cell r="AK205"/>
          <cell r="AL205"/>
          <cell r="AM205"/>
          <cell r="AN205" t="str">
            <v>x</v>
          </cell>
          <cell r="AO205"/>
          <cell r="AP205" t="str">
            <v>x</v>
          </cell>
          <cell r="AQ205">
            <v>45184</v>
          </cell>
          <cell r="AR205">
            <v>389</v>
          </cell>
          <cell r="AS205">
            <v>45338</v>
          </cell>
          <cell r="AT205">
            <v>235</v>
          </cell>
          <cell r="AU205" t="str">
            <v>VMAEVGAU</v>
          </cell>
        </row>
        <row r="206">
          <cell r="C206">
            <v>606408</v>
          </cell>
          <cell r="D206" t="str">
            <v>BELCHIOR MEDINACELLI LUZ MARIA</v>
          </cell>
          <cell r="E206" t="str">
            <v>14:00 - 20:00</v>
          </cell>
          <cell r="F206" t="str">
            <v>TARDE</v>
          </cell>
          <cell r="G206" t="str">
            <v>VIE Y DOM</v>
          </cell>
          <cell r="H206" t="str">
            <v>ROJAS, LUCAS</v>
          </cell>
          <cell r="I206" t="str">
            <v>Romandetto Carlos</v>
          </cell>
          <cell r="J206"/>
          <cell r="K206"/>
          <cell r="L206" t="str">
            <v>x</v>
          </cell>
          <cell r="M206" t="str">
            <v>x</v>
          </cell>
          <cell r="N206" t="str">
            <v>x</v>
          </cell>
          <cell r="O206"/>
          <cell r="P206"/>
          <cell r="Q206"/>
          <cell r="R206" t="str">
            <v>x</v>
          </cell>
          <cell r="S206"/>
          <cell r="T206"/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 t="str">
            <v>x</v>
          </cell>
          <cell r="AO206" t="str">
            <v>x</v>
          </cell>
          <cell r="AP206"/>
          <cell r="AQ206">
            <v>45184</v>
          </cell>
          <cell r="AR206">
            <v>389</v>
          </cell>
          <cell r="AS206">
            <v>45231</v>
          </cell>
          <cell r="AT206">
            <v>342</v>
          </cell>
          <cell r="AU206" t="str">
            <v>VMALUBEL</v>
          </cell>
        </row>
        <row r="207">
          <cell r="C207">
            <v>606410</v>
          </cell>
          <cell r="D207" t="str">
            <v>LIMACHI BRENDA DESIREE</v>
          </cell>
          <cell r="E207" t="str">
            <v>13:00 - 19:00</v>
          </cell>
          <cell r="F207" t="str">
            <v>TARDE</v>
          </cell>
          <cell r="G207" t="str">
            <v>MIE Y DOM</v>
          </cell>
          <cell r="H207" t="str">
            <v>GARZON, ROCIO BELEN</v>
          </cell>
          <cell r="I207" t="str">
            <v>Romandetto Carlos</v>
          </cell>
          <cell r="J207" t="str">
            <v>x</v>
          </cell>
          <cell r="K207"/>
          <cell r="L207" t="str">
            <v>x</v>
          </cell>
          <cell r="M207" t="str">
            <v>x</v>
          </cell>
          <cell r="N207" t="str">
            <v>x</v>
          </cell>
          <cell r="O207"/>
          <cell r="P207"/>
          <cell r="Q207" t="str">
            <v>x</v>
          </cell>
          <cell r="R207" t="str">
            <v>x</v>
          </cell>
          <cell r="S207" t="str">
            <v>x</v>
          </cell>
          <cell r="T207" t="str">
            <v>x</v>
          </cell>
          <cell r="U207"/>
          <cell r="V207"/>
          <cell r="W207"/>
          <cell r="X207"/>
          <cell r="Y207"/>
          <cell r="Z207"/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 t="str">
            <v>x</v>
          </cell>
          <cell r="AO207"/>
          <cell r="AP207" t="str">
            <v>x</v>
          </cell>
          <cell r="AQ207">
            <v>45184</v>
          </cell>
          <cell r="AR207">
            <v>389</v>
          </cell>
          <cell r="AS207">
            <v>45324</v>
          </cell>
          <cell r="AT207">
            <v>249</v>
          </cell>
          <cell r="AU207" t="str">
            <v>VMABRLIM</v>
          </cell>
        </row>
        <row r="208">
          <cell r="C208">
            <v>606454</v>
          </cell>
          <cell r="D208" t="str">
            <v>PAVON ALBANO JAZMIN ROCIO ELIZABETH</v>
          </cell>
          <cell r="E208" t="str">
            <v>16:00 - 22:00</v>
          </cell>
          <cell r="F208" t="str">
            <v>TARDE</v>
          </cell>
          <cell r="G208" t="str">
            <v>SAB Y DOM</v>
          </cell>
          <cell r="H208" t="str">
            <v>Supervisor Capacitación, BU No Fijo</v>
          </cell>
          <cell r="I208" t="str">
            <v>-</v>
          </cell>
          <cell r="J208" t="str">
            <v>x</v>
          </cell>
          <cell r="K208"/>
          <cell r="L208" t="str">
            <v>x</v>
          </cell>
          <cell r="M208" t="str">
            <v>x</v>
          </cell>
          <cell r="N208" t="str">
            <v>x</v>
          </cell>
          <cell r="O208"/>
          <cell r="P208"/>
          <cell r="Q208" t="str">
            <v>x</v>
          </cell>
          <cell r="R208" t="str">
            <v>x</v>
          </cell>
          <cell r="S208" t="str">
            <v>x</v>
          </cell>
          <cell r="T208" t="str">
            <v>x</v>
          </cell>
          <cell r="U208"/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/>
          <cell r="AI208"/>
          <cell r="AJ208"/>
          <cell r="AK208"/>
          <cell r="AL208"/>
          <cell r="AM208"/>
          <cell r="AN208" t="str">
            <v>x</v>
          </cell>
          <cell r="AO208"/>
          <cell r="AP208" t="str">
            <v>x</v>
          </cell>
          <cell r="AQ208">
            <v>45217</v>
          </cell>
          <cell r="AR208">
            <v>356</v>
          </cell>
          <cell r="AS208">
            <v>45397</v>
          </cell>
          <cell r="AT208">
            <v>176</v>
          </cell>
          <cell r="AU208" t="str">
            <v>VMAJAPAV</v>
          </cell>
        </row>
        <row r="209">
          <cell r="C209">
            <v>606445</v>
          </cell>
          <cell r="D209" t="str">
            <v>GARRIGO CAROLINA</v>
          </cell>
          <cell r="E209" t="str">
            <v>10:00 - 16:00</v>
          </cell>
          <cell r="F209" t="str">
            <v>MAÑANA</v>
          </cell>
          <cell r="G209" t="str">
            <v>JUE Y SAB</v>
          </cell>
          <cell r="H209" t="str">
            <v>DIAZ, PAULA</v>
          </cell>
          <cell r="I209" t="str">
            <v>Romandetto Carlos</v>
          </cell>
          <cell r="J209" t="str">
            <v>x</v>
          </cell>
          <cell r="K209"/>
          <cell r="L209" t="str">
            <v>x</v>
          </cell>
          <cell r="M209" t="str">
            <v>x</v>
          </cell>
          <cell r="N209" t="str">
            <v>x</v>
          </cell>
          <cell r="O209"/>
          <cell r="P209"/>
          <cell r="Q209" t="str">
            <v>x</v>
          </cell>
          <cell r="R209" t="str">
            <v>x</v>
          </cell>
          <cell r="S209" t="str">
            <v>x</v>
          </cell>
          <cell r="T209" t="str">
            <v>x</v>
          </cell>
          <cell r="U209"/>
          <cell r="V209"/>
          <cell r="W209"/>
          <cell r="X209"/>
          <cell r="Y209"/>
          <cell r="Z209"/>
          <cell r="AA209"/>
          <cell r="AB209"/>
          <cell r="AC209"/>
          <cell r="AD209"/>
          <cell r="AE209"/>
          <cell r="AF209"/>
          <cell r="AG209"/>
          <cell r="AH209"/>
          <cell r="AI209"/>
          <cell r="AJ209"/>
          <cell r="AK209"/>
          <cell r="AL209"/>
          <cell r="AM209"/>
          <cell r="AN209" t="str">
            <v>x</v>
          </cell>
          <cell r="AO209"/>
          <cell r="AP209" t="str">
            <v>x</v>
          </cell>
          <cell r="AQ209">
            <v>45217</v>
          </cell>
          <cell r="AR209">
            <v>356</v>
          </cell>
          <cell r="AS209">
            <v>45394</v>
          </cell>
          <cell r="AT209">
            <v>179</v>
          </cell>
          <cell r="AU209" t="str">
            <v>VMACAGAR</v>
          </cell>
        </row>
        <row r="210">
          <cell r="C210">
            <v>606443</v>
          </cell>
          <cell r="D210" t="str">
            <v>BURSESE MAITE PILAR</v>
          </cell>
          <cell r="E210" t="str">
            <v>15:00 - 21:00</v>
          </cell>
          <cell r="F210" t="str">
            <v>TARDE</v>
          </cell>
          <cell r="G210" t="str">
            <v>SAB Y DOM</v>
          </cell>
          <cell r="H210" t="str">
            <v>ROJAS, LUCAS</v>
          </cell>
          <cell r="I210" t="str">
            <v>Romandetto Carlos</v>
          </cell>
          <cell r="J210" t="str">
            <v>x</v>
          </cell>
          <cell r="K210"/>
          <cell r="L210" t="str">
            <v>x</v>
          </cell>
          <cell r="M210" t="str">
            <v>x</v>
          </cell>
          <cell r="N210" t="str">
            <v>x</v>
          </cell>
          <cell r="O210"/>
          <cell r="P210"/>
          <cell r="Q210"/>
          <cell r="R210" t="str">
            <v>x</v>
          </cell>
          <cell r="S210"/>
          <cell r="T210"/>
          <cell r="U210"/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/>
          <cell r="AI210"/>
          <cell r="AJ210"/>
          <cell r="AK210"/>
          <cell r="AL210"/>
          <cell r="AM210"/>
          <cell r="AN210" t="str">
            <v>x</v>
          </cell>
          <cell r="AO210" t="str">
            <v>x</v>
          </cell>
          <cell r="AP210"/>
          <cell r="AQ210">
            <v>45217</v>
          </cell>
          <cell r="AR210">
            <v>356</v>
          </cell>
          <cell r="AS210">
            <v>45260</v>
          </cell>
          <cell r="AT210">
            <v>313</v>
          </cell>
          <cell r="AU210" t="str">
            <v>VMAMABUR</v>
          </cell>
        </row>
        <row r="211">
          <cell r="C211">
            <v>606449</v>
          </cell>
          <cell r="D211" t="str">
            <v>FRETES ELIAS BLAS</v>
          </cell>
          <cell r="E211" t="str">
            <v>18:00 - 00:00</v>
          </cell>
          <cell r="F211" t="str">
            <v>NOCHE</v>
          </cell>
          <cell r="G211" t="str">
            <v>JUE Y DOM</v>
          </cell>
          <cell r="H211" t="str">
            <v>MIR, TOMAS MAURICIO</v>
          </cell>
          <cell r="I211" t="str">
            <v>Romandetto Carlos</v>
          </cell>
          <cell r="J211" t="str">
            <v>x</v>
          </cell>
          <cell r="K211"/>
          <cell r="L211" t="str">
            <v>x</v>
          </cell>
          <cell r="M211" t="str">
            <v>x</v>
          </cell>
          <cell r="N211" t="str">
            <v>x</v>
          </cell>
          <cell r="O211"/>
          <cell r="P211"/>
          <cell r="Q211" t="str">
            <v>x</v>
          </cell>
          <cell r="R211" t="str">
            <v>x</v>
          </cell>
          <cell r="S211" t="str">
            <v>x</v>
          </cell>
          <cell r="T211" t="str">
            <v>x</v>
          </cell>
          <cell r="U211"/>
          <cell r="V211"/>
          <cell r="W211"/>
          <cell r="X211"/>
          <cell r="Y211"/>
          <cell r="Z211"/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 t="str">
            <v>x</v>
          </cell>
          <cell r="AO211"/>
          <cell r="AP211" t="str">
            <v>x</v>
          </cell>
          <cell r="AQ211">
            <v>45217</v>
          </cell>
          <cell r="AR211">
            <v>356</v>
          </cell>
          <cell r="AS211">
            <v>45324</v>
          </cell>
          <cell r="AT211">
            <v>249</v>
          </cell>
          <cell r="AU211" t="str">
            <v>VMAELFRE</v>
          </cell>
        </row>
        <row r="212">
          <cell r="C212">
            <v>606453</v>
          </cell>
          <cell r="D212" t="str">
            <v>CABELLO JULIETA LIBERTAD</v>
          </cell>
          <cell r="E212" t="str">
            <v>12:00 - 18:00</v>
          </cell>
          <cell r="F212" t="str">
            <v>TARDE</v>
          </cell>
          <cell r="G212" t="str">
            <v>SAB Y DOM</v>
          </cell>
          <cell r="H212" t="str">
            <v>GARZON, ROCIO BELEN</v>
          </cell>
          <cell r="I212" t="str">
            <v>Romandetto Carlos</v>
          </cell>
          <cell r="J212" t="str">
            <v>x</v>
          </cell>
          <cell r="K212"/>
          <cell r="L212" t="str">
            <v>x</v>
          </cell>
          <cell r="M212" t="str">
            <v>x</v>
          </cell>
          <cell r="N212" t="str">
            <v>x</v>
          </cell>
          <cell r="O212"/>
          <cell r="P212"/>
          <cell r="Q212" t="str">
            <v>x</v>
          </cell>
          <cell r="R212" t="str">
            <v>x</v>
          </cell>
          <cell r="S212" t="str">
            <v>x</v>
          </cell>
          <cell r="T212" t="str">
            <v>x</v>
          </cell>
          <cell r="U212"/>
          <cell r="V212"/>
          <cell r="W212"/>
          <cell r="X212"/>
          <cell r="Y212"/>
          <cell r="Z212"/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 t="str">
            <v>x</v>
          </cell>
          <cell r="AO212" t="str">
            <v>x</v>
          </cell>
          <cell r="AP212"/>
          <cell r="AQ212">
            <v>45217</v>
          </cell>
          <cell r="AR212">
            <v>356</v>
          </cell>
          <cell r="AS212">
            <v>45562</v>
          </cell>
          <cell r="AT212">
            <v>11</v>
          </cell>
          <cell r="AU212" t="str">
            <v>VMAJUCAB</v>
          </cell>
        </row>
        <row r="213">
          <cell r="C213">
            <v>606448</v>
          </cell>
          <cell r="D213" t="str">
            <v>ARRIGHI RUIZ TOBIAS FRANCISCO</v>
          </cell>
          <cell r="E213" t="str">
            <v>09:00 - 15:00</v>
          </cell>
          <cell r="F213" t="str">
            <v>MAÑANA</v>
          </cell>
          <cell r="G213" t="str">
            <v>SAB Y DOM</v>
          </cell>
          <cell r="H213" t="str">
            <v>Supervisor Capacitación, BU No Fijo</v>
          </cell>
          <cell r="I213" t="str">
            <v>-</v>
          </cell>
          <cell r="J213" t="str">
            <v>x</v>
          </cell>
          <cell r="K213"/>
          <cell r="L213" t="str">
            <v>x</v>
          </cell>
          <cell r="M213" t="str">
            <v>x</v>
          </cell>
          <cell r="N213" t="str">
            <v>x</v>
          </cell>
          <cell r="O213"/>
          <cell r="P213"/>
          <cell r="Q213" t="str">
            <v>x</v>
          </cell>
          <cell r="R213" t="str">
            <v>x</v>
          </cell>
          <cell r="S213" t="str">
            <v>x</v>
          </cell>
          <cell r="T213" t="str">
            <v>x</v>
          </cell>
          <cell r="U213"/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 t="str">
            <v>x</v>
          </cell>
          <cell r="AO213"/>
          <cell r="AP213" t="str">
            <v>x</v>
          </cell>
          <cell r="AQ213">
            <v>45217</v>
          </cell>
          <cell r="AR213">
            <v>356</v>
          </cell>
          <cell r="AS213">
            <v>45320</v>
          </cell>
          <cell r="AT213">
            <v>253</v>
          </cell>
          <cell r="AU213" t="str">
            <v>VMATOBRU</v>
          </cell>
        </row>
        <row r="214">
          <cell r="C214">
            <v>606455</v>
          </cell>
          <cell r="D214" t="str">
            <v>BURGUE?O SEBASTIAN IGNACIO</v>
          </cell>
          <cell r="E214" t="str">
            <v>18:00 - 00:00</v>
          </cell>
          <cell r="F214" t="str">
            <v>NOCHE</v>
          </cell>
          <cell r="G214" t="str">
            <v>MAR Y DOM</v>
          </cell>
          <cell r="H214" t="str">
            <v>MIR, TOMAS MAURICIO</v>
          </cell>
          <cell r="I214" t="str">
            <v>Romandetto Carlos</v>
          </cell>
          <cell r="J214" t="str">
            <v>x</v>
          </cell>
          <cell r="K214"/>
          <cell r="L214" t="str">
            <v>x</v>
          </cell>
          <cell r="M214" t="str">
            <v>x</v>
          </cell>
          <cell r="N214" t="str">
            <v>x</v>
          </cell>
          <cell r="O214" t="str">
            <v>x</v>
          </cell>
          <cell r="P214"/>
          <cell r="Q214"/>
          <cell r="R214" t="str">
            <v>x</v>
          </cell>
          <cell r="S214"/>
          <cell r="T214"/>
          <cell r="U214"/>
          <cell r="V214"/>
          <cell r="W214"/>
          <cell r="X214"/>
          <cell r="Y214"/>
          <cell r="Z214"/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 t="str">
            <v>x</v>
          </cell>
          <cell r="AO214" t="str">
            <v>x</v>
          </cell>
          <cell r="AP214"/>
          <cell r="AQ214">
            <v>45217</v>
          </cell>
          <cell r="AR214">
            <v>356</v>
          </cell>
          <cell r="AS214">
            <v>45373</v>
          </cell>
          <cell r="AT214">
            <v>200</v>
          </cell>
          <cell r="AU214" t="str">
            <v>VMASEBUR</v>
          </cell>
        </row>
        <row r="215">
          <cell r="C215">
            <v>606471</v>
          </cell>
          <cell r="D215" t="str">
            <v>FARIAS YASMIN AYELEN</v>
          </cell>
          <cell r="E215" t="str">
            <v>09:00 - 15:00</v>
          </cell>
          <cell r="F215" t="str">
            <v>MAÑANA</v>
          </cell>
          <cell r="G215" t="str">
            <v>SAB Y DOM</v>
          </cell>
          <cell r="H215" t="str">
            <v>VILLALBA, MAITEN</v>
          </cell>
          <cell r="I215" t="str">
            <v>Romandetto Carlos</v>
          </cell>
          <cell r="J215" t="str">
            <v>x</v>
          </cell>
          <cell r="K215"/>
          <cell r="L215" t="str">
            <v>x</v>
          </cell>
          <cell r="M215" t="str">
            <v>x</v>
          </cell>
          <cell r="N215" t="str">
            <v>x</v>
          </cell>
          <cell r="O215"/>
          <cell r="P215"/>
          <cell r="Q215" t="str">
            <v>x</v>
          </cell>
          <cell r="R215" t="str">
            <v>x</v>
          </cell>
          <cell r="S215" t="str">
            <v>x</v>
          </cell>
          <cell r="T215" t="str">
            <v>x</v>
          </cell>
          <cell r="U215"/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 t="str">
            <v>x</v>
          </cell>
          <cell r="AO215" t="str">
            <v>x</v>
          </cell>
          <cell r="AP215"/>
          <cell r="AQ215">
            <v>45217</v>
          </cell>
          <cell r="AR215">
            <v>356</v>
          </cell>
          <cell r="AS215">
            <v>45562</v>
          </cell>
          <cell r="AT215">
            <v>11</v>
          </cell>
          <cell r="AU215" t="str">
            <v>VMAYAFAR</v>
          </cell>
        </row>
        <row r="216">
          <cell r="C216">
            <v>606475</v>
          </cell>
          <cell r="D216" t="str">
            <v>VACA OROZCO ANDREA</v>
          </cell>
          <cell r="E216" t="str">
            <v>10:00 - 16:00</v>
          </cell>
          <cell r="F216" t="str">
            <v>MAÑANA</v>
          </cell>
          <cell r="G216" t="str">
            <v>SAB Y DOM</v>
          </cell>
          <cell r="H216" t="str">
            <v>VILLALBA, MAITEN</v>
          </cell>
          <cell r="I216" t="str">
            <v>Romandetto Carlos</v>
          </cell>
          <cell r="J216" t="str">
            <v>x</v>
          </cell>
          <cell r="K216"/>
          <cell r="L216" t="str">
            <v>x</v>
          </cell>
          <cell r="M216" t="str">
            <v>x</v>
          </cell>
          <cell r="N216" t="str">
            <v>x</v>
          </cell>
          <cell r="O216"/>
          <cell r="P216"/>
          <cell r="Q216"/>
          <cell r="R216" t="str">
            <v>x</v>
          </cell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 t="str">
            <v>x</v>
          </cell>
          <cell r="AO216" t="str">
            <v>x</v>
          </cell>
          <cell r="AP216"/>
          <cell r="AQ216">
            <v>45217</v>
          </cell>
          <cell r="AR216">
            <v>356</v>
          </cell>
          <cell r="AS216">
            <v>45260</v>
          </cell>
          <cell r="AT216">
            <v>313</v>
          </cell>
          <cell r="AU216" t="str">
            <v>VMAANVAC</v>
          </cell>
        </row>
        <row r="217">
          <cell r="C217">
            <v>606461</v>
          </cell>
          <cell r="D217" t="str">
            <v>CONDRATIUK MIGUEL AGUSTIN</v>
          </cell>
          <cell r="E217" t="str">
            <v>08:00 - 14:00</v>
          </cell>
          <cell r="F217" t="str">
            <v>MAÑANA</v>
          </cell>
          <cell r="G217" t="str">
            <v>VIE Y SAB</v>
          </cell>
          <cell r="H217" t="str">
            <v>GOYECHEA, AGUSTINA LOURDES</v>
          </cell>
          <cell r="I217" t="str">
            <v>Romandetto Carlos</v>
          </cell>
          <cell r="J217" t="str">
            <v>x</v>
          </cell>
          <cell r="K217"/>
          <cell r="L217" t="str">
            <v>x</v>
          </cell>
          <cell r="M217" t="str">
            <v>x</v>
          </cell>
          <cell r="N217" t="str">
            <v>x</v>
          </cell>
          <cell r="O217"/>
          <cell r="P217"/>
          <cell r="Q217"/>
          <cell r="R217" t="str">
            <v>x</v>
          </cell>
          <cell r="S217"/>
          <cell r="T217"/>
          <cell r="U217"/>
          <cell r="V217"/>
          <cell r="W217"/>
          <cell r="X217"/>
          <cell r="Y217"/>
          <cell r="Z217"/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 t="str">
            <v>x</v>
          </cell>
          <cell r="AO217" t="str">
            <v>x</v>
          </cell>
          <cell r="AP217"/>
          <cell r="AQ217">
            <v>45217</v>
          </cell>
          <cell r="AR217">
            <v>356</v>
          </cell>
          <cell r="AS217">
            <v>45260</v>
          </cell>
          <cell r="AT217">
            <v>313</v>
          </cell>
          <cell r="AU217" t="str">
            <v>VMAMICON</v>
          </cell>
        </row>
        <row r="218">
          <cell r="C218">
            <v>606476</v>
          </cell>
          <cell r="D218" t="str">
            <v>BRUSCO JADE JOLIE</v>
          </cell>
          <cell r="E218" t="str">
            <v>09:00 - 15:00</v>
          </cell>
          <cell r="F218" t="str">
            <v>MAÑANA</v>
          </cell>
          <cell r="G218" t="str">
            <v>SAB Y DOM</v>
          </cell>
          <cell r="H218" t="str">
            <v>VILLALBA, MAITEN</v>
          </cell>
          <cell r="I218" t="str">
            <v>Romandetto Carlos</v>
          </cell>
          <cell r="J218" t="str">
            <v>x</v>
          </cell>
          <cell r="K218"/>
          <cell r="L218" t="str">
            <v>x</v>
          </cell>
          <cell r="M218" t="str">
            <v>x</v>
          </cell>
          <cell r="N218" t="str">
            <v>x</v>
          </cell>
          <cell r="O218"/>
          <cell r="P218"/>
          <cell r="Q218" t="str">
            <v>x</v>
          </cell>
          <cell r="R218" t="str">
            <v>x</v>
          </cell>
          <cell r="S218" t="str">
            <v>x</v>
          </cell>
          <cell r="T218" t="str">
            <v>x</v>
          </cell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 t="str">
            <v>x</v>
          </cell>
          <cell r="AO218"/>
          <cell r="AP218" t="str">
            <v>x</v>
          </cell>
          <cell r="AQ218">
            <v>45217</v>
          </cell>
          <cell r="AR218">
            <v>356</v>
          </cell>
          <cell r="AS218">
            <v>45394</v>
          </cell>
          <cell r="AT218">
            <v>179</v>
          </cell>
          <cell r="AU218" t="str">
            <v>VMAJABRU</v>
          </cell>
        </row>
        <row r="219">
          <cell r="C219">
            <v>606478</v>
          </cell>
          <cell r="D219" t="str">
            <v>QUISBERT ARUATA ANDREW ROBERT</v>
          </cell>
          <cell r="E219" t="str">
            <v>09:00 - 15:00</v>
          </cell>
          <cell r="F219" t="str">
            <v>MAÑANA</v>
          </cell>
          <cell r="G219" t="str">
            <v>SAB Y DOM</v>
          </cell>
          <cell r="H219" t="str">
            <v>DIAZ, PAULA</v>
          </cell>
          <cell r="I219" t="str">
            <v>Romandetto Carlos</v>
          </cell>
          <cell r="J219" t="str">
            <v>x</v>
          </cell>
          <cell r="K219"/>
          <cell r="L219" t="str">
            <v>x</v>
          </cell>
          <cell r="M219" t="str">
            <v>x</v>
          </cell>
          <cell r="N219" t="str">
            <v>x</v>
          </cell>
          <cell r="O219"/>
          <cell r="P219"/>
          <cell r="Q219"/>
          <cell r="R219" t="str">
            <v>x</v>
          </cell>
          <cell r="S219"/>
          <cell r="T219"/>
          <cell r="U219"/>
          <cell r="V219"/>
          <cell r="W219"/>
          <cell r="X219"/>
          <cell r="Y219"/>
          <cell r="Z219"/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 t="str">
            <v>x</v>
          </cell>
          <cell r="AO219" t="str">
            <v>x</v>
          </cell>
          <cell r="AP219"/>
          <cell r="AQ219">
            <v>45217</v>
          </cell>
          <cell r="AR219">
            <v>356</v>
          </cell>
          <cell r="AS219">
            <v>45260</v>
          </cell>
          <cell r="AT219">
            <v>313</v>
          </cell>
          <cell r="AU219" t="str">
            <v>VMAANQUI</v>
          </cell>
        </row>
        <row r="220">
          <cell r="C220">
            <v>606463</v>
          </cell>
          <cell r="D220" t="str">
            <v>MACHADO RIVERA ELIAS RAUL</v>
          </cell>
          <cell r="E220" t="str">
            <v>08:00 - 14:00</v>
          </cell>
          <cell r="F220" t="str">
            <v>MAÑANA</v>
          </cell>
          <cell r="G220" t="str">
            <v>SAB Y DOM</v>
          </cell>
          <cell r="H220" t="str">
            <v>GOYECHEA, AGUSTINA LOURDES</v>
          </cell>
          <cell r="I220" t="str">
            <v>Romandetto Carlos</v>
          </cell>
          <cell r="J220" t="str">
            <v>x</v>
          </cell>
          <cell r="K220"/>
          <cell r="L220" t="str">
            <v>x</v>
          </cell>
          <cell r="M220" t="str">
            <v>x</v>
          </cell>
          <cell r="N220" t="str">
            <v>x</v>
          </cell>
          <cell r="O220"/>
          <cell r="P220"/>
          <cell r="Q220" t="str">
            <v>x</v>
          </cell>
          <cell r="R220" t="str">
            <v>x</v>
          </cell>
          <cell r="S220" t="str">
            <v>x</v>
          </cell>
          <cell r="T220" t="str">
            <v>x</v>
          </cell>
          <cell r="U220"/>
          <cell r="V220"/>
          <cell r="W220"/>
          <cell r="X220"/>
          <cell r="Y220"/>
          <cell r="Z220"/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 t="str">
            <v>x</v>
          </cell>
          <cell r="AO220"/>
          <cell r="AP220" t="str">
            <v>x</v>
          </cell>
          <cell r="AQ220">
            <v>45217</v>
          </cell>
          <cell r="AR220">
            <v>356</v>
          </cell>
          <cell r="AS220">
            <v>45394</v>
          </cell>
          <cell r="AT220">
            <v>179</v>
          </cell>
          <cell r="AU220" t="str">
            <v>VMAELMAC</v>
          </cell>
        </row>
        <row r="221">
          <cell r="C221">
            <v>606473</v>
          </cell>
          <cell r="D221" t="str">
            <v>CONTRERAS LUCIANO ZAIR</v>
          </cell>
          <cell r="E221" t="str">
            <v>09:00 - 15:00</v>
          </cell>
          <cell r="F221" t="str">
            <v>MAÑANA</v>
          </cell>
          <cell r="G221" t="str">
            <v>VIE Y SAB</v>
          </cell>
          <cell r="H221" t="str">
            <v>DIAZ, PAULA</v>
          </cell>
          <cell r="I221" t="str">
            <v>Romandetto Carlos</v>
          </cell>
          <cell r="J221" t="str">
            <v>x</v>
          </cell>
          <cell r="K221"/>
          <cell r="L221" t="str">
            <v>x</v>
          </cell>
          <cell r="M221" t="str">
            <v>x</v>
          </cell>
          <cell r="N221" t="str">
            <v>x</v>
          </cell>
          <cell r="O221" t="str">
            <v>X</v>
          </cell>
          <cell r="P221"/>
          <cell r="Q221"/>
          <cell r="R221" t="str">
            <v>x</v>
          </cell>
          <cell r="S221"/>
          <cell r="T221"/>
          <cell r="U221"/>
          <cell r="V221"/>
          <cell r="W221"/>
          <cell r="X221"/>
          <cell r="Y221"/>
          <cell r="Z221"/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 t="str">
            <v>x</v>
          </cell>
          <cell r="AO221" t="str">
            <v>x</v>
          </cell>
          <cell r="AP221"/>
          <cell r="AQ221">
            <v>45217</v>
          </cell>
          <cell r="AR221">
            <v>356</v>
          </cell>
          <cell r="AS221">
            <v>45426</v>
          </cell>
          <cell r="AT221">
            <v>147</v>
          </cell>
          <cell r="AU221" t="str">
            <v>VMALUCON</v>
          </cell>
        </row>
        <row r="222">
          <cell r="C222">
            <v>606468</v>
          </cell>
          <cell r="D222" t="str">
            <v>AVALOS VALERIA AIME</v>
          </cell>
          <cell r="E222" t="str">
            <v>09:00 - 15:00</v>
          </cell>
          <cell r="F222" t="str">
            <v>MAÑANA</v>
          </cell>
          <cell r="G222" t="str">
            <v>MIE Y DOM</v>
          </cell>
          <cell r="H222" t="str">
            <v>DIAZ, PAULA</v>
          </cell>
          <cell r="I222" t="str">
            <v>Romandetto Carlos</v>
          </cell>
          <cell r="J222" t="str">
            <v>x</v>
          </cell>
          <cell r="K222"/>
          <cell r="L222" t="str">
            <v>x</v>
          </cell>
          <cell r="M222" t="str">
            <v>x</v>
          </cell>
          <cell r="N222" t="str">
            <v>x</v>
          </cell>
          <cell r="O222" t="str">
            <v>x</v>
          </cell>
          <cell r="P222"/>
          <cell r="Q222"/>
          <cell r="R222" t="str">
            <v>x</v>
          </cell>
          <cell r="S222"/>
          <cell r="T222"/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 t="str">
            <v>x</v>
          </cell>
          <cell r="AO222" t="str">
            <v>x</v>
          </cell>
          <cell r="AP222"/>
          <cell r="AQ222">
            <v>45217</v>
          </cell>
          <cell r="AR222">
            <v>356</v>
          </cell>
          <cell r="AS222">
            <v>45373</v>
          </cell>
          <cell r="AT222">
            <v>200</v>
          </cell>
          <cell r="AU222" t="str">
            <v>VMAVAAVA</v>
          </cell>
        </row>
        <row r="223">
          <cell r="C223">
            <v>606481</v>
          </cell>
          <cell r="D223" t="str">
            <v>GUTIERREZ BRISA CRISTAL</v>
          </cell>
          <cell r="E223" t="str">
            <v>09:00 - 15:00</v>
          </cell>
          <cell r="F223" t="str">
            <v>MAÑANA</v>
          </cell>
          <cell r="G223" t="str">
            <v>SAB Y DOM</v>
          </cell>
          <cell r="H223" t="str">
            <v>VILLALBA, MAITEN</v>
          </cell>
          <cell r="I223" t="str">
            <v>Romandetto Carlos</v>
          </cell>
          <cell r="J223" t="str">
            <v>x</v>
          </cell>
          <cell r="K223"/>
          <cell r="L223" t="str">
            <v>x</v>
          </cell>
          <cell r="M223" t="str">
            <v>x</v>
          </cell>
          <cell r="N223" t="str">
            <v>x</v>
          </cell>
          <cell r="O223"/>
          <cell r="P223"/>
          <cell r="Q223"/>
          <cell r="R223" t="str">
            <v>x</v>
          </cell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 t="str">
            <v>x</v>
          </cell>
          <cell r="AO223" t="str">
            <v>x</v>
          </cell>
          <cell r="AP223"/>
          <cell r="AQ223">
            <v>45217</v>
          </cell>
          <cell r="AR223">
            <v>356</v>
          </cell>
          <cell r="AS223">
            <v>45260</v>
          </cell>
          <cell r="AT223">
            <v>313</v>
          </cell>
          <cell r="AU223" t="str">
            <v>VMABRGUT</v>
          </cell>
        </row>
        <row r="224">
          <cell r="C224">
            <v>606444</v>
          </cell>
          <cell r="D224" t="str">
            <v>GARCIA JULIETA SOLEDAD</v>
          </cell>
          <cell r="E224" t="str">
            <v>17:00 - 23:00</v>
          </cell>
          <cell r="F224" t="str">
            <v>NOCHE</v>
          </cell>
          <cell r="G224" t="str">
            <v>SAB Y DOM</v>
          </cell>
          <cell r="H224" t="str">
            <v>GARZON, ROCIO BELEN</v>
          </cell>
          <cell r="I224" t="str">
            <v>Romandetto Carlos</v>
          </cell>
          <cell r="J224" t="str">
            <v>x</v>
          </cell>
          <cell r="K224"/>
          <cell r="L224" t="str">
            <v>x</v>
          </cell>
          <cell r="M224" t="str">
            <v>x</v>
          </cell>
          <cell r="N224" t="str">
            <v>x</v>
          </cell>
          <cell r="O224"/>
          <cell r="P224"/>
          <cell r="Q224" t="str">
            <v>x</v>
          </cell>
          <cell r="R224" t="str">
            <v>x</v>
          </cell>
          <cell r="S224" t="str">
            <v>x</v>
          </cell>
          <cell r="T224" t="str">
            <v>x</v>
          </cell>
          <cell r="U224"/>
          <cell r="V224"/>
          <cell r="W224"/>
          <cell r="X224"/>
          <cell r="Y224"/>
          <cell r="Z224"/>
          <cell r="AA224"/>
          <cell r="AB224"/>
          <cell r="AC224"/>
          <cell r="AD224"/>
          <cell r="AE224"/>
          <cell r="AF224"/>
          <cell r="AG224"/>
          <cell r="AH224"/>
          <cell r="AI224"/>
          <cell r="AJ224"/>
          <cell r="AK224"/>
          <cell r="AL224"/>
          <cell r="AM224"/>
          <cell r="AN224" t="str">
            <v>x</v>
          </cell>
          <cell r="AO224"/>
          <cell r="AP224" t="str">
            <v>x</v>
          </cell>
          <cell r="AQ224">
            <v>45217</v>
          </cell>
          <cell r="AR224">
            <v>356</v>
          </cell>
          <cell r="AS224">
            <v>45397</v>
          </cell>
          <cell r="AT224">
            <v>176</v>
          </cell>
          <cell r="AU224" t="str">
            <v>VMAJUGAR</v>
          </cell>
        </row>
        <row r="225">
          <cell r="C225">
            <v>606457</v>
          </cell>
          <cell r="D225" t="str">
            <v>FUHR PATRICIO ALEJANDRO</v>
          </cell>
          <cell r="E225" t="str">
            <v>18:00 - 00:00</v>
          </cell>
          <cell r="F225" t="str">
            <v>NOCHE</v>
          </cell>
          <cell r="G225" t="str">
            <v>MAR Y SAB</v>
          </cell>
          <cell r="H225" t="str">
            <v>MIR, TOMAS MAURICIO</v>
          </cell>
          <cell r="I225" t="str">
            <v>Romandetto Carlos</v>
          </cell>
          <cell r="J225" t="str">
            <v>x</v>
          </cell>
          <cell r="K225"/>
          <cell r="L225" t="str">
            <v>x</v>
          </cell>
          <cell r="M225" t="str">
            <v>x</v>
          </cell>
          <cell r="N225" t="str">
            <v>x</v>
          </cell>
          <cell r="O225"/>
          <cell r="P225"/>
          <cell r="Q225" t="str">
            <v>x</v>
          </cell>
          <cell r="R225" t="str">
            <v>x</v>
          </cell>
          <cell r="S225" t="str">
            <v>x</v>
          </cell>
          <cell r="T225" t="str">
            <v>x</v>
          </cell>
          <cell r="U225"/>
          <cell r="V225"/>
          <cell r="W225"/>
          <cell r="X225"/>
          <cell r="Y225"/>
          <cell r="Z225"/>
          <cell r="AA225"/>
          <cell r="AB225"/>
          <cell r="AC225"/>
          <cell r="AD225"/>
          <cell r="AE225"/>
          <cell r="AF225"/>
          <cell r="AG225"/>
          <cell r="AH225"/>
          <cell r="AI225"/>
          <cell r="AJ225"/>
          <cell r="AK225"/>
          <cell r="AL225"/>
          <cell r="AM225"/>
          <cell r="AN225" t="str">
            <v>x</v>
          </cell>
          <cell r="AO225"/>
          <cell r="AP225" t="str">
            <v>x</v>
          </cell>
          <cell r="AQ225">
            <v>45217</v>
          </cell>
          <cell r="AR225">
            <v>356</v>
          </cell>
          <cell r="AS225">
            <v>45324</v>
          </cell>
          <cell r="AT225">
            <v>249</v>
          </cell>
          <cell r="AU225" t="str">
            <v>VMAPAFUH</v>
          </cell>
        </row>
        <row r="226">
          <cell r="C226">
            <v>606451</v>
          </cell>
          <cell r="D226" t="str">
            <v>ZAVALA NOELIA SUSANA</v>
          </cell>
          <cell r="E226" t="str">
            <v>08:00 - 14:00</v>
          </cell>
          <cell r="F226" t="str">
            <v>MAÑANA</v>
          </cell>
          <cell r="G226" t="str">
            <v>SAB Y DOM</v>
          </cell>
          <cell r="H226" t="str">
            <v>GOYECHEA, AGUSTINA LOURDES</v>
          </cell>
          <cell r="I226" t="str">
            <v>Romandetto Carlos</v>
          </cell>
          <cell r="J226" t="str">
            <v>x</v>
          </cell>
          <cell r="K226"/>
          <cell r="L226" t="str">
            <v>x</v>
          </cell>
          <cell r="M226" t="str">
            <v>x</v>
          </cell>
          <cell r="N226" t="str">
            <v>x</v>
          </cell>
          <cell r="O226"/>
          <cell r="P226"/>
          <cell r="Q226"/>
          <cell r="R226" t="str">
            <v>x</v>
          </cell>
          <cell r="S226"/>
          <cell r="T226"/>
          <cell r="U226"/>
          <cell r="V226"/>
          <cell r="W226"/>
          <cell r="X226"/>
          <cell r="Y226"/>
          <cell r="Z226"/>
          <cell r="AA226"/>
          <cell r="AB226"/>
          <cell r="AC226"/>
          <cell r="AD226"/>
          <cell r="AE226"/>
          <cell r="AF226"/>
          <cell r="AG226"/>
          <cell r="AH226"/>
          <cell r="AI226"/>
          <cell r="AJ226"/>
          <cell r="AK226"/>
          <cell r="AL226"/>
          <cell r="AM226"/>
          <cell r="AN226" t="str">
            <v>x</v>
          </cell>
          <cell r="AO226" t="str">
            <v>x</v>
          </cell>
          <cell r="AP226"/>
          <cell r="AQ226">
            <v>45217</v>
          </cell>
          <cell r="AR226">
            <v>356</v>
          </cell>
          <cell r="AS226">
            <v>45260</v>
          </cell>
          <cell r="AT226">
            <v>313</v>
          </cell>
          <cell r="AU226" t="str">
            <v>VMANOZAV</v>
          </cell>
        </row>
        <row r="227">
          <cell r="C227">
            <v>606488</v>
          </cell>
          <cell r="D227" t="str">
            <v>GIAVINO ALAN EMMANUEL</v>
          </cell>
          <cell r="E227" t="str">
            <v>09:00 - 15:00</v>
          </cell>
          <cell r="F227" t="str">
            <v>MAÑANA</v>
          </cell>
          <cell r="G227" t="str">
            <v>SAB Y DOM</v>
          </cell>
          <cell r="H227" t="str">
            <v>SORIA, ANA PAULA</v>
          </cell>
          <cell r="I227" t="str">
            <v>Romandetto Carlos</v>
          </cell>
          <cell r="J227" t="str">
            <v>x</v>
          </cell>
          <cell r="K227"/>
          <cell r="L227" t="str">
            <v>x</v>
          </cell>
          <cell r="M227" t="str">
            <v>x</v>
          </cell>
          <cell r="N227" t="str">
            <v>x</v>
          </cell>
          <cell r="O227"/>
          <cell r="P227"/>
          <cell r="Q227"/>
          <cell r="R227" t="str">
            <v>x</v>
          </cell>
          <cell r="S227"/>
          <cell r="T227"/>
          <cell r="U227"/>
          <cell r="V227"/>
          <cell r="W227"/>
          <cell r="X227"/>
          <cell r="Y227"/>
          <cell r="Z227"/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 t="str">
            <v>x</v>
          </cell>
          <cell r="AO227" t="str">
            <v>x</v>
          </cell>
          <cell r="AP227"/>
          <cell r="AQ227">
            <v>45244</v>
          </cell>
          <cell r="AR227">
            <v>329</v>
          </cell>
          <cell r="AS227">
            <v>45289</v>
          </cell>
          <cell r="AT227">
            <v>284</v>
          </cell>
          <cell r="AU227" t="str">
            <v>VMAALGIA</v>
          </cell>
        </row>
        <row r="228">
          <cell r="C228">
            <v>606489</v>
          </cell>
          <cell r="D228" t="str">
            <v>BREGLIA MELANIE IARA</v>
          </cell>
          <cell r="E228" t="str">
            <v>09:00 - 15:00</v>
          </cell>
          <cell r="F228" t="str">
            <v>MAÑANA</v>
          </cell>
          <cell r="G228" t="str">
            <v>SAB Y DOM</v>
          </cell>
          <cell r="H228" t="str">
            <v>GROESMANN, MAYA JUDITH</v>
          </cell>
          <cell r="I228" t="str">
            <v>Romandetto Carlos</v>
          </cell>
          <cell r="J228" t="str">
            <v>x</v>
          </cell>
          <cell r="K228"/>
          <cell r="L228" t="str">
            <v>x</v>
          </cell>
          <cell r="M228" t="str">
            <v>x</v>
          </cell>
          <cell r="N228" t="str">
            <v>x</v>
          </cell>
          <cell r="O228"/>
          <cell r="P228"/>
          <cell r="Q228"/>
          <cell r="R228" t="str">
            <v>x</v>
          </cell>
          <cell r="S228"/>
          <cell r="T228"/>
          <cell r="U228"/>
          <cell r="V228"/>
          <cell r="W228"/>
          <cell r="X228"/>
          <cell r="Y228"/>
          <cell r="Z228"/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 t="str">
            <v>x</v>
          </cell>
          <cell r="AO228" t="str">
            <v>x</v>
          </cell>
          <cell r="AP228"/>
          <cell r="AQ228">
            <v>45244</v>
          </cell>
          <cell r="AR228">
            <v>329</v>
          </cell>
          <cell r="AS228">
            <v>45289</v>
          </cell>
          <cell r="AT228">
            <v>284</v>
          </cell>
          <cell r="AU228" t="str">
            <v>VMAMEBRE</v>
          </cell>
        </row>
        <row r="229">
          <cell r="C229">
            <v>606495</v>
          </cell>
          <cell r="D229" t="str">
            <v>SERTORIO DAMARIS MARIA AILEN</v>
          </cell>
          <cell r="E229" t="str">
            <v>09:00 - 15:00</v>
          </cell>
          <cell r="F229" t="str">
            <v>MAÑANA</v>
          </cell>
          <cell r="G229" t="str">
            <v>SAB Y DOM</v>
          </cell>
          <cell r="H229" t="str">
            <v>MOYANO, DAIANA SOLEDAD</v>
          </cell>
          <cell r="I229" t="str">
            <v>Romandetto Carlos</v>
          </cell>
          <cell r="J229" t="str">
            <v>x</v>
          </cell>
          <cell r="K229"/>
          <cell r="L229" t="str">
            <v>x</v>
          </cell>
          <cell r="M229" t="str">
            <v>x</v>
          </cell>
          <cell r="N229" t="str">
            <v>x</v>
          </cell>
          <cell r="O229"/>
          <cell r="P229"/>
          <cell r="Q229" t="str">
            <v>x</v>
          </cell>
          <cell r="R229" t="str">
            <v>x</v>
          </cell>
          <cell r="S229" t="str">
            <v>x</v>
          </cell>
          <cell r="T229"/>
          <cell r="U229"/>
          <cell r="V229"/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 t="str">
            <v>x</v>
          </cell>
          <cell r="AO229"/>
          <cell r="AP229" t="str">
            <v>x</v>
          </cell>
          <cell r="AQ229">
            <v>45244</v>
          </cell>
          <cell r="AR229">
            <v>329</v>
          </cell>
          <cell r="AS229">
            <v>45338</v>
          </cell>
          <cell r="AT229">
            <v>235</v>
          </cell>
          <cell r="AU229" t="str">
            <v>VMASERDA</v>
          </cell>
        </row>
        <row r="230">
          <cell r="C230">
            <v>606498</v>
          </cell>
          <cell r="D230" t="str">
            <v>SANCHEZ ADRIAN ALEJANDRO</v>
          </cell>
          <cell r="E230" t="str">
            <v>09:00 - 15:00</v>
          </cell>
          <cell r="F230" t="str">
            <v>MAÑANA</v>
          </cell>
          <cell r="G230" t="str">
            <v>VIE Y DOM</v>
          </cell>
          <cell r="H230" t="str">
            <v>LOUREIRO, FLORENCIA CANDELA</v>
          </cell>
          <cell r="I230" t="str">
            <v>Romandetto Carlos</v>
          </cell>
          <cell r="J230" t="str">
            <v>x</v>
          </cell>
          <cell r="K230"/>
          <cell r="L230" t="str">
            <v>x</v>
          </cell>
          <cell r="M230" t="str">
            <v>x</v>
          </cell>
          <cell r="N230" t="str">
            <v>x</v>
          </cell>
          <cell r="O230"/>
          <cell r="P230"/>
          <cell r="Q230" t="str">
            <v>x</v>
          </cell>
          <cell r="R230" t="str">
            <v>x</v>
          </cell>
          <cell r="S230" t="str">
            <v>x</v>
          </cell>
          <cell r="T230"/>
          <cell r="U230"/>
          <cell r="V230"/>
          <cell r="W230"/>
          <cell r="X230"/>
          <cell r="Y230"/>
          <cell r="Z230"/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 t="str">
            <v>x</v>
          </cell>
          <cell r="AO230"/>
          <cell r="AP230" t="str">
            <v>x</v>
          </cell>
          <cell r="AQ230">
            <v>45245</v>
          </cell>
          <cell r="AR230">
            <v>328</v>
          </cell>
          <cell r="AS230">
            <v>45338</v>
          </cell>
          <cell r="AT230">
            <v>235</v>
          </cell>
          <cell r="AU230" t="str">
            <v>VMAADSAN</v>
          </cell>
        </row>
        <row r="231">
          <cell r="C231">
            <v>606501</v>
          </cell>
          <cell r="D231" t="str">
            <v>TOFFOLETTI SOTO EVELYN</v>
          </cell>
          <cell r="E231" t="str">
            <v>09:00 - 15:00</v>
          </cell>
          <cell r="F231" t="str">
            <v>MAÑANA</v>
          </cell>
          <cell r="G231" t="str">
            <v>SAB Y DOM</v>
          </cell>
          <cell r="H231" t="str">
            <v>GROESMANN, MAYA JUDITH</v>
          </cell>
          <cell r="I231" t="str">
            <v>Romandetto Carlos</v>
          </cell>
          <cell r="J231" t="str">
            <v>x</v>
          </cell>
          <cell r="K231"/>
          <cell r="L231" t="str">
            <v>x</v>
          </cell>
          <cell r="M231" t="str">
            <v>x</v>
          </cell>
          <cell r="N231" t="str">
            <v>x</v>
          </cell>
          <cell r="O231"/>
          <cell r="P231"/>
          <cell r="Q231"/>
          <cell r="R231" t="str">
            <v>x</v>
          </cell>
          <cell r="S231"/>
          <cell r="T231"/>
          <cell r="U231"/>
          <cell r="V231"/>
          <cell r="W231"/>
          <cell r="X231"/>
          <cell r="Y231"/>
          <cell r="Z231"/>
          <cell r="AA231"/>
          <cell r="AB231"/>
          <cell r="AC231"/>
          <cell r="AD231"/>
          <cell r="AE231"/>
          <cell r="AF231"/>
          <cell r="AG231"/>
          <cell r="AH231"/>
          <cell r="AI231"/>
          <cell r="AJ231"/>
          <cell r="AK231"/>
          <cell r="AL231"/>
          <cell r="AM231"/>
          <cell r="AN231" t="str">
            <v>x</v>
          </cell>
          <cell r="AO231" t="str">
            <v>x</v>
          </cell>
          <cell r="AP231"/>
          <cell r="AQ231">
            <v>45244</v>
          </cell>
          <cell r="AR231">
            <v>329</v>
          </cell>
          <cell r="AS231">
            <v>45289</v>
          </cell>
          <cell r="AT231">
            <v>284</v>
          </cell>
          <cell r="AU231" t="str">
            <v>VMAEVTOF</v>
          </cell>
        </row>
        <row r="232">
          <cell r="C232">
            <v>606519</v>
          </cell>
          <cell r="D232" t="str">
            <v>COLMAN VALENZUELA SOFIA SOLEDAD</v>
          </cell>
          <cell r="E232" t="str">
            <v>18:00 - 00:00</v>
          </cell>
          <cell r="F232" t="str">
            <v>NOCHE</v>
          </cell>
          <cell r="G232" t="str">
            <v>LUN Y SAB</v>
          </cell>
          <cell r="H232" t="str">
            <v>GOMEZ, AYLEN MILAGROS</v>
          </cell>
          <cell r="I232" t="str">
            <v>Romandetto Carlos</v>
          </cell>
          <cell r="J232" t="str">
            <v>x</v>
          </cell>
          <cell r="K232"/>
          <cell r="L232" t="str">
            <v>x</v>
          </cell>
          <cell r="M232" t="str">
            <v>x</v>
          </cell>
          <cell r="N232" t="str">
            <v>x</v>
          </cell>
          <cell r="O232"/>
          <cell r="P232"/>
          <cell r="Q232" t="str">
            <v>x</v>
          </cell>
          <cell r="R232" t="str">
            <v>x</v>
          </cell>
          <cell r="S232" t="str">
            <v>x</v>
          </cell>
          <cell r="T232"/>
          <cell r="U232"/>
          <cell r="V232"/>
          <cell r="W232"/>
          <cell r="X232"/>
          <cell r="Y232"/>
          <cell r="Z232"/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 t="str">
            <v>x</v>
          </cell>
          <cell r="AO232"/>
          <cell r="AP232" t="str">
            <v>x</v>
          </cell>
          <cell r="AQ232">
            <v>45244</v>
          </cell>
          <cell r="AR232">
            <v>329</v>
          </cell>
          <cell r="AS232">
            <v>45338</v>
          </cell>
          <cell r="AT232">
            <v>235</v>
          </cell>
          <cell r="AU232" t="str">
            <v>VMASOCOL</v>
          </cell>
        </row>
        <row r="233">
          <cell r="C233">
            <v>606524</v>
          </cell>
          <cell r="D233" t="str">
            <v>VAZQUEZ SOFIA MAGALI</v>
          </cell>
          <cell r="E233" t="str">
            <v>15:00 - 21:00</v>
          </cell>
          <cell r="F233" t="str">
            <v>TARDE</v>
          </cell>
          <cell r="G233" t="str">
            <v>SAB Y DOM</v>
          </cell>
          <cell r="H233" t="str">
            <v>GOMEZ, AYLEN MILAGROS</v>
          </cell>
          <cell r="I233" t="str">
            <v>Romandetto Carlos</v>
          </cell>
          <cell r="J233" t="str">
            <v>x</v>
          </cell>
          <cell r="K233"/>
          <cell r="L233" t="str">
            <v>x</v>
          </cell>
          <cell r="M233" t="str">
            <v>x</v>
          </cell>
          <cell r="N233" t="str">
            <v>x</v>
          </cell>
          <cell r="O233"/>
          <cell r="P233"/>
          <cell r="Q233" t="str">
            <v>x</v>
          </cell>
          <cell r="R233" t="str">
            <v>x</v>
          </cell>
          <cell r="S233" t="str">
            <v>x</v>
          </cell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 t="str">
            <v>x</v>
          </cell>
          <cell r="AO233"/>
          <cell r="AP233" t="str">
            <v>x</v>
          </cell>
          <cell r="AQ233">
            <v>45244</v>
          </cell>
          <cell r="AR233">
            <v>329</v>
          </cell>
          <cell r="AS233">
            <v>45338</v>
          </cell>
          <cell r="AT233">
            <v>235</v>
          </cell>
          <cell r="AU233" t="str">
            <v>VMASOFVA</v>
          </cell>
        </row>
        <row r="234">
          <cell r="C234">
            <v>606528</v>
          </cell>
          <cell r="D234" t="str">
            <v>CERVANTES LOURDES ABRIL</v>
          </cell>
          <cell r="E234" t="str">
            <v>14:00 - 20:00</v>
          </cell>
          <cell r="F234" t="str">
            <v>TARDE</v>
          </cell>
          <cell r="G234" t="str">
            <v>SAB Y DOM</v>
          </cell>
          <cell r="H234" t="str">
            <v>YBARRA, LUCIA ALDANA</v>
          </cell>
          <cell r="I234" t="str">
            <v>Romandetto Carlos</v>
          </cell>
          <cell r="J234" t="str">
            <v>x</v>
          </cell>
          <cell r="K234"/>
          <cell r="L234" t="str">
            <v>x</v>
          </cell>
          <cell r="M234" t="str">
            <v>x</v>
          </cell>
          <cell r="N234" t="str">
            <v>x</v>
          </cell>
          <cell r="O234"/>
          <cell r="P234"/>
          <cell r="Q234" t="str">
            <v>x</v>
          </cell>
          <cell r="R234" t="str">
            <v>x</v>
          </cell>
          <cell r="S234" t="str">
            <v>x</v>
          </cell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 t="str">
            <v>x</v>
          </cell>
          <cell r="AO234"/>
          <cell r="AP234" t="str">
            <v>x</v>
          </cell>
          <cell r="AQ234">
            <v>45244</v>
          </cell>
          <cell r="AR234">
            <v>329</v>
          </cell>
          <cell r="AS234">
            <v>45338</v>
          </cell>
          <cell r="AT234">
            <v>235</v>
          </cell>
          <cell r="AU234" t="str">
            <v>VMALOCER</v>
          </cell>
        </row>
        <row r="235">
          <cell r="C235">
            <v>606532</v>
          </cell>
          <cell r="D235" t="str">
            <v>MINO ARIADNA SOLANGE</v>
          </cell>
          <cell r="E235" t="str">
            <v>18:00 - 00:00</v>
          </cell>
          <cell r="F235" t="str">
            <v>NOCHE</v>
          </cell>
          <cell r="G235" t="str">
            <v>SAB Y DOM</v>
          </cell>
          <cell r="H235" t="str">
            <v>PELOC, MARIA SOLEDAD</v>
          </cell>
          <cell r="I235" t="str">
            <v>Romandetto Carlos</v>
          </cell>
          <cell r="J235" t="str">
            <v>x</v>
          </cell>
          <cell r="K235"/>
          <cell r="L235" t="str">
            <v>x</v>
          </cell>
          <cell r="M235" t="str">
            <v>x</v>
          </cell>
          <cell r="N235" t="str">
            <v>x</v>
          </cell>
          <cell r="O235"/>
          <cell r="P235"/>
          <cell r="Q235" t="str">
            <v>x</v>
          </cell>
          <cell r="R235" t="str">
            <v>x</v>
          </cell>
          <cell r="S235" t="str">
            <v>x</v>
          </cell>
          <cell r="T235" t="str">
            <v>x</v>
          </cell>
          <cell r="U235"/>
          <cell r="V235"/>
          <cell r="W235"/>
          <cell r="X235"/>
          <cell r="Y235"/>
          <cell r="Z235"/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 t="str">
            <v>x</v>
          </cell>
          <cell r="AO235"/>
          <cell r="AP235" t="str">
            <v>x</v>
          </cell>
          <cell r="AQ235">
            <v>45244</v>
          </cell>
          <cell r="AR235">
            <v>329</v>
          </cell>
          <cell r="AS235">
            <v>45478</v>
          </cell>
          <cell r="AT235">
            <v>95</v>
          </cell>
          <cell r="AU235" t="str">
            <v>VMAARMII</v>
          </cell>
        </row>
        <row r="236">
          <cell r="C236">
            <v>606535</v>
          </cell>
          <cell r="D236" t="str">
            <v>NIEVA JOHANNA ALEJANDRA MARIEL</v>
          </cell>
          <cell r="E236" t="str">
            <v>13:00 - 19:00</v>
          </cell>
          <cell r="F236" t="str">
            <v>TARDE</v>
          </cell>
          <cell r="G236" t="str">
            <v>VIE Y SAB</v>
          </cell>
          <cell r="H236" t="str">
            <v>PELOC, MARIA SOLEDAD</v>
          </cell>
          <cell r="I236" t="str">
            <v>Romandetto Carlos</v>
          </cell>
          <cell r="J236" t="str">
            <v>x</v>
          </cell>
          <cell r="K236"/>
          <cell r="L236" t="str">
            <v>x</v>
          </cell>
          <cell r="M236" t="str">
            <v>x</v>
          </cell>
          <cell r="N236" t="str">
            <v>x</v>
          </cell>
          <cell r="O236"/>
          <cell r="P236"/>
          <cell r="Q236" t="str">
            <v>x</v>
          </cell>
          <cell r="R236" t="str">
            <v>x</v>
          </cell>
          <cell r="S236" t="str">
            <v>x</v>
          </cell>
          <cell r="T236" t="str">
            <v>x</v>
          </cell>
          <cell r="U236"/>
          <cell r="V236"/>
          <cell r="W236"/>
          <cell r="X236"/>
          <cell r="Y236"/>
          <cell r="Z236"/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 t="str">
            <v>x</v>
          </cell>
          <cell r="AO236"/>
          <cell r="AP236" t="str">
            <v>x</v>
          </cell>
          <cell r="AQ236">
            <v>45244</v>
          </cell>
          <cell r="AR236">
            <v>329</v>
          </cell>
          <cell r="AS236">
            <v>45478</v>
          </cell>
          <cell r="AT236">
            <v>95</v>
          </cell>
          <cell r="AU236" t="str">
            <v>VMAJONIE</v>
          </cell>
        </row>
        <row r="237">
          <cell r="C237">
            <v>605886</v>
          </cell>
          <cell r="D237" t="str">
            <v>MOYA GARRIDO THOMAS EMANUEL</v>
          </cell>
          <cell r="E237" t="str">
            <v>09:00 - 15:00</v>
          </cell>
          <cell r="F237" t="str">
            <v>MAÑANA</v>
          </cell>
          <cell r="G237" t="str">
            <v>SAB Y DOM</v>
          </cell>
          <cell r="H237" t="str">
            <v>GOYECHEA, AGUSTINA LOURDES</v>
          </cell>
          <cell r="I237" t="str">
            <v>Romandetto Carlos</v>
          </cell>
          <cell r="J237" t="str">
            <v>x</v>
          </cell>
          <cell r="K237"/>
          <cell r="L237" t="str">
            <v>x</v>
          </cell>
          <cell r="M237" t="str">
            <v>x</v>
          </cell>
          <cell r="N237" t="str">
            <v>x</v>
          </cell>
          <cell r="O237"/>
          <cell r="P237"/>
          <cell r="Q237"/>
          <cell r="R237" t="str">
            <v>x</v>
          </cell>
          <cell r="S237"/>
          <cell r="T237"/>
          <cell r="U237"/>
          <cell r="V237"/>
          <cell r="W237"/>
          <cell r="X237"/>
          <cell r="Y237"/>
          <cell r="Z237"/>
          <cell r="AA237"/>
          <cell r="AB237"/>
          <cell r="AC237"/>
          <cell r="AD237"/>
          <cell r="AE237"/>
          <cell r="AF237"/>
          <cell r="AG237"/>
          <cell r="AH237"/>
          <cell r="AI237"/>
          <cell r="AJ237"/>
          <cell r="AK237"/>
          <cell r="AL237"/>
          <cell r="AM237"/>
          <cell r="AN237" t="str">
            <v>x</v>
          </cell>
          <cell r="AO237" t="str">
            <v>x</v>
          </cell>
          <cell r="AP237"/>
          <cell r="AQ237">
            <v>45244</v>
          </cell>
          <cell r="AR237">
            <v>329</v>
          </cell>
          <cell r="AS237">
            <v>45289</v>
          </cell>
          <cell r="AT237">
            <v>284</v>
          </cell>
          <cell r="AU237" t="str">
            <v>VMATHMOY</v>
          </cell>
        </row>
        <row r="238">
          <cell r="C238">
            <v>606291</v>
          </cell>
          <cell r="D238" t="str">
            <v>LOPEZ CAROLINA</v>
          </cell>
          <cell r="E238" t="str">
            <v>12:00 - 18:00</v>
          </cell>
          <cell r="F238" t="str">
            <v>TARDE</v>
          </cell>
          <cell r="G238" t="str">
            <v>SAB Y DOM</v>
          </cell>
          <cell r="H238" t="str">
            <v>ROBLEDO, LEANDRO JAVIER</v>
          </cell>
          <cell r="I238" t="str">
            <v>Romandetto Carlos</v>
          </cell>
          <cell r="J238" t="str">
            <v>x</v>
          </cell>
          <cell r="K238"/>
          <cell r="L238" t="str">
            <v>x</v>
          </cell>
          <cell r="M238" t="str">
            <v>x</v>
          </cell>
          <cell r="N238" t="str">
            <v>x</v>
          </cell>
          <cell r="O238"/>
          <cell r="P238"/>
          <cell r="Q238"/>
          <cell r="R238" t="str">
            <v>x</v>
          </cell>
          <cell r="S238"/>
          <cell r="T238"/>
          <cell r="U238"/>
          <cell r="V238"/>
          <cell r="W238"/>
          <cell r="X238"/>
          <cell r="Y238"/>
          <cell r="Z238"/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 t="str">
            <v>x</v>
          </cell>
          <cell r="AO238" t="str">
            <v>x</v>
          </cell>
          <cell r="AP238"/>
          <cell r="AQ238">
            <v>45244</v>
          </cell>
          <cell r="AR238">
            <v>329</v>
          </cell>
          <cell r="AS238">
            <v>45289</v>
          </cell>
          <cell r="AT238">
            <v>284</v>
          </cell>
          <cell r="AU238" t="str">
            <v>VMACLOPE</v>
          </cell>
        </row>
        <row r="239">
          <cell r="C239">
            <v>606293</v>
          </cell>
          <cell r="D239" t="str">
            <v>BARRIONUEVO JULIETA</v>
          </cell>
          <cell r="E239" t="str">
            <v>06:00 - 12:00</v>
          </cell>
          <cell r="F239" t="str">
            <v>MAÑANA</v>
          </cell>
          <cell r="G239" t="str">
            <v>SAB Y DOM</v>
          </cell>
          <cell r="H239" t="str">
            <v>VILLALBA, MAITEN</v>
          </cell>
          <cell r="I239" t="str">
            <v>Romandetto Carlos</v>
          </cell>
          <cell r="J239" t="str">
            <v>x</v>
          </cell>
          <cell r="K239"/>
          <cell r="L239" t="str">
            <v>x</v>
          </cell>
          <cell r="M239" t="str">
            <v>x</v>
          </cell>
          <cell r="N239" t="str">
            <v>x</v>
          </cell>
          <cell r="O239" t="str">
            <v>x</v>
          </cell>
          <cell r="P239"/>
          <cell r="Q239"/>
          <cell r="R239" t="str">
            <v>x</v>
          </cell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 t="str">
            <v>x</v>
          </cell>
          <cell r="AO239" t="str">
            <v>x</v>
          </cell>
          <cell r="AP239"/>
          <cell r="AQ239">
            <v>45244</v>
          </cell>
          <cell r="AR239">
            <v>329</v>
          </cell>
          <cell r="AS239">
            <v>45373</v>
          </cell>
          <cell r="AT239">
            <v>200</v>
          </cell>
          <cell r="AU239" t="str">
            <v>VMAJBARR</v>
          </cell>
        </row>
        <row r="240">
          <cell r="C240">
            <v>606301</v>
          </cell>
          <cell r="D240" t="str">
            <v>AMARIA EVELYN NICOLE</v>
          </cell>
          <cell r="E240" t="str">
            <v>09:00 - 15:00</v>
          </cell>
          <cell r="F240" t="str">
            <v>MAÑANA</v>
          </cell>
          <cell r="G240" t="str">
            <v>SAB Y DOM</v>
          </cell>
          <cell r="H240" t="str">
            <v>GOYECHEA, AGUSTINA LOURDES</v>
          </cell>
          <cell r="I240" t="str">
            <v>Romandetto Carlos</v>
          </cell>
          <cell r="J240" t="str">
            <v>x</v>
          </cell>
          <cell r="K240"/>
          <cell r="L240" t="str">
            <v>x</v>
          </cell>
          <cell r="M240" t="str">
            <v>x</v>
          </cell>
          <cell r="N240" t="str">
            <v>x</v>
          </cell>
          <cell r="O240"/>
          <cell r="P240"/>
          <cell r="Q240" t="str">
            <v>x</v>
          </cell>
          <cell r="R240" t="str">
            <v>x</v>
          </cell>
          <cell r="S240" t="str">
            <v>x</v>
          </cell>
          <cell r="T240" t="str">
            <v>x</v>
          </cell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 t="str">
            <v>x</v>
          </cell>
          <cell r="AO240"/>
          <cell r="AP240" t="str">
            <v>x</v>
          </cell>
          <cell r="AQ240">
            <v>45244</v>
          </cell>
          <cell r="AR240">
            <v>329</v>
          </cell>
          <cell r="AS240">
            <v>45394</v>
          </cell>
          <cell r="AT240">
            <v>179</v>
          </cell>
          <cell r="AU240" t="str">
            <v>VMAEVAMA</v>
          </cell>
        </row>
        <row r="241">
          <cell r="C241">
            <v>606331</v>
          </cell>
          <cell r="D241" t="str">
            <v>MOREAU MICAELA VICTORIA</v>
          </cell>
          <cell r="E241" t="str">
            <v>15:00 - 21:00</v>
          </cell>
          <cell r="F241" t="str">
            <v>TARDE</v>
          </cell>
          <cell r="G241" t="str">
            <v>MAR Y SAB</v>
          </cell>
          <cell r="H241" t="str">
            <v>SOLER, SANTIAGO MAXIMILIANO</v>
          </cell>
          <cell r="I241" t="str">
            <v>Romandetto Carlos</v>
          </cell>
          <cell r="J241" t="str">
            <v>x</v>
          </cell>
          <cell r="K241"/>
          <cell r="L241" t="str">
            <v>x</v>
          </cell>
          <cell r="M241" t="str">
            <v>x</v>
          </cell>
          <cell r="N241" t="str">
            <v>x</v>
          </cell>
          <cell r="O241"/>
          <cell r="P241"/>
          <cell r="Q241"/>
          <cell r="R241" t="str">
            <v>x</v>
          </cell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 t="str">
            <v>x</v>
          </cell>
          <cell r="AO241" t="str">
            <v>x</v>
          </cell>
          <cell r="AP241"/>
          <cell r="AQ241">
            <v>45244</v>
          </cell>
          <cell r="AR241">
            <v>329</v>
          </cell>
          <cell r="AS241">
            <v>45289</v>
          </cell>
          <cell r="AT241">
            <v>284</v>
          </cell>
          <cell r="AU241" t="str">
            <v>VMAMIMOR</v>
          </cell>
        </row>
        <row r="242">
          <cell r="C242">
            <v>606334</v>
          </cell>
          <cell r="D242" t="str">
            <v>GOMEZ MATIAS</v>
          </cell>
          <cell r="E242" t="str">
            <v>18:00 - 00:00</v>
          </cell>
          <cell r="F242" t="str">
            <v>NOCHE</v>
          </cell>
          <cell r="G242" t="str">
            <v>SAB Y DOM</v>
          </cell>
          <cell r="H242" t="str">
            <v>MIR, TOMAS MAURICIO</v>
          </cell>
          <cell r="I242" t="str">
            <v>Romandetto Carlos</v>
          </cell>
          <cell r="J242" t="str">
            <v>x</v>
          </cell>
          <cell r="K242"/>
          <cell r="L242" t="str">
            <v>x</v>
          </cell>
          <cell r="M242" t="str">
            <v>x</v>
          </cell>
          <cell r="N242" t="str">
            <v>x</v>
          </cell>
          <cell r="O242"/>
          <cell r="P242"/>
          <cell r="Q242" t="str">
            <v>x</v>
          </cell>
          <cell r="R242" t="str">
            <v>x</v>
          </cell>
          <cell r="S242" t="str">
            <v>x</v>
          </cell>
          <cell r="T242" t="str">
            <v>x</v>
          </cell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 t="str">
            <v>x</v>
          </cell>
          <cell r="AO242" t="str">
            <v>x</v>
          </cell>
          <cell r="AP242"/>
          <cell r="AQ242">
            <v>45244</v>
          </cell>
          <cell r="AR242">
            <v>329</v>
          </cell>
          <cell r="AS242">
            <v>45562</v>
          </cell>
          <cell r="AT242">
            <v>11</v>
          </cell>
          <cell r="AU242" t="str">
            <v>VMAMATGO</v>
          </cell>
        </row>
        <row r="243">
          <cell r="C243">
            <v>606335</v>
          </cell>
          <cell r="D243" t="str">
            <v>MARTINEZ CAROLINA ANABELA</v>
          </cell>
          <cell r="E243" t="str">
            <v>15:00 - 21:00</v>
          </cell>
          <cell r="F243" t="str">
            <v>TARDE</v>
          </cell>
          <cell r="G243" t="str">
            <v>SAB Y DOM</v>
          </cell>
          <cell r="H243" t="str">
            <v>SOLER, SANTIAGO MAXIMILIANO</v>
          </cell>
          <cell r="I243" t="str">
            <v>Romandetto Carlos</v>
          </cell>
          <cell r="J243" t="str">
            <v>x</v>
          </cell>
          <cell r="K243"/>
          <cell r="L243" t="str">
            <v>x</v>
          </cell>
          <cell r="M243" t="str">
            <v>x</v>
          </cell>
          <cell r="N243" t="str">
            <v>x</v>
          </cell>
          <cell r="O243"/>
          <cell r="P243"/>
          <cell r="Q243" t="str">
            <v>x</v>
          </cell>
          <cell r="R243" t="str">
            <v>x</v>
          </cell>
          <cell r="S243" t="str">
            <v>x</v>
          </cell>
          <cell r="T243" t="str">
            <v>x</v>
          </cell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 t="str">
            <v>x</v>
          </cell>
          <cell r="AO243"/>
          <cell r="AP243" t="str">
            <v>x</v>
          </cell>
          <cell r="AQ243">
            <v>45244</v>
          </cell>
          <cell r="AR243">
            <v>329</v>
          </cell>
          <cell r="AS243">
            <v>45397</v>
          </cell>
          <cell r="AT243">
            <v>176</v>
          </cell>
          <cell r="AU243" t="str">
            <v>VMACARMA</v>
          </cell>
        </row>
        <row r="244">
          <cell r="C244">
            <v>606371</v>
          </cell>
          <cell r="D244" t="str">
            <v>CALAHUANA SILVANA</v>
          </cell>
          <cell r="E244" t="str">
            <v>12:00 - 18:00</v>
          </cell>
          <cell r="F244" t="str">
            <v>TARDE</v>
          </cell>
          <cell r="G244" t="str">
            <v>SAB Y DOM</v>
          </cell>
          <cell r="H244" t="str">
            <v>SOLER, SANTIAGO MAXIMILIANO</v>
          </cell>
          <cell r="I244" t="str">
            <v>Romandetto Carlos</v>
          </cell>
          <cell r="J244" t="str">
            <v>x</v>
          </cell>
          <cell r="K244"/>
          <cell r="L244" t="str">
            <v>x</v>
          </cell>
          <cell r="M244" t="str">
            <v>x</v>
          </cell>
          <cell r="N244" t="str">
            <v>x</v>
          </cell>
          <cell r="O244"/>
          <cell r="P244"/>
          <cell r="Q244"/>
          <cell r="R244" t="str">
            <v>x</v>
          </cell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 t="str">
            <v>x</v>
          </cell>
          <cell r="AO244" t="str">
            <v>x</v>
          </cell>
          <cell r="AP244"/>
          <cell r="AQ244">
            <v>45244</v>
          </cell>
          <cell r="AR244">
            <v>329</v>
          </cell>
          <cell r="AS244">
            <v>45289</v>
          </cell>
          <cell r="AT244">
            <v>284</v>
          </cell>
          <cell r="AU244" t="str">
            <v>VMASICAL</v>
          </cell>
        </row>
        <row r="245">
          <cell r="C245">
            <v>606536</v>
          </cell>
          <cell r="D245" t="str">
            <v>SOTELO SILVANA ANAHI</v>
          </cell>
          <cell r="E245" t="str">
            <v>15:00 - 21:00</v>
          </cell>
          <cell r="F245" t="str">
            <v>TARDE</v>
          </cell>
          <cell r="G245" t="str">
            <v>LUN Y SAB</v>
          </cell>
          <cell r="H245" t="str">
            <v>SOLER, SANTIAGO MAXIMILIANO</v>
          </cell>
          <cell r="I245" t="str">
            <v>Romandetto Carlos</v>
          </cell>
          <cell r="J245" t="str">
            <v>x</v>
          </cell>
          <cell r="K245"/>
          <cell r="L245" t="str">
            <v>x</v>
          </cell>
          <cell r="M245" t="str">
            <v>x</v>
          </cell>
          <cell r="N245" t="str">
            <v>x</v>
          </cell>
          <cell r="O245"/>
          <cell r="P245"/>
          <cell r="Q245"/>
          <cell r="R245" t="str">
            <v>x</v>
          </cell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 t="str">
            <v>x</v>
          </cell>
          <cell r="AO245" t="str">
            <v>x</v>
          </cell>
          <cell r="AP245"/>
          <cell r="AQ245">
            <v>45245</v>
          </cell>
          <cell r="AR245">
            <v>328</v>
          </cell>
          <cell r="AS245">
            <v>45289</v>
          </cell>
          <cell r="AT245">
            <v>284</v>
          </cell>
          <cell r="AU245" t="str">
            <v>VMASISOT</v>
          </cell>
        </row>
        <row r="246">
          <cell r="C246">
            <v>606542</v>
          </cell>
          <cell r="D246" t="str">
            <v>TISEIRA IRIS AMORINA</v>
          </cell>
          <cell r="E246" t="str">
            <v>15:00 - 21:00</v>
          </cell>
          <cell r="F246" t="str">
            <v>TARDE</v>
          </cell>
          <cell r="G246" t="str">
            <v>SAB Y DOM</v>
          </cell>
          <cell r="H246" t="str">
            <v>ROJAS, LUCAS</v>
          </cell>
          <cell r="I246" t="str">
            <v>Romandetto Carlos</v>
          </cell>
          <cell r="J246" t="str">
            <v>x</v>
          </cell>
          <cell r="K246"/>
          <cell r="L246" t="str">
            <v>x</v>
          </cell>
          <cell r="M246" t="str">
            <v>x</v>
          </cell>
          <cell r="N246" t="str">
            <v>x</v>
          </cell>
          <cell r="O246"/>
          <cell r="P246"/>
          <cell r="Q246"/>
          <cell r="R246" t="str">
            <v>x</v>
          </cell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>
            <v>45098</v>
          </cell>
          <cell r="AR246">
            <v>475</v>
          </cell>
          <cell r="AS246">
            <v>45289</v>
          </cell>
          <cell r="AT246">
            <v>284</v>
          </cell>
          <cell r="AU246" t="str">
            <v>VMAIRTES</v>
          </cell>
        </row>
        <row r="247">
          <cell r="C247">
            <v>606547</v>
          </cell>
          <cell r="D247" t="str">
            <v>PALOMINO GERALDINE CAROLYN</v>
          </cell>
          <cell r="E247" t="str">
            <v>11:00 - 17:00</v>
          </cell>
          <cell r="F247" t="str">
            <v>MAÑANA</v>
          </cell>
          <cell r="G247" t="str">
            <v>SAB Y DOM</v>
          </cell>
          <cell r="H247" t="str">
            <v>VILLALBA, MAITEN</v>
          </cell>
          <cell r="I247" t="str">
            <v>Romandetto Carlos</v>
          </cell>
          <cell r="J247" t="str">
            <v>x</v>
          </cell>
          <cell r="K247"/>
          <cell r="L247" t="str">
            <v>x</v>
          </cell>
          <cell r="M247" t="str">
            <v>x</v>
          </cell>
          <cell r="N247" t="str">
            <v>x</v>
          </cell>
          <cell r="O247"/>
          <cell r="P247"/>
          <cell r="Q247" t="str">
            <v>x</v>
          </cell>
          <cell r="R247" t="str">
            <v>x</v>
          </cell>
          <cell r="S247" t="str">
            <v>x</v>
          </cell>
          <cell r="T247" t="str">
            <v>x</v>
          </cell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 t="str">
            <v>x</v>
          </cell>
          <cell r="AO247" t="str">
            <v>x</v>
          </cell>
          <cell r="AP247"/>
          <cell r="AQ247">
            <v>45125</v>
          </cell>
          <cell r="AR247">
            <v>448</v>
          </cell>
          <cell r="AS247">
            <v>45562</v>
          </cell>
          <cell r="AT247">
            <v>11</v>
          </cell>
          <cell r="AU247" t="str">
            <v>VMAGEPAL</v>
          </cell>
        </row>
        <row r="248">
          <cell r="C248">
            <v>605678</v>
          </cell>
          <cell r="D248" t="str">
            <v>AQUINO ALEJANDRA</v>
          </cell>
          <cell r="E248" t="str">
            <v>10:00 - 16:00</v>
          </cell>
          <cell r="F248" t="str">
            <v>MAÑANA</v>
          </cell>
          <cell r="G248" t="str">
            <v>MAR Y DOM</v>
          </cell>
          <cell r="H248" t="str">
            <v>ROBLEDO, LEANDRO JAVIER</v>
          </cell>
          <cell r="I248" t="str">
            <v>Romandetto Carlos</v>
          </cell>
          <cell r="J248" t="str">
            <v>x</v>
          </cell>
          <cell r="K248"/>
          <cell r="L248" t="str">
            <v>x</v>
          </cell>
          <cell r="M248" t="str">
            <v>x</v>
          </cell>
          <cell r="N248" t="str">
            <v>x</v>
          </cell>
          <cell r="O248" t="str">
            <v>X</v>
          </cell>
          <cell r="P248"/>
          <cell r="Q248"/>
          <cell r="R248" t="str">
            <v>x</v>
          </cell>
          <cell r="S248"/>
          <cell r="T248"/>
          <cell r="U248"/>
          <cell r="V248"/>
          <cell r="W248"/>
          <cell r="X248"/>
          <cell r="Y248"/>
          <cell r="Z248"/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 t="str">
            <v>x</v>
          </cell>
          <cell r="AO248" t="str">
            <v>x</v>
          </cell>
          <cell r="AP248"/>
          <cell r="AQ248">
            <v>45125</v>
          </cell>
          <cell r="AR248">
            <v>448</v>
          </cell>
          <cell r="AS248">
            <v>45426</v>
          </cell>
          <cell r="AT248">
            <v>147</v>
          </cell>
          <cell r="AU248" t="str">
            <v>VMAALAQU</v>
          </cell>
        </row>
        <row r="249">
          <cell r="C249">
            <v>606297</v>
          </cell>
          <cell r="D249" t="str">
            <v>CASALES JUAN DE DIOS</v>
          </cell>
          <cell r="E249" t="str">
            <v>08:00 - 14:00</v>
          </cell>
          <cell r="F249" t="str">
            <v>MAÑANA</v>
          </cell>
          <cell r="G249" t="str">
            <v>SAB Y DOM</v>
          </cell>
          <cell r="H249" t="str">
            <v>ROBLEDO, LEANDRO JAVIER</v>
          </cell>
          <cell r="I249" t="str">
            <v>Romandetto Carlos</v>
          </cell>
          <cell r="J249"/>
          <cell r="K249"/>
          <cell r="L249" t="str">
            <v>x</v>
          </cell>
          <cell r="M249" t="str">
            <v>x</v>
          </cell>
          <cell r="N249" t="str">
            <v>x</v>
          </cell>
          <cell r="O249"/>
          <cell r="P249"/>
          <cell r="Q249"/>
          <cell r="R249" t="str">
            <v>x</v>
          </cell>
          <cell r="S249"/>
          <cell r="T249"/>
          <cell r="U249"/>
          <cell r="V249"/>
          <cell r="W249"/>
          <cell r="X249"/>
          <cell r="Y249"/>
          <cell r="Z249"/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 t="str">
            <v>x</v>
          </cell>
          <cell r="AO249" t="str">
            <v>x</v>
          </cell>
          <cell r="AP249"/>
          <cell r="AQ249">
            <v>45154</v>
          </cell>
          <cell r="AR249">
            <v>419</v>
          </cell>
          <cell r="AS249">
            <v>45198</v>
          </cell>
          <cell r="AT249">
            <v>375</v>
          </cell>
          <cell r="AU249" t="str">
            <v>VMAJUCAS</v>
          </cell>
        </row>
        <row r="250">
          <cell r="C250">
            <v>605662</v>
          </cell>
          <cell r="D250" t="str">
            <v>SAAVEDRA FRANCISCO JAVIER</v>
          </cell>
          <cell r="E250" t="str">
            <v>16:00 - 22:00</v>
          </cell>
          <cell r="F250" t="str">
            <v>TARDE</v>
          </cell>
          <cell r="G250" t="str">
            <v>SAB Y DOM</v>
          </cell>
          <cell r="H250" t="str">
            <v>GARZON, ROCIO BELEN</v>
          </cell>
          <cell r="I250" t="str">
            <v>Romandetto Carlos</v>
          </cell>
          <cell r="J250" t="str">
            <v>x</v>
          </cell>
          <cell r="K250"/>
          <cell r="L250" t="str">
            <v>x</v>
          </cell>
          <cell r="M250" t="str">
            <v>x</v>
          </cell>
          <cell r="N250" t="str">
            <v>x</v>
          </cell>
          <cell r="O250"/>
          <cell r="P250"/>
          <cell r="Q250" t="str">
            <v>x</v>
          </cell>
          <cell r="R250" t="str">
            <v>x</v>
          </cell>
          <cell r="S250" t="str">
            <v>x</v>
          </cell>
          <cell r="T250" t="str">
            <v>x</v>
          </cell>
          <cell r="U250"/>
          <cell r="V250"/>
          <cell r="W250"/>
          <cell r="X250"/>
          <cell r="Y250"/>
          <cell r="Z250"/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 t="str">
            <v>x</v>
          </cell>
          <cell r="AO250"/>
          <cell r="AP250" t="str">
            <v>x</v>
          </cell>
          <cell r="AQ250">
            <v>45219</v>
          </cell>
          <cell r="AR250">
            <v>354</v>
          </cell>
          <cell r="AS250">
            <v>45324</v>
          </cell>
          <cell r="AT250">
            <v>249</v>
          </cell>
          <cell r="AU250" t="str">
            <v>VMAFRSAA</v>
          </cell>
        </row>
        <row r="251">
          <cell r="C251">
            <v>605914</v>
          </cell>
          <cell r="D251" t="str">
            <v>RAMIREZ CAMILA TRINIDAD</v>
          </cell>
          <cell r="E251" t="str">
            <v>09:00 - 15:00</v>
          </cell>
          <cell r="F251" t="str">
            <v>MAÑANA</v>
          </cell>
          <cell r="G251" t="str">
            <v>SAB Y DOM</v>
          </cell>
          <cell r="H251" t="str">
            <v>LOUREIRO, FLORENCIA CANDELA</v>
          </cell>
          <cell r="I251" t="str">
            <v>Romandetto Carlos</v>
          </cell>
          <cell r="J251" t="str">
            <v>x</v>
          </cell>
          <cell r="K251"/>
          <cell r="L251" t="str">
            <v>x</v>
          </cell>
          <cell r="M251" t="str">
            <v>x</v>
          </cell>
          <cell r="N251" t="str">
            <v>x</v>
          </cell>
          <cell r="O251"/>
          <cell r="P251"/>
          <cell r="Q251"/>
          <cell r="R251" t="str">
            <v>x</v>
          </cell>
          <cell r="S251"/>
          <cell r="T251"/>
          <cell r="U251"/>
          <cell r="V251"/>
          <cell r="W251"/>
          <cell r="X251"/>
          <cell r="Y251"/>
          <cell r="Z251"/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 t="str">
            <v>x</v>
          </cell>
          <cell r="AO251" t="str">
            <v>x</v>
          </cell>
          <cell r="AP251"/>
          <cell r="AQ251">
            <v>44658</v>
          </cell>
          <cell r="AR251">
            <v>915</v>
          </cell>
          <cell r="AS251">
            <v>45350</v>
          </cell>
          <cell r="AT251">
            <v>223</v>
          </cell>
          <cell r="AU251" t="str">
            <v>VMACARAM</v>
          </cell>
        </row>
        <row r="252">
          <cell r="C252">
            <v>606243</v>
          </cell>
          <cell r="D252" t="str">
            <v>GODOY FLORENCIA YAEL</v>
          </cell>
          <cell r="E252" t="str">
            <v>12:00 - 18:00</v>
          </cell>
          <cell r="F252" t="str">
            <v>TARDE</v>
          </cell>
          <cell r="G252" t="str">
            <v>MAR Y DOM</v>
          </cell>
          <cell r="H252" t="str">
            <v>ONETTO, MARIA DE LOS MILAGROS</v>
          </cell>
          <cell r="I252" t="str">
            <v>Romandetto Carlos</v>
          </cell>
          <cell r="J252" t="str">
            <v>x</v>
          </cell>
          <cell r="K252"/>
          <cell r="L252" t="str">
            <v>x</v>
          </cell>
          <cell r="M252" t="str">
            <v>x</v>
          </cell>
          <cell r="N252" t="str">
            <v>x</v>
          </cell>
          <cell r="O252"/>
          <cell r="P252"/>
          <cell r="Q252"/>
          <cell r="R252" t="str">
            <v>x</v>
          </cell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/>
          <cell r="AH252"/>
          <cell r="AI252"/>
          <cell r="AJ252"/>
          <cell r="AK252"/>
          <cell r="AL252"/>
          <cell r="AM252"/>
          <cell r="AN252" t="str">
            <v>x</v>
          </cell>
          <cell r="AO252" t="str">
            <v>x</v>
          </cell>
          <cell r="AP252"/>
          <cell r="AQ252">
            <v>45014</v>
          </cell>
          <cell r="AR252">
            <v>559</v>
          </cell>
          <cell r="AS252">
            <v>45471</v>
          </cell>
          <cell r="AT252">
            <v>102</v>
          </cell>
          <cell r="AU252" t="str">
            <v>VMAFLGOD</v>
          </cell>
        </row>
        <row r="253">
          <cell r="C253">
            <v>605667</v>
          </cell>
          <cell r="D253" t="str">
            <v>NIN MACARENA BEATRIZ</v>
          </cell>
          <cell r="E253" t="str">
            <v>09:00 - 15:00</v>
          </cell>
          <cell r="F253" t="str">
            <v>MAÑANA</v>
          </cell>
          <cell r="G253" t="str">
            <v>SAB Y DOM</v>
          </cell>
          <cell r="H253" t="str">
            <v>VILLALBA, VICTORIA</v>
          </cell>
          <cell r="I253" t="str">
            <v>Romandetto Carlos</v>
          </cell>
          <cell r="J253" t="str">
            <v>x</v>
          </cell>
          <cell r="K253"/>
          <cell r="L253" t="str">
            <v>x</v>
          </cell>
          <cell r="M253" t="str">
            <v>x</v>
          </cell>
          <cell r="N253" t="str">
            <v>x</v>
          </cell>
          <cell r="O253"/>
          <cell r="P253"/>
          <cell r="Q253"/>
          <cell r="R253" t="str">
            <v>x</v>
          </cell>
          <cell r="S253"/>
          <cell r="T253"/>
          <cell r="U253"/>
          <cell r="V253"/>
          <cell r="W253"/>
          <cell r="X253"/>
          <cell r="Y253"/>
          <cell r="Z253"/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 t="str">
            <v>x</v>
          </cell>
          <cell r="AO253" t="str">
            <v>x</v>
          </cell>
          <cell r="AP253"/>
          <cell r="AQ253">
            <v>45014</v>
          </cell>
          <cell r="AR253">
            <v>559</v>
          </cell>
          <cell r="AS253">
            <v>45495</v>
          </cell>
          <cell r="AT253">
            <v>78</v>
          </cell>
          <cell r="AU253" t="str">
            <v>VMAMANIN</v>
          </cell>
        </row>
        <row r="254">
          <cell r="C254">
            <v>605631</v>
          </cell>
          <cell r="D254" t="str">
            <v>DOS SANTOS AGOSTINA</v>
          </cell>
          <cell r="E254" t="str">
            <v>09:00 - 15:00</v>
          </cell>
          <cell r="F254" t="str">
            <v>MAÑANA</v>
          </cell>
          <cell r="G254" t="str">
            <v>SAB Y DOM</v>
          </cell>
          <cell r="H254" t="str">
            <v>RUIZ, TOMAS EMANUEL</v>
          </cell>
          <cell r="I254" t="str">
            <v>Romandetto Carlos</v>
          </cell>
          <cell r="J254" t="str">
            <v>x</v>
          </cell>
          <cell r="K254"/>
          <cell r="L254" t="str">
            <v>x</v>
          </cell>
          <cell r="M254" t="str">
            <v>x</v>
          </cell>
          <cell r="N254" t="str">
            <v>x</v>
          </cell>
          <cell r="O254"/>
          <cell r="P254"/>
          <cell r="Q254"/>
          <cell r="R254" t="str">
            <v>x</v>
          </cell>
          <cell r="S254"/>
          <cell r="T254"/>
          <cell r="U254"/>
          <cell r="V254"/>
          <cell r="W254"/>
          <cell r="X254"/>
          <cell r="Y254"/>
          <cell r="Z254"/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 t="str">
            <v>x</v>
          </cell>
          <cell r="AO254" t="str">
            <v>x</v>
          </cell>
          <cell r="AP254"/>
          <cell r="AQ254">
            <v>45078</v>
          </cell>
          <cell r="AR254">
            <v>495</v>
          </cell>
          <cell r="AS254">
            <v>45443</v>
          </cell>
          <cell r="AT254">
            <v>130</v>
          </cell>
          <cell r="AU254" t="str">
            <v>VMAAGDOS</v>
          </cell>
        </row>
        <row r="255">
          <cell r="C255">
            <v>606036</v>
          </cell>
          <cell r="D255" t="str">
            <v>LESCANO MARIA FLORENCIA</v>
          </cell>
          <cell r="E255" t="str">
            <v>09:00 - 15:00</v>
          </cell>
          <cell r="F255" t="str">
            <v>MAÑANA</v>
          </cell>
          <cell r="G255" t="str">
            <v>SAB Y DOM</v>
          </cell>
          <cell r="H255" t="str">
            <v>LOUREIRO, FLORENCIA CANDELA</v>
          </cell>
          <cell r="I255" t="str">
            <v>Romandetto Carlos</v>
          </cell>
          <cell r="J255" t="str">
            <v>x</v>
          </cell>
          <cell r="K255"/>
          <cell r="L255" t="str">
            <v>x</v>
          </cell>
          <cell r="M255" t="str">
            <v>x</v>
          </cell>
          <cell r="N255" t="str">
            <v>x</v>
          </cell>
          <cell r="O255"/>
          <cell r="P255"/>
          <cell r="Q255"/>
          <cell r="R255" t="str">
            <v>x</v>
          </cell>
          <cell r="S255"/>
          <cell r="T255"/>
          <cell r="U255"/>
          <cell r="V255"/>
          <cell r="W255"/>
          <cell r="X255"/>
          <cell r="Y255"/>
          <cell r="Z255"/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/>
          <cell r="AO255"/>
          <cell r="AP255"/>
          <cell r="AQ255">
            <v>44722</v>
          </cell>
          <cell r="AR255">
            <v>851</v>
          </cell>
          <cell r="AS255">
            <v>45509</v>
          </cell>
          <cell r="AT255">
            <v>64</v>
          </cell>
          <cell r="AU255" t="str">
            <v>VMAMALES</v>
          </cell>
        </row>
        <row r="256">
          <cell r="C256">
            <v>661767</v>
          </cell>
          <cell r="D256" t="str">
            <v>AGUAYO IRALA ROCIO MAGALI</v>
          </cell>
          <cell r="E256" t="str">
            <v>09:00 - 15:00</v>
          </cell>
          <cell r="F256" t="str">
            <v>MAÑANA</v>
          </cell>
          <cell r="G256" t="str">
            <v>MIE Y SAB</v>
          </cell>
          <cell r="H256" t="str">
            <v>ROBLEDO, YESICA DANIELA</v>
          </cell>
          <cell r="I256" t="str">
            <v>Romandetto Carlos</v>
          </cell>
          <cell r="J256" t="str">
            <v>x</v>
          </cell>
          <cell r="K256"/>
          <cell r="L256" t="str">
            <v>x</v>
          </cell>
          <cell r="M256" t="str">
            <v>x</v>
          </cell>
          <cell r="N256" t="str">
            <v>x</v>
          </cell>
          <cell r="O256"/>
          <cell r="P256"/>
          <cell r="Q256"/>
          <cell r="R256" t="str">
            <v>x</v>
          </cell>
          <cell r="S256"/>
          <cell r="T256"/>
          <cell r="U256"/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 t="str">
            <v>x</v>
          </cell>
          <cell r="AO256" t="str">
            <v>x</v>
          </cell>
          <cell r="AP256"/>
          <cell r="AQ256">
            <v>44397</v>
          </cell>
          <cell r="AR256">
            <v>1176</v>
          </cell>
          <cell r="AS256">
            <v>45495</v>
          </cell>
          <cell r="AT256">
            <v>78</v>
          </cell>
          <cell r="AU256" t="str">
            <v>VMAROAGU</v>
          </cell>
        </row>
        <row r="257">
          <cell r="C257">
            <v>606096</v>
          </cell>
          <cell r="D257" t="str">
            <v>TOGNOLE JORGE LEONARDO</v>
          </cell>
          <cell r="E257" t="str">
            <v>11:00 - 17:00</v>
          </cell>
          <cell r="F257" t="str">
            <v>MAÑANA</v>
          </cell>
          <cell r="G257" t="str">
            <v>SAB Y DOM</v>
          </cell>
          <cell r="H257" t="str">
            <v>GROESMANN, MAYA JUDITH</v>
          </cell>
          <cell r="I257" t="str">
            <v>Romandetto Carlos</v>
          </cell>
          <cell r="J257" t="str">
            <v>x</v>
          </cell>
          <cell r="K257"/>
          <cell r="L257" t="str">
            <v>x</v>
          </cell>
          <cell r="M257" t="str">
            <v>x</v>
          </cell>
          <cell r="N257" t="str">
            <v>x</v>
          </cell>
          <cell r="O257"/>
          <cell r="P257"/>
          <cell r="Q257"/>
          <cell r="R257" t="str">
            <v>x</v>
          </cell>
          <cell r="S257"/>
          <cell r="T257"/>
          <cell r="U257"/>
          <cell r="V257"/>
          <cell r="W257"/>
          <cell r="X257"/>
          <cell r="Y257"/>
          <cell r="Z257"/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 t="str">
            <v>X</v>
          </cell>
          <cell r="AO257" t="str">
            <v>x</v>
          </cell>
          <cell r="AP257"/>
          <cell r="AQ257">
            <v>44811</v>
          </cell>
          <cell r="AR257">
            <v>762</v>
          </cell>
          <cell r="AS257">
            <v>45495</v>
          </cell>
          <cell r="AT257">
            <v>78</v>
          </cell>
          <cell r="AU257" t="str">
            <v>VMAJOTOG</v>
          </cell>
        </row>
        <row r="258">
          <cell r="C258">
            <v>606561</v>
          </cell>
          <cell r="D258" t="str">
            <v>HANGLIN CORREA CRISTIAN NOE</v>
          </cell>
          <cell r="E258" t="str">
            <v>09:00 - 15:00</v>
          </cell>
          <cell r="F258" t="str">
            <v>MAÑANA</v>
          </cell>
          <cell r="G258" t="str">
            <v>JUE Y DOM</v>
          </cell>
          <cell r="H258" t="str">
            <v>RUIZ, TOMAS EMANUEL</v>
          </cell>
          <cell r="I258" t="str">
            <v>Romandetto Carlos</v>
          </cell>
          <cell r="J258" t="str">
            <v>x</v>
          </cell>
          <cell r="K258"/>
          <cell r="L258" t="str">
            <v>x</v>
          </cell>
          <cell r="M258" t="str">
            <v>x</v>
          </cell>
          <cell r="N258" t="str">
            <v>x</v>
          </cell>
          <cell r="O258"/>
          <cell r="P258"/>
          <cell r="Q258"/>
          <cell r="R258"/>
          <cell r="S258"/>
          <cell r="T258"/>
          <cell r="U258"/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 t="str">
            <v>x</v>
          </cell>
          <cell r="AO258" t="str">
            <v>x</v>
          </cell>
          <cell r="AP258"/>
          <cell r="AQ258">
            <v>45278</v>
          </cell>
          <cell r="AR258">
            <v>295</v>
          </cell>
          <cell r="AS258">
            <v>45322</v>
          </cell>
          <cell r="AT258">
            <v>251</v>
          </cell>
          <cell r="AU258" t="str">
            <v>VMACRHAN</v>
          </cell>
        </row>
        <row r="259">
          <cell r="C259">
            <v>606558</v>
          </cell>
          <cell r="D259" t="str">
            <v>FRAGALE PABLO DANIEL</v>
          </cell>
          <cell r="E259" t="str">
            <v>09:00 - 15:00</v>
          </cell>
          <cell r="F259" t="str">
            <v>MAÑANA</v>
          </cell>
          <cell r="G259" t="str">
            <v>MIE Y SAB</v>
          </cell>
          <cell r="H259" t="str">
            <v>ROBLEDO, YESICA DANIELA</v>
          </cell>
          <cell r="I259" t="str">
            <v>Romandetto Carlos</v>
          </cell>
          <cell r="J259" t="str">
            <v>x</v>
          </cell>
          <cell r="K259"/>
          <cell r="L259" t="str">
            <v>x</v>
          </cell>
          <cell r="M259" t="str">
            <v>x</v>
          </cell>
          <cell r="N259" t="str">
            <v>x</v>
          </cell>
          <cell r="O259"/>
          <cell r="P259"/>
          <cell r="Q259"/>
          <cell r="R259" t="str">
            <v>x</v>
          </cell>
          <cell r="S259"/>
          <cell r="T259"/>
          <cell r="U259"/>
          <cell r="V259"/>
          <cell r="W259"/>
          <cell r="X259"/>
          <cell r="Y259"/>
          <cell r="Z259"/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 t="str">
            <v>x</v>
          </cell>
          <cell r="AO259" t="str">
            <v>x</v>
          </cell>
          <cell r="AP259"/>
          <cell r="AQ259">
            <v>45278</v>
          </cell>
          <cell r="AR259">
            <v>295</v>
          </cell>
          <cell r="AS259">
            <v>45322</v>
          </cell>
          <cell r="AT259">
            <v>251</v>
          </cell>
          <cell r="AU259" t="str">
            <v>VMAPAFRA</v>
          </cell>
        </row>
        <row r="260">
          <cell r="C260">
            <v>606570</v>
          </cell>
          <cell r="D260" t="str">
            <v>NIETO MELINA AYLEN</v>
          </cell>
          <cell r="E260" t="str">
            <v>12:00 - 18:00</v>
          </cell>
          <cell r="F260" t="str">
            <v>TARDE</v>
          </cell>
          <cell r="G260" t="str">
            <v>SAB Y DOM</v>
          </cell>
          <cell r="H260" t="str">
            <v>GOMEZ, AYLEN MILAGROS</v>
          </cell>
          <cell r="I260" t="str">
            <v>Romandetto Carlos</v>
          </cell>
          <cell r="J260" t="str">
            <v>x</v>
          </cell>
          <cell r="K260"/>
          <cell r="L260" t="str">
            <v>x</v>
          </cell>
          <cell r="M260" t="str">
            <v>x</v>
          </cell>
          <cell r="N260" t="str">
            <v>x</v>
          </cell>
          <cell r="O260"/>
          <cell r="P260"/>
          <cell r="Q260"/>
          <cell r="R260"/>
          <cell r="S260"/>
          <cell r="T260"/>
          <cell r="U260"/>
          <cell r="V260"/>
          <cell r="W260"/>
          <cell r="X260"/>
          <cell r="Y260"/>
          <cell r="Z260"/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 t="str">
            <v>x</v>
          </cell>
          <cell r="AO260" t="str">
            <v>x</v>
          </cell>
          <cell r="AP260"/>
          <cell r="AQ260">
            <v>45278</v>
          </cell>
          <cell r="AR260">
            <v>295</v>
          </cell>
          <cell r="AS260">
            <v>45322</v>
          </cell>
          <cell r="AT260">
            <v>251</v>
          </cell>
          <cell r="AU260" t="str">
            <v>VMAMENIE</v>
          </cell>
        </row>
        <row r="261">
          <cell r="C261">
            <v>606576</v>
          </cell>
          <cell r="D261" t="str">
            <v>SOLIS SEBASTIAN RODRIGO</v>
          </cell>
          <cell r="E261" t="str">
            <v>09:00 - 15:00</v>
          </cell>
          <cell r="F261" t="str">
            <v>MAÑANA</v>
          </cell>
          <cell r="G261" t="str">
            <v>MIE Y SAB</v>
          </cell>
          <cell r="H261" t="str">
            <v>RUIZ, TOMAS EMANUEL</v>
          </cell>
          <cell r="I261" t="str">
            <v>Romandetto Carlos</v>
          </cell>
          <cell r="J261" t="str">
            <v>x</v>
          </cell>
          <cell r="K261"/>
          <cell r="L261" t="str">
            <v>x</v>
          </cell>
          <cell r="M261" t="str">
            <v>x</v>
          </cell>
          <cell r="N261" t="str">
            <v>x</v>
          </cell>
          <cell r="O261"/>
          <cell r="P261"/>
          <cell r="Q261"/>
          <cell r="R261"/>
          <cell r="S261"/>
          <cell r="T261"/>
          <cell r="U261"/>
          <cell r="V261"/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  <cell r="AH261"/>
          <cell r="AI261"/>
          <cell r="AJ261" t="str">
            <v>x</v>
          </cell>
          <cell r="AK261"/>
          <cell r="AL261"/>
          <cell r="AM261"/>
          <cell r="AN261" t="str">
            <v>x</v>
          </cell>
          <cell r="AO261" t="str">
            <v>x</v>
          </cell>
          <cell r="AP261"/>
          <cell r="AQ261">
            <v>45278</v>
          </cell>
          <cell r="AR261">
            <v>295</v>
          </cell>
          <cell r="AS261">
            <v>45379</v>
          </cell>
          <cell r="AT261">
            <v>194</v>
          </cell>
          <cell r="AU261" t="str">
            <v>VMASESOL</v>
          </cell>
        </row>
        <row r="262">
          <cell r="C262">
            <v>606550</v>
          </cell>
          <cell r="D262" t="str">
            <v>ROLON NANCY MAGALI</v>
          </cell>
          <cell r="E262" t="str">
            <v>09:00 - 15:00</v>
          </cell>
          <cell r="F262" t="str">
            <v>MAÑANA</v>
          </cell>
          <cell r="G262" t="str">
            <v>SAB Y DOM</v>
          </cell>
          <cell r="H262" t="str">
            <v>GROESMANN, MAYA JUDITH</v>
          </cell>
          <cell r="I262" t="str">
            <v>Romandetto Carlos</v>
          </cell>
          <cell r="J262" t="str">
            <v>x</v>
          </cell>
          <cell r="K262"/>
          <cell r="L262" t="str">
            <v>x</v>
          </cell>
          <cell r="M262" t="str">
            <v>x</v>
          </cell>
          <cell r="N262" t="str">
            <v>x</v>
          </cell>
          <cell r="O262"/>
          <cell r="P262"/>
          <cell r="Q262"/>
          <cell r="R262"/>
          <cell r="S262"/>
          <cell r="T262"/>
          <cell r="U262"/>
          <cell r="V262"/>
          <cell r="W262"/>
          <cell r="X262"/>
          <cell r="Y262"/>
          <cell r="Z262"/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 t="str">
            <v>x</v>
          </cell>
          <cell r="AO262" t="str">
            <v>x</v>
          </cell>
          <cell r="AP262"/>
          <cell r="AQ262">
            <v>45278</v>
          </cell>
          <cell r="AR262">
            <v>295</v>
          </cell>
          <cell r="AS262">
            <v>45322</v>
          </cell>
          <cell r="AT262">
            <v>251</v>
          </cell>
          <cell r="AU262" t="str">
            <v>VMANAROL</v>
          </cell>
        </row>
        <row r="263">
          <cell r="C263">
            <v>606549</v>
          </cell>
          <cell r="D263" t="str">
            <v>LUNA JENNIFER ALEJANDRA</v>
          </cell>
          <cell r="E263" t="str">
            <v>10:00 - 16:00</v>
          </cell>
          <cell r="F263" t="str">
            <v>MAÑANA</v>
          </cell>
          <cell r="G263" t="str">
            <v>SAB Y DOM</v>
          </cell>
          <cell r="H263" t="str">
            <v>LOUREIRO, FLORENCIA CANDELA</v>
          </cell>
          <cell r="I263" t="str">
            <v>Romandetto Carlos</v>
          </cell>
          <cell r="J263" t="str">
            <v>x</v>
          </cell>
          <cell r="K263"/>
          <cell r="L263" t="str">
            <v>x</v>
          </cell>
          <cell r="M263" t="str">
            <v>x</v>
          </cell>
          <cell r="N263" t="str">
            <v>x</v>
          </cell>
          <cell r="O263"/>
          <cell r="P263"/>
          <cell r="Q263" t="str">
            <v>x</v>
          </cell>
          <cell r="R263" t="str">
            <v>x</v>
          </cell>
          <cell r="S263" t="str">
            <v>x</v>
          </cell>
          <cell r="T263" t="str">
            <v>x</v>
          </cell>
          <cell r="U263"/>
          <cell r="V263"/>
          <cell r="W263"/>
          <cell r="X263"/>
          <cell r="Y263"/>
          <cell r="Z263"/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 t="str">
            <v>x</v>
          </cell>
          <cell r="AO263"/>
          <cell r="AP263" t="str">
            <v>x</v>
          </cell>
          <cell r="AQ263">
            <v>45278</v>
          </cell>
          <cell r="AR263">
            <v>295</v>
          </cell>
          <cell r="AS263">
            <v>45478</v>
          </cell>
          <cell r="AT263">
            <v>95</v>
          </cell>
          <cell r="AU263" t="str">
            <v>VMAJELUN</v>
          </cell>
        </row>
        <row r="264">
          <cell r="C264">
            <v>606577</v>
          </cell>
          <cell r="D264" t="str">
            <v>RIQUELME LUCIA</v>
          </cell>
          <cell r="E264" t="str">
            <v>10:00 - 16:00</v>
          </cell>
          <cell r="F264" t="str">
            <v>MAÑANA</v>
          </cell>
          <cell r="G264" t="str">
            <v>SAB Y DOM</v>
          </cell>
          <cell r="H264" t="str">
            <v>LOUREIRO, FLORENCIA CANDELA</v>
          </cell>
          <cell r="I264" t="str">
            <v>Romandetto Carlos</v>
          </cell>
          <cell r="J264" t="str">
            <v>x</v>
          </cell>
          <cell r="K264"/>
          <cell r="L264" t="str">
            <v>x</v>
          </cell>
          <cell r="M264" t="str">
            <v>x</v>
          </cell>
          <cell r="N264" t="str">
            <v>x</v>
          </cell>
          <cell r="O264"/>
          <cell r="P264"/>
          <cell r="Q264"/>
          <cell r="R264" t="str">
            <v>x</v>
          </cell>
          <cell r="S264"/>
          <cell r="T264"/>
          <cell r="U264"/>
          <cell r="V264"/>
          <cell r="W264"/>
          <cell r="X264"/>
          <cell r="Y264"/>
          <cell r="Z264"/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 t="str">
            <v>x</v>
          </cell>
          <cell r="AO264" t="str">
            <v>x</v>
          </cell>
          <cell r="AP264"/>
          <cell r="AQ264">
            <v>45278</v>
          </cell>
          <cell r="AR264">
            <v>295</v>
          </cell>
          <cell r="AS264">
            <v>45322</v>
          </cell>
          <cell r="AT264">
            <v>251</v>
          </cell>
          <cell r="AU264" t="str">
            <v>VMALURIQ</v>
          </cell>
        </row>
        <row r="265">
          <cell r="C265">
            <v>606572</v>
          </cell>
          <cell r="D265" t="str">
            <v>ROSALES ISAIAS DAVID</v>
          </cell>
          <cell r="E265" t="str">
            <v>15:00 - 21:00</v>
          </cell>
          <cell r="F265" t="str">
            <v>TARDE</v>
          </cell>
          <cell r="G265" t="str">
            <v>MIE Y SAB</v>
          </cell>
          <cell r="H265" t="str">
            <v>YBARRA, LUCIA ALDANA</v>
          </cell>
          <cell r="I265" t="str">
            <v>Romandetto Carlos</v>
          </cell>
          <cell r="J265" t="str">
            <v>x</v>
          </cell>
          <cell r="K265"/>
          <cell r="L265" t="str">
            <v>x</v>
          </cell>
          <cell r="M265" t="str">
            <v>x</v>
          </cell>
          <cell r="N265" t="str">
            <v>x</v>
          </cell>
          <cell r="O265"/>
          <cell r="P265"/>
          <cell r="Q265"/>
          <cell r="R265"/>
          <cell r="S265"/>
          <cell r="T265"/>
          <cell r="U265"/>
          <cell r="V265"/>
          <cell r="W265"/>
          <cell r="X265"/>
          <cell r="Y265"/>
          <cell r="Z265"/>
          <cell r="AA265"/>
          <cell r="AB265"/>
          <cell r="AC265"/>
          <cell r="AD265"/>
          <cell r="AE265"/>
          <cell r="AF265"/>
          <cell r="AG265"/>
          <cell r="AH265"/>
          <cell r="AI265"/>
          <cell r="AJ265" t="str">
            <v>x</v>
          </cell>
          <cell r="AK265"/>
          <cell r="AL265"/>
          <cell r="AM265"/>
          <cell r="AN265"/>
          <cell r="AO265"/>
          <cell r="AP265"/>
          <cell r="AQ265">
            <v>45278</v>
          </cell>
          <cell r="AR265">
            <v>295</v>
          </cell>
          <cell r="AS265">
            <v>45379</v>
          </cell>
          <cell r="AT265">
            <v>194</v>
          </cell>
          <cell r="AU265" t="str">
            <v>VMAISROS</v>
          </cell>
        </row>
        <row r="266">
          <cell r="C266">
            <v>606587</v>
          </cell>
          <cell r="D266" t="str">
            <v>RIZZOLI EMILIANO</v>
          </cell>
          <cell r="E266" t="str">
            <v>09:00 - 15:00</v>
          </cell>
          <cell r="F266" t="str">
            <v>MAÑANA</v>
          </cell>
          <cell r="G266" t="str">
            <v>SAB Y DOM</v>
          </cell>
          <cell r="H266" t="str">
            <v>DIAZ, PAULA</v>
          </cell>
          <cell r="I266" t="str">
            <v>Romandetto Carlos</v>
          </cell>
          <cell r="J266" t="str">
            <v>x</v>
          </cell>
          <cell r="K266"/>
          <cell r="L266" t="str">
            <v>x</v>
          </cell>
          <cell r="M266" t="str">
            <v>x</v>
          </cell>
          <cell r="N266" t="str">
            <v>x</v>
          </cell>
          <cell r="O266"/>
          <cell r="P266"/>
          <cell r="Q266" t="str">
            <v>x</v>
          </cell>
          <cell r="R266" t="str">
            <v>x</v>
          </cell>
          <cell r="S266" t="str">
            <v>x</v>
          </cell>
          <cell r="T266" t="str">
            <v>x</v>
          </cell>
          <cell r="U266"/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 t="str">
            <v>x</v>
          </cell>
          <cell r="AO266" t="str">
            <v>x</v>
          </cell>
          <cell r="AP266"/>
          <cell r="AQ266">
            <v>45278</v>
          </cell>
          <cell r="AR266">
            <v>295</v>
          </cell>
          <cell r="AS266">
            <v>45562</v>
          </cell>
          <cell r="AT266">
            <v>11</v>
          </cell>
          <cell r="AU266" t="str">
            <v>VMAEMRIZ</v>
          </cell>
        </row>
        <row r="267">
          <cell r="C267">
            <v>606591</v>
          </cell>
          <cell r="D267" t="str">
            <v>GUTIERREZ MARIA SOLEDAD</v>
          </cell>
          <cell r="E267" t="str">
            <v>09:00 - 15:00</v>
          </cell>
          <cell r="F267" t="str">
            <v>MAÑANA</v>
          </cell>
          <cell r="G267" t="str">
            <v>SAB Y DOM</v>
          </cell>
          <cell r="H267" t="str">
            <v>DIAZ, PAULA</v>
          </cell>
          <cell r="I267" t="str">
            <v>Romandetto Carlos</v>
          </cell>
          <cell r="J267" t="str">
            <v>x</v>
          </cell>
          <cell r="K267"/>
          <cell r="L267" t="str">
            <v>x</v>
          </cell>
          <cell r="M267" t="str">
            <v>x</v>
          </cell>
          <cell r="N267" t="str">
            <v>x</v>
          </cell>
          <cell r="O267"/>
          <cell r="P267"/>
          <cell r="Q267" t="str">
            <v>x</v>
          </cell>
          <cell r="R267" t="str">
            <v>x</v>
          </cell>
          <cell r="S267" t="str">
            <v>x</v>
          </cell>
          <cell r="T267" t="str">
            <v>x</v>
          </cell>
          <cell r="U267"/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 t="str">
            <v>x</v>
          </cell>
          <cell r="AO267"/>
          <cell r="AP267" t="str">
            <v>x</v>
          </cell>
          <cell r="AQ267">
            <v>45278</v>
          </cell>
          <cell r="AR267">
            <v>295</v>
          </cell>
          <cell r="AS267">
            <v>45394</v>
          </cell>
          <cell r="AT267">
            <v>179</v>
          </cell>
          <cell r="AU267" t="str">
            <v>VMAMAGUT</v>
          </cell>
        </row>
        <row r="268">
          <cell r="C268">
            <v>606588</v>
          </cell>
          <cell r="D268" t="str">
            <v>COLMENARES ISMADARAY</v>
          </cell>
          <cell r="E268" t="str">
            <v>09:00 - 15:00</v>
          </cell>
          <cell r="F268" t="str">
            <v>MAÑANA</v>
          </cell>
          <cell r="G268" t="str">
            <v>SAB Y DOM</v>
          </cell>
          <cell r="H268" t="str">
            <v>DIAZ, PAULA</v>
          </cell>
          <cell r="I268" t="str">
            <v>Romandetto Carlos</v>
          </cell>
          <cell r="J268" t="str">
            <v>x</v>
          </cell>
          <cell r="K268"/>
          <cell r="L268" t="str">
            <v>x</v>
          </cell>
          <cell r="M268" t="str">
            <v>x</v>
          </cell>
          <cell r="N268" t="str">
            <v>x</v>
          </cell>
          <cell r="O268"/>
          <cell r="P268"/>
          <cell r="Q268" t="str">
            <v>x</v>
          </cell>
          <cell r="R268" t="str">
            <v>x</v>
          </cell>
          <cell r="S268" t="str">
            <v>x</v>
          </cell>
          <cell r="T268" t="str">
            <v>x</v>
          </cell>
          <cell r="U268"/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 t="str">
            <v>x</v>
          </cell>
          <cell r="AO268"/>
          <cell r="AP268" t="str">
            <v>x</v>
          </cell>
          <cell r="AQ268">
            <v>45278</v>
          </cell>
          <cell r="AR268">
            <v>295</v>
          </cell>
          <cell r="AS268">
            <v>45394</v>
          </cell>
          <cell r="AT268">
            <v>179</v>
          </cell>
          <cell r="AU268" t="str">
            <v>VMAISCOL</v>
          </cell>
        </row>
        <row r="269">
          <cell r="C269">
            <v>606603</v>
          </cell>
          <cell r="D269" t="str">
            <v>BALBUENA JOSE LUIS</v>
          </cell>
          <cell r="E269" t="str">
            <v>09:00 - 15:00</v>
          </cell>
          <cell r="F269" t="str">
            <v>MAÑANA</v>
          </cell>
          <cell r="G269" t="str">
            <v>SAB Y DOM</v>
          </cell>
          <cell r="H269" t="str">
            <v>ROBLEDO, LEANDRO JAVIER</v>
          </cell>
          <cell r="I269" t="str">
            <v>Romandetto Carlos</v>
          </cell>
          <cell r="J269" t="str">
            <v>x</v>
          </cell>
          <cell r="K269"/>
          <cell r="L269" t="str">
            <v>x</v>
          </cell>
          <cell r="M269" t="str">
            <v>x</v>
          </cell>
          <cell r="N269" t="str">
            <v>x</v>
          </cell>
          <cell r="O269"/>
          <cell r="P269"/>
          <cell r="Q269"/>
          <cell r="R269"/>
          <cell r="S269"/>
          <cell r="T269"/>
          <cell r="U269"/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 t="str">
            <v>x</v>
          </cell>
          <cell r="AO269" t="str">
            <v>x</v>
          </cell>
          <cell r="AP269"/>
          <cell r="AQ269">
            <v>45278</v>
          </cell>
          <cell r="AR269">
            <v>295</v>
          </cell>
          <cell r="AS269">
            <v>45322</v>
          </cell>
          <cell r="AT269">
            <v>251</v>
          </cell>
          <cell r="AU269" t="str">
            <v>VMAJOBAL</v>
          </cell>
        </row>
        <row r="270">
          <cell r="C270">
            <v>606601</v>
          </cell>
          <cell r="D270" t="str">
            <v>QUINTANA LUCIA BELEN</v>
          </cell>
          <cell r="E270" t="str">
            <v>15:00 - 21:00</v>
          </cell>
          <cell r="F270" t="str">
            <v>TARDE</v>
          </cell>
          <cell r="G270" t="str">
            <v>MIE Y DOM</v>
          </cell>
          <cell r="H270" t="str">
            <v>SOLER, SANTIAGO MAXIMILIANO</v>
          </cell>
          <cell r="I270" t="str">
            <v>Romandetto Carlos</v>
          </cell>
          <cell r="J270" t="str">
            <v>x</v>
          </cell>
          <cell r="K270"/>
          <cell r="L270" t="str">
            <v>x</v>
          </cell>
          <cell r="M270" t="str">
            <v>x</v>
          </cell>
          <cell r="N270" t="str">
            <v>x</v>
          </cell>
          <cell r="O270"/>
          <cell r="P270"/>
          <cell r="Q270"/>
          <cell r="R270"/>
          <cell r="S270"/>
          <cell r="T270"/>
          <cell r="U270"/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 t="str">
            <v>x</v>
          </cell>
          <cell r="AO270" t="str">
            <v>x</v>
          </cell>
          <cell r="AP270"/>
          <cell r="AQ270">
            <v>45278</v>
          </cell>
          <cell r="AR270">
            <v>295</v>
          </cell>
          <cell r="AS270">
            <v>45322</v>
          </cell>
          <cell r="AT270">
            <v>251</v>
          </cell>
          <cell r="AU270" t="str">
            <v>VMALUQUI</v>
          </cell>
        </row>
        <row r="271">
          <cell r="C271">
            <v>606614</v>
          </cell>
          <cell r="D271" t="str">
            <v>SOSA BERNAO MARTINA</v>
          </cell>
          <cell r="E271" t="str">
            <v>15:00 - 21:00</v>
          </cell>
          <cell r="F271" t="str">
            <v>TARDE</v>
          </cell>
          <cell r="G271" t="str">
            <v>SAB Y DOM</v>
          </cell>
          <cell r="H271" t="str">
            <v>GARZON, ROCIO BELEN</v>
          </cell>
          <cell r="I271" t="str">
            <v>Romandetto Carlos</v>
          </cell>
          <cell r="J271" t="str">
            <v>x</v>
          </cell>
          <cell r="K271"/>
          <cell r="L271" t="str">
            <v>x</v>
          </cell>
          <cell r="M271" t="str">
            <v>x</v>
          </cell>
          <cell r="N271" t="str">
            <v>x</v>
          </cell>
          <cell r="O271"/>
          <cell r="P271"/>
          <cell r="Q271"/>
          <cell r="R271"/>
          <cell r="S271"/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 t="str">
            <v>x</v>
          </cell>
          <cell r="AO271" t="str">
            <v>x</v>
          </cell>
          <cell r="AP271"/>
          <cell r="AQ271">
            <v>45279</v>
          </cell>
          <cell r="AR271">
            <v>294</v>
          </cell>
          <cell r="AS271">
            <v>45322</v>
          </cell>
          <cell r="AT271">
            <v>251</v>
          </cell>
          <cell r="AU271" t="str">
            <v>VMAMARSO</v>
          </cell>
        </row>
        <row r="272">
          <cell r="C272">
            <v>606615</v>
          </cell>
          <cell r="D272" t="str">
            <v>MORALES GONZALEZ MELISA</v>
          </cell>
          <cell r="E272" t="str">
            <v>18:00 - 00:00</v>
          </cell>
          <cell r="F272" t="str">
            <v>NOCHE</v>
          </cell>
          <cell r="G272" t="str">
            <v>SAB Y DOM</v>
          </cell>
          <cell r="H272" t="str">
            <v>MIR, TOMAS MAURICIO</v>
          </cell>
          <cell r="I272" t="str">
            <v>Romandetto Carlos</v>
          </cell>
          <cell r="J272" t="str">
            <v>x</v>
          </cell>
          <cell r="K272"/>
          <cell r="L272" t="str">
            <v>x</v>
          </cell>
          <cell r="M272" t="str">
            <v>x</v>
          </cell>
          <cell r="N272" t="str">
            <v>x</v>
          </cell>
          <cell r="O272"/>
          <cell r="P272"/>
          <cell r="Q272" t="str">
            <v>x</v>
          </cell>
          <cell r="R272" t="str">
            <v>x</v>
          </cell>
          <cell r="S272" t="str">
            <v>x</v>
          </cell>
          <cell r="T272" t="str">
            <v>x</v>
          </cell>
          <cell r="U272"/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  <cell r="AF272"/>
          <cell r="AG272"/>
          <cell r="AH272"/>
          <cell r="AI272"/>
          <cell r="AJ272"/>
          <cell r="AK272"/>
          <cell r="AL272"/>
          <cell r="AM272"/>
          <cell r="AN272" t="str">
            <v>x</v>
          </cell>
          <cell r="AO272"/>
          <cell r="AP272" t="str">
            <v>x</v>
          </cell>
          <cell r="AQ272">
            <v>45278</v>
          </cell>
          <cell r="AR272">
            <v>295</v>
          </cell>
          <cell r="AS272">
            <v>45397</v>
          </cell>
          <cell r="AT272">
            <v>176</v>
          </cell>
          <cell r="AU272" t="str">
            <v>VMAMEMOR</v>
          </cell>
        </row>
        <row r="273">
          <cell r="C273">
            <v>606616</v>
          </cell>
          <cell r="D273" t="str">
            <v>SAGRADO NICOLAS</v>
          </cell>
          <cell r="E273" t="str">
            <v>15:00 - 21:00</v>
          </cell>
          <cell r="F273" t="str">
            <v>TARDE</v>
          </cell>
          <cell r="G273" t="str">
            <v>VIE Y SAB</v>
          </cell>
          <cell r="H273" t="str">
            <v>SOLER, SANTIAGO MAXIMILIANO</v>
          </cell>
          <cell r="I273" t="str">
            <v>Romandetto Carlos</v>
          </cell>
          <cell r="J273" t="str">
            <v>x</v>
          </cell>
          <cell r="K273"/>
          <cell r="L273" t="str">
            <v>x</v>
          </cell>
          <cell r="M273" t="str">
            <v>x</v>
          </cell>
          <cell r="N273" t="str">
            <v>x</v>
          </cell>
          <cell r="O273"/>
          <cell r="P273"/>
          <cell r="Q273" t="str">
            <v>x</v>
          </cell>
          <cell r="R273" t="str">
            <v>x</v>
          </cell>
          <cell r="S273" t="str">
            <v>x</v>
          </cell>
          <cell r="T273" t="str">
            <v>x</v>
          </cell>
          <cell r="U273"/>
          <cell r="V273"/>
          <cell r="W273"/>
          <cell r="X273"/>
          <cell r="Y273"/>
          <cell r="Z273"/>
          <cell r="AA273"/>
          <cell r="AB273"/>
          <cell r="AC273"/>
          <cell r="AD273"/>
          <cell r="AE273"/>
          <cell r="AF273"/>
          <cell r="AG273"/>
          <cell r="AH273"/>
          <cell r="AI273"/>
          <cell r="AJ273"/>
          <cell r="AK273"/>
          <cell r="AL273"/>
          <cell r="AM273"/>
          <cell r="AN273" t="str">
            <v>x</v>
          </cell>
          <cell r="AO273"/>
          <cell r="AP273" t="str">
            <v>x</v>
          </cell>
          <cell r="AQ273">
            <v>45308</v>
          </cell>
          <cell r="AR273">
            <v>265</v>
          </cell>
          <cell r="AS273">
            <v>45397</v>
          </cell>
          <cell r="AT273">
            <v>176</v>
          </cell>
          <cell r="AU273" t="str">
            <v>VMANISAG</v>
          </cell>
        </row>
        <row r="274">
          <cell r="C274">
            <v>606617</v>
          </cell>
          <cell r="D274" t="str">
            <v>QUINTANA ELIZABETH DENISE</v>
          </cell>
          <cell r="E274" t="str">
            <v>12:00 - 18:00</v>
          </cell>
          <cell r="F274" t="str">
            <v>TARDE</v>
          </cell>
          <cell r="G274" t="str">
            <v>JUE Y DOM</v>
          </cell>
          <cell r="H274" t="str">
            <v>SOLER, SANTIAGO MAXIMILIANO</v>
          </cell>
          <cell r="I274" t="str">
            <v>Romandetto Carlos</v>
          </cell>
          <cell r="J274" t="str">
            <v>x</v>
          </cell>
          <cell r="K274"/>
          <cell r="L274" t="str">
            <v>x</v>
          </cell>
          <cell r="M274" t="str">
            <v>x</v>
          </cell>
          <cell r="N274" t="str">
            <v>x</v>
          </cell>
          <cell r="O274"/>
          <cell r="P274"/>
          <cell r="Q274"/>
          <cell r="R274"/>
          <cell r="S274"/>
          <cell r="T274"/>
          <cell r="U274"/>
          <cell r="V274"/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/>
          <cell r="AH274"/>
          <cell r="AI274"/>
          <cell r="AJ274"/>
          <cell r="AK274"/>
          <cell r="AL274"/>
          <cell r="AM274"/>
          <cell r="AN274" t="str">
            <v>x</v>
          </cell>
          <cell r="AO274" t="str">
            <v>x</v>
          </cell>
          <cell r="AP274"/>
          <cell r="AQ274">
            <v>45308</v>
          </cell>
          <cell r="AR274">
            <v>265</v>
          </cell>
          <cell r="AS274">
            <v>45352</v>
          </cell>
          <cell r="AT274">
            <v>221</v>
          </cell>
          <cell r="AU274" t="str">
            <v>VMAELQUI</v>
          </cell>
        </row>
        <row r="275">
          <cell r="C275">
            <v>606620</v>
          </cell>
          <cell r="D275" t="str">
            <v>MOTTA ELVERDI MICAELA DANIELA</v>
          </cell>
          <cell r="E275" t="str">
            <v>18:00 - 00:00</v>
          </cell>
          <cell r="F275" t="str">
            <v>NOCHE</v>
          </cell>
          <cell r="G275" t="str">
            <v>MAR Y DOM</v>
          </cell>
          <cell r="H275" t="str">
            <v>SOLER, SANTIAGO MAXIMILIANO</v>
          </cell>
          <cell r="I275" t="str">
            <v>Romandetto Carlos</v>
          </cell>
          <cell r="J275" t="str">
            <v>x</v>
          </cell>
          <cell r="K275"/>
          <cell r="L275" t="str">
            <v>x</v>
          </cell>
          <cell r="M275" t="str">
            <v>x</v>
          </cell>
          <cell r="N275" t="str">
            <v>x</v>
          </cell>
          <cell r="O275"/>
          <cell r="P275"/>
          <cell r="Q275" t="str">
            <v>x</v>
          </cell>
          <cell r="R275" t="str">
            <v>x</v>
          </cell>
          <cell r="S275" t="str">
            <v>x</v>
          </cell>
          <cell r="T275" t="str">
            <v>x</v>
          </cell>
          <cell r="U275"/>
          <cell r="V275"/>
          <cell r="W275"/>
          <cell r="X275"/>
          <cell r="Y275"/>
          <cell r="Z275"/>
          <cell r="AA275"/>
          <cell r="AB275"/>
          <cell r="AC275"/>
          <cell r="AD275"/>
          <cell r="AE275"/>
          <cell r="AF275"/>
          <cell r="AG275"/>
          <cell r="AH275"/>
          <cell r="AI275"/>
          <cell r="AJ275"/>
          <cell r="AK275"/>
          <cell r="AL275"/>
          <cell r="AM275"/>
          <cell r="AN275" t="str">
            <v>x</v>
          </cell>
          <cell r="AO275"/>
          <cell r="AP275" t="str">
            <v>x</v>
          </cell>
          <cell r="AQ275">
            <v>45308</v>
          </cell>
          <cell r="AR275">
            <v>265</v>
          </cell>
          <cell r="AS275">
            <v>45397</v>
          </cell>
          <cell r="AT275">
            <v>176</v>
          </cell>
          <cell r="AU275" t="str">
            <v>VMAMIMOT</v>
          </cell>
        </row>
        <row r="276">
          <cell r="C276">
            <v>606623</v>
          </cell>
          <cell r="D276" t="str">
            <v>CORIA CANDELA</v>
          </cell>
          <cell r="E276" t="str">
            <v>14:00 - 20:00</v>
          </cell>
          <cell r="F276" t="str">
            <v>TARDE</v>
          </cell>
          <cell r="G276" t="str">
            <v>SAB Y DOM</v>
          </cell>
          <cell r="H276" t="str">
            <v>GARZON, ROCIO BELEN</v>
          </cell>
          <cell r="I276" t="str">
            <v>Romandetto Carlos</v>
          </cell>
          <cell r="J276" t="str">
            <v>x</v>
          </cell>
          <cell r="K276"/>
          <cell r="L276" t="str">
            <v>x</v>
          </cell>
          <cell r="M276" t="str">
            <v>x</v>
          </cell>
          <cell r="N276" t="str">
            <v>x</v>
          </cell>
          <cell r="O276"/>
          <cell r="P276"/>
          <cell r="Q276" t="str">
            <v>x</v>
          </cell>
          <cell r="R276" t="str">
            <v>x</v>
          </cell>
          <cell r="S276" t="str">
            <v>x</v>
          </cell>
          <cell r="T276" t="str">
            <v>x</v>
          </cell>
          <cell r="U276"/>
          <cell r="V276"/>
          <cell r="W276"/>
          <cell r="X276"/>
          <cell r="Y276"/>
          <cell r="Z276"/>
          <cell r="AA276"/>
          <cell r="AB276"/>
          <cell r="AC276"/>
          <cell r="AD276"/>
          <cell r="AE276"/>
          <cell r="AF276"/>
          <cell r="AG276"/>
          <cell r="AH276"/>
          <cell r="AI276"/>
          <cell r="AJ276"/>
          <cell r="AK276"/>
          <cell r="AL276"/>
          <cell r="AM276"/>
          <cell r="AN276" t="str">
            <v>x</v>
          </cell>
          <cell r="AO276"/>
          <cell r="AP276" t="str">
            <v>x</v>
          </cell>
          <cell r="AQ276">
            <v>45308</v>
          </cell>
          <cell r="AR276">
            <v>265</v>
          </cell>
          <cell r="AS276">
            <v>45397</v>
          </cell>
          <cell r="AT276">
            <v>176</v>
          </cell>
          <cell r="AU276" t="str">
            <v>VMACANCO</v>
          </cell>
        </row>
        <row r="277">
          <cell r="C277">
            <v>606624</v>
          </cell>
          <cell r="D277" t="str">
            <v>FRAGALE AGOSTINA</v>
          </cell>
          <cell r="E277" t="str">
            <v>15:00 - 21:00</v>
          </cell>
          <cell r="F277" t="str">
            <v>TARDE</v>
          </cell>
          <cell r="G277" t="str">
            <v>VIE Y DOM</v>
          </cell>
          <cell r="H277" t="str">
            <v>GARZON, ROCIO BELEN</v>
          </cell>
          <cell r="I277" t="str">
            <v>Romandetto Carlos</v>
          </cell>
          <cell r="J277" t="str">
            <v>x</v>
          </cell>
          <cell r="K277"/>
          <cell r="L277" t="str">
            <v>x</v>
          </cell>
          <cell r="M277" t="str">
            <v>x</v>
          </cell>
          <cell r="N277" t="str">
            <v>x</v>
          </cell>
          <cell r="O277"/>
          <cell r="P277"/>
          <cell r="Q277"/>
          <cell r="R277"/>
          <cell r="S277"/>
          <cell r="T277"/>
          <cell r="U277"/>
          <cell r="V277"/>
          <cell r="W277"/>
          <cell r="X277"/>
          <cell r="Y277"/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 t="str">
            <v>x</v>
          </cell>
          <cell r="AO277" t="str">
            <v>x</v>
          </cell>
          <cell r="AP277"/>
          <cell r="AQ277">
            <v>45308</v>
          </cell>
          <cell r="AR277">
            <v>265</v>
          </cell>
          <cell r="AS277">
            <v>45352</v>
          </cell>
          <cell r="AT277">
            <v>221</v>
          </cell>
          <cell r="AU277" t="str">
            <v>VMAAGFRA</v>
          </cell>
        </row>
        <row r="278">
          <cell r="C278">
            <v>606625</v>
          </cell>
          <cell r="D278" t="str">
            <v>MALDONADO FLORENCIA</v>
          </cell>
          <cell r="E278" t="str">
            <v>12:00 - 18:00</v>
          </cell>
          <cell r="F278" t="str">
            <v>TARDE</v>
          </cell>
          <cell r="G278" t="str">
            <v>SAB Y DOM</v>
          </cell>
          <cell r="H278" t="str">
            <v>GARZON, ROCIO BELEN</v>
          </cell>
          <cell r="I278" t="str">
            <v>Romandetto Carlos</v>
          </cell>
          <cell r="J278" t="str">
            <v>x</v>
          </cell>
          <cell r="K278"/>
          <cell r="L278" t="str">
            <v>x</v>
          </cell>
          <cell r="M278" t="str">
            <v>x</v>
          </cell>
          <cell r="N278" t="str">
            <v>x</v>
          </cell>
          <cell r="O278"/>
          <cell r="P278"/>
          <cell r="Q278"/>
          <cell r="R278"/>
          <cell r="S278"/>
          <cell r="T278"/>
          <cell r="U278"/>
          <cell r="V278"/>
          <cell r="W278"/>
          <cell r="X278"/>
          <cell r="Y278"/>
          <cell r="Z278"/>
          <cell r="AA278"/>
          <cell r="AB278"/>
          <cell r="AC278"/>
          <cell r="AD278"/>
          <cell r="AE278"/>
          <cell r="AF278"/>
          <cell r="AG278"/>
          <cell r="AH278"/>
          <cell r="AI278"/>
          <cell r="AJ278"/>
          <cell r="AK278"/>
          <cell r="AL278"/>
          <cell r="AM278"/>
          <cell r="AN278" t="str">
            <v>x</v>
          </cell>
          <cell r="AO278" t="str">
            <v>x</v>
          </cell>
          <cell r="AP278"/>
          <cell r="AQ278">
            <v>45308</v>
          </cell>
          <cell r="AR278">
            <v>265</v>
          </cell>
          <cell r="AS278">
            <v>45352</v>
          </cell>
          <cell r="AT278">
            <v>221</v>
          </cell>
          <cell r="AU278" t="str">
            <v>VMAFLMAL</v>
          </cell>
        </row>
        <row r="279">
          <cell r="C279">
            <v>606626</v>
          </cell>
          <cell r="D279" t="str">
            <v>RIVERO MELANIE</v>
          </cell>
          <cell r="E279" t="str">
            <v>15:00 - 21:00</v>
          </cell>
          <cell r="F279" t="str">
            <v>TARDE</v>
          </cell>
          <cell r="G279" t="str">
            <v>MAR Y SAB</v>
          </cell>
          <cell r="H279" t="str">
            <v>GARZON, ROCIO BELEN</v>
          </cell>
          <cell r="I279" t="str">
            <v>Romandetto Carlos</v>
          </cell>
          <cell r="J279" t="str">
            <v>x</v>
          </cell>
          <cell r="K279"/>
          <cell r="L279" t="str">
            <v>x</v>
          </cell>
          <cell r="M279" t="str">
            <v>x</v>
          </cell>
          <cell r="N279" t="str">
            <v>x</v>
          </cell>
          <cell r="O279"/>
          <cell r="P279"/>
          <cell r="Q279"/>
          <cell r="R279"/>
          <cell r="S279"/>
          <cell r="T279"/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 t="str">
            <v>x</v>
          </cell>
          <cell r="AO279" t="str">
            <v>x</v>
          </cell>
          <cell r="AP279"/>
          <cell r="AQ279">
            <v>45308</v>
          </cell>
          <cell r="AR279">
            <v>265</v>
          </cell>
          <cell r="AS279">
            <v>45352</v>
          </cell>
          <cell r="AT279">
            <v>221</v>
          </cell>
          <cell r="AU279" t="str">
            <v>VMAMERIV</v>
          </cell>
        </row>
        <row r="280">
          <cell r="C280">
            <v>606628</v>
          </cell>
          <cell r="D280" t="str">
            <v>ROJAS SOFIA</v>
          </cell>
          <cell r="E280" t="str">
            <v>15:00 - 21:00</v>
          </cell>
          <cell r="F280" t="str">
            <v>TARDE</v>
          </cell>
          <cell r="G280" t="str">
            <v>VIE Y SAB</v>
          </cell>
          <cell r="H280" t="str">
            <v>GARZON, ROCIO BELEN</v>
          </cell>
          <cell r="I280" t="str">
            <v>Romandetto Carlos</v>
          </cell>
          <cell r="J280" t="str">
            <v>x</v>
          </cell>
          <cell r="K280"/>
          <cell r="L280" t="str">
            <v>x</v>
          </cell>
          <cell r="M280" t="str">
            <v>x</v>
          </cell>
          <cell r="N280" t="str">
            <v>x</v>
          </cell>
          <cell r="O280"/>
          <cell r="P280"/>
          <cell r="Q280"/>
          <cell r="R280"/>
          <cell r="S280"/>
          <cell r="T280"/>
          <cell r="U280"/>
          <cell r="V280"/>
          <cell r="W280"/>
          <cell r="X280"/>
          <cell r="Y280"/>
          <cell r="Z280"/>
          <cell r="AA280"/>
          <cell r="AB280"/>
          <cell r="AC280"/>
          <cell r="AD280"/>
          <cell r="AE280"/>
          <cell r="AF280"/>
          <cell r="AG280"/>
          <cell r="AH280"/>
          <cell r="AI280"/>
          <cell r="AJ280"/>
          <cell r="AK280"/>
          <cell r="AL280"/>
          <cell r="AM280"/>
          <cell r="AN280" t="str">
            <v>x</v>
          </cell>
          <cell r="AO280" t="str">
            <v>x</v>
          </cell>
          <cell r="AP280"/>
          <cell r="AQ280">
            <v>45308</v>
          </cell>
          <cell r="AR280">
            <v>265</v>
          </cell>
          <cell r="AS280">
            <v>45352</v>
          </cell>
          <cell r="AT280">
            <v>221</v>
          </cell>
          <cell r="AU280" t="str">
            <v>VMASOROJ</v>
          </cell>
        </row>
        <row r="281">
          <cell r="C281">
            <v>606633</v>
          </cell>
          <cell r="D281" t="str">
            <v>BUSTAMANTE CAMILA</v>
          </cell>
          <cell r="E281" t="str">
            <v>15:00 - 21:00</v>
          </cell>
          <cell r="F281" t="str">
            <v>TARDE</v>
          </cell>
          <cell r="G281" t="str">
            <v>SAB Y DOM</v>
          </cell>
          <cell r="H281" t="str">
            <v>GARZON, ROCIO BELEN</v>
          </cell>
          <cell r="I281" t="str">
            <v>Romandetto Carlos</v>
          </cell>
          <cell r="J281" t="str">
            <v>x</v>
          </cell>
          <cell r="K281"/>
          <cell r="L281" t="str">
            <v>x</v>
          </cell>
          <cell r="M281" t="str">
            <v>x</v>
          </cell>
          <cell r="N281" t="str">
            <v>x</v>
          </cell>
          <cell r="O281"/>
          <cell r="P281"/>
          <cell r="Q281"/>
          <cell r="R281"/>
          <cell r="S281"/>
          <cell r="T281"/>
          <cell r="U281"/>
          <cell r="V281"/>
          <cell r="W281"/>
          <cell r="X281"/>
          <cell r="Y281"/>
          <cell r="Z281"/>
          <cell r="AA281"/>
          <cell r="AB281"/>
          <cell r="AC281"/>
          <cell r="AD281"/>
          <cell r="AE281"/>
          <cell r="AF281"/>
          <cell r="AG281"/>
          <cell r="AH281"/>
          <cell r="AI281"/>
          <cell r="AJ281"/>
          <cell r="AK281"/>
          <cell r="AL281"/>
          <cell r="AM281"/>
          <cell r="AN281" t="str">
            <v>x</v>
          </cell>
          <cell r="AO281" t="str">
            <v>x</v>
          </cell>
          <cell r="AP281"/>
          <cell r="AQ281">
            <v>45308</v>
          </cell>
          <cell r="AR281">
            <v>265</v>
          </cell>
          <cell r="AS281">
            <v>45352</v>
          </cell>
          <cell r="AT281">
            <v>221</v>
          </cell>
          <cell r="AU281" t="str">
            <v>VMACABUS</v>
          </cell>
        </row>
        <row r="282">
          <cell r="C282">
            <v>606635</v>
          </cell>
          <cell r="D282" t="str">
            <v>LEDESMA NAZARENO DANIEL</v>
          </cell>
          <cell r="E282" t="str">
            <v>15:00 - 21:00</v>
          </cell>
          <cell r="F282" t="str">
            <v>TARDE</v>
          </cell>
          <cell r="G282" t="str">
            <v>VIE Y SAB</v>
          </cell>
          <cell r="H282" t="str">
            <v>GARZON, ROCIO BELEN</v>
          </cell>
          <cell r="I282" t="str">
            <v>Romandetto Carlos</v>
          </cell>
          <cell r="J282" t="str">
            <v>x</v>
          </cell>
          <cell r="K282"/>
          <cell r="L282" t="str">
            <v>x</v>
          </cell>
          <cell r="M282" t="str">
            <v>x</v>
          </cell>
          <cell r="N282" t="str">
            <v>x</v>
          </cell>
          <cell r="O282" t="str">
            <v>X</v>
          </cell>
          <cell r="P282"/>
          <cell r="Q282"/>
          <cell r="R282"/>
          <cell r="S282"/>
          <cell r="T282"/>
          <cell r="U282"/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 t="str">
            <v>x</v>
          </cell>
          <cell r="AO282" t="str">
            <v>x</v>
          </cell>
          <cell r="AP282"/>
          <cell r="AQ282">
            <v>45308</v>
          </cell>
          <cell r="AR282">
            <v>265</v>
          </cell>
          <cell r="AS282">
            <v>45426</v>
          </cell>
          <cell r="AT282">
            <v>147</v>
          </cell>
          <cell r="AU282" t="str">
            <v>VMANALED</v>
          </cell>
        </row>
        <row r="283">
          <cell r="C283">
            <v>606642</v>
          </cell>
          <cell r="D283" t="str">
            <v>CHAVEZ LEANDRO</v>
          </cell>
          <cell r="E283" t="str">
            <v>18:00 - 00:00</v>
          </cell>
          <cell r="F283" t="str">
            <v>NOCHE</v>
          </cell>
          <cell r="G283" t="str">
            <v>SAB Y DOM</v>
          </cell>
          <cell r="H283" t="str">
            <v>MIR, TOMAS MAURICIO</v>
          </cell>
          <cell r="I283" t="str">
            <v>Romandetto Carlos</v>
          </cell>
          <cell r="J283" t="str">
            <v>x</v>
          </cell>
          <cell r="K283"/>
          <cell r="L283" t="str">
            <v>x</v>
          </cell>
          <cell r="M283" t="str">
            <v>x</v>
          </cell>
          <cell r="N283" t="str">
            <v>x</v>
          </cell>
          <cell r="O283"/>
          <cell r="P283"/>
          <cell r="Q283" t="str">
            <v>x</v>
          </cell>
          <cell r="R283" t="str">
            <v>x</v>
          </cell>
          <cell r="S283" t="str">
            <v>x</v>
          </cell>
          <cell r="T283" t="str">
            <v>x</v>
          </cell>
          <cell r="U283"/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 t="str">
            <v>x</v>
          </cell>
          <cell r="AO283"/>
          <cell r="AP283" t="str">
            <v>x</v>
          </cell>
          <cell r="AQ283">
            <v>45308</v>
          </cell>
          <cell r="AR283">
            <v>265</v>
          </cell>
          <cell r="AS283">
            <v>45397</v>
          </cell>
          <cell r="AT283">
            <v>176</v>
          </cell>
          <cell r="AU283" t="str">
            <v>VMALECHA</v>
          </cell>
        </row>
        <row r="284">
          <cell r="C284">
            <v>606644</v>
          </cell>
          <cell r="D284" t="str">
            <v>SALLES MATIAS</v>
          </cell>
          <cell r="E284" t="str">
            <v>18:00 - 00:00</v>
          </cell>
          <cell r="F284" t="str">
            <v>NOCHE</v>
          </cell>
          <cell r="G284" t="str">
            <v>JUE Y SAB</v>
          </cell>
          <cell r="H284" t="str">
            <v>MIR, TOMAS MAURICIO</v>
          </cell>
          <cell r="I284" t="str">
            <v>Romandetto Carlos</v>
          </cell>
          <cell r="J284" t="str">
            <v>x</v>
          </cell>
          <cell r="K284"/>
          <cell r="L284" t="str">
            <v>x</v>
          </cell>
          <cell r="M284" t="str">
            <v>x</v>
          </cell>
          <cell r="N284" t="str">
            <v>x</v>
          </cell>
          <cell r="O284"/>
          <cell r="P284"/>
          <cell r="Q284" t="str">
            <v>x</v>
          </cell>
          <cell r="R284" t="str">
            <v>x</v>
          </cell>
          <cell r="S284" t="str">
            <v>x</v>
          </cell>
          <cell r="T284" t="str">
            <v>x</v>
          </cell>
          <cell r="U284"/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/>
          <cell r="AH284"/>
          <cell r="AI284"/>
          <cell r="AJ284"/>
          <cell r="AK284"/>
          <cell r="AL284"/>
          <cell r="AM284"/>
          <cell r="AN284" t="str">
            <v>x</v>
          </cell>
          <cell r="AO284"/>
          <cell r="AP284" t="str">
            <v>x</v>
          </cell>
          <cell r="AQ284">
            <v>45308</v>
          </cell>
          <cell r="AR284">
            <v>265</v>
          </cell>
          <cell r="AS284">
            <v>45397</v>
          </cell>
          <cell r="AT284">
            <v>176</v>
          </cell>
          <cell r="AU284" t="str">
            <v>VMAMATSA</v>
          </cell>
        </row>
        <row r="285">
          <cell r="C285">
            <v>606645</v>
          </cell>
          <cell r="D285" t="str">
            <v>COLMENARES EMILY</v>
          </cell>
          <cell r="E285" t="str">
            <v>16:00 - 22:00</v>
          </cell>
          <cell r="F285" t="str">
            <v>TARDE</v>
          </cell>
          <cell r="G285" t="str">
            <v>SAB Y DOM</v>
          </cell>
          <cell r="H285" t="str">
            <v>MIR, TOMAS MAURICIO</v>
          </cell>
          <cell r="I285" t="str">
            <v>Romandetto Carlos</v>
          </cell>
          <cell r="J285" t="str">
            <v>x</v>
          </cell>
          <cell r="K285"/>
          <cell r="L285" t="str">
            <v>x</v>
          </cell>
          <cell r="M285" t="str">
            <v>x</v>
          </cell>
          <cell r="N285" t="str">
            <v>x</v>
          </cell>
          <cell r="O285"/>
          <cell r="P285"/>
          <cell r="Q285"/>
          <cell r="R285"/>
          <cell r="S285"/>
          <cell r="T285"/>
          <cell r="U285"/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  <cell r="AF285"/>
          <cell r="AG285"/>
          <cell r="AH285"/>
          <cell r="AI285"/>
          <cell r="AJ285"/>
          <cell r="AK285"/>
          <cell r="AL285"/>
          <cell r="AM285"/>
          <cell r="AN285" t="str">
            <v>x</v>
          </cell>
          <cell r="AO285" t="str">
            <v>x</v>
          </cell>
          <cell r="AP285"/>
          <cell r="AQ285">
            <v>45308</v>
          </cell>
          <cell r="AR285">
            <v>265</v>
          </cell>
          <cell r="AS285">
            <v>45352</v>
          </cell>
          <cell r="AT285">
            <v>221</v>
          </cell>
          <cell r="AU285" t="str">
            <v>VMAEMCOL</v>
          </cell>
        </row>
        <row r="286">
          <cell r="C286">
            <v>606646</v>
          </cell>
          <cell r="D286" t="str">
            <v>SANCHEZ JUAN MARCELO</v>
          </cell>
          <cell r="E286" t="str">
            <v>18:00 - 00:00</v>
          </cell>
          <cell r="F286" t="str">
            <v>NOCHE</v>
          </cell>
          <cell r="G286" t="str">
            <v>JUE Y DOM</v>
          </cell>
          <cell r="H286" t="str">
            <v>MIR, TOMAS MAURICIO</v>
          </cell>
          <cell r="I286" t="str">
            <v>Romandetto Carlos</v>
          </cell>
          <cell r="J286" t="str">
            <v>x</v>
          </cell>
          <cell r="K286"/>
          <cell r="L286" t="str">
            <v>x</v>
          </cell>
          <cell r="M286" t="str">
            <v>x</v>
          </cell>
          <cell r="N286" t="str">
            <v>x</v>
          </cell>
          <cell r="O286"/>
          <cell r="P286"/>
          <cell r="Q286" t="str">
            <v>x</v>
          </cell>
          <cell r="R286" t="str">
            <v>x</v>
          </cell>
          <cell r="S286" t="str">
            <v>x</v>
          </cell>
          <cell r="T286" t="str">
            <v>x</v>
          </cell>
          <cell r="U286"/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  <cell r="AF286"/>
          <cell r="AG286"/>
          <cell r="AH286"/>
          <cell r="AI286"/>
          <cell r="AJ286"/>
          <cell r="AK286"/>
          <cell r="AL286"/>
          <cell r="AM286"/>
          <cell r="AN286" t="str">
            <v>x</v>
          </cell>
          <cell r="AO286"/>
          <cell r="AP286" t="str">
            <v>x</v>
          </cell>
          <cell r="AQ286">
            <v>45308</v>
          </cell>
          <cell r="AR286">
            <v>265</v>
          </cell>
          <cell r="AS286">
            <v>45397</v>
          </cell>
          <cell r="AT286">
            <v>176</v>
          </cell>
          <cell r="AU286" t="str">
            <v>VMAJUSAN</v>
          </cell>
        </row>
        <row r="287">
          <cell r="C287">
            <v>606649</v>
          </cell>
          <cell r="D287" t="str">
            <v>ANDRZEYEVSKI NICOLOSI CAMILA BELEN</v>
          </cell>
          <cell r="E287" t="str">
            <v>09:00 - 15:00</v>
          </cell>
          <cell r="F287" t="str">
            <v>MAÑANA</v>
          </cell>
          <cell r="G287" t="str">
            <v>SAB Y DOM</v>
          </cell>
          <cell r="H287" t="str">
            <v>DIAZ, PAULA</v>
          </cell>
          <cell r="I287" t="str">
            <v>Romandetto Carlos</v>
          </cell>
          <cell r="J287" t="str">
            <v>x</v>
          </cell>
          <cell r="K287"/>
          <cell r="L287" t="str">
            <v>x</v>
          </cell>
          <cell r="M287" t="str">
            <v>x</v>
          </cell>
          <cell r="N287" t="str">
            <v>x</v>
          </cell>
          <cell r="O287"/>
          <cell r="P287"/>
          <cell r="Q287"/>
          <cell r="R287"/>
          <cell r="S287"/>
          <cell r="T287"/>
          <cell r="U287"/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  <cell r="AF287"/>
          <cell r="AG287"/>
          <cell r="AH287"/>
          <cell r="AI287"/>
          <cell r="AJ287"/>
          <cell r="AK287"/>
          <cell r="AL287"/>
          <cell r="AM287"/>
          <cell r="AN287" t="str">
            <v>x</v>
          </cell>
          <cell r="AO287" t="str">
            <v>x</v>
          </cell>
          <cell r="AP287"/>
          <cell r="AQ287">
            <v>45308</v>
          </cell>
          <cell r="AR287">
            <v>265</v>
          </cell>
          <cell r="AS287">
            <v>45352</v>
          </cell>
          <cell r="AT287">
            <v>221</v>
          </cell>
          <cell r="AU287" t="str">
            <v>VMACAAND</v>
          </cell>
        </row>
        <row r="288">
          <cell r="C288">
            <v>605676</v>
          </cell>
          <cell r="D288" t="str">
            <v>CUBILLA MARLENE ARACELI</v>
          </cell>
          <cell r="E288" t="str">
            <v>09:00 - 15:00</v>
          </cell>
          <cell r="F288" t="str">
            <v>MAÑANA</v>
          </cell>
          <cell r="G288" t="str">
            <v>MIE Y DOM</v>
          </cell>
          <cell r="H288" t="str">
            <v>RUIZ, TOMAS EMANUEL</v>
          </cell>
          <cell r="I288" t="str">
            <v>Romandetto Carlos</v>
          </cell>
          <cell r="J288" t="str">
            <v>x</v>
          </cell>
          <cell r="K288"/>
          <cell r="L288" t="str">
            <v>x</v>
          </cell>
          <cell r="M288" t="str">
            <v>x</v>
          </cell>
          <cell r="N288" t="str">
            <v>x</v>
          </cell>
          <cell r="O288"/>
          <cell r="P288"/>
          <cell r="Q288"/>
          <cell r="R288"/>
          <cell r="S288"/>
          <cell r="T288"/>
          <cell r="U288"/>
          <cell r="V288"/>
          <cell r="W288"/>
          <cell r="X288"/>
          <cell r="Y288"/>
          <cell r="Z288"/>
          <cell r="AA288"/>
          <cell r="AB288"/>
          <cell r="AC288"/>
          <cell r="AD288"/>
          <cell r="AE288"/>
          <cell r="AF288"/>
          <cell r="AG288"/>
          <cell r="AH288"/>
          <cell r="AI288"/>
          <cell r="AJ288"/>
          <cell r="AK288"/>
          <cell r="AL288"/>
          <cell r="AM288"/>
          <cell r="AN288" t="str">
            <v>x</v>
          </cell>
          <cell r="AO288" t="str">
            <v>x</v>
          </cell>
          <cell r="AP288"/>
          <cell r="AQ288">
            <v>45308</v>
          </cell>
          <cell r="AR288">
            <v>265</v>
          </cell>
          <cell r="AS288">
            <v>45352</v>
          </cell>
          <cell r="AT288">
            <v>221</v>
          </cell>
          <cell r="AU288" t="str">
            <v>VMAMACUB</v>
          </cell>
        </row>
        <row r="289">
          <cell r="C289">
            <v>605874</v>
          </cell>
          <cell r="D289" t="str">
            <v>BARON AZUL LUDMILA</v>
          </cell>
          <cell r="E289" t="str">
            <v>09:00 - 15:00</v>
          </cell>
          <cell r="F289" t="str">
            <v>MAÑANA</v>
          </cell>
          <cell r="G289" t="str">
            <v>VIE Y DOM</v>
          </cell>
          <cell r="H289" t="str">
            <v>ROBLEDO, YESICA DANIELA</v>
          </cell>
          <cell r="I289" t="str">
            <v>Romandetto Carlos</v>
          </cell>
          <cell r="J289" t="str">
            <v>x</v>
          </cell>
          <cell r="K289"/>
          <cell r="L289" t="str">
            <v>x</v>
          </cell>
          <cell r="M289" t="str">
            <v>x</v>
          </cell>
          <cell r="N289" t="str">
            <v>x</v>
          </cell>
          <cell r="O289"/>
          <cell r="P289"/>
          <cell r="Q289"/>
          <cell r="R289"/>
          <cell r="S289"/>
          <cell r="T289"/>
          <cell r="U289"/>
          <cell r="V289"/>
          <cell r="W289"/>
          <cell r="X289"/>
          <cell r="Y289"/>
          <cell r="Z289"/>
          <cell r="AA289"/>
          <cell r="AB289"/>
          <cell r="AC289"/>
          <cell r="AD289"/>
          <cell r="AE289"/>
          <cell r="AF289"/>
          <cell r="AG289"/>
          <cell r="AH289"/>
          <cell r="AI289"/>
          <cell r="AJ289"/>
          <cell r="AK289"/>
          <cell r="AL289"/>
          <cell r="AM289"/>
          <cell r="AN289" t="str">
            <v>x</v>
          </cell>
          <cell r="AO289" t="str">
            <v>x</v>
          </cell>
          <cell r="AP289"/>
          <cell r="AQ289">
            <v>45308</v>
          </cell>
          <cell r="AR289">
            <v>265</v>
          </cell>
          <cell r="AS289">
            <v>45352</v>
          </cell>
          <cell r="AT289">
            <v>221</v>
          </cell>
          <cell r="AU289" t="str">
            <v>VMAAZBAR</v>
          </cell>
        </row>
        <row r="290">
          <cell r="C290">
            <v>605915</v>
          </cell>
          <cell r="D290" t="str">
            <v>ABENDAÑO COLLAO ALEXIS DANIEL</v>
          </cell>
          <cell r="E290" t="str">
            <v>09:00 - 15:00</v>
          </cell>
          <cell r="F290" t="str">
            <v>MAÑANA</v>
          </cell>
          <cell r="G290" t="str">
            <v>SAB Y DOM</v>
          </cell>
          <cell r="H290" t="str">
            <v>GROESMANN, MAYA JUDITH</v>
          </cell>
          <cell r="I290" t="str">
            <v>Romandetto Carlos</v>
          </cell>
          <cell r="J290" t="str">
            <v>x</v>
          </cell>
          <cell r="K290"/>
          <cell r="L290" t="str">
            <v>x</v>
          </cell>
          <cell r="M290" t="str">
            <v>x</v>
          </cell>
          <cell r="N290" t="str">
            <v>x</v>
          </cell>
          <cell r="O290"/>
          <cell r="P290"/>
          <cell r="Q290"/>
          <cell r="R290"/>
          <cell r="S290"/>
          <cell r="T290"/>
          <cell r="U290"/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  <cell r="AF290"/>
          <cell r="AG290"/>
          <cell r="AH290"/>
          <cell r="AI290"/>
          <cell r="AJ290"/>
          <cell r="AK290"/>
          <cell r="AL290"/>
          <cell r="AM290"/>
          <cell r="AN290" t="str">
            <v>x</v>
          </cell>
          <cell r="AO290" t="str">
            <v>x</v>
          </cell>
          <cell r="AP290"/>
          <cell r="AQ290">
            <v>45308</v>
          </cell>
          <cell r="AR290">
            <v>265</v>
          </cell>
          <cell r="AS290">
            <v>45352</v>
          </cell>
          <cell r="AT290">
            <v>221</v>
          </cell>
          <cell r="AU290" t="str">
            <v>VMAALABE</v>
          </cell>
        </row>
        <row r="291">
          <cell r="C291">
            <v>606030</v>
          </cell>
          <cell r="D291" t="str">
            <v>FONFRIA VALENTINO</v>
          </cell>
          <cell r="E291" t="str">
            <v>09:00 - 15:00</v>
          </cell>
          <cell r="F291" t="str">
            <v>MAÑANA</v>
          </cell>
          <cell r="G291" t="str">
            <v>SAB Y DOM</v>
          </cell>
          <cell r="H291" t="str">
            <v>VILLALBA, VICTORIA</v>
          </cell>
          <cell r="I291" t="str">
            <v>Romandetto Carlos</v>
          </cell>
          <cell r="J291" t="str">
            <v>x</v>
          </cell>
          <cell r="K291"/>
          <cell r="L291" t="str">
            <v>x</v>
          </cell>
          <cell r="M291" t="str">
            <v>x</v>
          </cell>
          <cell r="N291" t="str">
            <v>x</v>
          </cell>
          <cell r="O291"/>
          <cell r="P291"/>
          <cell r="Q291"/>
          <cell r="R291"/>
          <cell r="S291"/>
          <cell r="T291"/>
          <cell r="U291"/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  <cell r="AF291"/>
          <cell r="AG291"/>
          <cell r="AH291"/>
          <cell r="AI291"/>
          <cell r="AJ291"/>
          <cell r="AK291"/>
          <cell r="AL291"/>
          <cell r="AM291"/>
          <cell r="AN291" t="str">
            <v>x</v>
          </cell>
          <cell r="AO291" t="str">
            <v>x</v>
          </cell>
          <cell r="AP291"/>
          <cell r="AQ291">
            <v>45308</v>
          </cell>
          <cell r="AR291">
            <v>265</v>
          </cell>
          <cell r="AS291">
            <v>45352</v>
          </cell>
          <cell r="AT291">
            <v>221</v>
          </cell>
          <cell r="AU291" t="str">
            <v>VMAVAFON</v>
          </cell>
        </row>
        <row r="292">
          <cell r="C292">
            <v>605806</v>
          </cell>
          <cell r="D292" t="str">
            <v>GUEVARA FERREYRA RUT ABIGAIL</v>
          </cell>
          <cell r="E292" t="str">
            <v>09:00 - 15:00</v>
          </cell>
          <cell r="F292" t="str">
            <v>MAÑANA</v>
          </cell>
          <cell r="G292" t="str">
            <v>JUE Y DOM</v>
          </cell>
          <cell r="H292" t="str">
            <v>ROBLEDO, YESICA DANIELA</v>
          </cell>
          <cell r="I292" t="str">
            <v>Romandetto Carlos</v>
          </cell>
          <cell r="J292" t="str">
            <v>x</v>
          </cell>
          <cell r="K292"/>
          <cell r="L292" t="str">
            <v>x</v>
          </cell>
          <cell r="M292" t="str">
            <v>x</v>
          </cell>
          <cell r="N292" t="str">
            <v>x</v>
          </cell>
          <cell r="O292"/>
          <cell r="P292"/>
          <cell r="Q292"/>
          <cell r="R292" t="str">
            <v>x</v>
          </cell>
          <cell r="S292"/>
          <cell r="T292"/>
          <cell r="U292"/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  <cell r="AF292"/>
          <cell r="AG292"/>
          <cell r="AH292"/>
          <cell r="AI292" t="str">
            <v>x</v>
          </cell>
          <cell r="AJ292"/>
          <cell r="AK292"/>
          <cell r="AL292"/>
          <cell r="AM292"/>
          <cell r="AN292" t="str">
            <v>x</v>
          </cell>
          <cell r="AO292" t="str">
            <v>x</v>
          </cell>
          <cell r="AP292"/>
          <cell r="AQ292">
            <v>45308</v>
          </cell>
          <cell r="AR292">
            <v>265</v>
          </cell>
          <cell r="AS292">
            <v>45411</v>
          </cell>
          <cell r="AT292">
            <v>162</v>
          </cell>
          <cell r="AU292" t="str">
            <v>VMARUGUE</v>
          </cell>
        </row>
        <row r="293">
          <cell r="C293">
            <v>605502</v>
          </cell>
          <cell r="D293" t="str">
            <v>ACOSTA AYELEN</v>
          </cell>
          <cell r="E293" t="str">
            <v>09:00 - 15:00</v>
          </cell>
          <cell r="F293" t="str">
            <v>MAÑANA</v>
          </cell>
          <cell r="G293" t="str">
            <v>SAB Y DOM</v>
          </cell>
          <cell r="H293" t="str">
            <v>VILLALBA, VICTORIA</v>
          </cell>
          <cell r="I293" t="str">
            <v>Romandetto Carlos</v>
          </cell>
          <cell r="J293" t="str">
            <v>x</v>
          </cell>
          <cell r="K293"/>
          <cell r="L293" t="str">
            <v>x</v>
          </cell>
          <cell r="M293" t="str">
            <v>x</v>
          </cell>
          <cell r="N293" t="str">
            <v>x</v>
          </cell>
          <cell r="O293"/>
          <cell r="P293"/>
          <cell r="Q293"/>
          <cell r="R293"/>
          <cell r="S293"/>
          <cell r="T293"/>
          <cell r="U293"/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  <cell r="AF293"/>
          <cell r="AG293"/>
          <cell r="AH293"/>
          <cell r="AI293"/>
          <cell r="AJ293"/>
          <cell r="AK293"/>
          <cell r="AL293"/>
          <cell r="AM293"/>
          <cell r="AN293" t="str">
            <v>x</v>
          </cell>
          <cell r="AO293" t="str">
            <v>x</v>
          </cell>
          <cell r="AP293"/>
          <cell r="AQ293">
            <v>45308</v>
          </cell>
          <cell r="AR293">
            <v>265</v>
          </cell>
          <cell r="AS293">
            <v>45352</v>
          </cell>
          <cell r="AT293">
            <v>221</v>
          </cell>
          <cell r="AU293" t="str">
            <v>VMAAYACO</v>
          </cell>
        </row>
        <row r="294">
          <cell r="C294">
            <v>606342</v>
          </cell>
          <cell r="D294" t="str">
            <v>PALAVECINO SOLANGE JULIANA</v>
          </cell>
          <cell r="E294" t="str">
            <v>09:00 - 15:00</v>
          </cell>
          <cell r="F294" t="str">
            <v>MAÑANA</v>
          </cell>
          <cell r="G294" t="str">
            <v>SAB Y DOM</v>
          </cell>
          <cell r="H294" t="str">
            <v>RUIZ, TOMAS EMANUEL</v>
          </cell>
          <cell r="I294" t="str">
            <v>Romandetto Carlos</v>
          </cell>
          <cell r="J294" t="str">
            <v>x</v>
          </cell>
          <cell r="K294"/>
          <cell r="L294" t="str">
            <v>x</v>
          </cell>
          <cell r="M294" t="str">
            <v>x</v>
          </cell>
          <cell r="N294" t="str">
            <v>x</v>
          </cell>
          <cell r="O294"/>
          <cell r="P294"/>
          <cell r="Q294"/>
          <cell r="R294"/>
          <cell r="S294"/>
          <cell r="T294"/>
          <cell r="U294"/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  <cell r="AF294"/>
          <cell r="AG294"/>
          <cell r="AH294"/>
          <cell r="AI294" t="str">
            <v>x</v>
          </cell>
          <cell r="AJ294"/>
          <cell r="AK294"/>
          <cell r="AL294"/>
          <cell r="AM294"/>
          <cell r="AN294" t="str">
            <v>x</v>
          </cell>
          <cell r="AO294" t="str">
            <v>x</v>
          </cell>
          <cell r="AP294"/>
          <cell r="AQ294">
            <v>45308</v>
          </cell>
          <cell r="AR294">
            <v>265</v>
          </cell>
          <cell r="AS294">
            <v>45411</v>
          </cell>
          <cell r="AT294">
            <v>162</v>
          </cell>
          <cell r="AU294" t="str">
            <v>VMASOPAL</v>
          </cell>
        </row>
        <row r="295">
          <cell r="C295">
            <v>606391</v>
          </cell>
          <cell r="D295" t="str">
            <v>GONSALEZ EMILIANO SEBASTIAN</v>
          </cell>
          <cell r="E295" t="str">
            <v>15:00 - 21:00</v>
          </cell>
          <cell r="F295" t="str">
            <v>TARDE</v>
          </cell>
          <cell r="G295" t="str">
            <v>SAB Y DOM</v>
          </cell>
          <cell r="H295" t="str">
            <v>GOMEZ, AYLEN MILAGROS</v>
          </cell>
          <cell r="I295" t="str">
            <v>Romandetto Carlos</v>
          </cell>
          <cell r="J295" t="str">
            <v>x</v>
          </cell>
          <cell r="K295"/>
          <cell r="L295" t="str">
            <v>x</v>
          </cell>
          <cell r="M295" t="str">
            <v>x</v>
          </cell>
          <cell r="N295" t="str">
            <v>x</v>
          </cell>
          <cell r="O295"/>
          <cell r="P295"/>
          <cell r="Q295"/>
          <cell r="R295"/>
          <cell r="S295"/>
          <cell r="T295"/>
          <cell r="U295"/>
          <cell r="V295"/>
          <cell r="W295"/>
          <cell r="X295"/>
          <cell r="Y295"/>
          <cell r="Z295"/>
          <cell r="AA295"/>
          <cell r="AB295"/>
          <cell r="AC295"/>
          <cell r="AD295"/>
          <cell r="AE295"/>
          <cell r="AF295"/>
          <cell r="AG295"/>
          <cell r="AH295"/>
          <cell r="AI295"/>
          <cell r="AJ295"/>
          <cell r="AK295"/>
          <cell r="AL295"/>
          <cell r="AM295"/>
          <cell r="AN295" t="str">
            <v>x</v>
          </cell>
          <cell r="AO295" t="str">
            <v>x</v>
          </cell>
          <cell r="AP295"/>
          <cell r="AQ295">
            <v>45308</v>
          </cell>
          <cell r="AR295">
            <v>265</v>
          </cell>
          <cell r="AS295">
            <v>45352</v>
          </cell>
          <cell r="AT295">
            <v>221</v>
          </cell>
          <cell r="AU295" t="str">
            <v>VMAEMGON</v>
          </cell>
        </row>
        <row r="296">
          <cell r="C296">
            <v>606396</v>
          </cell>
          <cell r="D296" t="str">
            <v>MOYA MILAGROS MICAELA</v>
          </cell>
          <cell r="E296" t="str">
            <v>15:00 - 21:00</v>
          </cell>
          <cell r="F296" t="str">
            <v>TARDE</v>
          </cell>
          <cell r="G296" t="str">
            <v>SAB Y DOM</v>
          </cell>
          <cell r="H296" t="str">
            <v>GOMEZ, AYLEN MILAGROS</v>
          </cell>
          <cell r="I296" t="str">
            <v>Romandetto Carlos</v>
          </cell>
          <cell r="J296" t="str">
            <v>x</v>
          </cell>
          <cell r="K296"/>
          <cell r="L296" t="str">
            <v>x</v>
          </cell>
          <cell r="M296" t="str">
            <v>x</v>
          </cell>
          <cell r="N296" t="str">
            <v>x</v>
          </cell>
          <cell r="O296"/>
          <cell r="P296"/>
          <cell r="Q296" t="str">
            <v>x</v>
          </cell>
          <cell r="R296" t="str">
            <v>x</v>
          </cell>
          <cell r="S296" t="str">
            <v>x</v>
          </cell>
          <cell r="T296" t="str">
            <v>x</v>
          </cell>
          <cell r="U296"/>
          <cell r="V296"/>
          <cell r="W296"/>
          <cell r="X296"/>
          <cell r="Y296"/>
          <cell r="Z296"/>
          <cell r="AA296"/>
          <cell r="AB296"/>
          <cell r="AC296"/>
          <cell r="AD296"/>
          <cell r="AE296"/>
          <cell r="AF296"/>
          <cell r="AG296"/>
          <cell r="AH296"/>
          <cell r="AI296"/>
          <cell r="AJ296"/>
          <cell r="AK296"/>
          <cell r="AL296"/>
          <cell r="AM296"/>
          <cell r="AN296" t="str">
            <v>x</v>
          </cell>
          <cell r="AO296"/>
          <cell r="AP296" t="str">
            <v>x</v>
          </cell>
          <cell r="AQ296">
            <v>45308</v>
          </cell>
          <cell r="AR296">
            <v>265</v>
          </cell>
          <cell r="AS296">
            <v>45478</v>
          </cell>
          <cell r="AT296">
            <v>95</v>
          </cell>
          <cell r="AU296" t="str">
            <v>VMAMIMOY</v>
          </cell>
        </row>
        <row r="297">
          <cell r="C297">
            <v>606401</v>
          </cell>
          <cell r="D297" t="str">
            <v>GAYO MATIAS FEDERICO</v>
          </cell>
          <cell r="E297" t="str">
            <v>15:00 - 21:00</v>
          </cell>
          <cell r="F297" t="str">
            <v>TARDE</v>
          </cell>
          <cell r="G297" t="str">
            <v>VIE Y DOM</v>
          </cell>
          <cell r="H297" t="str">
            <v>YBARRA, LUCIA ALDANA</v>
          </cell>
          <cell r="I297" t="str">
            <v>Romandetto Carlos</v>
          </cell>
          <cell r="J297" t="str">
            <v>x</v>
          </cell>
          <cell r="K297"/>
          <cell r="L297" t="str">
            <v>x</v>
          </cell>
          <cell r="M297" t="str">
            <v>x</v>
          </cell>
          <cell r="N297" t="str">
            <v>x</v>
          </cell>
          <cell r="O297"/>
          <cell r="P297"/>
          <cell r="Q297"/>
          <cell r="R297"/>
          <cell r="S297"/>
          <cell r="T297"/>
          <cell r="U297"/>
          <cell r="V297"/>
          <cell r="W297"/>
          <cell r="X297"/>
          <cell r="Y297"/>
          <cell r="Z297"/>
          <cell r="AA297"/>
          <cell r="AB297"/>
          <cell r="AC297"/>
          <cell r="AD297"/>
          <cell r="AE297"/>
          <cell r="AF297"/>
          <cell r="AG297"/>
          <cell r="AH297"/>
          <cell r="AI297"/>
          <cell r="AJ297"/>
          <cell r="AK297"/>
          <cell r="AL297"/>
          <cell r="AM297"/>
          <cell r="AN297" t="str">
            <v>x</v>
          </cell>
          <cell r="AO297" t="str">
            <v>x</v>
          </cell>
          <cell r="AP297"/>
          <cell r="AQ297">
            <v>45308</v>
          </cell>
          <cell r="AR297">
            <v>265</v>
          </cell>
          <cell r="AS297">
            <v>45352</v>
          </cell>
          <cell r="AT297">
            <v>221</v>
          </cell>
          <cell r="AU297" t="str">
            <v>VMAMAGAY</v>
          </cell>
        </row>
        <row r="298">
          <cell r="C298">
            <v>606409</v>
          </cell>
          <cell r="D298" t="str">
            <v>VINCENTI FLORENCIA</v>
          </cell>
          <cell r="E298" t="str">
            <v>12:00 - 18:00</v>
          </cell>
          <cell r="F298" t="str">
            <v>TARDE</v>
          </cell>
          <cell r="G298" t="str">
            <v>SAB Y DOM</v>
          </cell>
          <cell r="H298" t="str">
            <v>GROESMANN, MAYA JUDITH</v>
          </cell>
          <cell r="I298" t="str">
            <v>Romandetto Carlos</v>
          </cell>
          <cell r="J298" t="str">
            <v>x</v>
          </cell>
          <cell r="K298"/>
          <cell r="L298" t="str">
            <v>x</v>
          </cell>
          <cell r="M298" t="str">
            <v>x</v>
          </cell>
          <cell r="N298" t="str">
            <v>x</v>
          </cell>
          <cell r="O298"/>
          <cell r="P298"/>
          <cell r="Q298"/>
          <cell r="R298"/>
          <cell r="S298"/>
          <cell r="T298"/>
          <cell r="U298"/>
          <cell r="V298"/>
          <cell r="W298"/>
          <cell r="X298"/>
          <cell r="Y298"/>
          <cell r="Z298"/>
          <cell r="AA298"/>
          <cell r="AB298"/>
          <cell r="AC298"/>
          <cell r="AD298"/>
          <cell r="AE298"/>
          <cell r="AF298"/>
          <cell r="AG298"/>
          <cell r="AH298"/>
          <cell r="AI298"/>
          <cell r="AJ298"/>
          <cell r="AK298"/>
          <cell r="AL298"/>
          <cell r="AM298"/>
          <cell r="AN298" t="str">
            <v>x</v>
          </cell>
          <cell r="AO298" t="str">
            <v>x</v>
          </cell>
          <cell r="AP298"/>
          <cell r="AQ298">
            <v>45225</v>
          </cell>
          <cell r="AR298">
            <v>348</v>
          </cell>
          <cell r="AS298">
            <v>45352</v>
          </cell>
          <cell r="AT298">
            <v>221</v>
          </cell>
          <cell r="AU298" t="str">
            <v>VMAFLVIN</v>
          </cell>
        </row>
        <row r="299">
          <cell r="C299">
            <v>606411</v>
          </cell>
          <cell r="D299" t="str">
            <v>GOMEZ CESAR NAHUEL</v>
          </cell>
          <cell r="E299" t="str">
            <v>15:00 - 21:00</v>
          </cell>
          <cell r="F299" t="str">
            <v>TARDE</v>
          </cell>
          <cell r="G299" t="str">
            <v>JUE Y SAB</v>
          </cell>
          <cell r="H299" t="str">
            <v>YBARRA, LUCIA ALDANA</v>
          </cell>
          <cell r="I299" t="str">
            <v>Romandetto Carlos</v>
          </cell>
          <cell r="J299" t="str">
            <v>x</v>
          </cell>
          <cell r="K299"/>
          <cell r="L299" t="str">
            <v>x</v>
          </cell>
          <cell r="M299" t="str">
            <v>x</v>
          </cell>
          <cell r="N299" t="str">
            <v>x</v>
          </cell>
          <cell r="O299"/>
          <cell r="P299"/>
          <cell r="Q299"/>
          <cell r="R299"/>
          <cell r="S299"/>
          <cell r="T299"/>
          <cell r="U299"/>
          <cell r="V299"/>
          <cell r="W299"/>
          <cell r="X299"/>
          <cell r="Y299"/>
          <cell r="Z299"/>
          <cell r="AA299"/>
          <cell r="AB299"/>
          <cell r="AC299"/>
          <cell r="AD299"/>
          <cell r="AE299"/>
          <cell r="AF299"/>
          <cell r="AG299"/>
          <cell r="AH299"/>
          <cell r="AI299"/>
          <cell r="AJ299"/>
          <cell r="AK299"/>
          <cell r="AL299"/>
          <cell r="AM299"/>
          <cell r="AN299" t="str">
            <v>x</v>
          </cell>
          <cell r="AO299" t="str">
            <v>x</v>
          </cell>
          <cell r="AP299"/>
          <cell r="AQ299">
            <v>45308</v>
          </cell>
          <cell r="AR299">
            <v>265</v>
          </cell>
          <cell r="AS299">
            <v>45352</v>
          </cell>
          <cell r="AT299">
            <v>221</v>
          </cell>
          <cell r="AU299" t="str">
            <v>VMACEGOM</v>
          </cell>
        </row>
        <row r="300">
          <cell r="C300">
            <v>606292</v>
          </cell>
          <cell r="D300" t="str">
            <v>FONCECA JOAQUIN JORGE</v>
          </cell>
          <cell r="E300" t="str">
            <v>09:00 - 15:00</v>
          </cell>
          <cell r="F300" t="str">
            <v>MAÑANA</v>
          </cell>
          <cell r="G300" t="str">
            <v>SAB Y DOM</v>
          </cell>
          <cell r="H300" t="str">
            <v>SORIA, ANA PAULA</v>
          </cell>
          <cell r="I300" t="str">
            <v>Romandetto Carlos</v>
          </cell>
          <cell r="J300" t="str">
            <v>x</v>
          </cell>
          <cell r="K300"/>
          <cell r="L300" t="str">
            <v>x</v>
          </cell>
          <cell r="M300" t="str">
            <v>x</v>
          </cell>
          <cell r="N300" t="str">
            <v>x</v>
          </cell>
          <cell r="O300"/>
          <cell r="P300"/>
          <cell r="Q300" t="str">
            <v>x</v>
          </cell>
          <cell r="R300" t="str">
            <v>x</v>
          </cell>
          <cell r="S300" t="str">
            <v>x</v>
          </cell>
          <cell r="T300" t="str">
            <v>x</v>
          </cell>
          <cell r="U300"/>
          <cell r="V300"/>
          <cell r="W300"/>
          <cell r="X300"/>
          <cell r="Y300"/>
          <cell r="Z300"/>
          <cell r="AA300"/>
          <cell r="AB300"/>
          <cell r="AC300"/>
          <cell r="AD300"/>
          <cell r="AE300"/>
          <cell r="AF300"/>
          <cell r="AG300"/>
          <cell r="AH300"/>
          <cell r="AI300"/>
          <cell r="AJ300"/>
          <cell r="AK300"/>
          <cell r="AL300"/>
          <cell r="AM300"/>
          <cell r="AN300" t="str">
            <v>x</v>
          </cell>
          <cell r="AO300"/>
          <cell r="AP300" t="str">
            <v>x</v>
          </cell>
          <cell r="AQ300">
            <v>45337</v>
          </cell>
          <cell r="AR300">
            <v>236</v>
          </cell>
          <cell r="AS300">
            <v>45478</v>
          </cell>
          <cell r="AT300">
            <v>95</v>
          </cell>
          <cell r="AU300" t="str">
            <v>VMAJOFON</v>
          </cell>
        </row>
        <row r="301">
          <cell r="C301">
            <v>605508</v>
          </cell>
          <cell r="D301" t="str">
            <v>TOLOZA ESTEFANIA KAREN</v>
          </cell>
          <cell r="E301" t="str">
            <v>09:00 - 15:00</v>
          </cell>
          <cell r="F301" t="str">
            <v>MAÑANA</v>
          </cell>
          <cell r="G301" t="str">
            <v>VIE Y DOM</v>
          </cell>
          <cell r="H301" t="str">
            <v>DIAZ, PAULA</v>
          </cell>
          <cell r="I301" t="str">
            <v>Romandetto Carlos</v>
          </cell>
          <cell r="J301" t="str">
            <v>x</v>
          </cell>
          <cell r="K301"/>
          <cell r="L301" t="str">
            <v>x</v>
          </cell>
          <cell r="M301" t="str">
            <v>x</v>
          </cell>
          <cell r="N301" t="str">
            <v>x</v>
          </cell>
          <cell r="O301"/>
          <cell r="P301"/>
          <cell r="Q301"/>
          <cell r="R301"/>
          <cell r="S301"/>
          <cell r="T301"/>
          <cell r="U301"/>
          <cell r="V301"/>
          <cell r="W301"/>
          <cell r="X301"/>
          <cell r="Y301"/>
          <cell r="Z301"/>
          <cell r="AA301"/>
          <cell r="AB301"/>
          <cell r="AC301"/>
          <cell r="AD301"/>
          <cell r="AE301"/>
          <cell r="AF301"/>
          <cell r="AG301"/>
          <cell r="AH301"/>
          <cell r="AI301"/>
          <cell r="AJ301"/>
          <cell r="AK301"/>
          <cell r="AL301"/>
          <cell r="AM301"/>
          <cell r="AN301" t="str">
            <v>x</v>
          </cell>
          <cell r="AO301" t="str">
            <v>x</v>
          </cell>
          <cell r="AP301"/>
          <cell r="AQ301">
            <v>45337</v>
          </cell>
          <cell r="AR301">
            <v>236</v>
          </cell>
          <cell r="AS301">
            <v>45379</v>
          </cell>
          <cell r="AT301">
            <v>194</v>
          </cell>
          <cell r="AU301" t="str">
            <v>VMAESTOL</v>
          </cell>
        </row>
        <row r="302">
          <cell r="C302">
            <v>605514</v>
          </cell>
          <cell r="D302" t="str">
            <v>RODRIGUEZ JEMIMA VICTORIA</v>
          </cell>
          <cell r="E302" t="str">
            <v>09:00 - 15:00</v>
          </cell>
          <cell r="F302" t="str">
            <v>MAÑANA</v>
          </cell>
          <cell r="G302" t="str">
            <v>VIE Y DOM</v>
          </cell>
          <cell r="H302" t="str">
            <v>VILLALBA, MAITEN</v>
          </cell>
          <cell r="I302" t="str">
            <v>Romandetto Carlos</v>
          </cell>
          <cell r="J302" t="str">
            <v>x</v>
          </cell>
          <cell r="K302"/>
          <cell r="L302" t="str">
            <v>x</v>
          </cell>
          <cell r="M302" t="str">
            <v>x</v>
          </cell>
          <cell r="N302" t="str">
            <v>x</v>
          </cell>
          <cell r="O302" t="str">
            <v>x</v>
          </cell>
          <cell r="P302"/>
          <cell r="Q302"/>
          <cell r="R302"/>
          <cell r="S302"/>
          <cell r="T302"/>
          <cell r="U302"/>
          <cell r="V302"/>
          <cell r="W302"/>
          <cell r="X302"/>
          <cell r="Y302"/>
          <cell r="Z302"/>
          <cell r="AA302"/>
          <cell r="AB302"/>
          <cell r="AC302"/>
          <cell r="AD302"/>
          <cell r="AE302"/>
          <cell r="AF302"/>
          <cell r="AG302"/>
          <cell r="AH302"/>
          <cell r="AI302"/>
          <cell r="AJ302"/>
          <cell r="AK302"/>
          <cell r="AL302"/>
          <cell r="AM302"/>
          <cell r="AN302" t="str">
            <v>x</v>
          </cell>
          <cell r="AO302" t="str">
            <v>x</v>
          </cell>
          <cell r="AP302"/>
          <cell r="AQ302">
            <v>45337</v>
          </cell>
          <cell r="AR302">
            <v>236</v>
          </cell>
          <cell r="AS302">
            <v>45456</v>
          </cell>
          <cell r="AT302">
            <v>117</v>
          </cell>
          <cell r="AU302" t="str">
            <v>VMAJEROD</v>
          </cell>
        </row>
        <row r="303">
          <cell r="C303">
            <v>605776</v>
          </cell>
          <cell r="D303" t="str">
            <v>CRESPIN KEVIN</v>
          </cell>
          <cell r="E303" t="str">
            <v>09:00 - 15:00</v>
          </cell>
          <cell r="F303" t="str">
            <v>MAÑANA</v>
          </cell>
          <cell r="G303" t="str">
            <v>SAB Y DOM</v>
          </cell>
          <cell r="H303" t="str">
            <v>DIAZ, PAULA</v>
          </cell>
          <cell r="I303" t="str">
            <v>Romandetto Carlos</v>
          </cell>
          <cell r="J303" t="str">
            <v>x</v>
          </cell>
          <cell r="K303"/>
          <cell r="L303" t="str">
            <v>x</v>
          </cell>
          <cell r="M303" t="str">
            <v>x</v>
          </cell>
          <cell r="N303" t="str">
            <v>x</v>
          </cell>
          <cell r="O303" t="str">
            <v>x</v>
          </cell>
          <cell r="P303"/>
          <cell r="Q303"/>
          <cell r="R303"/>
          <cell r="S303"/>
          <cell r="T303"/>
          <cell r="U303"/>
          <cell r="V303"/>
          <cell r="W303"/>
          <cell r="X303"/>
          <cell r="Y303"/>
          <cell r="Z303"/>
          <cell r="AA303"/>
          <cell r="AB303"/>
          <cell r="AC303"/>
          <cell r="AD303"/>
          <cell r="AE303"/>
          <cell r="AF303"/>
          <cell r="AG303"/>
          <cell r="AH303"/>
          <cell r="AI303"/>
          <cell r="AJ303"/>
          <cell r="AK303"/>
          <cell r="AL303"/>
          <cell r="AM303"/>
          <cell r="AN303" t="str">
            <v>x</v>
          </cell>
          <cell r="AO303" t="str">
            <v>x</v>
          </cell>
          <cell r="AP303"/>
          <cell r="AQ303">
            <v>45337</v>
          </cell>
          <cell r="AR303">
            <v>236</v>
          </cell>
          <cell r="AS303">
            <v>45456</v>
          </cell>
          <cell r="AT303">
            <v>117</v>
          </cell>
          <cell r="AU303" t="str">
            <v>VMAKECRE</v>
          </cell>
        </row>
        <row r="304">
          <cell r="C304">
            <v>605901</v>
          </cell>
          <cell r="D304" t="str">
            <v>CASTILLO CUEVA LUCIANA</v>
          </cell>
          <cell r="E304" t="str">
            <v>11:00 - 17:00</v>
          </cell>
          <cell r="F304" t="str">
            <v>MAÑANA</v>
          </cell>
          <cell r="G304" t="str">
            <v>VIE Y DOM</v>
          </cell>
          <cell r="H304" t="str">
            <v>GOYECHEA, AGUSTINA LOURDES</v>
          </cell>
          <cell r="I304" t="str">
            <v>Romandetto Carlos</v>
          </cell>
          <cell r="J304" t="str">
            <v>x</v>
          </cell>
          <cell r="K304"/>
          <cell r="L304" t="str">
            <v>x</v>
          </cell>
          <cell r="M304" t="str">
            <v>x</v>
          </cell>
          <cell r="N304" t="str">
            <v>x</v>
          </cell>
          <cell r="O304"/>
          <cell r="P304"/>
          <cell r="Q304"/>
          <cell r="R304"/>
          <cell r="S304"/>
          <cell r="T304"/>
          <cell r="U304"/>
          <cell r="V304"/>
          <cell r="W304"/>
          <cell r="X304"/>
          <cell r="Y304"/>
          <cell r="Z304"/>
          <cell r="AA304"/>
          <cell r="AB304"/>
          <cell r="AC304"/>
          <cell r="AD304"/>
          <cell r="AE304"/>
          <cell r="AF304"/>
          <cell r="AG304"/>
          <cell r="AH304"/>
          <cell r="AI304"/>
          <cell r="AJ304"/>
          <cell r="AK304"/>
          <cell r="AL304"/>
          <cell r="AM304"/>
          <cell r="AN304" t="str">
            <v>x</v>
          </cell>
          <cell r="AO304" t="str">
            <v>x</v>
          </cell>
          <cell r="AP304"/>
          <cell r="AQ304">
            <v>45337</v>
          </cell>
          <cell r="AR304">
            <v>236</v>
          </cell>
          <cell r="AS304">
            <v>45379</v>
          </cell>
          <cell r="AT304">
            <v>194</v>
          </cell>
          <cell r="AU304" t="str">
            <v>VMALUCCA</v>
          </cell>
        </row>
        <row r="305">
          <cell r="C305">
            <v>606065</v>
          </cell>
          <cell r="D305" t="str">
            <v>ZARZA GONZALO IVAN</v>
          </cell>
          <cell r="E305" t="str">
            <v>11:00 - 17:00</v>
          </cell>
          <cell r="F305" t="str">
            <v>MAÑANA</v>
          </cell>
          <cell r="G305" t="str">
            <v>SAB Y DOM</v>
          </cell>
          <cell r="H305" t="str">
            <v>GOYECHEA, AGUSTINA LOURDES</v>
          </cell>
          <cell r="I305" t="str">
            <v>Romandetto Carlos</v>
          </cell>
          <cell r="J305" t="str">
            <v>x</v>
          </cell>
          <cell r="K305"/>
          <cell r="L305" t="str">
            <v>x</v>
          </cell>
          <cell r="M305" t="str">
            <v>x</v>
          </cell>
          <cell r="N305" t="str">
            <v>x</v>
          </cell>
          <cell r="O305"/>
          <cell r="P305"/>
          <cell r="Q305" t="str">
            <v>x</v>
          </cell>
          <cell r="R305" t="str">
            <v>x</v>
          </cell>
          <cell r="S305" t="str">
            <v>x</v>
          </cell>
          <cell r="T305" t="str">
            <v>x</v>
          </cell>
          <cell r="U305"/>
          <cell r="V305"/>
          <cell r="W305"/>
          <cell r="X305"/>
          <cell r="Y305"/>
          <cell r="Z305"/>
          <cell r="AA305"/>
          <cell r="AB305"/>
          <cell r="AC305"/>
          <cell r="AD305"/>
          <cell r="AE305"/>
          <cell r="AF305"/>
          <cell r="AG305"/>
          <cell r="AH305"/>
          <cell r="AI305"/>
          <cell r="AJ305"/>
          <cell r="AK305"/>
          <cell r="AL305"/>
          <cell r="AM305"/>
          <cell r="AN305" t="str">
            <v>x</v>
          </cell>
          <cell r="AO305" t="str">
            <v>x</v>
          </cell>
          <cell r="AP305"/>
          <cell r="AQ305">
            <v>45337</v>
          </cell>
          <cell r="AR305">
            <v>236</v>
          </cell>
          <cell r="AS305">
            <v>45562</v>
          </cell>
          <cell r="AT305">
            <v>11</v>
          </cell>
          <cell r="AU305" t="str">
            <v>VMAIVZAR</v>
          </cell>
        </row>
        <row r="306">
          <cell r="C306">
            <v>606145</v>
          </cell>
          <cell r="D306" t="str">
            <v>SERRUDO VARGAS CAMILA MIKAL</v>
          </cell>
          <cell r="E306" t="str">
            <v>15:00 - 21:00</v>
          </cell>
          <cell r="F306" t="str">
            <v>TARDE</v>
          </cell>
          <cell r="G306" t="str">
            <v>VIE Y DOM</v>
          </cell>
          <cell r="H306" t="str">
            <v>GARZON, ROCIO BELEN</v>
          </cell>
          <cell r="I306" t="str">
            <v>Romandetto Carlos</v>
          </cell>
          <cell r="J306" t="str">
            <v>x</v>
          </cell>
          <cell r="K306"/>
          <cell r="L306" t="str">
            <v>x</v>
          </cell>
          <cell r="M306" t="str">
            <v>x</v>
          </cell>
          <cell r="N306" t="str">
            <v>x</v>
          </cell>
          <cell r="O306"/>
          <cell r="P306"/>
          <cell r="Q306"/>
          <cell r="R306"/>
          <cell r="S306"/>
          <cell r="T306"/>
          <cell r="U306"/>
          <cell r="V306"/>
          <cell r="W306"/>
          <cell r="X306"/>
          <cell r="Y306"/>
          <cell r="Z306"/>
          <cell r="AA306"/>
          <cell r="AB306"/>
          <cell r="AC306"/>
          <cell r="AD306"/>
          <cell r="AE306"/>
          <cell r="AF306"/>
          <cell r="AG306"/>
          <cell r="AH306"/>
          <cell r="AI306"/>
          <cell r="AJ306"/>
          <cell r="AK306"/>
          <cell r="AL306"/>
          <cell r="AM306"/>
          <cell r="AN306" t="str">
            <v>x</v>
          </cell>
          <cell r="AO306" t="str">
            <v>x</v>
          </cell>
          <cell r="AP306"/>
          <cell r="AQ306">
            <v>45337</v>
          </cell>
          <cell r="AR306">
            <v>236</v>
          </cell>
          <cell r="AS306">
            <v>45379</v>
          </cell>
          <cell r="AT306">
            <v>194</v>
          </cell>
          <cell r="AU306" t="str">
            <v>VMACASER</v>
          </cell>
        </row>
        <row r="307">
          <cell r="C307">
            <v>606227</v>
          </cell>
          <cell r="D307" t="str">
            <v>NARBONA SUSAN ABRIL</v>
          </cell>
          <cell r="E307" t="str">
            <v>11:00 - 17:00</v>
          </cell>
          <cell r="F307" t="str">
            <v>MAÑANA</v>
          </cell>
          <cell r="G307" t="str">
            <v>SAB Y DOM</v>
          </cell>
          <cell r="H307" t="str">
            <v>VILLALBA, MAITEN</v>
          </cell>
          <cell r="I307" t="str">
            <v>Romandetto Carlos</v>
          </cell>
          <cell r="J307" t="str">
            <v>x</v>
          </cell>
          <cell r="K307"/>
          <cell r="L307" t="str">
            <v>x</v>
          </cell>
          <cell r="M307" t="str">
            <v>x</v>
          </cell>
          <cell r="N307" t="str">
            <v>x</v>
          </cell>
          <cell r="O307"/>
          <cell r="P307"/>
          <cell r="Q307"/>
          <cell r="R307"/>
          <cell r="S307"/>
          <cell r="T307"/>
          <cell r="U307"/>
          <cell r="V307"/>
          <cell r="W307"/>
          <cell r="X307"/>
          <cell r="Y307"/>
          <cell r="Z307"/>
          <cell r="AA307"/>
          <cell r="AB307"/>
          <cell r="AC307"/>
          <cell r="AD307"/>
          <cell r="AE307"/>
          <cell r="AF307"/>
          <cell r="AG307"/>
          <cell r="AH307"/>
          <cell r="AI307"/>
          <cell r="AJ307"/>
          <cell r="AK307"/>
          <cell r="AL307"/>
          <cell r="AM307"/>
          <cell r="AN307" t="str">
            <v>x</v>
          </cell>
          <cell r="AO307" t="str">
            <v>x</v>
          </cell>
          <cell r="AP307"/>
          <cell r="AQ307">
            <v>45337</v>
          </cell>
          <cell r="AR307">
            <v>236</v>
          </cell>
          <cell r="AS307">
            <v>45379</v>
          </cell>
          <cell r="AT307">
            <v>194</v>
          </cell>
          <cell r="AU307" t="str">
            <v>VMASUNAR</v>
          </cell>
        </row>
        <row r="308">
          <cell r="C308">
            <v>606249</v>
          </cell>
          <cell r="D308" t="str">
            <v>DURO CANDELA MILAGROS</v>
          </cell>
          <cell r="E308" t="str">
            <v>15:00 - 21:00</v>
          </cell>
          <cell r="F308" t="str">
            <v>TARDE</v>
          </cell>
          <cell r="G308" t="str">
            <v>SAB Y DOM</v>
          </cell>
          <cell r="H308" t="str">
            <v>GARZON, ROCIO BELEN</v>
          </cell>
          <cell r="I308" t="str">
            <v>Romandetto Carlos</v>
          </cell>
          <cell r="J308" t="str">
            <v>x</v>
          </cell>
          <cell r="K308"/>
          <cell r="L308" t="str">
            <v>x</v>
          </cell>
          <cell r="M308" t="str">
            <v>x</v>
          </cell>
          <cell r="N308" t="str">
            <v>x</v>
          </cell>
          <cell r="O308"/>
          <cell r="P308"/>
          <cell r="Q308"/>
          <cell r="R308"/>
          <cell r="S308"/>
          <cell r="T308"/>
          <cell r="U308"/>
          <cell r="V308"/>
          <cell r="W308"/>
          <cell r="X308"/>
          <cell r="Y308"/>
          <cell r="Z308"/>
          <cell r="AA308"/>
          <cell r="AB308"/>
          <cell r="AC308"/>
          <cell r="AD308"/>
          <cell r="AE308"/>
          <cell r="AF308"/>
          <cell r="AG308"/>
          <cell r="AH308"/>
          <cell r="AI308"/>
          <cell r="AJ308"/>
          <cell r="AK308"/>
          <cell r="AL308"/>
          <cell r="AM308"/>
          <cell r="AN308" t="str">
            <v>x</v>
          </cell>
          <cell r="AO308" t="str">
            <v>x</v>
          </cell>
          <cell r="AP308"/>
          <cell r="AQ308">
            <v>45337</v>
          </cell>
          <cell r="AR308">
            <v>236</v>
          </cell>
          <cell r="AS308">
            <v>45379</v>
          </cell>
          <cell r="AT308">
            <v>194</v>
          </cell>
          <cell r="AU308" t="str">
            <v>VMACADUR</v>
          </cell>
        </row>
        <row r="309">
          <cell r="C309">
            <v>605635</v>
          </cell>
          <cell r="D309" t="str">
            <v>LEZAMETA ANGELICA MARIA</v>
          </cell>
          <cell r="E309" t="str">
            <v>15:00 - 21:00</v>
          </cell>
          <cell r="F309" t="str">
            <v>TARDE</v>
          </cell>
          <cell r="G309" t="str">
            <v>MIE Y SAB</v>
          </cell>
          <cell r="H309" t="str">
            <v>SOLER, SANTIAGO MAXIMILIANO</v>
          </cell>
          <cell r="I309" t="str">
            <v>Romandetto Carlos</v>
          </cell>
          <cell r="J309" t="str">
            <v>x</v>
          </cell>
          <cell r="K309"/>
          <cell r="L309" t="str">
            <v>x</v>
          </cell>
          <cell r="M309" t="str">
            <v>x</v>
          </cell>
          <cell r="N309" t="str">
            <v>x</v>
          </cell>
          <cell r="O309" t="str">
            <v>x</v>
          </cell>
          <cell r="P309"/>
          <cell r="Q309"/>
          <cell r="R309"/>
          <cell r="S309"/>
          <cell r="T309"/>
          <cell r="U309"/>
          <cell r="V309"/>
          <cell r="W309"/>
          <cell r="X309"/>
          <cell r="Y309"/>
          <cell r="Z309"/>
          <cell r="AA309"/>
          <cell r="AB309"/>
          <cell r="AC309"/>
          <cell r="AD309"/>
          <cell r="AE309"/>
          <cell r="AF309"/>
          <cell r="AG309"/>
          <cell r="AH309"/>
          <cell r="AI309"/>
          <cell r="AJ309"/>
          <cell r="AK309"/>
          <cell r="AL309"/>
          <cell r="AM309"/>
          <cell r="AN309" t="str">
            <v>x</v>
          </cell>
          <cell r="AO309" t="str">
            <v>x</v>
          </cell>
          <cell r="AP309"/>
          <cell r="AQ309">
            <v>45337</v>
          </cell>
          <cell r="AR309">
            <v>236</v>
          </cell>
          <cell r="AS309">
            <v>45456</v>
          </cell>
          <cell r="AT309">
            <v>117</v>
          </cell>
          <cell r="AU309" t="str">
            <v>VMAANLEZ</v>
          </cell>
        </row>
        <row r="310">
          <cell r="C310">
            <v>605766</v>
          </cell>
          <cell r="D310" t="str">
            <v>ZAPATA VAGNINI MARTINA</v>
          </cell>
          <cell r="E310" t="str">
            <v>15:00 - 21:00</v>
          </cell>
          <cell r="F310" t="str">
            <v>TARDE</v>
          </cell>
          <cell r="G310" t="str">
            <v>SAB Y DOM</v>
          </cell>
          <cell r="H310" t="str">
            <v>SOLER, SANTIAGO MAXIMILIANO</v>
          </cell>
          <cell r="I310" t="str">
            <v>Romandetto Carlos</v>
          </cell>
          <cell r="J310" t="str">
            <v>x</v>
          </cell>
          <cell r="K310"/>
          <cell r="L310" t="str">
            <v>x</v>
          </cell>
          <cell r="M310" t="str">
            <v>x</v>
          </cell>
          <cell r="N310" t="str">
            <v>x</v>
          </cell>
          <cell r="O310"/>
          <cell r="P310"/>
          <cell r="Q310"/>
          <cell r="R310"/>
          <cell r="S310"/>
          <cell r="T310"/>
          <cell r="U310"/>
          <cell r="V310"/>
          <cell r="W310"/>
          <cell r="X310"/>
          <cell r="Y310"/>
          <cell r="Z310"/>
          <cell r="AA310"/>
          <cell r="AB310"/>
          <cell r="AC310"/>
          <cell r="AD310"/>
          <cell r="AE310"/>
          <cell r="AF310"/>
          <cell r="AG310"/>
          <cell r="AH310"/>
          <cell r="AI310"/>
          <cell r="AJ310"/>
          <cell r="AK310"/>
          <cell r="AL310"/>
          <cell r="AM310"/>
          <cell r="AN310" t="str">
            <v>x</v>
          </cell>
          <cell r="AO310" t="str">
            <v>x</v>
          </cell>
          <cell r="AP310"/>
          <cell r="AQ310">
            <v>45337</v>
          </cell>
          <cell r="AR310">
            <v>236</v>
          </cell>
          <cell r="AS310">
            <v>45379</v>
          </cell>
          <cell r="AT310">
            <v>194</v>
          </cell>
          <cell r="AU310" t="str">
            <v>VMAMAZAP</v>
          </cell>
        </row>
        <row r="311">
          <cell r="C311">
            <v>605774</v>
          </cell>
          <cell r="D311" t="str">
            <v>CASTRO CRISTIAN NICOLAS</v>
          </cell>
          <cell r="E311" t="str">
            <v>15:00 - 21:00</v>
          </cell>
          <cell r="F311" t="str">
            <v>TARDE</v>
          </cell>
          <cell r="G311" t="str">
            <v>VIE Y DOM</v>
          </cell>
          <cell r="H311" t="str">
            <v>SOLER, SANTIAGO MAXIMILIANO</v>
          </cell>
          <cell r="I311" t="str">
            <v>Romandetto Carlos</v>
          </cell>
          <cell r="J311" t="str">
            <v>x</v>
          </cell>
          <cell r="K311"/>
          <cell r="L311" t="str">
            <v>x</v>
          </cell>
          <cell r="M311" t="str">
            <v>x</v>
          </cell>
          <cell r="N311" t="str">
            <v>x</v>
          </cell>
          <cell r="O311"/>
          <cell r="P311"/>
          <cell r="Q311"/>
          <cell r="R311"/>
          <cell r="S311"/>
          <cell r="T311"/>
          <cell r="U311"/>
          <cell r="V311"/>
          <cell r="W311"/>
          <cell r="X311"/>
          <cell r="Y311"/>
          <cell r="Z311"/>
          <cell r="AA311"/>
          <cell r="AB311"/>
          <cell r="AC311"/>
          <cell r="AD311"/>
          <cell r="AE311"/>
          <cell r="AF311"/>
          <cell r="AG311"/>
          <cell r="AH311"/>
          <cell r="AI311"/>
          <cell r="AJ311"/>
          <cell r="AK311"/>
          <cell r="AL311"/>
          <cell r="AM311"/>
          <cell r="AN311" t="str">
            <v>x</v>
          </cell>
          <cell r="AO311" t="str">
            <v>x</v>
          </cell>
          <cell r="AP311"/>
          <cell r="AQ311">
            <v>45337</v>
          </cell>
          <cell r="AR311">
            <v>236</v>
          </cell>
          <cell r="AS311">
            <v>45379</v>
          </cell>
          <cell r="AT311">
            <v>194</v>
          </cell>
          <cell r="AU311" t="str">
            <v>VMACRCAS</v>
          </cell>
        </row>
        <row r="312">
          <cell r="C312">
            <v>605600</v>
          </cell>
          <cell r="D312" t="str">
            <v>CASTRO MARIA MAGALI</v>
          </cell>
          <cell r="E312" t="str">
            <v>15:00 - 21:00</v>
          </cell>
          <cell r="F312" t="str">
            <v>TARDE</v>
          </cell>
          <cell r="G312" t="str">
            <v>MAR Y DOM</v>
          </cell>
          <cell r="H312" t="str">
            <v>GARZON, ROCIO BELEN</v>
          </cell>
          <cell r="I312" t="str">
            <v>Romandetto Carlos</v>
          </cell>
          <cell r="J312" t="str">
            <v>x</v>
          </cell>
          <cell r="K312"/>
          <cell r="L312" t="str">
            <v>x</v>
          </cell>
          <cell r="M312" t="str">
            <v>x</v>
          </cell>
          <cell r="N312" t="str">
            <v>x</v>
          </cell>
          <cell r="O312"/>
          <cell r="P312"/>
          <cell r="Q312"/>
          <cell r="R312"/>
          <cell r="S312"/>
          <cell r="T312"/>
          <cell r="U312"/>
          <cell r="V312"/>
          <cell r="W312"/>
          <cell r="X312"/>
          <cell r="Y312"/>
          <cell r="Z312"/>
          <cell r="AA312"/>
          <cell r="AB312"/>
          <cell r="AC312"/>
          <cell r="AD312"/>
          <cell r="AE312"/>
          <cell r="AF312"/>
          <cell r="AG312"/>
          <cell r="AH312"/>
          <cell r="AI312"/>
          <cell r="AJ312"/>
          <cell r="AK312"/>
          <cell r="AL312"/>
          <cell r="AM312"/>
          <cell r="AN312" t="str">
            <v>x</v>
          </cell>
          <cell r="AO312" t="str">
            <v>x</v>
          </cell>
          <cell r="AP312"/>
          <cell r="AQ312">
            <v>45337</v>
          </cell>
          <cell r="AR312">
            <v>236</v>
          </cell>
          <cell r="AS312">
            <v>45379</v>
          </cell>
          <cell r="AT312">
            <v>194</v>
          </cell>
          <cell r="AU312" t="str">
            <v>VMAMACAS</v>
          </cell>
        </row>
        <row r="313">
          <cell r="C313">
            <v>605927</v>
          </cell>
          <cell r="D313" t="str">
            <v>SANTANA CONCEPCION DEL ROSARIO</v>
          </cell>
          <cell r="E313" t="str">
            <v>16:00 - 22:00</v>
          </cell>
          <cell r="F313" t="str">
            <v>TARDE</v>
          </cell>
          <cell r="G313" t="str">
            <v>SAB Y DOM</v>
          </cell>
          <cell r="H313" t="str">
            <v>SOLER, SANTIAGO MAXIMILIANO</v>
          </cell>
          <cell r="I313" t="str">
            <v>Romandetto Carlos</v>
          </cell>
          <cell r="J313" t="str">
            <v>x</v>
          </cell>
          <cell r="K313"/>
          <cell r="L313" t="str">
            <v>x</v>
          </cell>
          <cell r="M313" t="str">
            <v>x</v>
          </cell>
          <cell r="N313" t="str">
            <v>x</v>
          </cell>
          <cell r="O313"/>
          <cell r="P313"/>
          <cell r="Q313" t="str">
            <v>x</v>
          </cell>
          <cell r="R313" t="str">
            <v>x</v>
          </cell>
          <cell r="S313" t="str">
            <v>x</v>
          </cell>
          <cell r="T313" t="str">
            <v>x</v>
          </cell>
          <cell r="U313"/>
          <cell r="V313"/>
          <cell r="W313"/>
          <cell r="X313"/>
          <cell r="Y313"/>
          <cell r="Z313"/>
          <cell r="AA313"/>
          <cell r="AB313"/>
          <cell r="AC313"/>
          <cell r="AD313"/>
          <cell r="AE313"/>
          <cell r="AF313"/>
          <cell r="AG313"/>
          <cell r="AH313"/>
          <cell r="AI313"/>
          <cell r="AJ313"/>
          <cell r="AK313"/>
          <cell r="AL313"/>
          <cell r="AM313"/>
          <cell r="AN313" t="str">
            <v>x</v>
          </cell>
          <cell r="AO313" t="str">
            <v>x</v>
          </cell>
          <cell r="AP313"/>
          <cell r="AQ313">
            <v>45337</v>
          </cell>
          <cell r="AR313">
            <v>236</v>
          </cell>
          <cell r="AS313">
            <v>45562</v>
          </cell>
          <cell r="AT313">
            <v>11</v>
          </cell>
          <cell r="AU313" t="str">
            <v>VMAROSAN</v>
          </cell>
        </row>
        <row r="314">
          <cell r="C314">
            <v>605944</v>
          </cell>
          <cell r="D314" t="str">
            <v>LIZUÑA AGUSTIN</v>
          </cell>
          <cell r="E314" t="str">
            <v>12:00 - 18:00</v>
          </cell>
          <cell r="F314" t="str">
            <v>TARDE</v>
          </cell>
          <cell r="G314" t="str">
            <v>SAB Y DOM</v>
          </cell>
          <cell r="H314" t="str">
            <v>SOLER, SANTIAGO MAXIMILIANO</v>
          </cell>
          <cell r="I314" t="str">
            <v>Romandetto Carlos</v>
          </cell>
          <cell r="J314" t="str">
            <v>x</v>
          </cell>
          <cell r="K314"/>
          <cell r="L314" t="str">
            <v>x</v>
          </cell>
          <cell r="M314" t="str">
            <v>x</v>
          </cell>
          <cell r="N314" t="str">
            <v>x</v>
          </cell>
          <cell r="O314"/>
          <cell r="P314"/>
          <cell r="Q314"/>
          <cell r="R314"/>
          <cell r="S314"/>
          <cell r="T314"/>
          <cell r="U314"/>
          <cell r="V314"/>
          <cell r="W314"/>
          <cell r="X314"/>
          <cell r="Y314"/>
          <cell r="Z314"/>
          <cell r="AA314"/>
          <cell r="AB314"/>
          <cell r="AC314"/>
          <cell r="AD314"/>
          <cell r="AE314"/>
          <cell r="AF314"/>
          <cell r="AG314"/>
          <cell r="AH314"/>
          <cell r="AI314"/>
          <cell r="AJ314"/>
          <cell r="AK314"/>
          <cell r="AL314"/>
          <cell r="AM314"/>
          <cell r="AN314" t="str">
            <v>x</v>
          </cell>
          <cell r="AO314" t="str">
            <v>x</v>
          </cell>
          <cell r="AP314"/>
          <cell r="AQ314">
            <v>45337</v>
          </cell>
          <cell r="AR314">
            <v>236</v>
          </cell>
          <cell r="AS314">
            <v>45379</v>
          </cell>
          <cell r="AT314">
            <v>194</v>
          </cell>
          <cell r="AU314" t="str">
            <v>VMAAGLIZ</v>
          </cell>
        </row>
        <row r="315">
          <cell r="C315">
            <v>606430</v>
          </cell>
          <cell r="D315" t="str">
            <v>LEZAMETA MACUTELA CELESTE</v>
          </cell>
          <cell r="E315" t="str">
            <v>12:00 - 18:00</v>
          </cell>
          <cell r="F315" t="str">
            <v>TARDE</v>
          </cell>
          <cell r="G315" t="str">
            <v>SAB Y DOM</v>
          </cell>
          <cell r="H315" t="str">
            <v>ROJAS, LUCAS</v>
          </cell>
          <cell r="I315" t="str">
            <v>Romandetto Carlos</v>
          </cell>
          <cell r="J315" t="str">
            <v>x</v>
          </cell>
          <cell r="K315"/>
          <cell r="L315" t="str">
            <v>x</v>
          </cell>
          <cell r="M315" t="str">
            <v>x</v>
          </cell>
          <cell r="N315" t="str">
            <v>x</v>
          </cell>
          <cell r="O315"/>
          <cell r="P315"/>
          <cell r="Q315" t="str">
            <v>x</v>
          </cell>
          <cell r="R315" t="str">
            <v>x</v>
          </cell>
          <cell r="S315" t="str">
            <v>x</v>
          </cell>
          <cell r="T315" t="str">
            <v>x</v>
          </cell>
          <cell r="U315"/>
          <cell r="V315"/>
          <cell r="W315"/>
          <cell r="X315"/>
          <cell r="Y315"/>
          <cell r="Z315"/>
          <cell r="AA315"/>
          <cell r="AB315"/>
          <cell r="AC315"/>
          <cell r="AD315"/>
          <cell r="AE315"/>
          <cell r="AF315"/>
          <cell r="AG315"/>
          <cell r="AH315"/>
          <cell r="AI315"/>
          <cell r="AJ315"/>
          <cell r="AK315"/>
          <cell r="AL315"/>
          <cell r="AM315"/>
          <cell r="AN315" t="str">
            <v>x</v>
          </cell>
          <cell r="AO315" t="str">
            <v>x</v>
          </cell>
          <cell r="AP315"/>
          <cell r="AQ315">
            <v>45337</v>
          </cell>
          <cell r="AR315">
            <v>236</v>
          </cell>
          <cell r="AS315">
            <v>45562</v>
          </cell>
          <cell r="AT315">
            <v>11</v>
          </cell>
          <cell r="AU315" t="str">
            <v>VMACELEZ</v>
          </cell>
        </row>
        <row r="316">
          <cell r="C316">
            <v>606434</v>
          </cell>
          <cell r="D316" t="str">
            <v>FLORES JESUS EMANUEL</v>
          </cell>
          <cell r="E316" t="str">
            <v>15:00 - 21:00</v>
          </cell>
          <cell r="F316" t="str">
            <v>TARDE</v>
          </cell>
          <cell r="G316" t="str">
            <v>JUE Y SAB</v>
          </cell>
          <cell r="H316" t="str">
            <v>ROJAS, LUCAS</v>
          </cell>
          <cell r="I316" t="str">
            <v>Romandetto Carlos</v>
          </cell>
          <cell r="J316" t="str">
            <v>x</v>
          </cell>
          <cell r="K316"/>
          <cell r="L316" t="str">
            <v>x</v>
          </cell>
          <cell r="M316" t="str">
            <v>x</v>
          </cell>
          <cell r="N316" t="str">
            <v>x</v>
          </cell>
          <cell r="O316"/>
          <cell r="P316"/>
          <cell r="Q316"/>
          <cell r="R316"/>
          <cell r="S316"/>
          <cell r="T316"/>
          <cell r="U316"/>
          <cell r="V316"/>
          <cell r="W316"/>
          <cell r="X316"/>
          <cell r="Y316"/>
          <cell r="Z316"/>
          <cell r="AA316"/>
          <cell r="AB316"/>
          <cell r="AC316"/>
          <cell r="AD316"/>
          <cell r="AE316"/>
          <cell r="AF316"/>
          <cell r="AG316"/>
          <cell r="AH316"/>
          <cell r="AI316"/>
          <cell r="AJ316"/>
          <cell r="AK316"/>
          <cell r="AL316"/>
          <cell r="AM316"/>
          <cell r="AN316" t="str">
            <v>x</v>
          </cell>
          <cell r="AO316" t="str">
            <v>x</v>
          </cell>
          <cell r="AP316"/>
          <cell r="AQ316">
            <v>45337</v>
          </cell>
          <cell r="AR316">
            <v>236</v>
          </cell>
          <cell r="AS316">
            <v>45379</v>
          </cell>
          <cell r="AT316">
            <v>194</v>
          </cell>
          <cell r="AU316" t="str">
            <v>VMAJEFLO</v>
          </cell>
        </row>
        <row r="317">
          <cell r="C317">
            <v>606436</v>
          </cell>
          <cell r="D317" t="str">
            <v>SANJUAN LAURA</v>
          </cell>
          <cell r="E317" t="str">
            <v>15:00 - 21:00</v>
          </cell>
          <cell r="F317" t="str">
            <v>TARDE</v>
          </cell>
          <cell r="G317" t="str">
            <v>JUE Y DOM</v>
          </cell>
          <cell r="H317" t="str">
            <v>ROJAS, LUCAS</v>
          </cell>
          <cell r="I317" t="str">
            <v>Romandetto Carlos</v>
          </cell>
          <cell r="J317" t="str">
            <v>x</v>
          </cell>
          <cell r="K317"/>
          <cell r="L317" t="str">
            <v>x</v>
          </cell>
          <cell r="M317" t="str">
            <v>x</v>
          </cell>
          <cell r="N317" t="str">
            <v>x</v>
          </cell>
          <cell r="O317"/>
          <cell r="P317"/>
          <cell r="Q317"/>
          <cell r="R317"/>
          <cell r="S317"/>
          <cell r="T317"/>
          <cell r="U317"/>
          <cell r="V317"/>
          <cell r="W317"/>
          <cell r="X317"/>
          <cell r="Y317"/>
          <cell r="Z317"/>
          <cell r="AA317"/>
          <cell r="AB317"/>
          <cell r="AC317"/>
          <cell r="AD317"/>
          <cell r="AE317"/>
          <cell r="AF317"/>
          <cell r="AG317"/>
          <cell r="AH317"/>
          <cell r="AI317"/>
          <cell r="AJ317"/>
          <cell r="AK317"/>
          <cell r="AL317"/>
          <cell r="AM317"/>
          <cell r="AN317" t="str">
            <v>x</v>
          </cell>
          <cell r="AO317" t="str">
            <v>x</v>
          </cell>
          <cell r="AP317"/>
          <cell r="AQ317">
            <v>45337</v>
          </cell>
          <cell r="AR317">
            <v>236</v>
          </cell>
          <cell r="AS317">
            <v>45379</v>
          </cell>
          <cell r="AT317">
            <v>194</v>
          </cell>
          <cell r="AU317" t="str">
            <v>VMALASAN</v>
          </cell>
        </row>
        <row r="318">
          <cell r="C318">
            <v>605664</v>
          </cell>
          <cell r="D318" t="str">
            <v>PALACIO JONATHAN</v>
          </cell>
          <cell r="E318" t="str">
            <v>09:00 - 15:00</v>
          </cell>
          <cell r="F318" t="str">
            <v>MAÑANA</v>
          </cell>
          <cell r="G318" t="str">
            <v>VIE Y DOM</v>
          </cell>
          <cell r="H318" t="str">
            <v>GOYECHEA, AGUSTINA LOURDES</v>
          </cell>
          <cell r="I318" t="str">
            <v>Romandetto Carlos</v>
          </cell>
          <cell r="J318" t="str">
            <v>x</v>
          </cell>
          <cell r="K318"/>
          <cell r="L318" t="str">
            <v>x</v>
          </cell>
          <cell r="M318" t="str">
            <v>x</v>
          </cell>
          <cell r="N318" t="str">
            <v>x</v>
          </cell>
          <cell r="O318"/>
          <cell r="P318"/>
          <cell r="Q318"/>
          <cell r="R318"/>
          <cell r="S318"/>
          <cell r="T318"/>
          <cell r="U318"/>
          <cell r="V318"/>
          <cell r="W318"/>
          <cell r="X318"/>
          <cell r="Y318"/>
          <cell r="Z318"/>
          <cell r="AA318"/>
          <cell r="AB318"/>
          <cell r="AC318"/>
          <cell r="AD318"/>
          <cell r="AE318"/>
          <cell r="AF318"/>
          <cell r="AG318"/>
          <cell r="AH318"/>
          <cell r="AI318"/>
          <cell r="AJ318"/>
          <cell r="AK318"/>
          <cell r="AL318"/>
          <cell r="AM318"/>
          <cell r="AN318" t="str">
            <v>x</v>
          </cell>
          <cell r="AO318" t="str">
            <v>x</v>
          </cell>
          <cell r="AP318"/>
          <cell r="AQ318">
            <v>45365</v>
          </cell>
          <cell r="AR318">
            <v>208</v>
          </cell>
          <cell r="AS318">
            <v>45412</v>
          </cell>
          <cell r="AT318">
            <v>161</v>
          </cell>
          <cell r="AU318" t="str">
            <v>VMAJOPAL</v>
          </cell>
        </row>
        <row r="319">
          <cell r="C319">
            <v>605830</v>
          </cell>
          <cell r="D319" t="str">
            <v>SALINA BRENDA</v>
          </cell>
          <cell r="E319" t="str">
            <v>09:00 - 15:00</v>
          </cell>
          <cell r="F319" t="str">
            <v>MAÑANA</v>
          </cell>
          <cell r="G319" t="str">
            <v>JUE Y DOM</v>
          </cell>
          <cell r="H319" t="str">
            <v>GOYECHEA, AGUSTINA LOURDES</v>
          </cell>
          <cell r="I319" t="str">
            <v>Romandetto Carlos</v>
          </cell>
          <cell r="J319" t="str">
            <v>x</v>
          </cell>
          <cell r="K319"/>
          <cell r="L319" t="str">
            <v>x</v>
          </cell>
          <cell r="M319" t="str">
            <v>x</v>
          </cell>
          <cell r="N319" t="str">
            <v>x</v>
          </cell>
          <cell r="O319"/>
          <cell r="P319"/>
          <cell r="Q319"/>
          <cell r="R319"/>
          <cell r="S319"/>
          <cell r="T319"/>
          <cell r="U319"/>
          <cell r="V319"/>
          <cell r="W319"/>
          <cell r="X319"/>
          <cell r="Y319"/>
          <cell r="Z319"/>
          <cell r="AA319"/>
          <cell r="AB319"/>
          <cell r="AC319"/>
          <cell r="AD319"/>
          <cell r="AE319"/>
          <cell r="AF319"/>
          <cell r="AG319"/>
          <cell r="AH319"/>
          <cell r="AI319"/>
          <cell r="AJ319"/>
          <cell r="AK319"/>
          <cell r="AL319"/>
          <cell r="AM319"/>
          <cell r="AN319" t="str">
            <v>x</v>
          </cell>
          <cell r="AO319" t="str">
            <v>x</v>
          </cell>
          <cell r="AP319"/>
          <cell r="AQ319">
            <v>45365</v>
          </cell>
          <cell r="AR319">
            <v>208</v>
          </cell>
          <cell r="AS319">
            <v>45412</v>
          </cell>
          <cell r="AT319">
            <v>161</v>
          </cell>
          <cell r="AU319" t="str">
            <v>VMABRSAL</v>
          </cell>
        </row>
        <row r="320">
          <cell r="C320">
            <v>605902</v>
          </cell>
          <cell r="D320" t="str">
            <v>BARRIO MARTINEZ IARA MARIANELLA</v>
          </cell>
          <cell r="E320" t="str">
            <v>10:00 - 16:00</v>
          </cell>
          <cell r="F320" t="str">
            <v>MAÑANA</v>
          </cell>
          <cell r="G320" t="str">
            <v>SAB Y DOM</v>
          </cell>
          <cell r="H320" t="str">
            <v>ROBLEDO, LEANDRO JAVIER</v>
          </cell>
          <cell r="I320" t="str">
            <v>Romandetto Carlos</v>
          </cell>
          <cell r="J320" t="str">
            <v>x</v>
          </cell>
          <cell r="K320"/>
          <cell r="L320" t="str">
            <v>x</v>
          </cell>
          <cell r="M320" t="str">
            <v>x</v>
          </cell>
          <cell r="N320" t="str">
            <v>x</v>
          </cell>
          <cell r="O320"/>
          <cell r="P320"/>
          <cell r="Q320"/>
          <cell r="R320"/>
          <cell r="S320"/>
          <cell r="T320"/>
          <cell r="U320"/>
          <cell r="V320"/>
          <cell r="W320"/>
          <cell r="X320"/>
          <cell r="Y320"/>
          <cell r="Z320"/>
          <cell r="AA320"/>
          <cell r="AB320"/>
          <cell r="AC320"/>
          <cell r="AD320"/>
          <cell r="AE320"/>
          <cell r="AF320"/>
          <cell r="AG320"/>
          <cell r="AH320"/>
          <cell r="AI320"/>
          <cell r="AJ320"/>
          <cell r="AK320"/>
          <cell r="AL320"/>
          <cell r="AM320"/>
          <cell r="AN320" t="str">
            <v>x</v>
          </cell>
          <cell r="AO320" t="str">
            <v>x</v>
          </cell>
          <cell r="AP320"/>
          <cell r="AQ320">
            <v>45365</v>
          </cell>
          <cell r="AR320">
            <v>208</v>
          </cell>
          <cell r="AS320">
            <v>45412</v>
          </cell>
          <cell r="AT320">
            <v>161</v>
          </cell>
          <cell r="AU320" t="str">
            <v>VMAIABAR</v>
          </cell>
        </row>
        <row r="321">
          <cell r="C321">
            <v>605932</v>
          </cell>
          <cell r="D321" t="str">
            <v>LOPEZ BRUNO JORGE</v>
          </cell>
          <cell r="E321" t="str">
            <v>12:00 - 18:00</v>
          </cell>
          <cell r="F321" t="str">
            <v>TARDE</v>
          </cell>
          <cell r="G321" t="str">
            <v>JUE Y SAB</v>
          </cell>
          <cell r="H321" t="str">
            <v>ROBLEDO, LEANDRO JAVIER</v>
          </cell>
          <cell r="I321" t="str">
            <v>Romandetto Carlos</v>
          </cell>
          <cell r="J321" t="str">
            <v>x</v>
          </cell>
          <cell r="K321"/>
          <cell r="L321" t="str">
            <v>x</v>
          </cell>
          <cell r="M321" t="str">
            <v>x</v>
          </cell>
          <cell r="N321" t="str">
            <v>x</v>
          </cell>
          <cell r="O321"/>
          <cell r="P321"/>
          <cell r="Q321"/>
          <cell r="R321"/>
          <cell r="S321"/>
          <cell r="T321"/>
          <cell r="U321"/>
          <cell r="V321"/>
          <cell r="W321"/>
          <cell r="X321"/>
          <cell r="Y321"/>
          <cell r="Z321"/>
          <cell r="AA321"/>
          <cell r="AB321"/>
          <cell r="AC321"/>
          <cell r="AD321"/>
          <cell r="AE321"/>
          <cell r="AF321"/>
          <cell r="AG321"/>
          <cell r="AH321"/>
          <cell r="AI321"/>
          <cell r="AJ321"/>
          <cell r="AK321"/>
          <cell r="AL321"/>
          <cell r="AM321"/>
          <cell r="AN321" t="str">
            <v>x</v>
          </cell>
          <cell r="AO321" t="str">
            <v>x</v>
          </cell>
          <cell r="AP321"/>
          <cell r="AQ321">
            <v>45365</v>
          </cell>
          <cell r="AR321">
            <v>208</v>
          </cell>
          <cell r="AS321">
            <v>45412</v>
          </cell>
          <cell r="AT321">
            <v>161</v>
          </cell>
          <cell r="AU321" t="str">
            <v>VMABRLOP</v>
          </cell>
        </row>
        <row r="322">
          <cell r="C322">
            <v>606340</v>
          </cell>
          <cell r="D322" t="str">
            <v>ARMAS BERROCAL GUILLERMO JESUS</v>
          </cell>
          <cell r="E322" t="str">
            <v>09:00 - 15:00</v>
          </cell>
          <cell r="F322" t="str">
            <v>MAÑANA</v>
          </cell>
          <cell r="G322" t="str">
            <v>SAB Y DOM</v>
          </cell>
          <cell r="H322" t="str">
            <v>GOYECHEA, AGUSTINA LOURDES</v>
          </cell>
          <cell r="I322" t="str">
            <v>Romandetto Carlos</v>
          </cell>
          <cell r="J322" t="str">
            <v>x</v>
          </cell>
          <cell r="K322"/>
          <cell r="L322" t="str">
            <v>x</v>
          </cell>
          <cell r="M322" t="str">
            <v>x</v>
          </cell>
          <cell r="N322" t="str">
            <v>x</v>
          </cell>
          <cell r="O322"/>
          <cell r="P322"/>
          <cell r="Q322" t="str">
            <v>x</v>
          </cell>
          <cell r="R322" t="str">
            <v>x</v>
          </cell>
          <cell r="S322" t="str">
            <v>x</v>
          </cell>
          <cell r="T322" t="str">
            <v>x</v>
          </cell>
          <cell r="U322"/>
          <cell r="V322"/>
          <cell r="W322"/>
          <cell r="X322"/>
          <cell r="Y322"/>
          <cell r="Z322"/>
          <cell r="AA322"/>
          <cell r="AB322"/>
          <cell r="AC322"/>
          <cell r="AD322"/>
          <cell r="AE322"/>
          <cell r="AF322"/>
          <cell r="AG322"/>
          <cell r="AH322"/>
          <cell r="AI322"/>
          <cell r="AJ322"/>
          <cell r="AK322"/>
          <cell r="AL322"/>
          <cell r="AM322"/>
          <cell r="AN322" t="str">
            <v>x</v>
          </cell>
          <cell r="AO322" t="str">
            <v>x</v>
          </cell>
          <cell r="AP322"/>
          <cell r="AQ322">
            <v>45365</v>
          </cell>
          <cell r="AR322">
            <v>208</v>
          </cell>
          <cell r="AS322">
            <v>45562</v>
          </cell>
          <cell r="AT322">
            <v>11</v>
          </cell>
          <cell r="AU322" t="str">
            <v>VMAGUARM</v>
          </cell>
        </row>
        <row r="323">
          <cell r="C323">
            <v>606438</v>
          </cell>
          <cell r="D323" t="str">
            <v>PALOMO LEANDRO MARTIN</v>
          </cell>
          <cell r="E323" t="str">
            <v>12:00 - 18:00</v>
          </cell>
          <cell r="F323" t="str">
            <v>TARDE</v>
          </cell>
          <cell r="G323" t="str">
            <v>JUE Y DOM</v>
          </cell>
          <cell r="H323" t="str">
            <v>YBARRA, LUCIA ALDANA</v>
          </cell>
          <cell r="I323" t="str">
            <v>Romandetto Carlos</v>
          </cell>
          <cell r="J323" t="str">
            <v>x</v>
          </cell>
          <cell r="K323"/>
          <cell r="L323" t="str">
            <v>x</v>
          </cell>
          <cell r="M323" t="str">
            <v>x</v>
          </cell>
          <cell r="N323" t="str">
            <v>x</v>
          </cell>
          <cell r="O323"/>
          <cell r="P323"/>
          <cell r="Q323"/>
          <cell r="R323" t="str">
            <v>x</v>
          </cell>
          <cell r="S323"/>
          <cell r="T323"/>
          <cell r="U323"/>
          <cell r="V323"/>
          <cell r="W323"/>
          <cell r="X323"/>
          <cell r="Y323"/>
          <cell r="Z323"/>
          <cell r="AA323"/>
          <cell r="AB323"/>
          <cell r="AC323"/>
          <cell r="AD323"/>
          <cell r="AE323"/>
          <cell r="AF323"/>
          <cell r="AG323"/>
          <cell r="AH323"/>
          <cell r="AI323"/>
          <cell r="AJ323"/>
          <cell r="AK323"/>
          <cell r="AL323"/>
          <cell r="AM323"/>
          <cell r="AN323" t="str">
            <v>x</v>
          </cell>
          <cell r="AO323" t="str">
            <v>x</v>
          </cell>
          <cell r="AP323"/>
          <cell r="AQ323">
            <v>45365</v>
          </cell>
          <cell r="AR323">
            <v>208</v>
          </cell>
          <cell r="AS323">
            <v>45412</v>
          </cell>
          <cell r="AT323">
            <v>161</v>
          </cell>
          <cell r="AU323" t="str">
            <v>VMALEPAL</v>
          </cell>
        </row>
        <row r="324">
          <cell r="C324">
            <v>606466</v>
          </cell>
          <cell r="D324" t="str">
            <v>ENRIQUE ORIANA</v>
          </cell>
          <cell r="E324" t="str">
            <v>12:00 - 18:00</v>
          </cell>
          <cell r="F324" t="str">
            <v>TARDE</v>
          </cell>
          <cell r="G324" t="str">
            <v>VIE Y DOM</v>
          </cell>
          <cell r="H324" t="str">
            <v>ONETTO, MARIA DE LOS MILAGROS</v>
          </cell>
          <cell r="I324" t="str">
            <v>Romandetto Carlos</v>
          </cell>
          <cell r="J324" t="str">
            <v>x</v>
          </cell>
          <cell r="K324"/>
          <cell r="L324" t="str">
            <v>x</v>
          </cell>
          <cell r="M324" t="str">
            <v>x</v>
          </cell>
          <cell r="N324" t="str">
            <v>x</v>
          </cell>
          <cell r="O324"/>
          <cell r="P324"/>
          <cell r="Q324"/>
          <cell r="R324"/>
          <cell r="S324"/>
          <cell r="T324"/>
          <cell r="U324"/>
          <cell r="V324"/>
          <cell r="W324"/>
          <cell r="X324"/>
          <cell r="Y324"/>
          <cell r="Z324"/>
          <cell r="AA324"/>
          <cell r="AB324"/>
          <cell r="AC324"/>
          <cell r="AD324"/>
          <cell r="AE324"/>
          <cell r="AF324"/>
          <cell r="AG324"/>
          <cell r="AH324"/>
          <cell r="AI324"/>
          <cell r="AJ324"/>
          <cell r="AK324"/>
          <cell r="AL324"/>
          <cell r="AM324"/>
          <cell r="AN324" t="str">
            <v>x</v>
          </cell>
          <cell r="AO324" t="str">
            <v>x</v>
          </cell>
          <cell r="AP324"/>
          <cell r="AQ324">
            <v>45365</v>
          </cell>
          <cell r="AR324">
            <v>208</v>
          </cell>
          <cell r="AS324">
            <v>45412</v>
          </cell>
          <cell r="AT324">
            <v>161</v>
          </cell>
          <cell r="AU324" t="str">
            <v>VMAORENR</v>
          </cell>
        </row>
        <row r="325">
          <cell r="C325">
            <v>606470</v>
          </cell>
          <cell r="D325" t="str">
            <v>ALMIRON LUCIANA AYELEN</v>
          </cell>
          <cell r="E325" t="str">
            <v>15:00 - 21:00</v>
          </cell>
          <cell r="F325" t="str">
            <v>TARDE</v>
          </cell>
          <cell r="G325" t="str">
            <v>VIE Y DOM</v>
          </cell>
          <cell r="H325" t="str">
            <v>YBARRA, LUCIA ALDANA</v>
          </cell>
          <cell r="I325" t="str">
            <v>Romandetto Carlos</v>
          </cell>
          <cell r="J325" t="str">
            <v>x</v>
          </cell>
          <cell r="K325"/>
          <cell r="L325" t="str">
            <v>x</v>
          </cell>
          <cell r="M325" t="str">
            <v>x</v>
          </cell>
          <cell r="N325" t="str">
            <v>x</v>
          </cell>
          <cell r="O325"/>
          <cell r="P325"/>
          <cell r="Q325"/>
          <cell r="R325"/>
          <cell r="S325"/>
          <cell r="T325"/>
          <cell r="U325"/>
          <cell r="V325"/>
          <cell r="W325"/>
          <cell r="X325"/>
          <cell r="Y325"/>
          <cell r="Z325"/>
          <cell r="AA325"/>
          <cell r="AB325"/>
          <cell r="AC325"/>
          <cell r="AD325"/>
          <cell r="AE325"/>
          <cell r="AF325"/>
          <cell r="AG325"/>
          <cell r="AH325"/>
          <cell r="AI325"/>
          <cell r="AJ325"/>
          <cell r="AK325"/>
          <cell r="AL325"/>
          <cell r="AM325"/>
          <cell r="AN325" t="str">
            <v>x</v>
          </cell>
          <cell r="AO325" t="str">
            <v>x</v>
          </cell>
          <cell r="AP325"/>
          <cell r="AQ325">
            <v>45365</v>
          </cell>
          <cell r="AR325">
            <v>208</v>
          </cell>
          <cell r="AS325">
            <v>45412</v>
          </cell>
          <cell r="AT325">
            <v>161</v>
          </cell>
          <cell r="AU325" t="str">
            <v>VMALUALM</v>
          </cell>
        </row>
        <row r="326">
          <cell r="C326">
            <v>606482</v>
          </cell>
          <cell r="D326" t="str">
            <v>LUNA JONATHAN ANDRES</v>
          </cell>
          <cell r="E326" t="str">
            <v>15:00 - 21:00</v>
          </cell>
          <cell r="F326" t="str">
            <v>TARDE</v>
          </cell>
          <cell r="G326" t="str">
            <v>SAB Y DOM</v>
          </cell>
          <cell r="H326" t="str">
            <v>YBARRA, LUCIA ALDANA</v>
          </cell>
          <cell r="I326" t="str">
            <v>Romandetto Carlos</v>
          </cell>
          <cell r="J326" t="str">
            <v>x</v>
          </cell>
          <cell r="K326"/>
          <cell r="L326" t="str">
            <v>x</v>
          </cell>
          <cell r="M326" t="str">
            <v>x</v>
          </cell>
          <cell r="N326" t="str">
            <v>x</v>
          </cell>
          <cell r="O326"/>
          <cell r="P326"/>
          <cell r="Q326"/>
          <cell r="R326"/>
          <cell r="S326"/>
          <cell r="T326"/>
          <cell r="U326"/>
          <cell r="V326"/>
          <cell r="W326"/>
          <cell r="X326"/>
          <cell r="Y326"/>
          <cell r="Z326"/>
          <cell r="AA326"/>
          <cell r="AB326"/>
          <cell r="AC326"/>
          <cell r="AD326"/>
          <cell r="AE326"/>
          <cell r="AF326"/>
          <cell r="AG326"/>
          <cell r="AH326"/>
          <cell r="AI326"/>
          <cell r="AJ326"/>
          <cell r="AK326"/>
          <cell r="AL326"/>
          <cell r="AM326"/>
          <cell r="AN326" t="str">
            <v>x</v>
          </cell>
          <cell r="AO326" t="str">
            <v>x</v>
          </cell>
          <cell r="AP326"/>
          <cell r="AQ326">
            <v>45365</v>
          </cell>
          <cell r="AR326">
            <v>208</v>
          </cell>
          <cell r="AS326">
            <v>45412</v>
          </cell>
          <cell r="AT326">
            <v>161</v>
          </cell>
          <cell r="AU326" t="str">
            <v>VMAJOLUN</v>
          </cell>
        </row>
        <row r="327">
          <cell r="C327">
            <v>606487</v>
          </cell>
          <cell r="D327" t="str">
            <v>CANTERO TATIANA AGUSTINA</v>
          </cell>
          <cell r="E327" t="str">
            <v>15:00 - 21:00</v>
          </cell>
          <cell r="F327" t="str">
            <v>TARDE</v>
          </cell>
          <cell r="G327" t="str">
            <v>MIE Y DOM</v>
          </cell>
          <cell r="H327" t="str">
            <v>PELOC, MARIA SOLEDAD</v>
          </cell>
          <cell r="I327" t="str">
            <v>Romandetto Carlos</v>
          </cell>
          <cell r="J327" t="str">
            <v>x</v>
          </cell>
          <cell r="K327"/>
          <cell r="L327" t="str">
            <v>x</v>
          </cell>
          <cell r="M327" t="str">
            <v>x</v>
          </cell>
          <cell r="N327" t="str">
            <v>x</v>
          </cell>
          <cell r="O327"/>
          <cell r="P327"/>
          <cell r="Q327"/>
          <cell r="R327"/>
          <cell r="S327"/>
          <cell r="T327"/>
          <cell r="U327"/>
          <cell r="V327"/>
          <cell r="W327"/>
          <cell r="X327"/>
          <cell r="Y327"/>
          <cell r="Z327"/>
          <cell r="AA327"/>
          <cell r="AB327"/>
          <cell r="AC327"/>
          <cell r="AD327"/>
          <cell r="AE327"/>
          <cell r="AF327"/>
          <cell r="AG327"/>
          <cell r="AH327"/>
          <cell r="AI327"/>
          <cell r="AJ327"/>
          <cell r="AK327"/>
          <cell r="AL327"/>
          <cell r="AM327"/>
          <cell r="AN327" t="str">
            <v>X</v>
          </cell>
          <cell r="AO327" t="str">
            <v>x</v>
          </cell>
          <cell r="AP327"/>
          <cell r="AQ327">
            <v>45365</v>
          </cell>
          <cell r="AR327">
            <v>208</v>
          </cell>
          <cell r="AS327">
            <v>45412</v>
          </cell>
          <cell r="AT327">
            <v>161</v>
          </cell>
          <cell r="AU327" t="str">
            <v>VMATACAN</v>
          </cell>
        </row>
        <row r="328">
          <cell r="C328">
            <v>605622</v>
          </cell>
          <cell r="D328" t="str">
            <v>MARQUES MAGALI</v>
          </cell>
          <cell r="E328" t="str">
            <v>15:00 - 21:00</v>
          </cell>
          <cell r="F328" t="str">
            <v>TARDE</v>
          </cell>
          <cell r="G328" t="str">
            <v>JUE Y SAB</v>
          </cell>
          <cell r="H328" t="str">
            <v>ROJAS, LUCAS</v>
          </cell>
          <cell r="I328" t="str">
            <v>Romandetto Carlos</v>
          </cell>
          <cell r="J328" t="str">
            <v>x</v>
          </cell>
          <cell r="K328"/>
          <cell r="L328" t="str">
            <v>x</v>
          </cell>
          <cell r="M328" t="str">
            <v>x</v>
          </cell>
          <cell r="N328" t="str">
            <v>x</v>
          </cell>
          <cell r="O328"/>
          <cell r="P328"/>
          <cell r="Q328"/>
          <cell r="R328"/>
          <cell r="S328"/>
          <cell r="T328"/>
          <cell r="U328"/>
          <cell r="V328"/>
          <cell r="W328"/>
          <cell r="X328"/>
          <cell r="Y328"/>
          <cell r="Z328"/>
          <cell r="AA328"/>
          <cell r="AB328"/>
          <cell r="AC328"/>
          <cell r="AD328"/>
          <cell r="AE328"/>
          <cell r="AF328"/>
          <cell r="AG328"/>
          <cell r="AH328"/>
          <cell r="AI328"/>
          <cell r="AJ328"/>
          <cell r="AK328"/>
          <cell r="AL328"/>
          <cell r="AM328"/>
          <cell r="AN328" t="str">
            <v>x</v>
          </cell>
          <cell r="AO328" t="str">
            <v>x</v>
          </cell>
          <cell r="AP328"/>
          <cell r="AQ328">
            <v>45365</v>
          </cell>
          <cell r="AR328">
            <v>208</v>
          </cell>
          <cell r="AS328">
            <v>45412</v>
          </cell>
          <cell r="AT328">
            <v>161</v>
          </cell>
          <cell r="AU328" t="str">
            <v>VMAMAMAQ</v>
          </cell>
        </row>
        <row r="329">
          <cell r="C329">
            <v>606492</v>
          </cell>
          <cell r="D329" t="str">
            <v>SANSO NOEMI</v>
          </cell>
          <cell r="E329" t="str">
            <v>18:00 - 00:00</v>
          </cell>
          <cell r="F329" t="str">
            <v>NOCHE</v>
          </cell>
          <cell r="G329" t="str">
            <v>SAB Y DOM</v>
          </cell>
          <cell r="H329" t="str">
            <v>MIR, TOMAS MAURICIO</v>
          </cell>
          <cell r="I329" t="str">
            <v>Romandetto Carlos</v>
          </cell>
          <cell r="J329" t="str">
            <v>x</v>
          </cell>
          <cell r="K329"/>
          <cell r="L329" t="str">
            <v>x</v>
          </cell>
          <cell r="M329" t="str">
            <v>x</v>
          </cell>
          <cell r="N329" t="str">
            <v>x</v>
          </cell>
          <cell r="O329"/>
          <cell r="P329"/>
          <cell r="Q329"/>
          <cell r="R329"/>
          <cell r="S329"/>
          <cell r="T329"/>
          <cell r="U329"/>
          <cell r="V329"/>
          <cell r="W329"/>
          <cell r="X329"/>
          <cell r="Y329"/>
          <cell r="Z329"/>
          <cell r="AA329"/>
          <cell r="AB329"/>
          <cell r="AC329"/>
          <cell r="AD329"/>
          <cell r="AE329"/>
          <cell r="AF329"/>
          <cell r="AG329"/>
          <cell r="AH329"/>
          <cell r="AI329"/>
          <cell r="AJ329"/>
          <cell r="AK329"/>
          <cell r="AL329"/>
          <cell r="AM329"/>
          <cell r="AN329" t="str">
            <v>x</v>
          </cell>
          <cell r="AO329" t="str">
            <v>x</v>
          </cell>
          <cell r="AP329"/>
          <cell r="AQ329">
            <v>45365</v>
          </cell>
          <cell r="AR329">
            <v>208</v>
          </cell>
          <cell r="AS329">
            <v>45412</v>
          </cell>
          <cell r="AT329">
            <v>161</v>
          </cell>
          <cell r="AU329" t="str">
            <v>VMANASAN</v>
          </cell>
        </row>
        <row r="330">
          <cell r="C330">
            <v>606499</v>
          </cell>
          <cell r="D330" t="str">
            <v>MARCOTE JULIETA BELEN</v>
          </cell>
          <cell r="E330" t="str">
            <v>15:00 - 21:00</v>
          </cell>
          <cell r="F330" t="str">
            <v>TARDE</v>
          </cell>
          <cell r="G330" t="str">
            <v>SAB Y DOM</v>
          </cell>
          <cell r="H330" t="str">
            <v>SOLER, SANTIAGO MAXIMILIANO</v>
          </cell>
          <cell r="I330" t="str">
            <v>Romandetto Carlos</v>
          </cell>
          <cell r="J330" t="str">
            <v>x</v>
          </cell>
          <cell r="K330"/>
          <cell r="L330" t="str">
            <v>x</v>
          </cell>
          <cell r="M330" t="str">
            <v>x</v>
          </cell>
          <cell r="N330" t="str">
            <v>x</v>
          </cell>
          <cell r="O330"/>
          <cell r="P330"/>
          <cell r="Q330"/>
          <cell r="R330"/>
          <cell r="S330"/>
          <cell r="T330"/>
          <cell r="U330"/>
          <cell r="V330"/>
          <cell r="W330"/>
          <cell r="X330"/>
          <cell r="Y330"/>
          <cell r="Z330"/>
          <cell r="AA330"/>
          <cell r="AB330"/>
          <cell r="AC330"/>
          <cell r="AD330"/>
          <cell r="AE330"/>
          <cell r="AF330"/>
          <cell r="AG330"/>
          <cell r="AH330"/>
          <cell r="AI330"/>
          <cell r="AJ330"/>
          <cell r="AK330"/>
          <cell r="AL330"/>
          <cell r="AM330"/>
          <cell r="AN330" t="str">
            <v>x</v>
          </cell>
          <cell r="AO330" t="str">
            <v>x</v>
          </cell>
          <cell r="AP330"/>
          <cell r="AQ330">
            <v>45365</v>
          </cell>
          <cell r="AR330">
            <v>208</v>
          </cell>
          <cell r="AS330">
            <v>45412</v>
          </cell>
          <cell r="AT330">
            <v>161</v>
          </cell>
          <cell r="AU330" t="str">
            <v>VMAJUMAR</v>
          </cell>
        </row>
        <row r="331">
          <cell r="C331">
            <v>606504</v>
          </cell>
          <cell r="D331" t="str">
            <v>BENEDETTI QUINTERO ALAN PEDRO</v>
          </cell>
          <cell r="E331" t="str">
            <v>15:00 - 21:00</v>
          </cell>
          <cell r="F331" t="str">
            <v>TARDE</v>
          </cell>
          <cell r="G331" t="str">
            <v>JUE Y DOM</v>
          </cell>
          <cell r="H331" t="str">
            <v>SOLER, SANTIAGO MAXIMILIANO</v>
          </cell>
          <cell r="I331" t="str">
            <v>Romandetto Carlos</v>
          </cell>
          <cell r="J331" t="str">
            <v>x</v>
          </cell>
          <cell r="K331"/>
          <cell r="L331" t="str">
            <v>x</v>
          </cell>
          <cell r="M331" t="str">
            <v>x</v>
          </cell>
          <cell r="N331" t="str">
            <v>x</v>
          </cell>
          <cell r="O331"/>
          <cell r="P331"/>
          <cell r="Q331"/>
          <cell r="R331"/>
          <cell r="S331"/>
          <cell r="T331"/>
          <cell r="U331"/>
          <cell r="V331"/>
          <cell r="W331"/>
          <cell r="X331"/>
          <cell r="Y331"/>
          <cell r="Z331"/>
          <cell r="AA331"/>
          <cell r="AB331"/>
          <cell r="AC331"/>
          <cell r="AD331"/>
          <cell r="AE331"/>
          <cell r="AF331"/>
          <cell r="AG331"/>
          <cell r="AH331"/>
          <cell r="AI331"/>
          <cell r="AJ331"/>
          <cell r="AK331"/>
          <cell r="AL331"/>
          <cell r="AM331"/>
          <cell r="AN331" t="str">
            <v>x</v>
          </cell>
          <cell r="AO331" t="str">
            <v>x</v>
          </cell>
          <cell r="AP331"/>
          <cell r="AQ331">
            <v>45365</v>
          </cell>
          <cell r="AR331">
            <v>208</v>
          </cell>
          <cell r="AS331">
            <v>45412</v>
          </cell>
          <cell r="AT331">
            <v>161</v>
          </cell>
          <cell r="AU331" t="str">
            <v>VMABENAL</v>
          </cell>
        </row>
        <row r="332">
          <cell r="C332">
            <v>606505</v>
          </cell>
          <cell r="D332" t="str">
            <v>MOLINA AXEL YOEL</v>
          </cell>
          <cell r="E332" t="str">
            <v>13:00 - 19:00</v>
          </cell>
          <cell r="F332" t="str">
            <v>TARDE</v>
          </cell>
          <cell r="G332" t="str">
            <v>SAB Y DOM</v>
          </cell>
          <cell r="H332" t="str">
            <v>MIR, TOMAS MAURICIO</v>
          </cell>
          <cell r="I332" t="str">
            <v>Romandetto Carlos</v>
          </cell>
          <cell r="J332" t="str">
            <v>x</v>
          </cell>
          <cell r="K332"/>
          <cell r="L332" t="str">
            <v>x</v>
          </cell>
          <cell r="M332" t="str">
            <v>x</v>
          </cell>
          <cell r="N332" t="str">
            <v>x</v>
          </cell>
          <cell r="O332"/>
          <cell r="P332"/>
          <cell r="Q332"/>
          <cell r="R332"/>
          <cell r="S332"/>
          <cell r="T332"/>
          <cell r="U332"/>
          <cell r="V332"/>
          <cell r="W332"/>
          <cell r="X332"/>
          <cell r="Y332"/>
          <cell r="Z332"/>
          <cell r="AA332"/>
          <cell r="AB332"/>
          <cell r="AC332"/>
          <cell r="AD332"/>
          <cell r="AE332"/>
          <cell r="AF332"/>
          <cell r="AG332"/>
          <cell r="AH332"/>
          <cell r="AI332"/>
          <cell r="AJ332"/>
          <cell r="AK332"/>
          <cell r="AL332"/>
          <cell r="AM332"/>
          <cell r="AN332" t="str">
            <v>x</v>
          </cell>
          <cell r="AO332" t="str">
            <v>x</v>
          </cell>
          <cell r="AP332"/>
          <cell r="AQ332">
            <v>45365</v>
          </cell>
          <cell r="AR332">
            <v>208</v>
          </cell>
          <cell r="AS332">
            <v>45412</v>
          </cell>
          <cell r="AT332">
            <v>161</v>
          </cell>
          <cell r="AU332" t="str">
            <v>VMAAXMOL</v>
          </cell>
        </row>
        <row r="333">
          <cell r="C333">
            <v>606506</v>
          </cell>
          <cell r="D333" t="str">
            <v>DAVIRAN CALDERON LUISA PEGGY</v>
          </cell>
          <cell r="E333" t="str">
            <v>18:00 - 00:00</v>
          </cell>
          <cell r="F333" t="str">
            <v>NOCHE</v>
          </cell>
          <cell r="G333" t="str">
            <v>SAB Y DOM</v>
          </cell>
          <cell r="H333" t="str">
            <v>MIR, TOMAS MAURICIO</v>
          </cell>
          <cell r="I333" t="str">
            <v>Romandetto Carlos</v>
          </cell>
          <cell r="J333" t="str">
            <v>x</v>
          </cell>
          <cell r="K333"/>
          <cell r="L333" t="str">
            <v>x</v>
          </cell>
          <cell r="M333" t="str">
            <v>x</v>
          </cell>
          <cell r="N333" t="str">
            <v>x</v>
          </cell>
          <cell r="O333"/>
          <cell r="P333"/>
          <cell r="Q333" t="str">
            <v>x</v>
          </cell>
          <cell r="R333" t="str">
            <v>x</v>
          </cell>
          <cell r="S333" t="str">
            <v>x</v>
          </cell>
          <cell r="T333" t="str">
            <v>x</v>
          </cell>
          <cell r="U333"/>
          <cell r="V333"/>
          <cell r="W333"/>
          <cell r="X333"/>
          <cell r="Y333"/>
          <cell r="Z333"/>
          <cell r="AA333"/>
          <cell r="AB333"/>
          <cell r="AC333"/>
          <cell r="AD333"/>
          <cell r="AE333"/>
          <cell r="AF333"/>
          <cell r="AG333"/>
          <cell r="AH333"/>
          <cell r="AI333"/>
          <cell r="AJ333"/>
          <cell r="AK333"/>
          <cell r="AL333"/>
          <cell r="AM333"/>
          <cell r="AN333" t="str">
            <v>x</v>
          </cell>
          <cell r="AO333" t="str">
            <v>x</v>
          </cell>
          <cell r="AP333"/>
          <cell r="AQ333">
            <v>45365</v>
          </cell>
          <cell r="AR333">
            <v>208</v>
          </cell>
          <cell r="AS333">
            <v>45569</v>
          </cell>
          <cell r="AT333">
            <v>4</v>
          </cell>
          <cell r="AU333" t="str">
            <v>VMALUDAV</v>
          </cell>
        </row>
        <row r="334">
          <cell r="C334">
            <v>606507</v>
          </cell>
          <cell r="D334" t="str">
            <v>BARROJO FEDERICO ALEJANDRO</v>
          </cell>
          <cell r="E334" t="str">
            <v>18:00 - 00:00</v>
          </cell>
          <cell r="F334" t="str">
            <v>NOCHE</v>
          </cell>
          <cell r="G334" t="str">
            <v>SAB Y DOM</v>
          </cell>
          <cell r="H334" t="str">
            <v>MIR, TOMAS MAURICIO</v>
          </cell>
          <cell r="I334" t="str">
            <v>Romandetto Carlos</v>
          </cell>
          <cell r="J334" t="str">
            <v>x</v>
          </cell>
          <cell r="K334"/>
          <cell r="L334" t="str">
            <v>x</v>
          </cell>
          <cell r="M334" t="str">
            <v>x</v>
          </cell>
          <cell r="N334" t="str">
            <v>x</v>
          </cell>
          <cell r="O334"/>
          <cell r="P334"/>
          <cell r="Q334"/>
          <cell r="R334"/>
          <cell r="S334"/>
          <cell r="T334"/>
          <cell r="U334"/>
          <cell r="V334"/>
          <cell r="W334"/>
          <cell r="X334"/>
          <cell r="Y334"/>
          <cell r="Z334"/>
          <cell r="AA334"/>
          <cell r="AB334"/>
          <cell r="AC334"/>
          <cell r="AD334"/>
          <cell r="AE334"/>
          <cell r="AF334"/>
          <cell r="AG334"/>
          <cell r="AH334"/>
          <cell r="AI334"/>
          <cell r="AJ334"/>
          <cell r="AK334"/>
          <cell r="AL334"/>
          <cell r="AM334"/>
          <cell r="AN334" t="str">
            <v>x</v>
          </cell>
          <cell r="AO334" t="str">
            <v>x</v>
          </cell>
          <cell r="AP334"/>
          <cell r="AQ334">
            <v>45365</v>
          </cell>
          <cell r="AR334">
            <v>208</v>
          </cell>
          <cell r="AS334">
            <v>45412</v>
          </cell>
          <cell r="AT334">
            <v>161</v>
          </cell>
          <cell r="AU334" t="str">
            <v>VMAFEBAR</v>
          </cell>
        </row>
        <row r="335">
          <cell r="C335">
            <v>606508</v>
          </cell>
          <cell r="D335" t="str">
            <v>BARRICARTE MARIANO NICOLAS</v>
          </cell>
          <cell r="E335" t="str">
            <v>15:00 - 21:00</v>
          </cell>
          <cell r="F335" t="str">
            <v>TARDE</v>
          </cell>
          <cell r="G335" t="str">
            <v>MAR Y SAB</v>
          </cell>
          <cell r="H335" t="str">
            <v>ROJAS, LUCAS</v>
          </cell>
          <cell r="I335" t="str">
            <v>Romandetto Carlos</v>
          </cell>
          <cell r="J335" t="str">
            <v>x</v>
          </cell>
          <cell r="K335"/>
          <cell r="L335" t="str">
            <v>x</v>
          </cell>
          <cell r="M335" t="str">
            <v>x</v>
          </cell>
          <cell r="N335" t="str">
            <v>x</v>
          </cell>
          <cell r="O335"/>
          <cell r="P335"/>
          <cell r="Q335"/>
          <cell r="R335"/>
          <cell r="S335"/>
          <cell r="T335"/>
          <cell r="U335"/>
          <cell r="V335"/>
          <cell r="W335"/>
          <cell r="X335"/>
          <cell r="Y335"/>
          <cell r="Z335"/>
          <cell r="AA335"/>
          <cell r="AB335"/>
          <cell r="AC335"/>
          <cell r="AD335"/>
          <cell r="AE335"/>
          <cell r="AF335"/>
          <cell r="AG335"/>
          <cell r="AH335"/>
          <cell r="AI335"/>
          <cell r="AJ335"/>
          <cell r="AK335"/>
          <cell r="AL335"/>
          <cell r="AM335"/>
          <cell r="AN335" t="str">
            <v>x</v>
          </cell>
          <cell r="AO335" t="str">
            <v>x</v>
          </cell>
          <cell r="AP335"/>
          <cell r="AQ335">
            <v>45365</v>
          </cell>
          <cell r="AR335">
            <v>208</v>
          </cell>
          <cell r="AS335">
            <v>45412</v>
          </cell>
          <cell r="AT335">
            <v>161</v>
          </cell>
          <cell r="AU335" t="str">
            <v>VMAMARBA</v>
          </cell>
        </row>
        <row r="336">
          <cell r="C336">
            <v>605523</v>
          </cell>
          <cell r="D336" t="str">
            <v>NOGUEIRA MARIA EUGENIA</v>
          </cell>
          <cell r="E336" t="str">
            <v>09:00 - 15:00</v>
          </cell>
          <cell r="F336" t="str">
            <v>MAÑANA</v>
          </cell>
          <cell r="G336" t="str">
            <v>SAB Y DOM</v>
          </cell>
          <cell r="H336" t="str">
            <v>GROESMANN, MAYA JUDITH</v>
          </cell>
          <cell r="I336" t="str">
            <v>Romandetto Carlos</v>
          </cell>
          <cell r="J336" t="str">
            <v>x</v>
          </cell>
          <cell r="K336"/>
          <cell r="L336" t="str">
            <v>x</v>
          </cell>
          <cell r="M336" t="str">
            <v>x</v>
          </cell>
          <cell r="N336" t="str">
            <v>x</v>
          </cell>
          <cell r="O336"/>
          <cell r="P336"/>
          <cell r="Q336"/>
          <cell r="R336"/>
          <cell r="S336"/>
          <cell r="T336"/>
          <cell r="U336"/>
          <cell r="V336"/>
          <cell r="W336"/>
          <cell r="X336"/>
          <cell r="Y336"/>
          <cell r="Z336"/>
          <cell r="AA336"/>
          <cell r="AB336"/>
          <cell r="AC336"/>
          <cell r="AD336"/>
          <cell r="AE336"/>
          <cell r="AF336"/>
          <cell r="AG336"/>
          <cell r="AH336"/>
          <cell r="AI336"/>
          <cell r="AJ336"/>
          <cell r="AK336"/>
          <cell r="AL336"/>
          <cell r="AM336"/>
          <cell r="AN336" t="str">
            <v>x</v>
          </cell>
          <cell r="AO336" t="str">
            <v>x</v>
          </cell>
          <cell r="AP336"/>
          <cell r="AQ336">
            <v>45400</v>
          </cell>
          <cell r="AR336">
            <v>173</v>
          </cell>
          <cell r="AS336">
            <v>45443</v>
          </cell>
          <cell r="AT336">
            <v>130</v>
          </cell>
          <cell r="AU336" t="str">
            <v>VMAMANOG</v>
          </cell>
        </row>
        <row r="337">
          <cell r="C337">
            <v>605606</v>
          </cell>
          <cell r="D337" t="str">
            <v>AYALA SOFIA ALEJANDRA</v>
          </cell>
          <cell r="E337" t="str">
            <v>09:00 - 15:00</v>
          </cell>
          <cell r="F337" t="str">
            <v>MAÑANA</v>
          </cell>
          <cell r="G337" t="str">
            <v>SAB Y DOM</v>
          </cell>
          <cell r="H337" t="str">
            <v>SUPERVISOR, POSTCURSO</v>
          </cell>
          <cell r="I337" t="str">
            <v>-</v>
          </cell>
          <cell r="J337" t="str">
            <v>x</v>
          </cell>
          <cell r="K337"/>
          <cell r="L337" t="str">
            <v>x</v>
          </cell>
          <cell r="M337" t="str">
            <v>x</v>
          </cell>
          <cell r="N337" t="str">
            <v>x</v>
          </cell>
          <cell r="O337"/>
          <cell r="P337"/>
          <cell r="Q337"/>
          <cell r="R337"/>
          <cell r="S337"/>
          <cell r="T337"/>
          <cell r="U337"/>
          <cell r="V337"/>
          <cell r="W337"/>
          <cell r="X337"/>
          <cell r="Y337"/>
          <cell r="Z337"/>
          <cell r="AA337"/>
          <cell r="AB337"/>
          <cell r="AC337"/>
          <cell r="AD337"/>
          <cell r="AE337"/>
          <cell r="AF337"/>
          <cell r="AG337"/>
          <cell r="AH337"/>
          <cell r="AI337"/>
          <cell r="AJ337"/>
          <cell r="AK337"/>
          <cell r="AL337"/>
          <cell r="AM337"/>
          <cell r="AN337"/>
          <cell r="AO337"/>
          <cell r="AP337"/>
          <cell r="AQ337">
            <v>45400</v>
          </cell>
          <cell r="AR337">
            <v>173</v>
          </cell>
          <cell r="AS337">
            <v>45443</v>
          </cell>
          <cell r="AT337">
            <v>130</v>
          </cell>
          <cell r="AU337" t="str">
            <v>VMASOAYA</v>
          </cell>
        </row>
        <row r="338">
          <cell r="C338">
            <v>605639</v>
          </cell>
          <cell r="D338" t="str">
            <v>MELLANO FRANCO GABRIEL</v>
          </cell>
          <cell r="E338" t="str">
            <v>09:00 - 15:00</v>
          </cell>
          <cell r="F338" t="str">
            <v>MAÑANA</v>
          </cell>
          <cell r="G338" t="str">
            <v>MAR Y SAB</v>
          </cell>
          <cell r="H338" t="str">
            <v>LOUREIRO, FLORENCIA CANDELA</v>
          </cell>
          <cell r="I338" t="str">
            <v>Romandetto Carlos</v>
          </cell>
          <cell r="J338" t="str">
            <v>x</v>
          </cell>
          <cell r="K338"/>
          <cell r="L338" t="str">
            <v>x</v>
          </cell>
          <cell r="M338" t="str">
            <v>x</v>
          </cell>
          <cell r="N338" t="str">
            <v>x</v>
          </cell>
          <cell r="O338"/>
          <cell r="P338"/>
          <cell r="Q338"/>
          <cell r="R338"/>
          <cell r="S338"/>
          <cell r="T338"/>
          <cell r="U338"/>
          <cell r="V338"/>
          <cell r="W338"/>
          <cell r="X338"/>
          <cell r="Y338"/>
          <cell r="Z338"/>
          <cell r="AA338"/>
          <cell r="AB338"/>
          <cell r="AC338"/>
          <cell r="AD338"/>
          <cell r="AE338"/>
          <cell r="AF338"/>
          <cell r="AG338"/>
          <cell r="AH338"/>
          <cell r="AI338"/>
          <cell r="AJ338"/>
          <cell r="AK338"/>
          <cell r="AL338"/>
          <cell r="AM338"/>
          <cell r="AN338" t="str">
            <v>x</v>
          </cell>
          <cell r="AO338" t="str">
            <v>x</v>
          </cell>
          <cell r="AP338"/>
          <cell r="AQ338">
            <v>45400</v>
          </cell>
          <cell r="AR338">
            <v>173</v>
          </cell>
          <cell r="AS338">
            <v>45443</v>
          </cell>
          <cell r="AT338">
            <v>130</v>
          </cell>
          <cell r="AU338" t="str">
            <v>VMAFRMEL</v>
          </cell>
        </row>
        <row r="339">
          <cell r="C339">
            <v>605641</v>
          </cell>
          <cell r="D339" t="str">
            <v>PERALTA EMILIANO</v>
          </cell>
          <cell r="E339" t="str">
            <v>09:00 - 15:00</v>
          </cell>
          <cell r="F339" t="str">
            <v>MAÑANA</v>
          </cell>
          <cell r="G339" t="str">
            <v>SAB Y DOM</v>
          </cell>
          <cell r="H339" t="str">
            <v>VILLALBA, VICTORIA</v>
          </cell>
          <cell r="I339" t="str">
            <v>Romandetto Carlos</v>
          </cell>
          <cell r="J339" t="str">
            <v>x</v>
          </cell>
          <cell r="K339"/>
          <cell r="L339" t="str">
            <v>x</v>
          </cell>
          <cell r="M339" t="str">
            <v>x</v>
          </cell>
          <cell r="N339" t="str">
            <v>x</v>
          </cell>
          <cell r="O339"/>
          <cell r="P339"/>
          <cell r="Q339"/>
          <cell r="R339"/>
          <cell r="S339"/>
          <cell r="T339"/>
          <cell r="U339"/>
          <cell r="V339"/>
          <cell r="W339"/>
          <cell r="X339"/>
          <cell r="Y339"/>
          <cell r="Z339"/>
          <cell r="AA339"/>
          <cell r="AB339"/>
          <cell r="AC339"/>
          <cell r="AD339"/>
          <cell r="AE339"/>
          <cell r="AF339"/>
          <cell r="AG339"/>
          <cell r="AH339"/>
          <cell r="AI339"/>
          <cell r="AJ339"/>
          <cell r="AK339"/>
          <cell r="AL339"/>
          <cell r="AM339"/>
          <cell r="AN339" t="str">
            <v>x</v>
          </cell>
          <cell r="AO339" t="str">
            <v>x</v>
          </cell>
          <cell r="AP339"/>
          <cell r="AQ339">
            <v>45400</v>
          </cell>
          <cell r="AR339">
            <v>173</v>
          </cell>
          <cell r="AS339">
            <v>45443</v>
          </cell>
          <cell r="AT339">
            <v>130</v>
          </cell>
          <cell r="AU339" t="str">
            <v>VMAEMPER</v>
          </cell>
        </row>
        <row r="340">
          <cell r="C340">
            <v>605651</v>
          </cell>
          <cell r="D340" t="str">
            <v>GALLARDO CANDELA ANABEL</v>
          </cell>
          <cell r="E340" t="str">
            <v>09:00 - 15:00</v>
          </cell>
          <cell r="F340" t="str">
            <v>MAÑANA</v>
          </cell>
          <cell r="G340" t="str">
            <v>SAB Y DOM</v>
          </cell>
          <cell r="H340" t="str">
            <v>LOUREIRO, FLORENCIA CANDELA</v>
          </cell>
          <cell r="I340" t="str">
            <v>Romandetto Carlos</v>
          </cell>
          <cell r="J340" t="str">
            <v>x</v>
          </cell>
          <cell r="K340"/>
          <cell r="L340" t="str">
            <v>x</v>
          </cell>
          <cell r="M340" t="str">
            <v>x</v>
          </cell>
          <cell r="N340" t="str">
            <v>x</v>
          </cell>
          <cell r="O340"/>
          <cell r="P340"/>
          <cell r="Q340"/>
          <cell r="R340"/>
          <cell r="S340"/>
          <cell r="T340"/>
          <cell r="U340"/>
          <cell r="V340"/>
          <cell r="W340"/>
          <cell r="X340"/>
          <cell r="Y340"/>
          <cell r="Z340"/>
          <cell r="AA340"/>
          <cell r="AB340"/>
          <cell r="AC340"/>
          <cell r="AD340"/>
          <cell r="AE340"/>
          <cell r="AF340"/>
          <cell r="AG340"/>
          <cell r="AH340"/>
          <cell r="AI340"/>
          <cell r="AJ340"/>
          <cell r="AK340"/>
          <cell r="AL340"/>
          <cell r="AM340"/>
          <cell r="AN340" t="str">
            <v>x</v>
          </cell>
          <cell r="AO340" t="str">
            <v>x</v>
          </cell>
          <cell r="AP340"/>
          <cell r="AQ340">
            <v>45400</v>
          </cell>
          <cell r="AR340">
            <v>173</v>
          </cell>
          <cell r="AS340">
            <v>45443</v>
          </cell>
          <cell r="AT340">
            <v>130</v>
          </cell>
          <cell r="AU340" t="str">
            <v>VMACAGAL</v>
          </cell>
        </row>
        <row r="341">
          <cell r="C341">
            <v>605804</v>
          </cell>
          <cell r="D341" t="str">
            <v>GODINO FEDERICO DANIEL</v>
          </cell>
          <cell r="E341" t="str">
            <v>12:00 - 18:00</v>
          </cell>
          <cell r="F341" t="str">
            <v>TARDE</v>
          </cell>
          <cell r="G341" t="str">
            <v>MIE Y SAB</v>
          </cell>
          <cell r="H341" t="str">
            <v>GOMEZ, SASHA</v>
          </cell>
          <cell r="I341" t="str">
            <v>Romandetto Carlos</v>
          </cell>
          <cell r="J341" t="str">
            <v>x</v>
          </cell>
          <cell r="K341"/>
          <cell r="L341" t="str">
            <v>x</v>
          </cell>
          <cell r="M341" t="str">
            <v>x</v>
          </cell>
          <cell r="N341" t="str">
            <v>x</v>
          </cell>
          <cell r="O341"/>
          <cell r="P341"/>
          <cell r="Q341"/>
          <cell r="R341"/>
          <cell r="S341"/>
          <cell r="T341"/>
          <cell r="U341"/>
          <cell r="V341"/>
          <cell r="W341"/>
          <cell r="X341"/>
          <cell r="Y341"/>
          <cell r="Z341"/>
          <cell r="AA341"/>
          <cell r="AB341"/>
          <cell r="AC341"/>
          <cell r="AD341"/>
          <cell r="AE341"/>
          <cell r="AF341"/>
          <cell r="AG341"/>
          <cell r="AH341"/>
          <cell r="AI341"/>
          <cell r="AJ341"/>
          <cell r="AK341"/>
          <cell r="AL341"/>
          <cell r="AM341"/>
          <cell r="AN341" t="str">
            <v>x</v>
          </cell>
          <cell r="AO341" t="str">
            <v>x</v>
          </cell>
          <cell r="AP341"/>
          <cell r="AQ341">
            <v>45400</v>
          </cell>
          <cell r="AR341">
            <v>173</v>
          </cell>
          <cell r="AS341">
            <v>45443</v>
          </cell>
          <cell r="AT341">
            <v>130</v>
          </cell>
          <cell r="AU341" t="str">
            <v>VMAFEGOD</v>
          </cell>
        </row>
        <row r="342">
          <cell r="C342">
            <v>606270</v>
          </cell>
          <cell r="D342" t="str">
            <v>HEBERT CACERES JUNIOR ANIBAL</v>
          </cell>
          <cell r="E342" t="str">
            <v>12:00 - 18:00</v>
          </cell>
          <cell r="F342" t="str">
            <v>TARDE</v>
          </cell>
          <cell r="G342" t="str">
            <v>MIE Y SAB</v>
          </cell>
          <cell r="H342" t="str">
            <v>ONETTO, MARIA DE LOS MILAGROS</v>
          </cell>
          <cell r="I342" t="str">
            <v>Romandetto Carlos</v>
          </cell>
          <cell r="J342" t="str">
            <v>x</v>
          </cell>
          <cell r="K342"/>
          <cell r="L342" t="str">
            <v>x</v>
          </cell>
          <cell r="M342" t="str">
            <v>x</v>
          </cell>
          <cell r="N342" t="str">
            <v>x</v>
          </cell>
          <cell r="O342"/>
          <cell r="P342"/>
          <cell r="Q342"/>
          <cell r="R342"/>
          <cell r="S342"/>
          <cell r="T342"/>
          <cell r="U342"/>
          <cell r="V342"/>
          <cell r="W342"/>
          <cell r="X342"/>
          <cell r="Y342"/>
          <cell r="Z342"/>
          <cell r="AA342"/>
          <cell r="AB342"/>
          <cell r="AC342"/>
          <cell r="AD342"/>
          <cell r="AE342"/>
          <cell r="AF342"/>
          <cell r="AG342"/>
          <cell r="AH342"/>
          <cell r="AI342"/>
          <cell r="AJ342"/>
          <cell r="AK342"/>
          <cell r="AL342"/>
          <cell r="AM342"/>
          <cell r="AN342" t="str">
            <v>x</v>
          </cell>
          <cell r="AO342" t="str">
            <v>x</v>
          </cell>
          <cell r="AP342"/>
          <cell r="AQ342">
            <v>45400</v>
          </cell>
          <cell r="AR342">
            <v>173</v>
          </cell>
          <cell r="AS342">
            <v>45443</v>
          </cell>
          <cell r="AT342">
            <v>130</v>
          </cell>
          <cell r="AU342" t="str">
            <v>VMAJUHEB</v>
          </cell>
        </row>
        <row r="343">
          <cell r="C343">
            <v>606279</v>
          </cell>
          <cell r="D343" t="str">
            <v>GARAY RAZINI SILVIA ANAHI</v>
          </cell>
          <cell r="E343" t="str">
            <v>12:00 - 18:00</v>
          </cell>
          <cell r="F343" t="str">
            <v>TARDE</v>
          </cell>
          <cell r="G343" t="str">
            <v>SAB Y DOM</v>
          </cell>
          <cell r="H343" t="str">
            <v>GOMEZ, SASHA</v>
          </cell>
          <cell r="I343" t="str">
            <v>Romandetto Carlos</v>
          </cell>
          <cell r="J343" t="str">
            <v>x</v>
          </cell>
          <cell r="K343"/>
          <cell r="L343" t="str">
            <v>x</v>
          </cell>
          <cell r="M343" t="str">
            <v>x</v>
          </cell>
          <cell r="N343" t="str">
            <v>x</v>
          </cell>
          <cell r="O343"/>
          <cell r="P343"/>
          <cell r="Q343"/>
          <cell r="R343"/>
          <cell r="S343"/>
          <cell r="T343"/>
          <cell r="U343"/>
          <cell r="V343"/>
          <cell r="W343"/>
          <cell r="X343"/>
          <cell r="Y343"/>
          <cell r="Z343"/>
          <cell r="AA343"/>
          <cell r="AB343"/>
          <cell r="AC343"/>
          <cell r="AD343"/>
          <cell r="AE343"/>
          <cell r="AF343"/>
          <cell r="AG343"/>
          <cell r="AH343"/>
          <cell r="AI343"/>
          <cell r="AJ343"/>
          <cell r="AK343"/>
          <cell r="AL343"/>
          <cell r="AM343"/>
          <cell r="AN343" t="str">
            <v>x</v>
          </cell>
          <cell r="AO343" t="str">
            <v>x</v>
          </cell>
          <cell r="AP343"/>
          <cell r="AQ343">
            <v>45400</v>
          </cell>
          <cell r="AR343">
            <v>173</v>
          </cell>
          <cell r="AS343">
            <v>45443</v>
          </cell>
          <cell r="AT343">
            <v>130</v>
          </cell>
          <cell r="AU343" t="str">
            <v>VMASIGAR</v>
          </cell>
        </row>
        <row r="344">
          <cell r="C344">
            <v>606359</v>
          </cell>
          <cell r="D344" t="str">
            <v>MARTINEZ NORBERTO GUSTAVO</v>
          </cell>
          <cell r="E344" t="str">
            <v>10:00 - 16:00</v>
          </cell>
          <cell r="F344" t="str">
            <v>MAÑANA</v>
          </cell>
          <cell r="G344" t="str">
            <v>SAB Y DOM</v>
          </cell>
          <cell r="H344" t="str">
            <v>DIAZ, PAULA</v>
          </cell>
          <cell r="I344" t="str">
            <v>Romandetto Carlos</v>
          </cell>
          <cell r="J344" t="str">
            <v>x</v>
          </cell>
          <cell r="K344"/>
          <cell r="L344" t="str">
            <v>x</v>
          </cell>
          <cell r="M344" t="str">
            <v>x</v>
          </cell>
          <cell r="N344" t="str">
            <v>x</v>
          </cell>
          <cell r="O344"/>
          <cell r="P344"/>
          <cell r="Q344"/>
          <cell r="R344"/>
          <cell r="S344"/>
          <cell r="T344"/>
          <cell r="U344"/>
          <cell r="V344"/>
          <cell r="W344"/>
          <cell r="X344"/>
          <cell r="Y344"/>
          <cell r="Z344"/>
          <cell r="AA344"/>
          <cell r="AB344"/>
          <cell r="AC344"/>
          <cell r="AD344"/>
          <cell r="AE344"/>
          <cell r="AF344"/>
          <cell r="AG344"/>
          <cell r="AH344"/>
          <cell r="AI344"/>
          <cell r="AJ344"/>
          <cell r="AK344"/>
          <cell r="AL344"/>
          <cell r="AM344"/>
          <cell r="AN344" t="str">
            <v>x</v>
          </cell>
          <cell r="AO344" t="str">
            <v>x</v>
          </cell>
          <cell r="AP344"/>
          <cell r="AQ344">
            <v>45400</v>
          </cell>
          <cell r="AR344">
            <v>173</v>
          </cell>
          <cell r="AS344">
            <v>45443</v>
          </cell>
          <cell r="AT344">
            <v>130</v>
          </cell>
          <cell r="AU344" t="str">
            <v>VMANOMAR</v>
          </cell>
        </row>
        <row r="345">
          <cell r="C345">
            <v>606383</v>
          </cell>
          <cell r="D345" t="str">
            <v>VALLEJOS LUDMILA IARA</v>
          </cell>
          <cell r="E345" t="str">
            <v>12:00 - 18:00</v>
          </cell>
          <cell r="F345" t="str">
            <v>TARDE</v>
          </cell>
          <cell r="G345" t="str">
            <v>SAB Y DOM</v>
          </cell>
          <cell r="H345" t="str">
            <v>ROJAS, LUCAS</v>
          </cell>
          <cell r="I345" t="str">
            <v>Romandetto Carlos</v>
          </cell>
          <cell r="J345" t="str">
            <v>x</v>
          </cell>
          <cell r="K345"/>
          <cell r="L345" t="str">
            <v>x</v>
          </cell>
          <cell r="M345" t="str">
            <v>x</v>
          </cell>
          <cell r="N345" t="str">
            <v>x</v>
          </cell>
          <cell r="O345"/>
          <cell r="P345"/>
          <cell r="Q345"/>
          <cell r="R345"/>
          <cell r="S345"/>
          <cell r="T345"/>
          <cell r="U345"/>
          <cell r="V345"/>
          <cell r="W345"/>
          <cell r="X345"/>
          <cell r="Y345"/>
          <cell r="Z345"/>
          <cell r="AA345"/>
          <cell r="AB345"/>
          <cell r="AC345"/>
          <cell r="AD345"/>
          <cell r="AE345"/>
          <cell r="AF345"/>
          <cell r="AG345"/>
          <cell r="AH345"/>
          <cell r="AI345"/>
          <cell r="AJ345"/>
          <cell r="AK345"/>
          <cell r="AL345"/>
          <cell r="AM345"/>
          <cell r="AN345" t="str">
            <v>x</v>
          </cell>
          <cell r="AO345" t="str">
            <v>x</v>
          </cell>
          <cell r="AP345"/>
          <cell r="AQ345">
            <v>45397</v>
          </cell>
          <cell r="AR345">
            <v>176</v>
          </cell>
          <cell r="AS345">
            <v>45443</v>
          </cell>
          <cell r="AT345">
            <v>130</v>
          </cell>
          <cell r="AU345" t="str">
            <v>VMALUVAL</v>
          </cell>
        </row>
        <row r="346">
          <cell r="C346">
            <v>605674</v>
          </cell>
          <cell r="D346" t="str">
            <v>RIVERO PRISCILA ABIGAIL</v>
          </cell>
          <cell r="E346" t="str">
            <v>15:00 - 21:00</v>
          </cell>
          <cell r="F346" t="str">
            <v>TARDE</v>
          </cell>
          <cell r="G346" t="str">
            <v>SAB Y DOM</v>
          </cell>
          <cell r="H346" t="str">
            <v>ONETTO, MARIA DE LOS MILAGROS</v>
          </cell>
          <cell r="I346" t="str">
            <v>Romandetto Carlos</v>
          </cell>
          <cell r="J346" t="str">
            <v>x</v>
          </cell>
          <cell r="K346"/>
          <cell r="L346" t="str">
            <v>x</v>
          </cell>
          <cell r="M346" t="str">
            <v>x</v>
          </cell>
          <cell r="N346" t="str">
            <v>x</v>
          </cell>
          <cell r="O346"/>
          <cell r="P346"/>
          <cell r="Q346"/>
          <cell r="R346"/>
          <cell r="S346"/>
          <cell r="T346"/>
          <cell r="U346"/>
          <cell r="V346"/>
          <cell r="W346"/>
          <cell r="X346"/>
          <cell r="Y346"/>
          <cell r="Z346"/>
          <cell r="AA346"/>
          <cell r="AB346"/>
          <cell r="AC346"/>
          <cell r="AD346"/>
          <cell r="AE346"/>
          <cell r="AF346"/>
          <cell r="AG346"/>
          <cell r="AH346"/>
          <cell r="AI346"/>
          <cell r="AJ346"/>
          <cell r="AK346"/>
          <cell r="AL346"/>
          <cell r="AM346"/>
          <cell r="AN346"/>
          <cell r="AO346"/>
          <cell r="AP346"/>
          <cell r="AQ346">
            <v>45456</v>
          </cell>
          <cell r="AR346">
            <v>117</v>
          </cell>
          <cell r="AS346">
            <v>45508</v>
          </cell>
          <cell r="AT346">
            <v>65</v>
          </cell>
          <cell r="AU346" t="str">
            <v>VMAPRRIV</v>
          </cell>
        </row>
        <row r="347">
          <cell r="C347">
            <v>605618</v>
          </cell>
          <cell r="D347" t="str">
            <v>LEIVA ARIANA SOFIA</v>
          </cell>
          <cell r="E347" t="str">
            <v>09:00 - 15:00</v>
          </cell>
          <cell r="F347" t="str">
            <v>MAÑANA</v>
          </cell>
          <cell r="G347" t="str">
            <v>SAB Y DOM</v>
          </cell>
          <cell r="H347" t="str">
            <v>LOUREIRO, FLORENCIA CANDELA</v>
          </cell>
          <cell r="I347" t="str">
            <v>Romandetto Carlos</v>
          </cell>
          <cell r="J347" t="str">
            <v>x</v>
          </cell>
          <cell r="K347"/>
          <cell r="L347" t="str">
            <v>x</v>
          </cell>
          <cell r="M347" t="str">
            <v>x</v>
          </cell>
          <cell r="N347" t="str">
            <v>x</v>
          </cell>
          <cell r="O347"/>
          <cell r="P347"/>
          <cell r="Q347"/>
          <cell r="R347"/>
          <cell r="S347"/>
          <cell r="T347"/>
          <cell r="U347"/>
          <cell r="V347"/>
          <cell r="W347"/>
          <cell r="X347"/>
          <cell r="Y347"/>
          <cell r="Z347"/>
          <cell r="AA347"/>
          <cell r="AB347"/>
          <cell r="AC347"/>
          <cell r="AD347"/>
          <cell r="AE347"/>
          <cell r="AF347"/>
          <cell r="AG347"/>
          <cell r="AH347"/>
          <cell r="AI347"/>
          <cell r="AJ347"/>
          <cell r="AK347"/>
          <cell r="AL347"/>
          <cell r="AM347"/>
          <cell r="AN347"/>
          <cell r="AO347"/>
          <cell r="AP347"/>
          <cell r="AQ347">
            <v>45456</v>
          </cell>
          <cell r="AR347">
            <v>117</v>
          </cell>
          <cell r="AS347">
            <v>45508</v>
          </cell>
          <cell r="AT347">
            <v>65</v>
          </cell>
          <cell r="AU347" t="str">
            <v>VMASOLEI</v>
          </cell>
        </row>
        <row r="348">
          <cell r="C348">
            <v>605569</v>
          </cell>
          <cell r="D348" t="str">
            <v>CETERA FABRICIO AGUSTIN</v>
          </cell>
          <cell r="E348" t="str">
            <v>09:00 - 15:00</v>
          </cell>
          <cell r="F348" t="str">
            <v>MAÑANA</v>
          </cell>
          <cell r="G348" t="str">
            <v>SAB Y DOM</v>
          </cell>
          <cell r="H348" t="str">
            <v>SORIA, ANA PAULA</v>
          </cell>
          <cell r="I348" t="str">
            <v>Romandetto Carlos</v>
          </cell>
          <cell r="J348" t="str">
            <v>x</v>
          </cell>
          <cell r="K348"/>
          <cell r="L348" t="str">
            <v>x</v>
          </cell>
          <cell r="M348" t="str">
            <v>x</v>
          </cell>
          <cell r="N348" t="str">
            <v>x</v>
          </cell>
          <cell r="O348"/>
          <cell r="P348"/>
          <cell r="Q348"/>
          <cell r="R348"/>
          <cell r="S348"/>
          <cell r="T348"/>
          <cell r="U348"/>
          <cell r="V348"/>
          <cell r="W348"/>
          <cell r="X348"/>
          <cell r="Y348"/>
          <cell r="Z348"/>
          <cell r="AA348"/>
          <cell r="AB348"/>
          <cell r="AC348"/>
          <cell r="AD348"/>
          <cell r="AE348"/>
          <cell r="AF348"/>
          <cell r="AG348"/>
          <cell r="AH348"/>
          <cell r="AI348"/>
          <cell r="AJ348"/>
          <cell r="AK348"/>
          <cell r="AL348"/>
          <cell r="AM348"/>
          <cell r="AN348"/>
          <cell r="AO348"/>
          <cell r="AP348"/>
          <cell r="AQ348">
            <v>45456</v>
          </cell>
          <cell r="AR348">
            <v>117</v>
          </cell>
          <cell r="AS348">
            <v>45508</v>
          </cell>
          <cell r="AT348">
            <v>65</v>
          </cell>
          <cell r="AU348" t="str">
            <v>VMAFACET</v>
          </cell>
        </row>
        <row r="349">
          <cell r="C349">
            <v>605561</v>
          </cell>
          <cell r="D349" t="str">
            <v>ESPAÑA AGUILAR BETZABETH ROXANA</v>
          </cell>
          <cell r="E349" t="str">
            <v>09:00 - 15:00</v>
          </cell>
          <cell r="F349" t="str">
            <v>MAÑANA</v>
          </cell>
          <cell r="G349" t="str">
            <v>SAB Y DOM</v>
          </cell>
          <cell r="H349" t="str">
            <v>VILLALBA, VICTORIA</v>
          </cell>
          <cell r="I349" t="str">
            <v>Romandetto Carlos</v>
          </cell>
          <cell r="J349" t="str">
            <v>x</v>
          </cell>
          <cell r="K349"/>
          <cell r="L349" t="str">
            <v>x</v>
          </cell>
          <cell r="M349" t="str">
            <v>x</v>
          </cell>
          <cell r="N349" t="str">
            <v>x</v>
          </cell>
          <cell r="O349"/>
          <cell r="P349"/>
          <cell r="Q349"/>
          <cell r="R349"/>
          <cell r="S349"/>
          <cell r="T349"/>
          <cell r="U349"/>
          <cell r="V349"/>
          <cell r="W349"/>
          <cell r="X349"/>
          <cell r="Y349"/>
          <cell r="Z349"/>
          <cell r="AA349"/>
          <cell r="AB349"/>
          <cell r="AC349"/>
          <cell r="AD349"/>
          <cell r="AE349"/>
          <cell r="AF349"/>
          <cell r="AG349"/>
          <cell r="AH349"/>
          <cell r="AI349"/>
          <cell r="AJ349"/>
          <cell r="AK349"/>
          <cell r="AL349"/>
          <cell r="AM349"/>
          <cell r="AN349"/>
          <cell r="AO349"/>
          <cell r="AP349"/>
          <cell r="AQ349">
            <v>45456</v>
          </cell>
          <cell r="AR349">
            <v>117</v>
          </cell>
          <cell r="AS349">
            <v>45508</v>
          </cell>
          <cell r="AT349">
            <v>65</v>
          </cell>
          <cell r="AU349" t="str">
            <v>VMABEESP</v>
          </cell>
        </row>
        <row r="350">
          <cell r="C350">
            <v>605528</v>
          </cell>
          <cell r="D350" t="str">
            <v>SINCHICAY ENZO LEONEL</v>
          </cell>
          <cell r="E350" t="str">
            <v>09:00 - 15:00</v>
          </cell>
          <cell r="F350" t="str">
            <v>MAÑANA</v>
          </cell>
          <cell r="G350" t="str">
            <v>SAB Y DOM</v>
          </cell>
          <cell r="H350" t="str">
            <v>MOYANO, DAIANA SOLEDAD</v>
          </cell>
          <cell r="I350" t="str">
            <v>Romandetto Carlos</v>
          </cell>
          <cell r="J350" t="str">
            <v>x</v>
          </cell>
          <cell r="K350"/>
          <cell r="L350" t="str">
            <v>x</v>
          </cell>
          <cell r="M350" t="str">
            <v>x</v>
          </cell>
          <cell r="N350" t="str">
            <v>x</v>
          </cell>
          <cell r="O350"/>
          <cell r="P350"/>
          <cell r="Q350"/>
          <cell r="R350"/>
          <cell r="S350"/>
          <cell r="T350"/>
          <cell r="U350"/>
          <cell r="V350"/>
          <cell r="W350"/>
          <cell r="X350"/>
          <cell r="Y350"/>
          <cell r="Z350"/>
          <cell r="AA350"/>
          <cell r="AB350"/>
          <cell r="AC350"/>
          <cell r="AD350"/>
          <cell r="AE350"/>
          <cell r="AF350"/>
          <cell r="AG350"/>
          <cell r="AH350"/>
          <cell r="AI350"/>
          <cell r="AJ350"/>
          <cell r="AK350"/>
          <cell r="AL350"/>
          <cell r="AM350"/>
          <cell r="AN350"/>
          <cell r="AO350"/>
          <cell r="AP350"/>
          <cell r="AQ350">
            <v>45456</v>
          </cell>
          <cell r="AR350">
            <v>117</v>
          </cell>
          <cell r="AS350">
            <v>45508</v>
          </cell>
          <cell r="AT350">
            <v>65</v>
          </cell>
          <cell r="AU350" t="str">
            <v>VMAENSIN</v>
          </cell>
        </row>
        <row r="351">
          <cell r="C351">
            <v>605720</v>
          </cell>
          <cell r="D351" t="str">
            <v>BLANCO ALEXIS EZEQUIEL</v>
          </cell>
          <cell r="E351" t="str">
            <v>15:00 - 21:00</v>
          </cell>
          <cell r="F351" t="str">
            <v>TARDE</v>
          </cell>
          <cell r="G351" t="str">
            <v>VIE Y DOM</v>
          </cell>
          <cell r="H351" t="str">
            <v>GOMEZ, AYLEN MILAGROS</v>
          </cell>
          <cell r="I351" t="str">
            <v>Romandetto Carlos</v>
          </cell>
          <cell r="J351" t="str">
            <v>x</v>
          </cell>
          <cell r="K351"/>
          <cell r="L351" t="str">
            <v>x</v>
          </cell>
          <cell r="M351" t="str">
            <v>x</v>
          </cell>
          <cell r="N351" t="str">
            <v>x</v>
          </cell>
          <cell r="O351"/>
          <cell r="P351"/>
          <cell r="Q351"/>
          <cell r="R351"/>
          <cell r="S351"/>
          <cell r="T351"/>
          <cell r="U351"/>
          <cell r="V351"/>
          <cell r="W351"/>
          <cell r="X351"/>
          <cell r="Y351"/>
          <cell r="Z351"/>
          <cell r="AA351"/>
          <cell r="AB351"/>
          <cell r="AC351"/>
          <cell r="AD351"/>
          <cell r="AE351"/>
          <cell r="AF351"/>
          <cell r="AG351"/>
          <cell r="AH351"/>
          <cell r="AI351"/>
          <cell r="AJ351"/>
          <cell r="AK351"/>
          <cell r="AL351"/>
          <cell r="AM351"/>
          <cell r="AN351"/>
          <cell r="AO351"/>
          <cell r="AP351"/>
          <cell r="AQ351">
            <v>45456</v>
          </cell>
          <cell r="AR351">
            <v>117</v>
          </cell>
          <cell r="AS351">
            <v>45508</v>
          </cell>
          <cell r="AT351">
            <v>65</v>
          </cell>
          <cell r="AU351" t="str">
            <v>VMAALBLA</v>
          </cell>
        </row>
        <row r="352">
          <cell r="C352">
            <v>605764</v>
          </cell>
          <cell r="D352" t="str">
            <v>LENCINA AGUSTIN</v>
          </cell>
          <cell r="E352" t="str">
            <v>15:00 - 21:00</v>
          </cell>
          <cell r="F352" t="str">
            <v>TARDE</v>
          </cell>
          <cell r="G352" t="str">
            <v>SAB Y DOM</v>
          </cell>
          <cell r="H352" t="str">
            <v>ONETTO, MARIA DE LOS MILAGROS</v>
          </cell>
          <cell r="I352" t="str">
            <v>Romandetto Carlos</v>
          </cell>
          <cell r="J352" t="str">
            <v>x</v>
          </cell>
          <cell r="K352"/>
          <cell r="L352" t="str">
            <v>x</v>
          </cell>
          <cell r="M352" t="str">
            <v>x</v>
          </cell>
          <cell r="N352" t="str">
            <v>x</v>
          </cell>
          <cell r="O352"/>
          <cell r="P352"/>
          <cell r="Q352"/>
          <cell r="R352"/>
          <cell r="S352"/>
          <cell r="T352"/>
          <cell r="U352"/>
          <cell r="V352"/>
          <cell r="W352"/>
          <cell r="X352"/>
          <cell r="Y352"/>
          <cell r="Z352"/>
          <cell r="AA352"/>
          <cell r="AB352"/>
          <cell r="AC352"/>
          <cell r="AD352"/>
          <cell r="AE352"/>
          <cell r="AF352"/>
          <cell r="AG352"/>
          <cell r="AH352"/>
          <cell r="AI352"/>
          <cell r="AJ352"/>
          <cell r="AK352"/>
          <cell r="AL352"/>
          <cell r="AM352"/>
          <cell r="AN352"/>
          <cell r="AO352"/>
          <cell r="AP352"/>
          <cell r="AQ352">
            <v>45456</v>
          </cell>
          <cell r="AR352">
            <v>117</v>
          </cell>
          <cell r="AS352">
            <v>45508</v>
          </cell>
          <cell r="AT352">
            <v>65</v>
          </cell>
          <cell r="AU352" t="str">
            <v>VMAAGLEN</v>
          </cell>
        </row>
        <row r="353">
          <cell r="C353">
            <v>606654</v>
          </cell>
          <cell r="D353" t="str">
            <v>RODRIGUEZ TOMAS AGUSTIN</v>
          </cell>
          <cell r="E353" t="str">
            <v>09:00 - 15:00</v>
          </cell>
          <cell r="F353" t="str">
            <v>MAÑANA</v>
          </cell>
          <cell r="G353" t="str">
            <v>SAB Y DOM</v>
          </cell>
          <cell r="H353" t="str">
            <v>DIAZ, PAULA</v>
          </cell>
          <cell r="I353" t="str">
            <v>Romandetto Carlos</v>
          </cell>
          <cell r="J353" t="str">
            <v>x</v>
          </cell>
          <cell r="K353"/>
          <cell r="L353" t="str">
            <v>x</v>
          </cell>
          <cell r="M353" t="str">
            <v>x</v>
          </cell>
          <cell r="N353" t="str">
            <v>x</v>
          </cell>
          <cell r="O353"/>
          <cell r="P353"/>
          <cell r="Q353"/>
          <cell r="R353"/>
          <cell r="S353"/>
          <cell r="T353"/>
          <cell r="U353"/>
          <cell r="V353"/>
          <cell r="W353"/>
          <cell r="X353"/>
          <cell r="Y353"/>
          <cell r="Z353"/>
          <cell r="AA353"/>
          <cell r="AB353"/>
          <cell r="AC353"/>
          <cell r="AD353"/>
          <cell r="AE353"/>
          <cell r="AF353"/>
          <cell r="AG353"/>
          <cell r="AH353"/>
          <cell r="AI353"/>
          <cell r="AJ353"/>
          <cell r="AK353"/>
          <cell r="AL353"/>
          <cell r="AM353"/>
          <cell r="AN353"/>
          <cell r="AO353"/>
          <cell r="AP353"/>
          <cell r="AQ353">
            <v>45456</v>
          </cell>
          <cell r="AR353">
            <v>117</v>
          </cell>
          <cell r="AS353">
            <v>45508</v>
          </cell>
          <cell r="AT353">
            <v>65</v>
          </cell>
          <cell r="AU353" t="str">
            <v>VMAAGROD</v>
          </cell>
        </row>
        <row r="354">
          <cell r="C354">
            <v>606666</v>
          </cell>
          <cell r="D354" t="str">
            <v>GONZALEZ KEVIN MAXIMILIANO</v>
          </cell>
          <cell r="E354" t="str">
            <v>18:00 - 00:00</v>
          </cell>
          <cell r="F354" t="str">
            <v>NOCHE</v>
          </cell>
          <cell r="G354" t="str">
            <v>SAB Y DOM</v>
          </cell>
          <cell r="H354" t="str">
            <v>MIR, TOMAS MAURICIO</v>
          </cell>
          <cell r="I354" t="str">
            <v>Romandetto Carlos</v>
          </cell>
          <cell r="J354" t="str">
            <v>x</v>
          </cell>
          <cell r="K354"/>
          <cell r="L354" t="str">
            <v>x</v>
          </cell>
          <cell r="M354" t="str">
            <v>x</v>
          </cell>
          <cell r="N354" t="str">
            <v>x</v>
          </cell>
          <cell r="O354"/>
          <cell r="P354"/>
          <cell r="Q354" t="str">
            <v>x</v>
          </cell>
          <cell r="R354" t="str">
            <v>x</v>
          </cell>
          <cell r="S354" t="str">
            <v>x</v>
          </cell>
          <cell r="T354" t="str">
            <v>x</v>
          </cell>
          <cell r="U354"/>
          <cell r="V354"/>
          <cell r="W354"/>
          <cell r="X354"/>
          <cell r="Y354"/>
          <cell r="Z354"/>
          <cell r="AA354"/>
          <cell r="AB354"/>
          <cell r="AC354"/>
          <cell r="AD354"/>
          <cell r="AE354"/>
          <cell r="AF354"/>
          <cell r="AG354"/>
          <cell r="AH354"/>
          <cell r="AI354"/>
          <cell r="AJ354"/>
          <cell r="AK354"/>
          <cell r="AL354"/>
          <cell r="AM354"/>
          <cell r="AN354"/>
          <cell r="AO354"/>
          <cell r="AP354"/>
          <cell r="AQ354">
            <v>45456</v>
          </cell>
          <cell r="AR354">
            <v>117</v>
          </cell>
          <cell r="AS354">
            <v>45569</v>
          </cell>
          <cell r="AT354">
            <v>4</v>
          </cell>
          <cell r="AU354" t="str">
            <v>VMAKEVGO</v>
          </cell>
        </row>
        <row r="355">
          <cell r="C355">
            <v>606664</v>
          </cell>
          <cell r="D355" t="str">
            <v>CHAVEZ LAUTARO ALEJO</v>
          </cell>
          <cell r="E355" t="str">
            <v>18:00 - 00:00</v>
          </cell>
          <cell r="F355" t="str">
            <v>NOCHE</v>
          </cell>
          <cell r="G355" t="str">
            <v>SAB Y DOM</v>
          </cell>
          <cell r="H355" t="str">
            <v>MIR, TOMAS MAURICIO</v>
          </cell>
          <cell r="I355" t="str">
            <v>Romandetto Carlos</v>
          </cell>
          <cell r="J355" t="str">
            <v>x</v>
          </cell>
          <cell r="K355"/>
          <cell r="L355" t="str">
            <v>x</v>
          </cell>
          <cell r="M355" t="str">
            <v>x</v>
          </cell>
          <cell r="N355" t="str">
            <v>x</v>
          </cell>
          <cell r="O355"/>
          <cell r="P355"/>
          <cell r="Q355" t="str">
            <v>x</v>
          </cell>
          <cell r="R355" t="str">
            <v>x</v>
          </cell>
          <cell r="S355" t="str">
            <v>x</v>
          </cell>
          <cell r="T355" t="str">
            <v>x</v>
          </cell>
          <cell r="U355"/>
          <cell r="V355"/>
          <cell r="W355"/>
          <cell r="X355"/>
          <cell r="Y355"/>
          <cell r="Z355"/>
          <cell r="AA355"/>
          <cell r="AB355"/>
          <cell r="AC355"/>
          <cell r="AD355"/>
          <cell r="AE355"/>
          <cell r="AF355"/>
          <cell r="AG355"/>
          <cell r="AH355"/>
          <cell r="AI355"/>
          <cell r="AJ355"/>
          <cell r="AK355"/>
          <cell r="AL355"/>
          <cell r="AM355"/>
          <cell r="AN355"/>
          <cell r="AO355"/>
          <cell r="AP355"/>
          <cell r="AQ355">
            <v>45456</v>
          </cell>
          <cell r="AR355">
            <v>117</v>
          </cell>
          <cell r="AS355">
            <v>45569</v>
          </cell>
          <cell r="AT355">
            <v>4</v>
          </cell>
          <cell r="AU355" t="str">
            <v>VMALACHA</v>
          </cell>
        </row>
        <row r="356">
          <cell r="C356">
            <v>606658</v>
          </cell>
          <cell r="D356" t="str">
            <v>LEZCANO AGUSTINA AILEN</v>
          </cell>
          <cell r="E356" t="str">
            <v>15:00 - 21:00</v>
          </cell>
          <cell r="F356" t="str">
            <v>TARDE</v>
          </cell>
          <cell r="G356" t="str">
            <v>SAB Y DOM</v>
          </cell>
          <cell r="H356" t="str">
            <v>GARZON, ROCIO BELEN</v>
          </cell>
          <cell r="I356" t="str">
            <v>Romandetto Carlos</v>
          </cell>
          <cell r="J356" t="str">
            <v>x</v>
          </cell>
          <cell r="K356"/>
          <cell r="L356" t="str">
            <v>x</v>
          </cell>
          <cell r="M356" t="str">
            <v>x</v>
          </cell>
          <cell r="N356" t="str">
            <v>x</v>
          </cell>
          <cell r="O356"/>
          <cell r="P356"/>
          <cell r="Q356"/>
          <cell r="R356"/>
          <cell r="S356"/>
          <cell r="T356"/>
          <cell r="U356"/>
          <cell r="V356"/>
          <cell r="W356"/>
          <cell r="X356"/>
          <cell r="Y356"/>
          <cell r="Z356"/>
          <cell r="AA356"/>
          <cell r="AB356"/>
          <cell r="AC356"/>
          <cell r="AD356"/>
          <cell r="AE356"/>
          <cell r="AF356"/>
          <cell r="AG356"/>
          <cell r="AH356"/>
          <cell r="AI356"/>
          <cell r="AJ356"/>
          <cell r="AK356"/>
          <cell r="AL356"/>
          <cell r="AM356"/>
          <cell r="AN356"/>
          <cell r="AO356"/>
          <cell r="AP356"/>
          <cell r="AQ356">
            <v>45456</v>
          </cell>
          <cell r="AR356">
            <v>117</v>
          </cell>
          <cell r="AS356">
            <v>45508</v>
          </cell>
          <cell r="AT356">
            <v>65</v>
          </cell>
          <cell r="AU356" t="str">
            <v>VMAAGLEZ</v>
          </cell>
        </row>
        <row r="357">
          <cell r="C357">
            <v>606660</v>
          </cell>
          <cell r="D357" t="str">
            <v>PARRA ESTEFANIA SOLEDAD</v>
          </cell>
          <cell r="E357" t="str">
            <v>15:00 - 21:00</v>
          </cell>
          <cell r="F357" t="str">
            <v>TARDE</v>
          </cell>
          <cell r="G357" t="str">
            <v>SAB Y DOM</v>
          </cell>
          <cell r="H357" t="str">
            <v>GARZON, ROCIO BELEN</v>
          </cell>
          <cell r="I357" t="str">
            <v>Romandetto Carlos</v>
          </cell>
          <cell r="J357" t="str">
            <v>x</v>
          </cell>
          <cell r="K357"/>
          <cell r="L357" t="str">
            <v>x</v>
          </cell>
          <cell r="M357" t="str">
            <v>x</v>
          </cell>
          <cell r="N357" t="str">
            <v>x</v>
          </cell>
          <cell r="O357"/>
          <cell r="P357"/>
          <cell r="Q357"/>
          <cell r="R357"/>
          <cell r="S357"/>
          <cell r="T357"/>
          <cell r="U357"/>
          <cell r="V357"/>
          <cell r="W357"/>
          <cell r="X357"/>
          <cell r="Y357"/>
          <cell r="Z357"/>
          <cell r="AA357"/>
          <cell r="AB357"/>
          <cell r="AC357"/>
          <cell r="AD357"/>
          <cell r="AE357"/>
          <cell r="AF357"/>
          <cell r="AG357"/>
          <cell r="AH357"/>
          <cell r="AI357"/>
          <cell r="AJ357"/>
          <cell r="AK357"/>
          <cell r="AL357"/>
          <cell r="AM357"/>
          <cell r="AN357"/>
          <cell r="AO357"/>
          <cell r="AP357"/>
          <cell r="AQ357">
            <v>45456</v>
          </cell>
          <cell r="AR357">
            <v>117</v>
          </cell>
          <cell r="AS357">
            <v>45508</v>
          </cell>
          <cell r="AT357">
            <v>65</v>
          </cell>
          <cell r="AU357" t="str">
            <v>VMAESPAR</v>
          </cell>
        </row>
        <row r="358">
          <cell r="C358">
            <v>606657</v>
          </cell>
          <cell r="D358" t="str">
            <v>PALOMINO MAYRA YAMILA</v>
          </cell>
          <cell r="E358" t="str">
            <v>13:00 - 19:00</v>
          </cell>
          <cell r="F358" t="str">
            <v>TARDE</v>
          </cell>
          <cell r="G358" t="str">
            <v>SAB Y DOM</v>
          </cell>
          <cell r="H358" t="str">
            <v>ROJAS, LUCAS</v>
          </cell>
          <cell r="I358" t="str">
            <v>Romandetto Carlos</v>
          </cell>
          <cell r="J358" t="str">
            <v>x</v>
          </cell>
          <cell r="K358"/>
          <cell r="L358" t="str">
            <v>x</v>
          </cell>
          <cell r="M358" t="str">
            <v>x</v>
          </cell>
          <cell r="N358" t="str">
            <v>x</v>
          </cell>
          <cell r="O358"/>
          <cell r="P358"/>
          <cell r="Q358"/>
          <cell r="R358"/>
          <cell r="S358"/>
          <cell r="T358"/>
          <cell r="U358"/>
          <cell r="V358"/>
          <cell r="W358"/>
          <cell r="X358"/>
          <cell r="Y358"/>
          <cell r="Z358"/>
          <cell r="AA358"/>
          <cell r="AB358"/>
          <cell r="AC358"/>
          <cell r="AD358"/>
          <cell r="AE358"/>
          <cell r="AF358"/>
          <cell r="AG358"/>
          <cell r="AH358"/>
          <cell r="AI358"/>
          <cell r="AJ358"/>
          <cell r="AK358"/>
          <cell r="AL358"/>
          <cell r="AM358"/>
          <cell r="AN358"/>
          <cell r="AO358"/>
          <cell r="AP358"/>
          <cell r="AQ358">
            <v>45456</v>
          </cell>
          <cell r="AR358">
            <v>117</v>
          </cell>
          <cell r="AS358">
            <v>45508</v>
          </cell>
          <cell r="AT358">
            <v>65</v>
          </cell>
          <cell r="AU358" t="str">
            <v>VMAMAYPA</v>
          </cell>
        </row>
        <row r="359">
          <cell r="C359">
            <v>606681</v>
          </cell>
          <cell r="D359" t="str">
            <v>CHOQUE JONATHAN CARLOS</v>
          </cell>
          <cell r="E359" t="str">
            <v>09:00 - 15:00</v>
          </cell>
          <cell r="F359" t="str">
            <v>MAÑANA</v>
          </cell>
          <cell r="G359" t="str">
            <v>SAB Y DOM</v>
          </cell>
          <cell r="H359" t="str">
            <v>VILLALBA, MAITEN</v>
          </cell>
          <cell r="I359" t="str">
            <v>Romandetto Carlos</v>
          </cell>
          <cell r="J359" t="str">
            <v>x</v>
          </cell>
          <cell r="K359"/>
          <cell r="L359" t="str">
            <v>x</v>
          </cell>
          <cell r="M359" t="str">
            <v>x</v>
          </cell>
          <cell r="N359" t="str">
            <v>x</v>
          </cell>
          <cell r="O359"/>
          <cell r="P359"/>
          <cell r="Q359"/>
          <cell r="R359"/>
          <cell r="S359"/>
          <cell r="T359"/>
          <cell r="U359"/>
          <cell r="V359"/>
          <cell r="W359"/>
          <cell r="X359"/>
          <cell r="Y359"/>
          <cell r="Z359"/>
          <cell r="AA359"/>
          <cell r="AB359"/>
          <cell r="AC359"/>
          <cell r="AD359"/>
          <cell r="AE359"/>
          <cell r="AF359"/>
          <cell r="AG359"/>
          <cell r="AH359"/>
          <cell r="AI359"/>
          <cell r="AJ359"/>
          <cell r="AK359"/>
          <cell r="AL359"/>
          <cell r="AM359"/>
          <cell r="AN359"/>
          <cell r="AO359"/>
          <cell r="AP359"/>
          <cell r="AQ359">
            <v>45492</v>
          </cell>
          <cell r="AR359">
            <v>81</v>
          </cell>
          <cell r="AS359">
            <v>45534</v>
          </cell>
          <cell r="AT359">
            <v>39</v>
          </cell>
          <cell r="AU359" t="str">
            <v>VMAJOCHO</v>
          </cell>
        </row>
        <row r="360">
          <cell r="C360">
            <v>606683</v>
          </cell>
          <cell r="D360" t="str">
            <v>AGUILAR FERNANDA MICAELA</v>
          </cell>
          <cell r="E360" t="str">
            <v>09:00 - 15:00</v>
          </cell>
          <cell r="F360" t="str">
            <v>MAÑANA</v>
          </cell>
          <cell r="G360" t="str">
            <v>SAB Y DOM</v>
          </cell>
          <cell r="H360" t="str">
            <v>GOYECHEA, AGUSTINA LOURDES</v>
          </cell>
          <cell r="I360" t="str">
            <v>Romandetto Carlos</v>
          </cell>
          <cell r="J360" t="str">
            <v>x</v>
          </cell>
          <cell r="K360"/>
          <cell r="L360" t="str">
            <v>x</v>
          </cell>
          <cell r="M360" t="str">
            <v>x</v>
          </cell>
          <cell r="N360" t="str">
            <v>x</v>
          </cell>
          <cell r="O360"/>
          <cell r="P360"/>
          <cell r="Q360"/>
          <cell r="R360"/>
          <cell r="S360"/>
          <cell r="T360"/>
          <cell r="U360"/>
          <cell r="V360"/>
          <cell r="W360"/>
          <cell r="X360"/>
          <cell r="Y360"/>
          <cell r="Z360"/>
          <cell r="AA360"/>
          <cell r="AB360"/>
          <cell r="AC360"/>
          <cell r="AD360"/>
          <cell r="AE360"/>
          <cell r="AF360"/>
          <cell r="AG360"/>
          <cell r="AH360"/>
          <cell r="AI360"/>
          <cell r="AJ360"/>
          <cell r="AK360"/>
          <cell r="AL360"/>
          <cell r="AM360"/>
          <cell r="AN360"/>
          <cell r="AO360"/>
          <cell r="AP360"/>
          <cell r="AQ360">
            <v>45492</v>
          </cell>
          <cell r="AR360">
            <v>81</v>
          </cell>
          <cell r="AS360">
            <v>45534</v>
          </cell>
          <cell r="AT360">
            <v>39</v>
          </cell>
          <cell r="AU360" t="str">
            <v>VMAFEAGU</v>
          </cell>
        </row>
        <row r="361">
          <cell r="C361">
            <v>606686</v>
          </cell>
          <cell r="D361" t="str">
            <v>VIOLACCO DALMA CAMILA</v>
          </cell>
          <cell r="E361" t="str">
            <v>09:00 - 15:00</v>
          </cell>
          <cell r="F361" t="str">
            <v>MAÑANA</v>
          </cell>
          <cell r="G361" t="str">
            <v>SAB Y DOM</v>
          </cell>
          <cell r="H361" t="str">
            <v>DIAZ, PAULA</v>
          </cell>
          <cell r="I361" t="str">
            <v>Romandetto Carlos</v>
          </cell>
          <cell r="J361" t="str">
            <v>x</v>
          </cell>
          <cell r="K361"/>
          <cell r="L361" t="str">
            <v>x</v>
          </cell>
          <cell r="M361" t="str">
            <v>x</v>
          </cell>
          <cell r="N361" t="str">
            <v>x</v>
          </cell>
          <cell r="O361"/>
          <cell r="P361"/>
          <cell r="Q361"/>
          <cell r="R361"/>
          <cell r="S361"/>
          <cell r="T361"/>
          <cell r="U361"/>
          <cell r="V361"/>
          <cell r="W361"/>
          <cell r="X361"/>
          <cell r="Y361"/>
          <cell r="Z361"/>
          <cell r="AA361"/>
          <cell r="AB361"/>
          <cell r="AC361"/>
          <cell r="AD361"/>
          <cell r="AE361"/>
          <cell r="AF361"/>
          <cell r="AG361"/>
          <cell r="AH361"/>
          <cell r="AI361"/>
          <cell r="AJ361"/>
          <cell r="AK361"/>
          <cell r="AL361"/>
          <cell r="AM361"/>
          <cell r="AN361"/>
          <cell r="AO361"/>
          <cell r="AP361"/>
          <cell r="AQ361">
            <v>45492</v>
          </cell>
          <cell r="AR361">
            <v>81</v>
          </cell>
          <cell r="AS361">
            <v>45534</v>
          </cell>
          <cell r="AT361">
            <v>39</v>
          </cell>
          <cell r="AU361" t="str">
            <v>VMADAVIO</v>
          </cell>
        </row>
        <row r="362">
          <cell r="C362">
            <v>606669</v>
          </cell>
          <cell r="D362" t="str">
            <v>NUÑEZ MILAGROS ANABELA</v>
          </cell>
          <cell r="E362" t="str">
            <v>15:00 - 21:00</v>
          </cell>
          <cell r="F362" t="str">
            <v>TARDE</v>
          </cell>
          <cell r="G362" t="str">
            <v>SAB Y DOM</v>
          </cell>
          <cell r="H362" t="str">
            <v>SOLER, SANTIAGO MAXIMILIANO</v>
          </cell>
          <cell r="I362" t="str">
            <v>Romandetto Carlos</v>
          </cell>
          <cell r="J362" t="str">
            <v>x</v>
          </cell>
          <cell r="K362"/>
          <cell r="L362" t="str">
            <v>x</v>
          </cell>
          <cell r="M362" t="str">
            <v>x</v>
          </cell>
          <cell r="N362" t="str">
            <v>x</v>
          </cell>
          <cell r="O362"/>
          <cell r="P362"/>
          <cell r="Q362"/>
          <cell r="R362"/>
          <cell r="S362"/>
          <cell r="T362"/>
          <cell r="U362"/>
          <cell r="V362"/>
          <cell r="W362"/>
          <cell r="X362"/>
          <cell r="Y362"/>
          <cell r="Z362"/>
          <cell r="AA362"/>
          <cell r="AB362"/>
          <cell r="AC362"/>
          <cell r="AD362"/>
          <cell r="AE362"/>
          <cell r="AF362"/>
          <cell r="AG362"/>
          <cell r="AH362"/>
          <cell r="AI362"/>
          <cell r="AJ362"/>
          <cell r="AK362"/>
          <cell r="AL362"/>
          <cell r="AM362"/>
          <cell r="AN362"/>
          <cell r="AO362"/>
          <cell r="AP362"/>
          <cell r="AQ362">
            <v>45492</v>
          </cell>
          <cell r="AR362">
            <v>81</v>
          </cell>
          <cell r="AS362">
            <v>45534</v>
          </cell>
          <cell r="AT362">
            <v>39</v>
          </cell>
          <cell r="AU362" t="str">
            <v>VMAMINUN</v>
          </cell>
        </row>
        <row r="363">
          <cell r="C363">
            <v>606671</v>
          </cell>
          <cell r="D363" t="str">
            <v>CUENCA GONZALEZ SUSANA CAROLINA</v>
          </cell>
          <cell r="E363" t="str">
            <v>15:00 - 21:00</v>
          </cell>
          <cell r="F363" t="str">
            <v>TARDE</v>
          </cell>
          <cell r="G363" t="str">
            <v>SAB Y DOM</v>
          </cell>
          <cell r="H363" t="str">
            <v>SOLER, SANTIAGO MAXIMILIANO</v>
          </cell>
          <cell r="I363" t="str">
            <v>Romandetto Carlos</v>
          </cell>
          <cell r="J363" t="str">
            <v>x</v>
          </cell>
          <cell r="K363"/>
          <cell r="L363" t="str">
            <v>x</v>
          </cell>
          <cell r="M363" t="str">
            <v>x</v>
          </cell>
          <cell r="N363" t="str">
            <v>x</v>
          </cell>
          <cell r="O363"/>
          <cell r="P363"/>
          <cell r="Q363"/>
          <cell r="R363"/>
          <cell r="S363"/>
          <cell r="T363"/>
          <cell r="U363"/>
          <cell r="V363"/>
          <cell r="W363"/>
          <cell r="X363"/>
          <cell r="Y363"/>
          <cell r="Z363"/>
          <cell r="AA363"/>
          <cell r="AB363"/>
          <cell r="AC363"/>
          <cell r="AD363"/>
          <cell r="AE363"/>
          <cell r="AF363"/>
          <cell r="AG363"/>
          <cell r="AH363"/>
          <cell r="AI363"/>
          <cell r="AJ363"/>
          <cell r="AK363"/>
          <cell r="AL363"/>
          <cell r="AM363"/>
          <cell r="AN363"/>
          <cell r="AO363"/>
          <cell r="AP363"/>
          <cell r="AQ363">
            <v>45492</v>
          </cell>
          <cell r="AR363">
            <v>81</v>
          </cell>
          <cell r="AS363">
            <v>45534</v>
          </cell>
          <cell r="AT363">
            <v>39</v>
          </cell>
          <cell r="AU363" t="str">
            <v>VMASUCUE</v>
          </cell>
        </row>
        <row r="364">
          <cell r="C364">
            <v>606675</v>
          </cell>
          <cell r="D364" t="str">
            <v>MONZON MARIELA</v>
          </cell>
          <cell r="E364" t="str">
            <v>15:00 - 21:00</v>
          </cell>
          <cell r="F364" t="str">
            <v>TARDE</v>
          </cell>
          <cell r="G364" t="str">
            <v>SAB Y DOM</v>
          </cell>
          <cell r="H364" t="str">
            <v>SOLER, SANTIAGO MAXIMILIANO</v>
          </cell>
          <cell r="I364" t="str">
            <v>Romandetto Carlos</v>
          </cell>
          <cell r="J364" t="str">
            <v>x</v>
          </cell>
          <cell r="K364"/>
          <cell r="L364" t="str">
            <v>x</v>
          </cell>
          <cell r="M364" t="str">
            <v>x</v>
          </cell>
          <cell r="N364" t="str">
            <v>x</v>
          </cell>
          <cell r="O364"/>
          <cell r="P364"/>
          <cell r="Q364"/>
          <cell r="R364"/>
          <cell r="S364"/>
          <cell r="T364"/>
          <cell r="U364"/>
          <cell r="V364"/>
          <cell r="W364"/>
          <cell r="X364"/>
          <cell r="Y364"/>
          <cell r="Z364"/>
          <cell r="AA364"/>
          <cell r="AB364"/>
          <cell r="AC364"/>
          <cell r="AD364"/>
          <cell r="AE364"/>
          <cell r="AF364"/>
          <cell r="AG364"/>
          <cell r="AH364"/>
          <cell r="AI364"/>
          <cell r="AJ364"/>
          <cell r="AK364"/>
          <cell r="AL364"/>
          <cell r="AM364"/>
          <cell r="AN364"/>
          <cell r="AO364"/>
          <cell r="AP364"/>
          <cell r="AQ364">
            <v>45492</v>
          </cell>
          <cell r="AR364">
            <v>81</v>
          </cell>
          <cell r="AS364">
            <v>45534</v>
          </cell>
          <cell r="AT364">
            <v>39</v>
          </cell>
          <cell r="AU364" t="str">
            <v>VMAMAMON</v>
          </cell>
        </row>
        <row r="365">
          <cell r="C365">
            <v>606689</v>
          </cell>
          <cell r="D365" t="str">
            <v>RAMOS ZOE NICOLE</v>
          </cell>
          <cell r="E365" t="str">
            <v>15:00 - 21:00</v>
          </cell>
          <cell r="F365" t="str">
            <v>TARDE</v>
          </cell>
          <cell r="G365" t="str">
            <v>SAB Y DOM</v>
          </cell>
          <cell r="H365" t="str">
            <v>SOLER, SANTIAGO MAXIMILIANO</v>
          </cell>
          <cell r="I365" t="str">
            <v>Romandetto Carlos</v>
          </cell>
          <cell r="J365" t="str">
            <v>x</v>
          </cell>
          <cell r="K365"/>
          <cell r="L365" t="str">
            <v>x</v>
          </cell>
          <cell r="M365" t="str">
            <v>x</v>
          </cell>
          <cell r="N365" t="str">
            <v>x</v>
          </cell>
          <cell r="O365"/>
          <cell r="P365"/>
          <cell r="Q365"/>
          <cell r="R365"/>
          <cell r="S365"/>
          <cell r="T365"/>
          <cell r="U365"/>
          <cell r="V365"/>
          <cell r="W365"/>
          <cell r="X365"/>
          <cell r="Y365"/>
          <cell r="Z365"/>
          <cell r="AA365"/>
          <cell r="AB365"/>
          <cell r="AC365"/>
          <cell r="AD365"/>
          <cell r="AE365"/>
          <cell r="AF365"/>
          <cell r="AG365"/>
          <cell r="AH365"/>
          <cell r="AI365"/>
          <cell r="AJ365"/>
          <cell r="AK365"/>
          <cell r="AL365"/>
          <cell r="AM365"/>
          <cell r="AN365"/>
          <cell r="AO365"/>
          <cell r="AP365"/>
          <cell r="AQ365">
            <v>45492</v>
          </cell>
          <cell r="AR365">
            <v>81</v>
          </cell>
          <cell r="AS365">
            <v>45534</v>
          </cell>
          <cell r="AT365">
            <v>39</v>
          </cell>
          <cell r="AU365" t="str">
            <v>VMAZORAM</v>
          </cell>
        </row>
        <row r="366">
          <cell r="C366">
            <v>606676</v>
          </cell>
          <cell r="D366" t="str">
            <v>TOZZO COLOMBO MERCEDES GISELLE</v>
          </cell>
          <cell r="E366" t="str">
            <v>18:00 - 00:00</v>
          </cell>
          <cell r="F366" t="str">
            <v>NOCHE</v>
          </cell>
          <cell r="G366" t="str">
            <v>SAB Y DOM</v>
          </cell>
          <cell r="H366" t="str">
            <v>MIR, TOMAS MAURICIO</v>
          </cell>
          <cell r="I366" t="str">
            <v>Romandetto Carlos</v>
          </cell>
          <cell r="J366" t="str">
            <v>x</v>
          </cell>
          <cell r="K366"/>
          <cell r="L366" t="str">
            <v>x</v>
          </cell>
          <cell r="M366" t="str">
            <v>x</v>
          </cell>
          <cell r="N366" t="str">
            <v>x</v>
          </cell>
          <cell r="O366"/>
          <cell r="P366"/>
          <cell r="Q366"/>
          <cell r="R366"/>
          <cell r="S366"/>
          <cell r="T366"/>
          <cell r="U366"/>
          <cell r="V366"/>
          <cell r="W366"/>
          <cell r="X366"/>
          <cell r="Y366"/>
          <cell r="Z366"/>
          <cell r="AA366"/>
          <cell r="AB366"/>
          <cell r="AC366"/>
          <cell r="AD366"/>
          <cell r="AE366"/>
          <cell r="AF366"/>
          <cell r="AG366"/>
          <cell r="AH366"/>
          <cell r="AI366"/>
          <cell r="AJ366"/>
          <cell r="AK366"/>
          <cell r="AL366"/>
          <cell r="AM366"/>
          <cell r="AN366"/>
          <cell r="AO366"/>
          <cell r="AP366"/>
          <cell r="AQ366">
            <v>45492</v>
          </cell>
          <cell r="AR366">
            <v>81</v>
          </cell>
          <cell r="AS366">
            <v>45534</v>
          </cell>
          <cell r="AT366">
            <v>39</v>
          </cell>
          <cell r="AU366" t="str">
            <v>VMAMETOZ</v>
          </cell>
        </row>
        <row r="367">
          <cell r="C367">
            <v>606677</v>
          </cell>
          <cell r="D367" t="str">
            <v>BOGADO ANTONELLA NAHIR</v>
          </cell>
          <cell r="E367" t="str">
            <v>18:00 - 00:00</v>
          </cell>
          <cell r="F367" t="str">
            <v>NOCHE</v>
          </cell>
          <cell r="G367" t="str">
            <v>SAB Y DOM</v>
          </cell>
          <cell r="H367" t="str">
            <v>MIR, TOMAS MAURICIO</v>
          </cell>
          <cell r="I367" t="str">
            <v>Romandetto Carlos</v>
          </cell>
          <cell r="J367" t="str">
            <v>x</v>
          </cell>
          <cell r="K367"/>
          <cell r="L367" t="str">
            <v>x</v>
          </cell>
          <cell r="M367" t="str">
            <v>x</v>
          </cell>
          <cell r="N367" t="str">
            <v>x</v>
          </cell>
          <cell r="O367"/>
          <cell r="P367"/>
          <cell r="Q367"/>
          <cell r="R367"/>
          <cell r="S367"/>
          <cell r="T367"/>
          <cell r="U367"/>
          <cell r="V367"/>
          <cell r="W367"/>
          <cell r="X367"/>
          <cell r="Y367"/>
          <cell r="Z367"/>
          <cell r="AA367"/>
          <cell r="AB367"/>
          <cell r="AC367"/>
          <cell r="AD367"/>
          <cell r="AE367"/>
          <cell r="AF367"/>
          <cell r="AG367"/>
          <cell r="AH367"/>
          <cell r="AI367"/>
          <cell r="AJ367"/>
          <cell r="AK367"/>
          <cell r="AL367"/>
          <cell r="AM367"/>
          <cell r="AN367"/>
          <cell r="AO367"/>
          <cell r="AP367"/>
          <cell r="AQ367">
            <v>45492</v>
          </cell>
          <cell r="AR367">
            <v>81</v>
          </cell>
          <cell r="AS367">
            <v>45534</v>
          </cell>
          <cell r="AT367">
            <v>39</v>
          </cell>
          <cell r="AU367" t="str">
            <v>VMAANBOG</v>
          </cell>
        </row>
        <row r="368">
          <cell r="C368">
            <v>606678</v>
          </cell>
          <cell r="D368" t="str">
            <v>ESTIVILL YAZMIN AILIN</v>
          </cell>
          <cell r="E368" t="str">
            <v>18:00 - 00:00</v>
          </cell>
          <cell r="F368" t="str">
            <v>NOCHE</v>
          </cell>
          <cell r="G368" t="str">
            <v>SAB Y DOM</v>
          </cell>
          <cell r="H368" t="str">
            <v>MIR, TOMAS MAURICIO</v>
          </cell>
          <cell r="I368" t="str">
            <v>Romandetto Carlos</v>
          </cell>
          <cell r="J368" t="str">
            <v>x</v>
          </cell>
          <cell r="K368"/>
          <cell r="L368" t="str">
            <v>x</v>
          </cell>
          <cell r="M368" t="str">
            <v>x</v>
          </cell>
          <cell r="N368" t="str">
            <v>x</v>
          </cell>
          <cell r="O368"/>
          <cell r="P368"/>
          <cell r="Q368" t="str">
            <v>x</v>
          </cell>
          <cell r="R368" t="str">
            <v>x</v>
          </cell>
          <cell r="S368" t="str">
            <v>x</v>
          </cell>
          <cell r="T368" t="str">
            <v>x</v>
          </cell>
          <cell r="U368"/>
          <cell r="V368"/>
          <cell r="W368"/>
          <cell r="X368"/>
          <cell r="Y368"/>
          <cell r="Z368"/>
          <cell r="AA368"/>
          <cell r="AB368"/>
          <cell r="AC368"/>
          <cell r="AD368"/>
          <cell r="AE368"/>
          <cell r="AF368"/>
          <cell r="AG368"/>
          <cell r="AH368"/>
          <cell r="AI368"/>
          <cell r="AJ368"/>
          <cell r="AK368"/>
          <cell r="AL368"/>
          <cell r="AM368"/>
          <cell r="AN368"/>
          <cell r="AO368"/>
          <cell r="AP368"/>
          <cell r="AQ368">
            <v>45492</v>
          </cell>
          <cell r="AR368">
            <v>81</v>
          </cell>
          <cell r="AS368">
            <v>45569</v>
          </cell>
          <cell r="AT368">
            <v>4</v>
          </cell>
          <cell r="AU368" t="str">
            <v>VMAYAEST</v>
          </cell>
        </row>
        <row r="369">
          <cell r="C369">
            <v>606694</v>
          </cell>
          <cell r="D369" t="str">
            <v>CRISTALDO MICAELA AYELEN</v>
          </cell>
          <cell r="E369" t="str">
            <v>09:00 - 15:00</v>
          </cell>
          <cell r="F369" t="str">
            <v>MAÑANA</v>
          </cell>
          <cell r="G369" t="str">
            <v>SAB Y DOM</v>
          </cell>
          <cell r="H369" t="str">
            <v>RUIZ, TOMAS EMANUEL</v>
          </cell>
          <cell r="I369" t="str">
            <v>Romandetto Carlos</v>
          </cell>
          <cell r="J369" t="str">
            <v>x</v>
          </cell>
          <cell r="K369"/>
          <cell r="L369" t="str">
            <v>x</v>
          </cell>
          <cell r="M369" t="str">
            <v>x</v>
          </cell>
          <cell r="N369" t="str">
            <v>x</v>
          </cell>
          <cell r="O369"/>
          <cell r="P369"/>
          <cell r="Q369"/>
          <cell r="R369"/>
          <cell r="S369"/>
          <cell r="T369"/>
          <cell r="U369"/>
          <cell r="V369"/>
          <cell r="W369"/>
          <cell r="X369"/>
          <cell r="Y369"/>
          <cell r="Z369"/>
          <cell r="AA369"/>
          <cell r="AB369"/>
          <cell r="AC369"/>
          <cell r="AD369"/>
          <cell r="AE369"/>
          <cell r="AF369"/>
          <cell r="AG369"/>
          <cell r="AH369"/>
          <cell r="AI369"/>
          <cell r="AJ369"/>
          <cell r="AK369"/>
          <cell r="AL369"/>
          <cell r="AM369"/>
          <cell r="AN369"/>
          <cell r="AO369"/>
          <cell r="AP369"/>
          <cell r="AQ369">
            <v>45492</v>
          </cell>
          <cell r="AR369">
            <v>81</v>
          </cell>
          <cell r="AS369">
            <v>45534</v>
          </cell>
          <cell r="AT369">
            <v>39</v>
          </cell>
          <cell r="AU369" t="str">
            <v>VMAMICRI</v>
          </cell>
        </row>
        <row r="370">
          <cell r="C370">
            <v>605647</v>
          </cell>
          <cell r="D370" t="str">
            <v>PINTOS PERALTA TANIA AYELEN</v>
          </cell>
          <cell r="E370" t="str">
            <v>09:00 - 15:00</v>
          </cell>
          <cell r="F370" t="str">
            <v>MAÑANA</v>
          </cell>
          <cell r="G370" t="str">
            <v>SAB Y DOM</v>
          </cell>
          <cell r="H370" t="str">
            <v>VILLALBA, VICTORIA</v>
          </cell>
          <cell r="I370" t="str">
            <v>Romandetto Carlos</v>
          </cell>
          <cell r="J370" t="str">
            <v>x</v>
          </cell>
          <cell r="K370"/>
          <cell r="L370" t="str">
            <v>x</v>
          </cell>
          <cell r="M370" t="str">
            <v>x</v>
          </cell>
          <cell r="N370" t="str">
            <v>x</v>
          </cell>
          <cell r="O370"/>
          <cell r="P370"/>
          <cell r="Q370"/>
          <cell r="R370"/>
          <cell r="S370"/>
          <cell r="T370"/>
          <cell r="U370"/>
          <cell r="V370"/>
          <cell r="W370"/>
          <cell r="X370"/>
          <cell r="Y370"/>
          <cell r="Z370"/>
          <cell r="AA370"/>
          <cell r="AB370"/>
          <cell r="AC370"/>
          <cell r="AD370"/>
          <cell r="AE370"/>
          <cell r="AF370"/>
          <cell r="AG370"/>
          <cell r="AH370"/>
          <cell r="AI370"/>
          <cell r="AJ370"/>
          <cell r="AK370"/>
          <cell r="AL370"/>
          <cell r="AM370"/>
          <cell r="AN370"/>
          <cell r="AO370"/>
          <cell r="AP370"/>
          <cell r="AQ370">
            <v>45492</v>
          </cell>
          <cell r="AR370">
            <v>81</v>
          </cell>
          <cell r="AS370">
            <v>45534</v>
          </cell>
          <cell r="AT370">
            <v>39</v>
          </cell>
          <cell r="AU370" t="str">
            <v>VMATAPIN</v>
          </cell>
        </row>
        <row r="371">
          <cell r="C371">
            <v>605786</v>
          </cell>
          <cell r="D371" t="str">
            <v>BRINGAS LEONTINA MICAELA</v>
          </cell>
          <cell r="E371" t="str">
            <v>09:00 - 15:00</v>
          </cell>
          <cell r="F371" t="str">
            <v>MAÑANA</v>
          </cell>
          <cell r="G371" t="str">
            <v>SAB Y DOM</v>
          </cell>
          <cell r="H371" t="str">
            <v>ROBLEDO, YESICA DANIELA</v>
          </cell>
          <cell r="I371" t="str">
            <v>Romandetto Carlos</v>
          </cell>
          <cell r="J371" t="str">
            <v>x</v>
          </cell>
          <cell r="K371"/>
          <cell r="L371" t="str">
            <v>x</v>
          </cell>
          <cell r="M371" t="str">
            <v>x</v>
          </cell>
          <cell r="N371" t="str">
            <v>x</v>
          </cell>
          <cell r="O371"/>
          <cell r="P371"/>
          <cell r="Q371"/>
          <cell r="R371"/>
          <cell r="S371"/>
          <cell r="T371"/>
          <cell r="U371"/>
          <cell r="V371"/>
          <cell r="W371"/>
          <cell r="X371"/>
          <cell r="Y371"/>
          <cell r="Z371"/>
          <cell r="AA371"/>
          <cell r="AB371"/>
          <cell r="AC371"/>
          <cell r="AD371"/>
          <cell r="AE371"/>
          <cell r="AF371"/>
          <cell r="AG371"/>
          <cell r="AH371"/>
          <cell r="AI371"/>
          <cell r="AJ371"/>
          <cell r="AK371"/>
          <cell r="AL371"/>
          <cell r="AM371"/>
          <cell r="AN371"/>
          <cell r="AO371"/>
          <cell r="AP371"/>
          <cell r="AQ371">
            <v>45492</v>
          </cell>
          <cell r="AR371">
            <v>81</v>
          </cell>
          <cell r="AS371">
            <v>45534</v>
          </cell>
          <cell r="AT371">
            <v>39</v>
          </cell>
          <cell r="AU371" t="str">
            <v>VMALEBRI</v>
          </cell>
        </row>
        <row r="372">
          <cell r="C372">
            <v>605803</v>
          </cell>
          <cell r="D372" t="str">
            <v>ESPINOLA MARTIN</v>
          </cell>
          <cell r="E372" t="str">
            <v>09:00 - 15:00</v>
          </cell>
          <cell r="F372" t="str">
            <v>MAÑANA</v>
          </cell>
          <cell r="G372" t="str">
            <v>SAB Y DOM</v>
          </cell>
          <cell r="H372" t="str">
            <v>LOUREIRO, FLORENCIA CANDELA</v>
          </cell>
          <cell r="I372" t="str">
            <v>Romandetto Carlos</v>
          </cell>
          <cell r="J372" t="str">
            <v>x</v>
          </cell>
          <cell r="K372"/>
          <cell r="L372" t="str">
            <v>x</v>
          </cell>
          <cell r="M372" t="str">
            <v>x</v>
          </cell>
          <cell r="N372" t="str">
            <v>x</v>
          </cell>
          <cell r="O372"/>
          <cell r="P372"/>
          <cell r="Q372"/>
          <cell r="R372"/>
          <cell r="S372"/>
          <cell r="T372"/>
          <cell r="U372"/>
          <cell r="V372"/>
          <cell r="W372"/>
          <cell r="X372"/>
          <cell r="Y372"/>
          <cell r="Z372"/>
          <cell r="AA372"/>
          <cell r="AB372"/>
          <cell r="AC372"/>
          <cell r="AD372"/>
          <cell r="AE372"/>
          <cell r="AF372"/>
          <cell r="AG372"/>
          <cell r="AH372"/>
          <cell r="AI372"/>
          <cell r="AJ372"/>
          <cell r="AK372"/>
          <cell r="AL372"/>
          <cell r="AM372"/>
          <cell r="AN372"/>
          <cell r="AO372"/>
          <cell r="AP372"/>
          <cell r="AQ372">
            <v>45492</v>
          </cell>
          <cell r="AR372">
            <v>81</v>
          </cell>
          <cell r="AS372">
            <v>45534</v>
          </cell>
          <cell r="AT372">
            <v>39</v>
          </cell>
          <cell r="AU372" t="str">
            <v>VMAMAESP</v>
          </cell>
        </row>
        <row r="373">
          <cell r="C373">
            <v>605883</v>
          </cell>
          <cell r="D373" t="str">
            <v>CRUZ FERNANDO MIGUEL</v>
          </cell>
          <cell r="E373" t="str">
            <v>15:00 - 21:00</v>
          </cell>
          <cell r="F373" t="str">
            <v>TARDE</v>
          </cell>
          <cell r="G373" t="str">
            <v>SAB Y DOM</v>
          </cell>
          <cell r="H373" t="str">
            <v>YBARRA, LUCIA ALDANA</v>
          </cell>
          <cell r="I373" t="str">
            <v>Romandetto Carlos</v>
          </cell>
          <cell r="J373" t="str">
            <v>x</v>
          </cell>
          <cell r="K373"/>
          <cell r="L373" t="str">
            <v>x</v>
          </cell>
          <cell r="M373" t="str">
            <v>x</v>
          </cell>
          <cell r="N373" t="str">
            <v>x</v>
          </cell>
          <cell r="O373"/>
          <cell r="P373"/>
          <cell r="Q373"/>
          <cell r="R373"/>
          <cell r="S373"/>
          <cell r="T373"/>
          <cell r="U373"/>
          <cell r="V373"/>
          <cell r="W373"/>
          <cell r="X373"/>
          <cell r="Y373"/>
          <cell r="Z373"/>
          <cell r="AA373"/>
          <cell r="AB373"/>
          <cell r="AC373"/>
          <cell r="AD373"/>
          <cell r="AE373"/>
          <cell r="AF373"/>
          <cell r="AG373"/>
          <cell r="AH373"/>
          <cell r="AI373"/>
          <cell r="AJ373"/>
          <cell r="AK373"/>
          <cell r="AL373"/>
          <cell r="AM373"/>
          <cell r="AN373"/>
          <cell r="AO373"/>
          <cell r="AP373"/>
          <cell r="AQ373">
            <v>45492</v>
          </cell>
          <cell r="AR373">
            <v>81</v>
          </cell>
          <cell r="AS373">
            <v>45534</v>
          </cell>
          <cell r="AT373">
            <v>39</v>
          </cell>
          <cell r="AU373" t="str">
            <v>VMAFECRU</v>
          </cell>
        </row>
        <row r="374">
          <cell r="C374">
            <v>606016</v>
          </cell>
          <cell r="D374" t="str">
            <v>BERNDT ELIZABETH SOLEDAD</v>
          </cell>
          <cell r="E374" t="str">
            <v>15:00 - 21:00</v>
          </cell>
          <cell r="F374" t="str">
            <v>TARDE</v>
          </cell>
          <cell r="G374" t="str">
            <v>SAB Y DOM</v>
          </cell>
          <cell r="H374" t="str">
            <v>YBARRA, LUCIA ALDANA</v>
          </cell>
          <cell r="I374" t="str">
            <v>Romandetto Carlos</v>
          </cell>
          <cell r="J374" t="str">
            <v>x</v>
          </cell>
          <cell r="K374"/>
          <cell r="L374" t="str">
            <v>x</v>
          </cell>
          <cell r="M374" t="str">
            <v>x</v>
          </cell>
          <cell r="N374" t="str">
            <v>x</v>
          </cell>
          <cell r="O374"/>
          <cell r="P374"/>
          <cell r="Q374"/>
          <cell r="R374"/>
          <cell r="S374"/>
          <cell r="T374"/>
          <cell r="U374"/>
          <cell r="V374"/>
          <cell r="W374"/>
          <cell r="X374"/>
          <cell r="Y374"/>
          <cell r="Z374"/>
          <cell r="AA374"/>
          <cell r="AB374"/>
          <cell r="AC374"/>
          <cell r="AD374"/>
          <cell r="AE374"/>
          <cell r="AF374"/>
          <cell r="AG374"/>
          <cell r="AH374"/>
          <cell r="AI374"/>
          <cell r="AJ374"/>
          <cell r="AK374"/>
          <cell r="AL374"/>
          <cell r="AM374"/>
          <cell r="AN374"/>
          <cell r="AO374"/>
          <cell r="AP374"/>
          <cell r="AQ374">
            <v>45492</v>
          </cell>
          <cell r="AR374">
            <v>81</v>
          </cell>
          <cell r="AS374">
            <v>45534</v>
          </cell>
          <cell r="AT374">
            <v>39</v>
          </cell>
          <cell r="AU374" t="str">
            <v>VMAELBER</v>
          </cell>
        </row>
        <row r="375">
          <cell r="C375">
            <v>606047</v>
          </cell>
          <cell r="D375" t="str">
            <v>LUCERO DUARTE BASTIAN DAVID</v>
          </cell>
          <cell r="E375" t="str">
            <v>13:00 - 19:00</v>
          </cell>
          <cell r="F375" t="str">
            <v>TARDE</v>
          </cell>
          <cell r="G375" t="str">
            <v>SAB Y DOM</v>
          </cell>
          <cell r="H375" t="str">
            <v>ONETTO, MARIA DE LOS MILAGROS</v>
          </cell>
          <cell r="I375" t="str">
            <v>Romandetto Carlos</v>
          </cell>
          <cell r="J375" t="str">
            <v>x</v>
          </cell>
          <cell r="K375"/>
          <cell r="L375" t="str">
            <v>x</v>
          </cell>
          <cell r="M375" t="str">
            <v>x</v>
          </cell>
          <cell r="N375" t="str">
            <v>x</v>
          </cell>
          <cell r="O375"/>
          <cell r="P375"/>
          <cell r="Q375"/>
          <cell r="R375"/>
          <cell r="S375"/>
          <cell r="T375"/>
          <cell r="U375"/>
          <cell r="V375"/>
          <cell r="W375"/>
          <cell r="X375"/>
          <cell r="Y375"/>
          <cell r="Z375"/>
          <cell r="AA375"/>
          <cell r="AB375"/>
          <cell r="AC375"/>
          <cell r="AD375"/>
          <cell r="AE375"/>
          <cell r="AF375"/>
          <cell r="AG375"/>
          <cell r="AH375"/>
          <cell r="AI375"/>
          <cell r="AJ375"/>
          <cell r="AK375"/>
          <cell r="AL375"/>
          <cell r="AM375"/>
          <cell r="AN375"/>
          <cell r="AO375"/>
          <cell r="AP375"/>
          <cell r="AQ375">
            <v>45492</v>
          </cell>
          <cell r="AR375">
            <v>81</v>
          </cell>
          <cell r="AS375">
            <v>45534</v>
          </cell>
          <cell r="AT375">
            <v>39</v>
          </cell>
          <cell r="AU375" t="str">
            <v>VMABADUA</v>
          </cell>
        </row>
        <row r="376">
          <cell r="C376">
            <v>606072</v>
          </cell>
          <cell r="D376" t="str">
            <v>OLMOS JOAQUIN</v>
          </cell>
          <cell r="E376" t="str">
            <v>15:00 - 21:00</v>
          </cell>
          <cell r="F376" t="str">
            <v>TARDE</v>
          </cell>
          <cell r="G376" t="str">
            <v>SAB Y DOM</v>
          </cell>
          <cell r="H376" t="str">
            <v>GOMEZ, AYLEN MILAGROS</v>
          </cell>
          <cell r="I376" t="str">
            <v>Romandetto Carlos</v>
          </cell>
          <cell r="J376" t="str">
            <v>x</v>
          </cell>
          <cell r="K376"/>
          <cell r="L376" t="str">
            <v>x</v>
          </cell>
          <cell r="M376" t="str">
            <v>x</v>
          </cell>
          <cell r="N376" t="str">
            <v>x</v>
          </cell>
          <cell r="O376"/>
          <cell r="P376"/>
          <cell r="Q376"/>
          <cell r="R376"/>
          <cell r="S376"/>
          <cell r="T376"/>
          <cell r="U376"/>
          <cell r="V376"/>
          <cell r="W376"/>
          <cell r="X376"/>
          <cell r="Y376"/>
          <cell r="Z376"/>
          <cell r="AA376"/>
          <cell r="AB376"/>
          <cell r="AC376"/>
          <cell r="AD376"/>
          <cell r="AE376"/>
          <cell r="AF376"/>
          <cell r="AG376"/>
          <cell r="AH376"/>
          <cell r="AI376"/>
          <cell r="AJ376"/>
          <cell r="AK376"/>
          <cell r="AL376"/>
          <cell r="AM376"/>
          <cell r="AN376"/>
          <cell r="AO376"/>
          <cell r="AP376"/>
          <cell r="AQ376">
            <v>45492</v>
          </cell>
          <cell r="AR376">
            <v>81</v>
          </cell>
          <cell r="AS376">
            <v>45534</v>
          </cell>
          <cell r="AT376">
            <v>39</v>
          </cell>
          <cell r="AU376" t="str">
            <v>VMAJOOLM</v>
          </cell>
        </row>
        <row r="377">
          <cell r="C377">
            <v>606692</v>
          </cell>
          <cell r="D377" t="str">
            <v>SMITH MATIAS EZEQUIEL</v>
          </cell>
          <cell r="E377" t="str">
            <v>09:00 - 15:00</v>
          </cell>
          <cell r="F377" t="str">
            <v>MAÑANA</v>
          </cell>
          <cell r="G377" t="str">
            <v>SAB Y DOM</v>
          </cell>
          <cell r="H377" t="str">
            <v>RUIZ, TOMAS EMANUEL</v>
          </cell>
          <cell r="I377" t="str">
            <v>Romandetto Carlos</v>
          </cell>
          <cell r="J377" t="str">
            <v>x</v>
          </cell>
          <cell r="K377"/>
          <cell r="L377" t="str">
            <v>x</v>
          </cell>
          <cell r="M377" t="str">
            <v>x</v>
          </cell>
          <cell r="N377" t="str">
            <v>x</v>
          </cell>
          <cell r="O377"/>
          <cell r="P377"/>
          <cell r="Q377"/>
          <cell r="R377"/>
          <cell r="S377"/>
          <cell r="T377"/>
          <cell r="U377"/>
          <cell r="V377"/>
          <cell r="W377"/>
          <cell r="X377"/>
          <cell r="Y377"/>
          <cell r="Z377"/>
          <cell r="AA377"/>
          <cell r="AB377"/>
          <cell r="AC377"/>
          <cell r="AD377"/>
          <cell r="AE377"/>
          <cell r="AF377"/>
          <cell r="AG377"/>
          <cell r="AH377"/>
          <cell r="AI377"/>
          <cell r="AJ377"/>
          <cell r="AK377"/>
          <cell r="AL377"/>
          <cell r="AM377"/>
          <cell r="AN377"/>
          <cell r="AO377"/>
          <cell r="AP377"/>
          <cell r="AQ377">
            <v>45492</v>
          </cell>
          <cell r="AR377">
            <v>81</v>
          </cell>
          <cell r="AS377">
            <v>45534</v>
          </cell>
          <cell r="AT377">
            <v>39</v>
          </cell>
          <cell r="AU377" t="str">
            <v>VMAMASMI</v>
          </cell>
        </row>
        <row r="378">
          <cell r="C378">
            <v>606693</v>
          </cell>
          <cell r="D378" t="str">
            <v>GAMPER BRENDA NICOLE</v>
          </cell>
          <cell r="E378" t="str">
            <v>09:00 - 15:00</v>
          </cell>
          <cell r="F378" t="str">
            <v>MAÑANA</v>
          </cell>
          <cell r="G378" t="str">
            <v>SAB Y DOM</v>
          </cell>
          <cell r="H378" t="str">
            <v>VILLALBA, VICTORIA</v>
          </cell>
          <cell r="I378" t="str">
            <v>Romandetto Carlos</v>
          </cell>
          <cell r="J378" t="str">
            <v>x</v>
          </cell>
          <cell r="K378"/>
          <cell r="L378" t="str">
            <v>x</v>
          </cell>
          <cell r="M378" t="str">
            <v>x</v>
          </cell>
          <cell r="N378" t="str">
            <v>x</v>
          </cell>
          <cell r="O378"/>
          <cell r="P378"/>
          <cell r="Q378"/>
          <cell r="R378"/>
          <cell r="S378"/>
          <cell r="T378"/>
          <cell r="U378"/>
          <cell r="V378"/>
          <cell r="W378"/>
          <cell r="X378"/>
          <cell r="Y378"/>
          <cell r="Z378"/>
          <cell r="AA378"/>
          <cell r="AB378"/>
          <cell r="AC378"/>
          <cell r="AD378"/>
          <cell r="AE378"/>
          <cell r="AF378"/>
          <cell r="AG378"/>
          <cell r="AH378"/>
          <cell r="AI378"/>
          <cell r="AJ378"/>
          <cell r="AK378"/>
          <cell r="AL378"/>
          <cell r="AM378"/>
          <cell r="AN378"/>
          <cell r="AO378"/>
          <cell r="AP378"/>
          <cell r="AQ378">
            <v>45492</v>
          </cell>
          <cell r="AR378">
            <v>81</v>
          </cell>
          <cell r="AS378">
            <v>45534</v>
          </cell>
          <cell r="AT378">
            <v>39</v>
          </cell>
          <cell r="AU378" t="str">
            <v>VMABRGAM</v>
          </cell>
        </row>
        <row r="379">
          <cell r="C379">
            <v>606698</v>
          </cell>
          <cell r="D379" t="str">
            <v>CONSLIE ANA PAULA</v>
          </cell>
          <cell r="E379" t="str">
            <v>14:00 - 20:00</v>
          </cell>
          <cell r="F379" t="str">
            <v>TARDE</v>
          </cell>
          <cell r="G379" t="str">
            <v>SAB Y DOM</v>
          </cell>
          <cell r="H379" t="str">
            <v>SOLER, SANTIAGO MAXIMILIANO</v>
          </cell>
          <cell r="I379" t="str">
            <v>Romandetto Carlos</v>
          </cell>
          <cell r="J379" t="str">
            <v>x</v>
          </cell>
          <cell r="K379"/>
          <cell r="L379" t="str">
            <v>x</v>
          </cell>
          <cell r="M379" t="str">
            <v>x</v>
          </cell>
          <cell r="N379" t="str">
            <v>x</v>
          </cell>
          <cell r="O379"/>
          <cell r="P379"/>
          <cell r="Q379"/>
          <cell r="R379"/>
          <cell r="S379"/>
          <cell r="T379"/>
          <cell r="U379"/>
          <cell r="V379"/>
          <cell r="W379"/>
          <cell r="X379"/>
          <cell r="Y379"/>
          <cell r="Z379"/>
          <cell r="AA379"/>
          <cell r="AB379"/>
          <cell r="AC379"/>
          <cell r="AD379"/>
          <cell r="AE379"/>
          <cell r="AF379"/>
          <cell r="AG379"/>
          <cell r="AH379"/>
          <cell r="AI379"/>
          <cell r="AJ379"/>
          <cell r="AK379"/>
          <cell r="AL379"/>
          <cell r="AM379"/>
          <cell r="AN379"/>
          <cell r="AO379"/>
          <cell r="AP379"/>
          <cell r="AQ379">
            <v>45525</v>
          </cell>
          <cell r="AR379">
            <v>48</v>
          </cell>
          <cell r="AS379">
            <v>45565</v>
          </cell>
          <cell r="AT379">
            <v>8</v>
          </cell>
          <cell r="AU379" t="str">
            <v>VMAANCON</v>
          </cell>
        </row>
        <row r="380">
          <cell r="C380">
            <v>606696</v>
          </cell>
          <cell r="D380" t="str">
            <v>GOMEZ MELINA NATALY</v>
          </cell>
          <cell r="E380" t="str">
            <v>14:00 - 20:00</v>
          </cell>
          <cell r="F380" t="str">
            <v>TARDE</v>
          </cell>
          <cell r="G380" t="str">
            <v>SAB Y DOM</v>
          </cell>
          <cell r="H380" t="str">
            <v>SOLER, SANTIAGO MAXIMILIANO</v>
          </cell>
          <cell r="I380" t="str">
            <v>Romandetto Carlos</v>
          </cell>
          <cell r="J380" t="str">
            <v>x</v>
          </cell>
          <cell r="K380"/>
          <cell r="L380" t="str">
            <v>x</v>
          </cell>
          <cell r="M380" t="str">
            <v>x</v>
          </cell>
          <cell r="N380" t="str">
            <v>x</v>
          </cell>
          <cell r="O380"/>
          <cell r="P380"/>
          <cell r="Q380"/>
          <cell r="R380"/>
          <cell r="S380"/>
          <cell r="T380"/>
          <cell r="U380"/>
          <cell r="V380"/>
          <cell r="W380"/>
          <cell r="X380"/>
          <cell r="Y380"/>
          <cell r="Z380"/>
          <cell r="AA380"/>
          <cell r="AB380"/>
          <cell r="AC380"/>
          <cell r="AD380"/>
          <cell r="AE380"/>
          <cell r="AF380"/>
          <cell r="AG380"/>
          <cell r="AH380"/>
          <cell r="AI380"/>
          <cell r="AJ380"/>
          <cell r="AK380"/>
          <cell r="AL380"/>
          <cell r="AM380"/>
          <cell r="AN380"/>
          <cell r="AO380"/>
          <cell r="AP380"/>
          <cell r="AQ380">
            <v>45525</v>
          </cell>
          <cell r="AR380">
            <v>48</v>
          </cell>
          <cell r="AS380">
            <v>45565</v>
          </cell>
          <cell r="AT380">
            <v>8</v>
          </cell>
          <cell r="AU380" t="str">
            <v>VMAMEGOM</v>
          </cell>
        </row>
        <row r="381">
          <cell r="C381">
            <v>606733</v>
          </cell>
          <cell r="D381" t="str">
            <v>AVILA TIARA VALENTINA</v>
          </cell>
          <cell r="E381" t="str">
            <v>10:00 - 16:00</v>
          </cell>
          <cell r="F381" t="str">
            <v>MAÑANA</v>
          </cell>
          <cell r="G381" t="str">
            <v>SAB Y DOM</v>
          </cell>
          <cell r="H381" t="str">
            <v>VILLALBA, MAITEN</v>
          </cell>
          <cell r="I381" t="str">
            <v>Romandetto Carlos</v>
          </cell>
          <cell r="J381" t="str">
            <v>x</v>
          </cell>
          <cell r="K381"/>
          <cell r="L381" t="str">
            <v>x</v>
          </cell>
          <cell r="M381" t="str">
            <v>x</v>
          </cell>
          <cell r="N381" t="str">
            <v>x</v>
          </cell>
          <cell r="O381"/>
          <cell r="P381"/>
          <cell r="Q381"/>
          <cell r="R381"/>
          <cell r="S381"/>
          <cell r="T381"/>
          <cell r="U381"/>
          <cell r="V381"/>
          <cell r="W381"/>
          <cell r="X381"/>
          <cell r="Y381"/>
          <cell r="Z381"/>
          <cell r="AA381"/>
          <cell r="AB381"/>
          <cell r="AC381"/>
          <cell r="AD381"/>
          <cell r="AE381"/>
          <cell r="AF381"/>
          <cell r="AG381"/>
          <cell r="AH381"/>
          <cell r="AI381"/>
          <cell r="AJ381"/>
          <cell r="AK381"/>
          <cell r="AL381"/>
          <cell r="AM381"/>
          <cell r="AN381"/>
          <cell r="AO381"/>
          <cell r="AP381"/>
          <cell r="AQ381">
            <v>45525</v>
          </cell>
          <cell r="AR381">
            <v>48</v>
          </cell>
          <cell r="AS381">
            <v>45565</v>
          </cell>
          <cell r="AT381">
            <v>8</v>
          </cell>
          <cell r="AU381" t="str">
            <v>VMAVAAVI</v>
          </cell>
        </row>
        <row r="382">
          <cell r="C382">
            <v>606721</v>
          </cell>
          <cell r="D382" t="str">
            <v>GARCIA DANIEL JESUS</v>
          </cell>
          <cell r="E382" t="str">
            <v>09:00 - 15:00</v>
          </cell>
          <cell r="F382" t="str">
            <v>MAÑANA</v>
          </cell>
          <cell r="G382" t="str">
            <v>SAB Y DOM</v>
          </cell>
          <cell r="H382" t="str">
            <v>DIAZ, PAULA</v>
          </cell>
          <cell r="I382" t="str">
            <v>Romandetto Carlos</v>
          </cell>
          <cell r="J382" t="str">
            <v>x</v>
          </cell>
          <cell r="K382"/>
          <cell r="L382" t="str">
            <v>x</v>
          </cell>
          <cell r="M382" t="str">
            <v>x</v>
          </cell>
          <cell r="N382" t="str">
            <v>x</v>
          </cell>
          <cell r="O382"/>
          <cell r="P382"/>
          <cell r="Q382"/>
          <cell r="R382"/>
          <cell r="S382"/>
          <cell r="T382"/>
          <cell r="U382"/>
          <cell r="V382"/>
          <cell r="W382"/>
          <cell r="X382"/>
          <cell r="Y382"/>
          <cell r="Z382"/>
          <cell r="AA382"/>
          <cell r="AB382"/>
          <cell r="AC382"/>
          <cell r="AD382"/>
          <cell r="AE382"/>
          <cell r="AF382"/>
          <cell r="AG382"/>
          <cell r="AH382"/>
          <cell r="AI382"/>
          <cell r="AJ382"/>
          <cell r="AK382"/>
          <cell r="AL382"/>
          <cell r="AM382"/>
          <cell r="AN382"/>
          <cell r="AO382"/>
          <cell r="AP382"/>
          <cell r="AQ382">
            <v>45525</v>
          </cell>
          <cell r="AR382">
            <v>48</v>
          </cell>
          <cell r="AS382">
            <v>45565</v>
          </cell>
          <cell r="AT382">
            <v>8</v>
          </cell>
          <cell r="AU382" t="str">
            <v>VMADAGAR</v>
          </cell>
        </row>
        <row r="383">
          <cell r="C383">
            <v>606723</v>
          </cell>
          <cell r="D383" t="str">
            <v>DOMINGUEZ MAYRA</v>
          </cell>
          <cell r="E383" t="str">
            <v>09:00 - 15:00</v>
          </cell>
          <cell r="F383" t="str">
            <v>MAÑANA</v>
          </cell>
          <cell r="G383" t="str">
            <v>SAB Y DOM</v>
          </cell>
          <cell r="H383" t="str">
            <v>ROBLEDO, LEANDRO JAVIER</v>
          </cell>
          <cell r="I383" t="str">
            <v>Romandetto Carlos</v>
          </cell>
          <cell r="J383" t="str">
            <v>x</v>
          </cell>
          <cell r="K383"/>
          <cell r="L383" t="str">
            <v>x</v>
          </cell>
          <cell r="M383" t="str">
            <v>x</v>
          </cell>
          <cell r="N383" t="str">
            <v>x</v>
          </cell>
          <cell r="O383"/>
          <cell r="P383"/>
          <cell r="Q383"/>
          <cell r="R383"/>
          <cell r="S383"/>
          <cell r="T383"/>
          <cell r="U383"/>
          <cell r="V383"/>
          <cell r="W383"/>
          <cell r="X383"/>
          <cell r="Y383"/>
          <cell r="Z383"/>
          <cell r="AA383"/>
          <cell r="AB383"/>
          <cell r="AC383"/>
          <cell r="AD383"/>
          <cell r="AE383"/>
          <cell r="AF383"/>
          <cell r="AG383"/>
          <cell r="AH383"/>
          <cell r="AI383"/>
          <cell r="AJ383"/>
          <cell r="AK383"/>
          <cell r="AL383"/>
          <cell r="AM383"/>
          <cell r="AN383"/>
          <cell r="AO383"/>
          <cell r="AP383"/>
          <cell r="AQ383">
            <v>45525</v>
          </cell>
          <cell r="AR383">
            <v>48</v>
          </cell>
          <cell r="AS383">
            <v>45565</v>
          </cell>
          <cell r="AT383">
            <v>8</v>
          </cell>
          <cell r="AU383" t="str">
            <v>VMAMADOM</v>
          </cell>
        </row>
        <row r="384">
          <cell r="C384">
            <v>606736</v>
          </cell>
          <cell r="D384" t="str">
            <v>GOTTSCHLICH CAMILA</v>
          </cell>
          <cell r="E384" t="str">
            <v>14:00 - 20:00</v>
          </cell>
          <cell r="F384" t="str">
            <v>TARDE</v>
          </cell>
          <cell r="G384" t="str">
            <v>SAB Y DOM</v>
          </cell>
          <cell r="H384" t="str">
            <v>ROJAS, LUCAS</v>
          </cell>
          <cell r="I384" t="str">
            <v>Romandetto Carlos</v>
          </cell>
          <cell r="J384" t="str">
            <v>x</v>
          </cell>
          <cell r="K384"/>
          <cell r="L384" t="str">
            <v>x</v>
          </cell>
          <cell r="M384" t="str">
            <v>x</v>
          </cell>
          <cell r="N384" t="str">
            <v>x</v>
          </cell>
          <cell r="O384"/>
          <cell r="P384"/>
          <cell r="Q384"/>
          <cell r="R384"/>
          <cell r="S384"/>
          <cell r="T384"/>
          <cell r="U384"/>
          <cell r="V384"/>
          <cell r="W384"/>
          <cell r="X384"/>
          <cell r="Y384"/>
          <cell r="Z384"/>
          <cell r="AA384"/>
          <cell r="AB384"/>
          <cell r="AC384"/>
          <cell r="AD384"/>
          <cell r="AE384"/>
          <cell r="AF384"/>
          <cell r="AG384"/>
          <cell r="AH384"/>
          <cell r="AI384"/>
          <cell r="AJ384"/>
          <cell r="AK384"/>
          <cell r="AL384"/>
          <cell r="AM384"/>
          <cell r="AN384"/>
          <cell r="AO384"/>
          <cell r="AP384"/>
          <cell r="AQ384">
            <v>45525</v>
          </cell>
          <cell r="AR384">
            <v>48</v>
          </cell>
          <cell r="AS384">
            <v>45565</v>
          </cell>
          <cell r="AT384">
            <v>8</v>
          </cell>
          <cell r="AU384" t="str">
            <v>VMACAGOT</v>
          </cell>
        </row>
        <row r="385">
          <cell r="C385">
            <v>606738</v>
          </cell>
          <cell r="D385" t="str">
            <v>PAZDERA ALDANA SOLEDAD</v>
          </cell>
          <cell r="E385" t="str">
            <v>14:00 - 20:00</v>
          </cell>
          <cell r="F385" t="str">
            <v>TARDE</v>
          </cell>
          <cell r="G385" t="str">
            <v>SAB Y DOM</v>
          </cell>
          <cell r="H385" t="str">
            <v>SOLER, SANTIAGO MAXIMILIANO</v>
          </cell>
          <cell r="I385" t="str">
            <v>Romandetto Carlos</v>
          </cell>
          <cell r="J385" t="str">
            <v>x</v>
          </cell>
          <cell r="K385"/>
          <cell r="L385" t="str">
            <v>x</v>
          </cell>
          <cell r="M385" t="str">
            <v>x</v>
          </cell>
          <cell r="N385" t="str">
            <v>x</v>
          </cell>
          <cell r="O385"/>
          <cell r="P385"/>
          <cell r="Q385"/>
          <cell r="R385"/>
          <cell r="S385"/>
          <cell r="T385"/>
          <cell r="U385"/>
          <cell r="V385"/>
          <cell r="W385"/>
          <cell r="X385"/>
          <cell r="Y385"/>
          <cell r="Z385"/>
          <cell r="AA385"/>
          <cell r="AB385"/>
          <cell r="AC385"/>
          <cell r="AD385"/>
          <cell r="AE385"/>
          <cell r="AF385"/>
          <cell r="AG385"/>
          <cell r="AH385"/>
          <cell r="AI385"/>
          <cell r="AJ385"/>
          <cell r="AK385"/>
          <cell r="AL385"/>
          <cell r="AM385"/>
          <cell r="AN385"/>
          <cell r="AO385"/>
          <cell r="AP385"/>
          <cell r="AQ385">
            <v>45525</v>
          </cell>
          <cell r="AR385">
            <v>48</v>
          </cell>
          <cell r="AS385">
            <v>45565</v>
          </cell>
          <cell r="AT385">
            <v>8</v>
          </cell>
          <cell r="AU385" t="str">
            <v>VMAALPAZ</v>
          </cell>
        </row>
        <row r="386">
          <cell r="C386">
            <v>606703</v>
          </cell>
          <cell r="D386" t="str">
            <v>MANGIONE LUCAS NICOLAS</v>
          </cell>
          <cell r="E386" t="str">
            <v>15:00 - 21:00</v>
          </cell>
          <cell r="F386" t="str">
            <v>TARDE</v>
          </cell>
          <cell r="G386" t="str">
            <v>SAB Y DOM</v>
          </cell>
          <cell r="H386" t="str">
            <v>GARZON, ROCIO BELEN</v>
          </cell>
          <cell r="I386" t="str">
            <v>Romandetto Carlos</v>
          </cell>
          <cell r="J386" t="str">
            <v>x</v>
          </cell>
          <cell r="K386"/>
          <cell r="L386" t="str">
            <v>x</v>
          </cell>
          <cell r="M386" t="str">
            <v>x</v>
          </cell>
          <cell r="N386" t="str">
            <v>x</v>
          </cell>
          <cell r="O386"/>
          <cell r="P386"/>
          <cell r="Q386"/>
          <cell r="R386"/>
          <cell r="S386"/>
          <cell r="T386"/>
          <cell r="U386"/>
          <cell r="V386"/>
          <cell r="W386"/>
          <cell r="X386"/>
          <cell r="Y386"/>
          <cell r="Z386"/>
          <cell r="AA386"/>
          <cell r="AB386"/>
          <cell r="AC386"/>
          <cell r="AD386"/>
          <cell r="AE386"/>
          <cell r="AF386"/>
          <cell r="AG386"/>
          <cell r="AH386"/>
          <cell r="AI386"/>
          <cell r="AJ386"/>
          <cell r="AK386"/>
          <cell r="AL386"/>
          <cell r="AM386"/>
          <cell r="AN386"/>
          <cell r="AO386"/>
          <cell r="AP386"/>
          <cell r="AQ386">
            <v>45525</v>
          </cell>
          <cell r="AR386">
            <v>48</v>
          </cell>
          <cell r="AS386">
            <v>45565</v>
          </cell>
          <cell r="AT386">
            <v>8</v>
          </cell>
          <cell r="AU386" t="str">
            <v>VMALUMAN</v>
          </cell>
        </row>
        <row r="387">
          <cell r="C387">
            <v>606707</v>
          </cell>
          <cell r="D387" t="str">
            <v>MUÑOZ CLAVIJO DAVID STIVEN</v>
          </cell>
          <cell r="E387" t="str">
            <v>18:00 - 00:00</v>
          </cell>
          <cell r="F387" t="str">
            <v>NOCHE</v>
          </cell>
          <cell r="G387" t="str">
            <v>SAB Y DOM</v>
          </cell>
          <cell r="H387" t="str">
            <v>MIR, TOMAS MAURICIO</v>
          </cell>
          <cell r="I387" t="str">
            <v>Romandetto Carlos</v>
          </cell>
          <cell r="J387" t="str">
            <v>x</v>
          </cell>
          <cell r="K387"/>
          <cell r="L387" t="str">
            <v>x</v>
          </cell>
          <cell r="M387" t="str">
            <v>x</v>
          </cell>
          <cell r="N387" t="str">
            <v>x</v>
          </cell>
          <cell r="O387"/>
          <cell r="P387"/>
          <cell r="Q387"/>
          <cell r="R387"/>
          <cell r="S387"/>
          <cell r="T387"/>
          <cell r="U387"/>
          <cell r="V387"/>
          <cell r="W387"/>
          <cell r="X387"/>
          <cell r="Y387"/>
          <cell r="Z387"/>
          <cell r="AA387"/>
          <cell r="AB387"/>
          <cell r="AC387"/>
          <cell r="AD387"/>
          <cell r="AE387"/>
          <cell r="AF387"/>
          <cell r="AG387"/>
          <cell r="AH387"/>
          <cell r="AI387"/>
          <cell r="AJ387"/>
          <cell r="AK387"/>
          <cell r="AL387"/>
          <cell r="AM387"/>
          <cell r="AN387"/>
          <cell r="AO387"/>
          <cell r="AP387"/>
          <cell r="AQ387">
            <v>45525</v>
          </cell>
          <cell r="AR387">
            <v>48</v>
          </cell>
          <cell r="AS387">
            <v>45565</v>
          </cell>
          <cell r="AT387">
            <v>8</v>
          </cell>
          <cell r="AU387" t="str">
            <v>VMADAMUN</v>
          </cell>
        </row>
        <row r="388">
          <cell r="C388">
            <v>606708</v>
          </cell>
          <cell r="D388" t="str">
            <v>VELIZ MARIANA GABRIELA</v>
          </cell>
          <cell r="E388" t="str">
            <v>18:00 - 00:00</v>
          </cell>
          <cell r="F388" t="str">
            <v>NOCHE</v>
          </cell>
          <cell r="G388" t="str">
            <v>SAB Y DOM</v>
          </cell>
          <cell r="H388" t="str">
            <v>MIR, TOMAS MAURICIO</v>
          </cell>
          <cell r="I388" t="str">
            <v>Romandetto Carlos</v>
          </cell>
          <cell r="J388" t="str">
            <v>x</v>
          </cell>
          <cell r="K388"/>
          <cell r="L388" t="str">
            <v>x</v>
          </cell>
          <cell r="M388" t="str">
            <v>x</v>
          </cell>
          <cell r="N388" t="str">
            <v>x</v>
          </cell>
          <cell r="O388"/>
          <cell r="P388"/>
          <cell r="Q388"/>
          <cell r="R388"/>
          <cell r="S388"/>
          <cell r="T388"/>
          <cell r="U388"/>
          <cell r="V388"/>
          <cell r="W388"/>
          <cell r="X388"/>
          <cell r="Y388"/>
          <cell r="Z388"/>
          <cell r="AA388"/>
          <cell r="AB388"/>
          <cell r="AC388"/>
          <cell r="AD388"/>
          <cell r="AE388"/>
          <cell r="AF388"/>
          <cell r="AG388"/>
          <cell r="AH388"/>
          <cell r="AI388"/>
          <cell r="AJ388"/>
          <cell r="AK388"/>
          <cell r="AL388"/>
          <cell r="AM388"/>
          <cell r="AN388"/>
          <cell r="AO388"/>
          <cell r="AP388"/>
          <cell r="AQ388">
            <v>45525</v>
          </cell>
          <cell r="AR388">
            <v>48</v>
          </cell>
          <cell r="AS388">
            <v>45565</v>
          </cell>
          <cell r="AT388">
            <v>8</v>
          </cell>
          <cell r="AU388" t="str">
            <v>VMAMAVEL</v>
          </cell>
        </row>
        <row r="389">
          <cell r="C389">
            <v>606709</v>
          </cell>
          <cell r="D389" t="str">
            <v>GUTIERREZ TOBIAS ANDRES</v>
          </cell>
          <cell r="E389" t="str">
            <v>18:00 - 00:00</v>
          </cell>
          <cell r="F389" t="str">
            <v>NOCHE</v>
          </cell>
          <cell r="G389" t="str">
            <v>SAB Y DOM</v>
          </cell>
          <cell r="H389" t="str">
            <v>MIR, TOMAS MAURICIO</v>
          </cell>
          <cell r="I389" t="str">
            <v>Romandetto Carlos</v>
          </cell>
          <cell r="J389" t="str">
            <v>x</v>
          </cell>
          <cell r="K389"/>
          <cell r="L389" t="str">
            <v>x</v>
          </cell>
          <cell r="M389" t="str">
            <v>x</v>
          </cell>
          <cell r="N389" t="str">
            <v>x</v>
          </cell>
          <cell r="O389"/>
          <cell r="P389"/>
          <cell r="Q389"/>
          <cell r="R389"/>
          <cell r="S389"/>
          <cell r="T389"/>
          <cell r="U389"/>
          <cell r="V389"/>
          <cell r="W389"/>
          <cell r="X389"/>
          <cell r="Y389"/>
          <cell r="Z389"/>
          <cell r="AA389"/>
          <cell r="AB389"/>
          <cell r="AC389"/>
          <cell r="AD389"/>
          <cell r="AE389"/>
          <cell r="AF389"/>
          <cell r="AG389"/>
          <cell r="AH389"/>
          <cell r="AI389"/>
          <cell r="AJ389"/>
          <cell r="AK389"/>
          <cell r="AL389"/>
          <cell r="AM389"/>
          <cell r="AN389"/>
          <cell r="AO389"/>
          <cell r="AP389"/>
          <cell r="AQ389">
            <v>45525</v>
          </cell>
          <cell r="AR389">
            <v>48</v>
          </cell>
          <cell r="AS389">
            <v>45565</v>
          </cell>
          <cell r="AT389">
            <v>8</v>
          </cell>
          <cell r="AU389" t="str">
            <v>VMATOGUT</v>
          </cell>
        </row>
        <row r="390">
          <cell r="C390">
            <v>606712</v>
          </cell>
          <cell r="D390" t="str">
            <v>SOSA OSCAR RICARDO</v>
          </cell>
          <cell r="E390" t="str">
            <v>18:00 - 00:00</v>
          </cell>
          <cell r="F390" t="str">
            <v>NOCHE</v>
          </cell>
          <cell r="G390" t="str">
            <v>SAB Y DOM</v>
          </cell>
          <cell r="H390" t="str">
            <v>MIR, TOMAS MAURICIO</v>
          </cell>
          <cell r="I390" t="str">
            <v>Romandetto Carlos</v>
          </cell>
          <cell r="J390" t="str">
            <v>x</v>
          </cell>
          <cell r="K390"/>
          <cell r="L390" t="str">
            <v>x</v>
          </cell>
          <cell r="M390" t="str">
            <v>x</v>
          </cell>
          <cell r="N390" t="str">
            <v>x</v>
          </cell>
          <cell r="O390"/>
          <cell r="P390"/>
          <cell r="Q390"/>
          <cell r="R390"/>
          <cell r="S390"/>
          <cell r="T390"/>
          <cell r="U390"/>
          <cell r="V390"/>
          <cell r="W390"/>
          <cell r="X390"/>
          <cell r="Y390"/>
          <cell r="Z390"/>
          <cell r="AA390"/>
          <cell r="AB390"/>
          <cell r="AC390"/>
          <cell r="AD390"/>
          <cell r="AE390"/>
          <cell r="AF390"/>
          <cell r="AG390"/>
          <cell r="AH390"/>
          <cell r="AI390"/>
          <cell r="AJ390"/>
          <cell r="AK390"/>
          <cell r="AL390"/>
          <cell r="AM390"/>
          <cell r="AN390"/>
          <cell r="AO390"/>
          <cell r="AP390"/>
          <cell r="AQ390">
            <v>45525</v>
          </cell>
          <cell r="AR390">
            <v>48</v>
          </cell>
          <cell r="AS390">
            <v>45565</v>
          </cell>
          <cell r="AT390">
            <v>8</v>
          </cell>
          <cell r="AU390" t="str">
            <v>VMARISOS</v>
          </cell>
        </row>
        <row r="391">
          <cell r="C391">
            <v>600535</v>
          </cell>
          <cell r="D391" t="str">
            <v>VILLALBA MALENA QUIMEY</v>
          </cell>
          <cell r="E391" t="str">
            <v>15:00 - 21:00</v>
          </cell>
          <cell r="F391" t="str">
            <v>TARDE</v>
          </cell>
          <cell r="G391" t="str">
            <v>SAB Y DOM</v>
          </cell>
          <cell r="H391" t="str">
            <v>YBARRA, LUCIA ALDANA</v>
          </cell>
          <cell r="I391" t="str">
            <v>Romandetto Carlos</v>
          </cell>
          <cell r="J391" t="str">
            <v>x</v>
          </cell>
          <cell r="K391"/>
          <cell r="L391" t="str">
            <v>x</v>
          </cell>
          <cell r="M391" t="str">
            <v>x</v>
          </cell>
          <cell r="N391" t="str">
            <v>x</v>
          </cell>
          <cell r="O391"/>
          <cell r="P391"/>
          <cell r="Q391"/>
          <cell r="R391"/>
          <cell r="S391"/>
          <cell r="T391"/>
          <cell r="U391"/>
          <cell r="V391"/>
          <cell r="W391"/>
          <cell r="X391"/>
          <cell r="Y391"/>
          <cell r="Z391"/>
          <cell r="AA391"/>
          <cell r="AB391"/>
          <cell r="AC391"/>
          <cell r="AD391"/>
          <cell r="AE391"/>
          <cell r="AF391"/>
          <cell r="AG391"/>
          <cell r="AH391"/>
          <cell r="AI391"/>
          <cell r="AJ391"/>
          <cell r="AK391"/>
          <cell r="AL391"/>
          <cell r="AM391"/>
          <cell r="AN391"/>
          <cell r="AO391"/>
          <cell r="AP391"/>
          <cell r="AQ391">
            <v>45525</v>
          </cell>
          <cell r="AR391">
            <v>48</v>
          </cell>
          <cell r="AS391">
            <v>45565</v>
          </cell>
          <cell r="AT391">
            <v>8</v>
          </cell>
          <cell r="AU391" t="str">
            <v>VMAMALVI</v>
          </cell>
        </row>
        <row r="392">
          <cell r="C392">
            <v>600534</v>
          </cell>
          <cell r="D392" t="str">
            <v>IRRAZABAL AXEL EMANUEL</v>
          </cell>
          <cell r="E392" t="str">
            <v>15:00 - 21:00</v>
          </cell>
          <cell r="F392" t="str">
            <v>TARDE</v>
          </cell>
          <cell r="G392" t="str">
            <v>SAB Y DOM</v>
          </cell>
          <cell r="H392" t="str">
            <v>GOMEZ, SASHA</v>
          </cell>
          <cell r="I392" t="str">
            <v>Romandetto Carlos</v>
          </cell>
          <cell r="J392" t="str">
            <v>x</v>
          </cell>
          <cell r="K392"/>
          <cell r="L392" t="str">
            <v>x</v>
          </cell>
          <cell r="M392" t="str">
            <v>x</v>
          </cell>
          <cell r="N392" t="str">
            <v>x</v>
          </cell>
          <cell r="O392"/>
          <cell r="P392"/>
          <cell r="Q392"/>
          <cell r="R392"/>
          <cell r="S392"/>
          <cell r="T392"/>
          <cell r="U392"/>
          <cell r="V392"/>
          <cell r="W392"/>
          <cell r="X392"/>
          <cell r="Y392"/>
          <cell r="Z392"/>
          <cell r="AA392"/>
          <cell r="AB392"/>
          <cell r="AC392"/>
          <cell r="AD392"/>
          <cell r="AE392"/>
          <cell r="AF392"/>
          <cell r="AG392"/>
          <cell r="AH392"/>
          <cell r="AI392"/>
          <cell r="AJ392"/>
          <cell r="AK392"/>
          <cell r="AL392"/>
          <cell r="AM392"/>
          <cell r="AN392"/>
          <cell r="AO392"/>
          <cell r="AP392"/>
          <cell r="AQ392">
            <v>45525</v>
          </cell>
          <cell r="AR392">
            <v>48</v>
          </cell>
          <cell r="AS392">
            <v>45565</v>
          </cell>
          <cell r="AT392">
            <v>8</v>
          </cell>
          <cell r="AU392" t="str">
            <v>VMAAXIRR</v>
          </cell>
        </row>
        <row r="393">
          <cell r="C393">
            <v>600536</v>
          </cell>
          <cell r="D393" t="str">
            <v>CENTURION GONZALEZ MELINA NOEMI</v>
          </cell>
          <cell r="E393" t="str">
            <v>15:00 - 21:00</v>
          </cell>
          <cell r="F393" t="str">
            <v>TARDE</v>
          </cell>
          <cell r="G393" t="str">
            <v>SAB Y DOM</v>
          </cell>
          <cell r="H393" t="str">
            <v>YBARRA, LUCIA ALDANA</v>
          </cell>
          <cell r="I393" t="str">
            <v>Romandetto Carlos</v>
          </cell>
          <cell r="J393" t="str">
            <v>x</v>
          </cell>
          <cell r="K393"/>
          <cell r="L393" t="str">
            <v>x</v>
          </cell>
          <cell r="M393" t="str">
            <v>x</v>
          </cell>
          <cell r="N393" t="str">
            <v>x</v>
          </cell>
          <cell r="O393"/>
          <cell r="P393"/>
          <cell r="Q393"/>
          <cell r="R393"/>
          <cell r="S393"/>
          <cell r="T393"/>
          <cell r="U393"/>
          <cell r="V393"/>
          <cell r="W393"/>
          <cell r="X393"/>
          <cell r="Y393"/>
          <cell r="Z393"/>
          <cell r="AA393"/>
          <cell r="AB393"/>
          <cell r="AC393"/>
          <cell r="AD393"/>
          <cell r="AE393"/>
          <cell r="AF393"/>
          <cell r="AG393"/>
          <cell r="AH393"/>
          <cell r="AI393"/>
          <cell r="AJ393"/>
          <cell r="AK393"/>
          <cell r="AL393"/>
          <cell r="AM393"/>
          <cell r="AN393"/>
          <cell r="AO393"/>
          <cell r="AP393"/>
          <cell r="AQ393">
            <v>45525</v>
          </cell>
          <cell r="AR393">
            <v>48</v>
          </cell>
          <cell r="AS393">
            <v>45565</v>
          </cell>
          <cell r="AT393">
            <v>8</v>
          </cell>
          <cell r="AU393" t="str">
            <v>VMAMELCE</v>
          </cell>
        </row>
        <row r="394">
          <cell r="C394">
            <v>606717</v>
          </cell>
          <cell r="D394" t="str">
            <v>MAMONE MALENA AZUL</v>
          </cell>
          <cell r="E394" t="str">
            <v>09:00 - 15:00</v>
          </cell>
          <cell r="F394" t="str">
            <v>MAÑANA</v>
          </cell>
          <cell r="G394" t="str">
            <v>SAB Y DOM</v>
          </cell>
          <cell r="H394" t="str">
            <v>VILLALBA, VICTORIA</v>
          </cell>
          <cell r="I394" t="str">
            <v>Romandetto Carlos</v>
          </cell>
          <cell r="J394" t="str">
            <v>x</v>
          </cell>
          <cell r="K394"/>
          <cell r="L394" t="str">
            <v>x</v>
          </cell>
          <cell r="M394" t="str">
            <v>x</v>
          </cell>
          <cell r="N394" t="str">
            <v>x</v>
          </cell>
          <cell r="O394"/>
          <cell r="P394"/>
          <cell r="Q394"/>
          <cell r="R394"/>
          <cell r="S394"/>
          <cell r="T394"/>
          <cell r="U394"/>
          <cell r="V394"/>
          <cell r="W394"/>
          <cell r="X394"/>
          <cell r="Y394"/>
          <cell r="Z394"/>
          <cell r="AA394"/>
          <cell r="AB394"/>
          <cell r="AC394"/>
          <cell r="AD394"/>
          <cell r="AE394"/>
          <cell r="AF394"/>
          <cell r="AG394"/>
          <cell r="AH394"/>
          <cell r="AI394"/>
          <cell r="AJ394"/>
          <cell r="AK394"/>
          <cell r="AL394"/>
          <cell r="AM394"/>
          <cell r="AN394"/>
          <cell r="AO394"/>
          <cell r="AP394"/>
          <cell r="AQ394">
            <v>45525</v>
          </cell>
          <cell r="AR394">
            <v>48</v>
          </cell>
          <cell r="AS394">
            <v>45565</v>
          </cell>
          <cell r="AT394">
            <v>8</v>
          </cell>
          <cell r="AU394" t="str">
            <v>VMAAZMAM</v>
          </cell>
        </row>
        <row r="395">
          <cell r="C395">
            <v>606715</v>
          </cell>
          <cell r="D395" t="str">
            <v>SBARBARO VILCHEZ GABRIELA LUJAN</v>
          </cell>
          <cell r="E395" t="str">
            <v>09:00 - 15:00</v>
          </cell>
          <cell r="F395" t="str">
            <v>MAÑANA</v>
          </cell>
          <cell r="G395" t="str">
            <v>SAB Y DOM</v>
          </cell>
          <cell r="H395" t="str">
            <v>ROBLEDO, YESICA DANIELA</v>
          </cell>
          <cell r="I395" t="str">
            <v>Romandetto Carlos</v>
          </cell>
          <cell r="J395" t="str">
            <v>x</v>
          </cell>
          <cell r="K395"/>
          <cell r="L395" t="str">
            <v>x</v>
          </cell>
          <cell r="M395" t="str">
            <v>x</v>
          </cell>
          <cell r="N395" t="str">
            <v>x</v>
          </cell>
          <cell r="O395"/>
          <cell r="P395"/>
          <cell r="Q395"/>
          <cell r="R395"/>
          <cell r="S395"/>
          <cell r="T395"/>
          <cell r="U395"/>
          <cell r="V395"/>
          <cell r="W395"/>
          <cell r="X395"/>
          <cell r="Y395"/>
          <cell r="Z395"/>
          <cell r="AA395"/>
          <cell r="AB395"/>
          <cell r="AC395"/>
          <cell r="AD395"/>
          <cell r="AE395"/>
          <cell r="AF395"/>
          <cell r="AG395"/>
          <cell r="AH395"/>
          <cell r="AI395"/>
          <cell r="AJ395"/>
          <cell r="AK395"/>
          <cell r="AL395"/>
          <cell r="AM395"/>
          <cell r="AN395"/>
          <cell r="AO395"/>
          <cell r="AP395"/>
          <cell r="AQ395">
            <v>45525</v>
          </cell>
          <cell r="AR395">
            <v>48</v>
          </cell>
          <cell r="AS395">
            <v>45565</v>
          </cell>
          <cell r="AT395">
            <v>8</v>
          </cell>
          <cell r="AU395" t="str">
            <v>VMAGASBA</v>
          </cell>
        </row>
        <row r="396">
          <cell r="C396">
            <v>600533</v>
          </cell>
          <cell r="D396" t="str">
            <v>FERNANDEZ BORELLO ANGELINA ABRIL</v>
          </cell>
          <cell r="E396" t="str">
            <v>15:00 - 21:00</v>
          </cell>
          <cell r="F396" t="str">
            <v>TARDE</v>
          </cell>
          <cell r="G396" t="str">
            <v>SAB Y DOM</v>
          </cell>
          <cell r="H396" t="str">
            <v>GOMEZ, SASHA</v>
          </cell>
          <cell r="I396" t="str">
            <v>Romandetto Carlos</v>
          </cell>
          <cell r="J396" t="str">
            <v>x</v>
          </cell>
          <cell r="K396"/>
          <cell r="L396" t="str">
            <v>x</v>
          </cell>
          <cell r="M396" t="str">
            <v>x</v>
          </cell>
          <cell r="N396" t="str">
            <v>x</v>
          </cell>
          <cell r="O396"/>
          <cell r="P396"/>
          <cell r="Q396"/>
          <cell r="R396"/>
          <cell r="S396"/>
          <cell r="T396"/>
          <cell r="U396"/>
          <cell r="V396"/>
          <cell r="W396"/>
          <cell r="X396"/>
          <cell r="Y396"/>
          <cell r="Z396"/>
          <cell r="AA396"/>
          <cell r="AB396"/>
          <cell r="AC396"/>
          <cell r="AD396"/>
          <cell r="AE396"/>
          <cell r="AF396"/>
          <cell r="AG396"/>
          <cell r="AH396"/>
          <cell r="AI396"/>
          <cell r="AJ396"/>
          <cell r="AK396"/>
          <cell r="AL396"/>
          <cell r="AM396"/>
          <cell r="AN396"/>
          <cell r="AO396"/>
          <cell r="AP396"/>
          <cell r="AQ396">
            <v>45525</v>
          </cell>
          <cell r="AR396">
            <v>48</v>
          </cell>
          <cell r="AS396">
            <v>45565</v>
          </cell>
          <cell r="AT396">
            <v>8</v>
          </cell>
          <cell r="AU396" t="str">
            <v>VMAANFER</v>
          </cell>
        </row>
        <row r="397">
          <cell r="C397">
            <v>600532</v>
          </cell>
          <cell r="D397" t="str">
            <v>CHAZARRETA MAITENA VALENTINA</v>
          </cell>
          <cell r="E397" t="str">
            <v>15:00 - 21:00</v>
          </cell>
          <cell r="F397" t="str">
            <v>TARDE</v>
          </cell>
          <cell r="G397" t="str">
            <v>SAB Y DOM</v>
          </cell>
          <cell r="H397" t="str">
            <v>PELOC, MARIA SOLEDAD</v>
          </cell>
          <cell r="I397" t="str">
            <v>Romandetto Carlos</v>
          </cell>
          <cell r="J397" t="str">
            <v>x</v>
          </cell>
          <cell r="K397"/>
          <cell r="L397" t="str">
            <v>x</v>
          </cell>
          <cell r="M397" t="str">
            <v>x</v>
          </cell>
          <cell r="N397" t="str">
            <v>x</v>
          </cell>
          <cell r="O397"/>
          <cell r="P397"/>
          <cell r="Q397"/>
          <cell r="R397"/>
          <cell r="S397"/>
          <cell r="T397"/>
          <cell r="U397"/>
          <cell r="V397"/>
          <cell r="W397"/>
          <cell r="X397"/>
          <cell r="Y397"/>
          <cell r="Z397"/>
          <cell r="AA397"/>
          <cell r="AB397"/>
          <cell r="AC397"/>
          <cell r="AD397"/>
          <cell r="AE397"/>
          <cell r="AF397"/>
          <cell r="AG397"/>
          <cell r="AH397"/>
          <cell r="AI397"/>
          <cell r="AJ397"/>
          <cell r="AK397"/>
          <cell r="AL397"/>
          <cell r="AM397"/>
          <cell r="AN397"/>
          <cell r="AO397"/>
          <cell r="AP397"/>
          <cell r="AQ397">
            <v>45525</v>
          </cell>
          <cell r="AR397">
            <v>48</v>
          </cell>
          <cell r="AS397">
            <v>45565</v>
          </cell>
          <cell r="AT397">
            <v>8</v>
          </cell>
          <cell r="AU397" t="str">
            <v>VMAMACHA</v>
          </cell>
        </row>
        <row r="398">
          <cell r="C398">
            <v>606714</v>
          </cell>
          <cell r="D398" t="str">
            <v>CISNEROS BELEN NATALIE</v>
          </cell>
          <cell r="E398" t="str">
            <v>09:00 - 15:00</v>
          </cell>
          <cell r="F398" t="str">
            <v>MAÑANA</v>
          </cell>
          <cell r="G398" t="str">
            <v>SAB Y DOM</v>
          </cell>
          <cell r="H398" t="str">
            <v>MOYANO, DAIANA SOLEDAD</v>
          </cell>
          <cell r="I398" t="str">
            <v>Romandetto Carlos</v>
          </cell>
          <cell r="J398" t="str">
            <v>x</v>
          </cell>
          <cell r="K398"/>
          <cell r="L398" t="str">
            <v>x</v>
          </cell>
          <cell r="M398" t="str">
            <v>x</v>
          </cell>
          <cell r="N398" t="str">
            <v>x</v>
          </cell>
          <cell r="O398"/>
          <cell r="P398"/>
          <cell r="Q398"/>
          <cell r="R398"/>
          <cell r="S398"/>
          <cell r="T398"/>
          <cell r="U398"/>
          <cell r="V398"/>
          <cell r="W398"/>
          <cell r="X398"/>
          <cell r="Y398"/>
          <cell r="Z398"/>
          <cell r="AA398"/>
          <cell r="AB398"/>
          <cell r="AC398"/>
          <cell r="AD398"/>
          <cell r="AE398"/>
          <cell r="AF398"/>
          <cell r="AG398"/>
          <cell r="AH398"/>
          <cell r="AI398"/>
          <cell r="AJ398"/>
          <cell r="AK398"/>
          <cell r="AL398"/>
          <cell r="AM398"/>
          <cell r="AN398"/>
          <cell r="AO398"/>
          <cell r="AP398"/>
          <cell r="AQ398">
            <v>45525</v>
          </cell>
          <cell r="AR398">
            <v>48</v>
          </cell>
          <cell r="AS398">
            <v>45565</v>
          </cell>
          <cell r="AT398">
            <v>8</v>
          </cell>
          <cell r="AU398" t="str">
            <v>VMABECIS</v>
          </cell>
        </row>
        <row r="399">
          <cell r="C399">
            <v>606718</v>
          </cell>
          <cell r="D399" t="str">
            <v>SCHULTHEIS SEBASTIAN HERNAN</v>
          </cell>
          <cell r="E399" t="str">
            <v>10:00 - 16:00</v>
          </cell>
          <cell r="F399" t="str">
            <v>MAÑANA</v>
          </cell>
          <cell r="G399" t="str">
            <v>SAB Y DOM</v>
          </cell>
          <cell r="H399" t="str">
            <v>RUIZ, TOMAS EMANUEL</v>
          </cell>
          <cell r="I399" t="str">
            <v>Romandetto Carlos</v>
          </cell>
          <cell r="J399" t="str">
            <v>x</v>
          </cell>
          <cell r="K399"/>
          <cell r="L399" t="str">
            <v>x</v>
          </cell>
          <cell r="M399" t="str">
            <v>x</v>
          </cell>
          <cell r="N399" t="str">
            <v>x</v>
          </cell>
          <cell r="O399"/>
          <cell r="P399"/>
          <cell r="Q399"/>
          <cell r="R399"/>
          <cell r="S399"/>
          <cell r="T399"/>
          <cell r="U399"/>
          <cell r="V399"/>
          <cell r="W399"/>
          <cell r="X399"/>
          <cell r="Y399"/>
          <cell r="Z399"/>
          <cell r="AA399"/>
          <cell r="AB399"/>
          <cell r="AC399"/>
          <cell r="AD399"/>
          <cell r="AE399"/>
          <cell r="AF399"/>
          <cell r="AG399"/>
          <cell r="AH399"/>
          <cell r="AI399"/>
          <cell r="AJ399"/>
          <cell r="AK399"/>
          <cell r="AL399"/>
          <cell r="AM399"/>
          <cell r="AN399"/>
          <cell r="AO399"/>
          <cell r="AP399"/>
          <cell r="AQ399">
            <v>45525</v>
          </cell>
          <cell r="AR399">
            <v>48</v>
          </cell>
          <cell r="AS399">
            <v>45565</v>
          </cell>
          <cell r="AT399">
            <v>8</v>
          </cell>
          <cell r="AU399" t="str">
            <v>VMASESCH</v>
          </cell>
        </row>
        <row r="400">
          <cell r="C400">
            <v>600528</v>
          </cell>
          <cell r="D400" t="str">
            <v>ROJAS SOFIA BELEN</v>
          </cell>
          <cell r="E400" t="str">
            <v>14:00 - 20:00</v>
          </cell>
          <cell r="F400" t="str">
            <v>TARDE</v>
          </cell>
          <cell r="G400" t="str">
            <v>SAB Y DOM</v>
          </cell>
          <cell r="H400" t="str">
            <v>ONETTO, MARIA DE LOS MILAGROS</v>
          </cell>
          <cell r="I400" t="str">
            <v>Romandetto Carlos</v>
          </cell>
          <cell r="J400" t="str">
            <v>x</v>
          </cell>
          <cell r="K400"/>
          <cell r="L400" t="str">
            <v>x</v>
          </cell>
          <cell r="M400" t="str">
            <v>x</v>
          </cell>
          <cell r="N400" t="str">
            <v>x</v>
          </cell>
          <cell r="O400"/>
          <cell r="P400"/>
          <cell r="Q400"/>
          <cell r="R400"/>
          <cell r="S400"/>
          <cell r="T400"/>
          <cell r="U400"/>
          <cell r="V400"/>
          <cell r="W400"/>
          <cell r="X400"/>
          <cell r="Y400"/>
          <cell r="Z400"/>
          <cell r="AA400"/>
          <cell r="AB400"/>
          <cell r="AC400"/>
          <cell r="AD400"/>
          <cell r="AE400"/>
          <cell r="AF400"/>
          <cell r="AG400"/>
          <cell r="AH400"/>
          <cell r="AI400"/>
          <cell r="AJ400"/>
          <cell r="AK400"/>
          <cell r="AL400"/>
          <cell r="AM400"/>
          <cell r="AN400"/>
          <cell r="AO400"/>
          <cell r="AP400"/>
          <cell r="AQ400">
            <v>45525</v>
          </cell>
          <cell r="AR400">
            <v>48</v>
          </cell>
          <cell r="AS400">
            <v>45565</v>
          </cell>
          <cell r="AT400">
            <v>8</v>
          </cell>
          <cell r="AU400" t="str">
            <v>VMASOFRO</v>
          </cell>
        </row>
        <row r="401">
          <cell r="C401">
            <v>600530</v>
          </cell>
          <cell r="D401" t="str">
            <v>RODRIGUEZ IVANNA KEILA BELEN</v>
          </cell>
          <cell r="E401" t="str">
            <v>15:00 - 21:00</v>
          </cell>
          <cell r="F401" t="str">
            <v>TARDE</v>
          </cell>
          <cell r="G401" t="str">
            <v>SAB Y DOM</v>
          </cell>
          <cell r="H401" t="str">
            <v>PELOC, MARIA SOLEDAD</v>
          </cell>
          <cell r="I401" t="str">
            <v>Romandetto Carlos</v>
          </cell>
          <cell r="J401" t="str">
            <v>x</v>
          </cell>
          <cell r="K401"/>
          <cell r="L401" t="str">
            <v>x</v>
          </cell>
          <cell r="M401" t="str">
            <v>x</v>
          </cell>
          <cell r="N401" t="str">
            <v>x</v>
          </cell>
          <cell r="O401"/>
          <cell r="P401"/>
          <cell r="Q401"/>
          <cell r="R401"/>
          <cell r="S401"/>
          <cell r="T401"/>
          <cell r="U401"/>
          <cell r="V401"/>
          <cell r="W401"/>
          <cell r="X401"/>
          <cell r="Y401"/>
          <cell r="Z401"/>
          <cell r="AA401"/>
          <cell r="AB401"/>
          <cell r="AC401"/>
          <cell r="AD401"/>
          <cell r="AE401"/>
          <cell r="AF401"/>
          <cell r="AG401"/>
          <cell r="AH401"/>
          <cell r="AI401"/>
          <cell r="AJ401"/>
          <cell r="AK401"/>
          <cell r="AL401"/>
          <cell r="AM401"/>
          <cell r="AN401"/>
          <cell r="AO401"/>
          <cell r="AP401"/>
          <cell r="AQ401">
            <v>45525</v>
          </cell>
          <cell r="AR401">
            <v>48</v>
          </cell>
          <cell r="AS401">
            <v>45565</v>
          </cell>
          <cell r="AT401">
            <v>8</v>
          </cell>
          <cell r="AU401" t="str">
            <v>VMAIVROD</v>
          </cell>
        </row>
        <row r="402">
          <cell r="C402">
            <v>606719</v>
          </cell>
          <cell r="D402" t="str">
            <v>SAFFUAN LUCIANA CELESTE</v>
          </cell>
          <cell r="E402" t="str">
            <v>10:00 - 16:00</v>
          </cell>
          <cell r="F402" t="str">
            <v>MAÑANA</v>
          </cell>
          <cell r="G402" t="str">
            <v>SAB Y DOM</v>
          </cell>
          <cell r="H402" t="str">
            <v>SORIA, ANA PAULA</v>
          </cell>
          <cell r="I402" t="str">
            <v>Romandetto Carlos</v>
          </cell>
          <cell r="J402" t="str">
            <v>x</v>
          </cell>
          <cell r="K402"/>
          <cell r="L402" t="str">
            <v>x</v>
          </cell>
          <cell r="M402" t="str">
            <v>x</v>
          </cell>
          <cell r="N402" t="str">
            <v>x</v>
          </cell>
          <cell r="O402"/>
          <cell r="P402"/>
          <cell r="Q402"/>
          <cell r="R402"/>
          <cell r="S402"/>
          <cell r="T402"/>
          <cell r="U402"/>
          <cell r="V402"/>
          <cell r="W402"/>
          <cell r="X402"/>
          <cell r="Y402"/>
          <cell r="Z402"/>
          <cell r="AA402"/>
          <cell r="AB402"/>
          <cell r="AC402"/>
          <cell r="AD402"/>
          <cell r="AE402"/>
          <cell r="AF402"/>
          <cell r="AG402"/>
          <cell r="AH402"/>
          <cell r="AI402"/>
          <cell r="AJ402"/>
          <cell r="AK402"/>
          <cell r="AL402"/>
          <cell r="AM402"/>
          <cell r="AN402"/>
          <cell r="AO402"/>
          <cell r="AP402"/>
          <cell r="AQ402">
            <v>45525</v>
          </cell>
          <cell r="AR402">
            <v>48</v>
          </cell>
          <cell r="AS402">
            <v>45565</v>
          </cell>
          <cell r="AT402">
            <v>8</v>
          </cell>
          <cell r="AU402" t="str">
            <v>VMALUSAF</v>
          </cell>
        </row>
        <row r="403">
          <cell r="C403">
            <v>606716</v>
          </cell>
          <cell r="D403" t="str">
            <v>CASA SERENA</v>
          </cell>
          <cell r="E403" t="str">
            <v>09:00 - 15:00</v>
          </cell>
          <cell r="F403" t="str">
            <v>MAÑANA</v>
          </cell>
          <cell r="G403" t="str">
            <v>SAB Y DOM</v>
          </cell>
          <cell r="H403" t="str">
            <v>LOUREIRO, FLORENCIA CANDELA</v>
          </cell>
          <cell r="I403" t="str">
            <v>Romandetto Carlos</v>
          </cell>
          <cell r="J403" t="str">
            <v>x</v>
          </cell>
          <cell r="K403"/>
          <cell r="L403" t="str">
            <v>x</v>
          </cell>
          <cell r="M403" t="str">
            <v>x</v>
          </cell>
          <cell r="N403" t="str">
            <v>x</v>
          </cell>
          <cell r="O403"/>
          <cell r="P403"/>
          <cell r="Q403"/>
          <cell r="R403"/>
          <cell r="S403"/>
          <cell r="T403"/>
          <cell r="U403"/>
          <cell r="V403"/>
          <cell r="W403"/>
          <cell r="X403"/>
          <cell r="Y403"/>
          <cell r="Z403"/>
          <cell r="AA403"/>
          <cell r="AB403"/>
          <cell r="AC403"/>
          <cell r="AD403"/>
          <cell r="AE403"/>
          <cell r="AF403"/>
          <cell r="AG403"/>
          <cell r="AH403"/>
          <cell r="AI403"/>
          <cell r="AJ403"/>
          <cell r="AK403"/>
          <cell r="AL403"/>
          <cell r="AM403"/>
          <cell r="AN403"/>
          <cell r="AO403"/>
          <cell r="AP403"/>
          <cell r="AQ403">
            <v>45525</v>
          </cell>
          <cell r="AR403">
            <v>48</v>
          </cell>
          <cell r="AS403">
            <v>45565</v>
          </cell>
          <cell r="AT403">
            <v>8</v>
          </cell>
          <cell r="AU403" t="str">
            <v>VMASECAS</v>
          </cell>
        </row>
        <row r="404">
          <cell r="C404">
            <v>606720</v>
          </cell>
          <cell r="D404" t="str">
            <v>ACOSTA ORIANA</v>
          </cell>
          <cell r="E404" t="str">
            <v>14:00 - 20:00</v>
          </cell>
          <cell r="F404" t="str">
            <v>TARDE</v>
          </cell>
          <cell r="G404" t="str">
            <v>SAB Y DOM</v>
          </cell>
          <cell r="H404" t="str">
            <v>GOMEZ, AYLEN MILAGROS</v>
          </cell>
          <cell r="I404" t="str">
            <v>Romandetto Carlos</v>
          </cell>
          <cell r="J404" t="str">
            <v>x</v>
          </cell>
          <cell r="K404"/>
          <cell r="L404" t="str">
            <v>x</v>
          </cell>
          <cell r="M404" t="str">
            <v>x</v>
          </cell>
          <cell r="N404" t="str">
            <v>x</v>
          </cell>
          <cell r="O404"/>
          <cell r="P404"/>
          <cell r="Q404"/>
          <cell r="R404"/>
          <cell r="S404"/>
          <cell r="T404"/>
          <cell r="U404"/>
          <cell r="V404"/>
          <cell r="W404"/>
          <cell r="X404"/>
          <cell r="Y404"/>
          <cell r="Z404"/>
          <cell r="AA404"/>
          <cell r="AB404"/>
          <cell r="AC404"/>
          <cell r="AD404"/>
          <cell r="AE404"/>
          <cell r="AF404"/>
          <cell r="AG404"/>
          <cell r="AH404"/>
          <cell r="AI404"/>
          <cell r="AJ404"/>
          <cell r="AK404"/>
          <cell r="AL404"/>
          <cell r="AM404"/>
          <cell r="AN404"/>
          <cell r="AO404"/>
          <cell r="AP404"/>
          <cell r="AQ404">
            <v>45525</v>
          </cell>
          <cell r="AR404">
            <v>48</v>
          </cell>
          <cell r="AS404">
            <v>45565</v>
          </cell>
          <cell r="AT404">
            <v>8</v>
          </cell>
          <cell r="AU404" t="str">
            <v>VMAORACO</v>
          </cell>
        </row>
        <row r="405">
          <cell r="C405">
            <v>606726</v>
          </cell>
          <cell r="D405" t="str">
            <v>FERRARI CELESTE ABRIL</v>
          </cell>
          <cell r="E405" t="str">
            <v>09:00 - 15:00</v>
          </cell>
          <cell r="F405" t="str">
            <v>MAÑANA</v>
          </cell>
          <cell r="G405" t="str">
            <v>SAB Y DOM</v>
          </cell>
          <cell r="H405" t="str">
            <v>DIAZ, PAULA</v>
          </cell>
          <cell r="I405" t="str">
            <v>Romandetto Carlos</v>
          </cell>
          <cell r="J405" t="str">
            <v>x</v>
          </cell>
          <cell r="K405"/>
          <cell r="L405" t="str">
            <v>x</v>
          </cell>
          <cell r="M405" t="str">
            <v>x</v>
          </cell>
          <cell r="N405" t="str">
            <v>x</v>
          </cell>
          <cell r="O405"/>
          <cell r="P405"/>
          <cell r="Q405"/>
          <cell r="R405"/>
          <cell r="S405"/>
          <cell r="T405"/>
          <cell r="U405"/>
          <cell r="V405"/>
          <cell r="W405"/>
          <cell r="X405"/>
          <cell r="Y405"/>
          <cell r="Z405"/>
          <cell r="AA405"/>
          <cell r="AB405"/>
          <cell r="AC405"/>
          <cell r="AD405"/>
          <cell r="AE405"/>
          <cell r="AF405"/>
          <cell r="AG405"/>
          <cell r="AH405"/>
          <cell r="AI405"/>
          <cell r="AJ405"/>
          <cell r="AK405"/>
          <cell r="AL405"/>
          <cell r="AM405"/>
          <cell r="AN405"/>
          <cell r="AO405"/>
          <cell r="AP405"/>
          <cell r="AQ405">
            <v>45525</v>
          </cell>
          <cell r="AR405">
            <v>48</v>
          </cell>
          <cell r="AS405">
            <v>45565</v>
          </cell>
          <cell r="AT405">
            <v>8</v>
          </cell>
          <cell r="AU405" t="str">
            <v>VMACEFER</v>
          </cell>
        </row>
        <row r="406">
          <cell r="C406">
            <v>606732</v>
          </cell>
          <cell r="D406" t="str">
            <v>LOPEZ OTAOLA MARIA VICTORIA</v>
          </cell>
          <cell r="E406" t="str">
            <v>10:00 - 16:00</v>
          </cell>
          <cell r="F406" t="str">
            <v>MAÑANA</v>
          </cell>
          <cell r="G406" t="str">
            <v>SAB Y DOM</v>
          </cell>
          <cell r="H406" t="str">
            <v>ROBLEDO, LEANDRO JAVIER</v>
          </cell>
          <cell r="I406" t="str">
            <v>Romandetto Carlos</v>
          </cell>
          <cell r="J406" t="str">
            <v>x</v>
          </cell>
          <cell r="K406"/>
          <cell r="L406" t="str">
            <v>x</v>
          </cell>
          <cell r="M406" t="str">
            <v>x</v>
          </cell>
          <cell r="N406" t="str">
            <v>x</v>
          </cell>
          <cell r="O406"/>
          <cell r="P406"/>
          <cell r="Q406"/>
          <cell r="R406"/>
          <cell r="S406"/>
          <cell r="T406"/>
          <cell r="U406"/>
          <cell r="V406"/>
          <cell r="W406"/>
          <cell r="X406"/>
          <cell r="Y406"/>
          <cell r="Z406"/>
          <cell r="AA406"/>
          <cell r="AB406"/>
          <cell r="AC406"/>
          <cell r="AD406"/>
          <cell r="AE406"/>
          <cell r="AF406"/>
          <cell r="AG406"/>
          <cell r="AH406"/>
          <cell r="AI406"/>
          <cell r="AJ406"/>
          <cell r="AK406"/>
          <cell r="AL406"/>
          <cell r="AM406"/>
          <cell r="AN406"/>
          <cell r="AO406"/>
          <cell r="AP406"/>
          <cell r="AQ406">
            <v>45525</v>
          </cell>
          <cell r="AR406">
            <v>48</v>
          </cell>
          <cell r="AS406">
            <v>45565</v>
          </cell>
          <cell r="AT406">
            <v>8</v>
          </cell>
          <cell r="AU406" t="str">
            <v>VMAMALOP</v>
          </cell>
        </row>
        <row r="407">
          <cell r="C407">
            <v>606734</v>
          </cell>
          <cell r="D407" t="str">
            <v>BENITEZ AGUIAR FRANCO TOMAS LEONEL</v>
          </cell>
          <cell r="E407" t="str">
            <v>10:00 - 16:00</v>
          </cell>
          <cell r="F407" t="str">
            <v>MAÑANA</v>
          </cell>
          <cell r="G407" t="str">
            <v>SAB Y DOM</v>
          </cell>
          <cell r="H407" t="str">
            <v>ROBLEDO, LEANDRO JAVIER</v>
          </cell>
          <cell r="I407" t="str">
            <v>Romandetto Carlos</v>
          </cell>
          <cell r="J407" t="str">
            <v>x</v>
          </cell>
          <cell r="K407"/>
          <cell r="L407" t="str">
            <v>x</v>
          </cell>
          <cell r="M407" t="str">
            <v>x</v>
          </cell>
          <cell r="N407" t="str">
            <v>x</v>
          </cell>
          <cell r="O407"/>
          <cell r="P407"/>
          <cell r="Q407"/>
          <cell r="R407"/>
          <cell r="S407"/>
          <cell r="T407"/>
          <cell r="U407"/>
          <cell r="V407"/>
          <cell r="W407"/>
          <cell r="X407"/>
          <cell r="Y407"/>
          <cell r="Z407"/>
          <cell r="AA407"/>
          <cell r="AB407"/>
          <cell r="AC407"/>
          <cell r="AD407"/>
          <cell r="AE407"/>
          <cell r="AF407"/>
          <cell r="AG407"/>
          <cell r="AH407"/>
          <cell r="AI407"/>
          <cell r="AJ407"/>
          <cell r="AK407"/>
          <cell r="AL407"/>
          <cell r="AM407"/>
          <cell r="AN407"/>
          <cell r="AO407"/>
          <cell r="AP407"/>
          <cell r="AQ407">
            <v>45525</v>
          </cell>
          <cell r="AR407">
            <v>48</v>
          </cell>
          <cell r="AS407">
            <v>45565</v>
          </cell>
          <cell r="AT407">
            <v>8</v>
          </cell>
          <cell r="AU407" t="str">
            <v>VMAFRBEN</v>
          </cell>
        </row>
        <row r="408">
          <cell r="C408">
            <v>606695</v>
          </cell>
          <cell r="D408" t="str">
            <v>DECOFF YAZMIN</v>
          </cell>
          <cell r="E408" t="str">
            <v>10:00 - 16:00</v>
          </cell>
          <cell r="F408" t="str">
            <v>MAÑANA</v>
          </cell>
          <cell r="G408" t="str">
            <v>SAB Y DOM</v>
          </cell>
          <cell r="H408" t="str">
            <v>VILLALBA, MAITEN</v>
          </cell>
          <cell r="I408" t="str">
            <v>Romandetto Carlos</v>
          </cell>
          <cell r="J408" t="str">
            <v>x</v>
          </cell>
          <cell r="K408"/>
          <cell r="L408" t="str">
            <v>x</v>
          </cell>
          <cell r="M408" t="str">
            <v>x</v>
          </cell>
          <cell r="N408" t="str">
            <v>x</v>
          </cell>
          <cell r="O408"/>
          <cell r="P408"/>
          <cell r="Q408"/>
          <cell r="R408"/>
          <cell r="S408"/>
          <cell r="T408"/>
          <cell r="U408"/>
          <cell r="V408"/>
          <cell r="W408"/>
          <cell r="X408"/>
          <cell r="Y408"/>
          <cell r="Z408"/>
          <cell r="AA408"/>
          <cell r="AB408"/>
          <cell r="AC408"/>
          <cell r="AD408"/>
          <cell r="AE408"/>
          <cell r="AF408"/>
          <cell r="AG408"/>
          <cell r="AH408"/>
          <cell r="AI408"/>
          <cell r="AJ408"/>
          <cell r="AK408"/>
          <cell r="AL408"/>
          <cell r="AM408"/>
          <cell r="AN408"/>
          <cell r="AO408"/>
          <cell r="AP408"/>
          <cell r="AQ408">
            <v>45525</v>
          </cell>
          <cell r="AR408">
            <v>48</v>
          </cell>
          <cell r="AS408">
            <v>45565</v>
          </cell>
          <cell r="AT408">
            <v>8</v>
          </cell>
          <cell r="AU408" t="str">
            <v>VMAYADEC</v>
          </cell>
        </row>
        <row r="409">
          <cell r="C409">
            <v>606728</v>
          </cell>
          <cell r="D409" t="str">
            <v>ORDOñEZ MALENA</v>
          </cell>
          <cell r="E409" t="str">
            <v>10:00 - 16:00</v>
          </cell>
          <cell r="F409" t="str">
            <v>MAÑANA</v>
          </cell>
          <cell r="G409" t="str">
            <v>SAB Y DOM</v>
          </cell>
          <cell r="H409" t="str">
            <v>DIAZ, PAULA</v>
          </cell>
          <cell r="I409" t="str">
            <v>Romandetto Carlos</v>
          </cell>
          <cell r="J409" t="str">
            <v>x</v>
          </cell>
          <cell r="K409"/>
          <cell r="L409" t="str">
            <v>x</v>
          </cell>
          <cell r="M409" t="str">
            <v>x</v>
          </cell>
          <cell r="N409" t="str">
            <v>x</v>
          </cell>
          <cell r="O409"/>
          <cell r="P409"/>
          <cell r="Q409"/>
          <cell r="R409"/>
          <cell r="S409"/>
          <cell r="T409"/>
          <cell r="U409"/>
          <cell r="V409"/>
          <cell r="W409"/>
          <cell r="X409"/>
          <cell r="Y409"/>
          <cell r="Z409"/>
          <cell r="AA409"/>
          <cell r="AB409"/>
          <cell r="AC409"/>
          <cell r="AD409"/>
          <cell r="AE409"/>
          <cell r="AF409"/>
          <cell r="AG409"/>
          <cell r="AH409"/>
          <cell r="AI409"/>
          <cell r="AJ409"/>
          <cell r="AK409"/>
          <cell r="AL409"/>
          <cell r="AM409"/>
          <cell r="AN409"/>
          <cell r="AO409"/>
          <cell r="AP409"/>
          <cell r="AQ409">
            <v>45525</v>
          </cell>
          <cell r="AR409">
            <v>48</v>
          </cell>
          <cell r="AS409">
            <v>45565</v>
          </cell>
          <cell r="AT409">
            <v>8</v>
          </cell>
          <cell r="AU409" t="str">
            <v>VMAMAORD</v>
          </cell>
        </row>
        <row r="410">
          <cell r="C410">
            <v>606727</v>
          </cell>
          <cell r="D410" t="str">
            <v>GIMENEZ MAYRA LUZ</v>
          </cell>
          <cell r="E410" t="str">
            <v>09:00 - 15:00</v>
          </cell>
          <cell r="F410" t="str">
            <v>MAÑANA</v>
          </cell>
          <cell r="G410" t="str">
            <v>SAB Y DOM</v>
          </cell>
          <cell r="H410" t="str">
            <v>GOYECHEA, AGUSTINA LOURDES</v>
          </cell>
          <cell r="I410" t="str">
            <v>Romandetto Carlos</v>
          </cell>
          <cell r="J410" t="str">
            <v>x</v>
          </cell>
          <cell r="K410"/>
          <cell r="L410" t="str">
            <v>x</v>
          </cell>
          <cell r="M410" t="str">
            <v>x</v>
          </cell>
          <cell r="N410" t="str">
            <v>x</v>
          </cell>
          <cell r="O410"/>
          <cell r="P410"/>
          <cell r="Q410"/>
          <cell r="R410"/>
          <cell r="S410"/>
          <cell r="T410"/>
          <cell r="U410"/>
          <cell r="V410"/>
          <cell r="W410"/>
          <cell r="X410"/>
          <cell r="Y410"/>
          <cell r="Z410"/>
          <cell r="AA410"/>
          <cell r="AB410"/>
          <cell r="AC410"/>
          <cell r="AD410"/>
          <cell r="AE410"/>
          <cell r="AF410"/>
          <cell r="AG410"/>
          <cell r="AH410"/>
          <cell r="AI410"/>
          <cell r="AJ410"/>
          <cell r="AK410"/>
          <cell r="AL410"/>
          <cell r="AM410"/>
          <cell r="AN410"/>
          <cell r="AO410"/>
          <cell r="AP410"/>
          <cell r="AQ410">
            <v>45525</v>
          </cell>
          <cell r="AR410">
            <v>48</v>
          </cell>
          <cell r="AS410">
            <v>45565</v>
          </cell>
          <cell r="AT410">
            <v>8</v>
          </cell>
          <cell r="AU410" t="str">
            <v>VMAMAGIM</v>
          </cell>
        </row>
        <row r="411">
          <cell r="C411">
            <v>606731</v>
          </cell>
          <cell r="D411" t="str">
            <v>FLORES ORNELLA LUCIANA JEZABEL</v>
          </cell>
          <cell r="E411" t="str">
            <v>10:00 - 16:00</v>
          </cell>
          <cell r="F411" t="str">
            <v>MAÑANA</v>
          </cell>
          <cell r="G411" t="str">
            <v>SAB Y DOM</v>
          </cell>
          <cell r="H411" t="str">
            <v>DIAZ, PAULA</v>
          </cell>
          <cell r="I411" t="str">
            <v>Romandetto Carlos</v>
          </cell>
          <cell r="J411" t="str">
            <v>x</v>
          </cell>
          <cell r="K411"/>
          <cell r="L411" t="str">
            <v>x</v>
          </cell>
          <cell r="M411" t="str">
            <v>x</v>
          </cell>
          <cell r="N411" t="str">
            <v>x</v>
          </cell>
          <cell r="O411"/>
          <cell r="P411"/>
          <cell r="Q411"/>
          <cell r="R411"/>
          <cell r="S411"/>
          <cell r="T411"/>
          <cell r="U411"/>
          <cell r="V411"/>
          <cell r="W411"/>
          <cell r="X411"/>
          <cell r="Y411"/>
          <cell r="Z411"/>
          <cell r="AA411"/>
          <cell r="AB411"/>
          <cell r="AC411"/>
          <cell r="AD411"/>
          <cell r="AE411"/>
          <cell r="AF411"/>
          <cell r="AG411"/>
          <cell r="AH411"/>
          <cell r="AI411"/>
          <cell r="AJ411"/>
          <cell r="AK411"/>
          <cell r="AL411"/>
          <cell r="AM411"/>
          <cell r="AN411"/>
          <cell r="AO411"/>
          <cell r="AP411"/>
          <cell r="AQ411">
            <v>45525</v>
          </cell>
          <cell r="AR411">
            <v>48</v>
          </cell>
          <cell r="AS411">
            <v>45565</v>
          </cell>
          <cell r="AT411">
            <v>8</v>
          </cell>
          <cell r="AU411" t="str">
            <v>VMAORFLO</v>
          </cell>
        </row>
        <row r="412">
          <cell r="C412">
            <v>606729</v>
          </cell>
          <cell r="D412" t="str">
            <v>RUEDA FACUNDO CRISTIAN</v>
          </cell>
          <cell r="E412" t="str">
            <v>10:00 - 16:00</v>
          </cell>
          <cell r="F412" t="str">
            <v>MAÑANA</v>
          </cell>
          <cell r="G412" t="str">
            <v>SAB Y DOM</v>
          </cell>
          <cell r="H412" t="str">
            <v>DIAZ, PAULA</v>
          </cell>
          <cell r="I412" t="str">
            <v>Romandetto Carlos</v>
          </cell>
          <cell r="J412" t="str">
            <v>x</v>
          </cell>
          <cell r="K412"/>
          <cell r="L412" t="str">
            <v>x</v>
          </cell>
          <cell r="M412" t="str">
            <v>x</v>
          </cell>
          <cell r="N412" t="str">
            <v>x</v>
          </cell>
          <cell r="O412"/>
          <cell r="P412"/>
          <cell r="Q412"/>
          <cell r="R412"/>
          <cell r="S412"/>
          <cell r="T412"/>
          <cell r="U412"/>
          <cell r="V412"/>
          <cell r="W412"/>
          <cell r="X412"/>
          <cell r="Y412"/>
          <cell r="Z412"/>
          <cell r="AA412"/>
          <cell r="AB412"/>
          <cell r="AC412"/>
          <cell r="AD412"/>
          <cell r="AE412"/>
          <cell r="AF412"/>
          <cell r="AG412"/>
          <cell r="AH412"/>
          <cell r="AI412"/>
          <cell r="AJ412"/>
          <cell r="AK412"/>
          <cell r="AL412"/>
          <cell r="AM412"/>
          <cell r="AN412"/>
          <cell r="AO412"/>
          <cell r="AP412"/>
          <cell r="AQ412">
            <v>45525</v>
          </cell>
          <cell r="AR412">
            <v>48</v>
          </cell>
          <cell r="AS412">
            <v>45565</v>
          </cell>
          <cell r="AT412">
            <v>8</v>
          </cell>
          <cell r="AU412" t="str">
            <v>VMAFARUE</v>
          </cell>
        </row>
        <row r="413">
          <cell r="C413">
            <v>606735</v>
          </cell>
          <cell r="D413" t="str">
            <v>CARRANZA GIMENA LARA</v>
          </cell>
          <cell r="E413" t="str">
            <v>10:00 - 16:00</v>
          </cell>
          <cell r="F413" t="str">
            <v>MAÑANA</v>
          </cell>
          <cell r="G413" t="str">
            <v>SAB Y DOM</v>
          </cell>
          <cell r="H413" t="str">
            <v>GOYECHEA, AGUSTINA LOURDES</v>
          </cell>
          <cell r="I413" t="str">
            <v>Romandetto Carlos</v>
          </cell>
          <cell r="J413" t="str">
            <v>x</v>
          </cell>
          <cell r="K413"/>
          <cell r="L413" t="str">
            <v>x</v>
          </cell>
          <cell r="M413" t="str">
            <v>x</v>
          </cell>
          <cell r="N413" t="str">
            <v>x</v>
          </cell>
          <cell r="O413"/>
          <cell r="P413"/>
          <cell r="Q413"/>
          <cell r="R413"/>
          <cell r="S413"/>
          <cell r="T413"/>
          <cell r="U413"/>
          <cell r="V413"/>
          <cell r="W413"/>
          <cell r="X413"/>
          <cell r="Y413"/>
          <cell r="Z413"/>
          <cell r="AA413"/>
          <cell r="AB413"/>
          <cell r="AC413"/>
          <cell r="AD413"/>
          <cell r="AE413"/>
          <cell r="AF413"/>
          <cell r="AG413"/>
          <cell r="AH413"/>
          <cell r="AI413"/>
          <cell r="AJ413"/>
          <cell r="AK413"/>
          <cell r="AL413"/>
          <cell r="AM413"/>
          <cell r="AN413"/>
          <cell r="AO413"/>
          <cell r="AP413"/>
          <cell r="AQ413">
            <v>45525</v>
          </cell>
          <cell r="AR413">
            <v>48</v>
          </cell>
          <cell r="AS413">
            <v>45565</v>
          </cell>
          <cell r="AT413">
            <v>8</v>
          </cell>
          <cell r="AU413" t="str">
            <v>VMAGICAR</v>
          </cell>
        </row>
        <row r="414">
          <cell r="C414">
            <v>606700</v>
          </cell>
          <cell r="D414" t="str">
            <v>MENCIA ALISSON REBECA</v>
          </cell>
          <cell r="E414" t="str">
            <v>14:00 - 20:00</v>
          </cell>
          <cell r="F414" t="str">
            <v>TARDE</v>
          </cell>
          <cell r="G414" t="str">
            <v>SAB Y DOM</v>
          </cell>
          <cell r="H414" t="str">
            <v>GARZON, ROCIO BELEN</v>
          </cell>
          <cell r="I414" t="str">
            <v>Romandetto Carlos</v>
          </cell>
          <cell r="J414" t="str">
            <v>x</v>
          </cell>
          <cell r="K414"/>
          <cell r="L414" t="str">
            <v>x</v>
          </cell>
          <cell r="M414" t="str">
            <v>x</v>
          </cell>
          <cell r="N414" t="str">
            <v>x</v>
          </cell>
          <cell r="O414"/>
          <cell r="P414"/>
          <cell r="Q414"/>
          <cell r="R414"/>
          <cell r="S414"/>
          <cell r="T414"/>
          <cell r="U414"/>
          <cell r="V414"/>
          <cell r="W414"/>
          <cell r="X414"/>
          <cell r="Y414"/>
          <cell r="Z414"/>
          <cell r="AA414"/>
          <cell r="AB414"/>
          <cell r="AC414"/>
          <cell r="AD414"/>
          <cell r="AE414"/>
          <cell r="AF414"/>
          <cell r="AG414"/>
          <cell r="AH414"/>
          <cell r="AI414"/>
          <cell r="AJ414"/>
          <cell r="AK414"/>
          <cell r="AL414"/>
          <cell r="AM414"/>
          <cell r="AN414"/>
          <cell r="AO414"/>
          <cell r="AP414"/>
          <cell r="AQ414">
            <v>45525</v>
          </cell>
          <cell r="AR414">
            <v>48</v>
          </cell>
          <cell r="AS414">
            <v>45565</v>
          </cell>
          <cell r="AT414">
            <v>8</v>
          </cell>
          <cell r="AU414" t="str">
            <v>VMAALMEN</v>
          </cell>
        </row>
        <row r="415">
          <cell r="C415">
            <v>606711</v>
          </cell>
          <cell r="D415" t="str">
            <v>PUENTE OZAETA RODRIGO</v>
          </cell>
          <cell r="E415" t="str">
            <v>18:00 - 00:00</v>
          </cell>
          <cell r="F415" t="str">
            <v>NOCHE</v>
          </cell>
          <cell r="G415" t="str">
            <v>SAB Y DOM</v>
          </cell>
          <cell r="H415" t="str">
            <v>MIR, TOMAS MAURICIO</v>
          </cell>
          <cell r="I415" t="str">
            <v>Romandetto Carlos</v>
          </cell>
          <cell r="J415" t="str">
            <v>x</v>
          </cell>
          <cell r="K415"/>
          <cell r="L415" t="str">
            <v>x</v>
          </cell>
          <cell r="M415" t="str">
            <v>x</v>
          </cell>
          <cell r="N415" t="str">
            <v>x</v>
          </cell>
          <cell r="O415"/>
          <cell r="P415"/>
          <cell r="Q415"/>
          <cell r="R415"/>
          <cell r="S415"/>
          <cell r="T415"/>
          <cell r="U415"/>
          <cell r="V415"/>
          <cell r="W415"/>
          <cell r="X415"/>
          <cell r="Y415"/>
          <cell r="Z415"/>
          <cell r="AA415"/>
          <cell r="AB415"/>
          <cell r="AC415"/>
          <cell r="AD415"/>
          <cell r="AE415"/>
          <cell r="AF415"/>
          <cell r="AG415"/>
          <cell r="AH415"/>
          <cell r="AI415"/>
          <cell r="AJ415"/>
          <cell r="AK415"/>
          <cell r="AL415"/>
          <cell r="AM415"/>
          <cell r="AN415"/>
          <cell r="AO415"/>
          <cell r="AP415"/>
          <cell r="AQ415">
            <v>45525</v>
          </cell>
          <cell r="AR415">
            <v>48</v>
          </cell>
          <cell r="AS415">
            <v>45565</v>
          </cell>
          <cell r="AT415">
            <v>8</v>
          </cell>
          <cell r="AU415" t="str">
            <v>VMAROPUE</v>
          </cell>
        </row>
        <row r="416">
          <cell r="C416">
            <v>605000</v>
          </cell>
          <cell r="D416" t="str">
            <v>VALLEJO JULIANA</v>
          </cell>
          <cell r="E416" t="str">
            <v>08:00 - 14:00</v>
          </cell>
          <cell r="F416" t="str">
            <v>MAÑANA</v>
          </cell>
          <cell r="G416" t="str">
            <v>SAB Y DOM</v>
          </cell>
          <cell r="H416" t="str">
            <v>SUPERVISOR, POSTCURSO</v>
          </cell>
          <cell r="I416" t="str">
            <v>-</v>
          </cell>
          <cell r="J416" t="str">
            <v>x</v>
          </cell>
          <cell r="K416"/>
          <cell r="L416" t="str">
            <v>x</v>
          </cell>
          <cell r="M416" t="str">
            <v>x</v>
          </cell>
          <cell r="N416" t="str">
            <v>x</v>
          </cell>
          <cell r="O416"/>
          <cell r="P416"/>
          <cell r="Q416"/>
          <cell r="R416"/>
          <cell r="S416"/>
          <cell r="T416"/>
          <cell r="U416"/>
          <cell r="V416"/>
          <cell r="W416"/>
          <cell r="X416"/>
          <cell r="Y416"/>
          <cell r="Z416"/>
          <cell r="AA416"/>
          <cell r="AB416"/>
          <cell r="AC416"/>
          <cell r="AD416"/>
          <cell r="AE416"/>
          <cell r="AF416"/>
          <cell r="AG416"/>
          <cell r="AH416"/>
          <cell r="AI416"/>
          <cell r="AJ416"/>
          <cell r="AK416"/>
          <cell r="AL416"/>
          <cell r="AM416"/>
          <cell r="AN416"/>
          <cell r="AO416"/>
          <cell r="AP416"/>
          <cell r="AQ416">
            <v>45525</v>
          </cell>
          <cell r="AR416">
            <v>48</v>
          </cell>
          <cell r="AS416">
            <v>45565</v>
          </cell>
          <cell r="AT416">
            <v>8</v>
          </cell>
          <cell r="AU416" t="str">
            <v>VMAJUVAL</v>
          </cell>
        </row>
        <row r="417">
          <cell r="C417"/>
          <cell r="D417"/>
          <cell r="E417"/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/>
          <cell r="S417"/>
          <cell r="T417"/>
          <cell r="U417"/>
          <cell r="V417"/>
          <cell r="W417"/>
          <cell r="X417"/>
          <cell r="Y417"/>
          <cell r="Z417"/>
          <cell r="AA417"/>
          <cell r="AB417"/>
          <cell r="AC417"/>
          <cell r="AD417"/>
          <cell r="AE417"/>
          <cell r="AF417"/>
          <cell r="AG417"/>
          <cell r="AH417"/>
          <cell r="AI417"/>
          <cell r="AJ417"/>
          <cell r="AK417"/>
          <cell r="AL417"/>
          <cell r="AM417"/>
          <cell r="AN417"/>
          <cell r="AO417"/>
          <cell r="AP417"/>
          <cell r="AQ417"/>
          <cell r="AR417"/>
          <cell r="AS417"/>
          <cell r="AT417"/>
          <cell r="AU417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ás G. Castro" refreshedDate="45567.835987384256" createdVersion="8" refreshedVersion="8" minRefreshableVersion="3" recordCount="1230" xr:uid="{23CEF3AE-AF02-42A7-BF03-7A4B5AE1FBBB}">
  <cacheSource type="worksheet">
    <worksheetSource ref="A1:AG1048576" sheet="Base Avaya"/>
  </cacheSource>
  <cacheFields count="33">
    <cacheField name="Fecha" numFmtId="0">
      <sharedItems containsNonDate="0" containsDate="1" containsString="0" containsBlank="1" minDate="2024-10-02T00:00:00" maxDate="2024-10-03T00:00:00"/>
    </cacheField>
    <cacheField name="Skill" numFmtId="0">
      <sharedItems containsString="0" containsBlank="1" containsNumber="1" containsInteger="1" minValue="924" maxValue="925"/>
    </cacheField>
    <cacheField name="Nombre Skill" numFmtId="0">
      <sharedItems containsBlank="1"/>
    </cacheField>
    <cacheField name="Nombre Agente" numFmtId="0">
      <sharedItems containsBlank="1"/>
    </cacheField>
    <cacheField name="Cod. Agente" numFmtId="0">
      <sharedItems containsString="0" containsBlank="1" containsNumber="1" containsInteger="1" minValue="58425" maxValue="665678" count="644">
        <n v="605502"/>
        <n v="605503"/>
        <n v="605508"/>
        <n v="605511"/>
        <n v="605513"/>
        <n v="605545"/>
        <n v="605580"/>
        <n v="605589"/>
        <n v="605591"/>
        <n v="605611"/>
        <n v="605612"/>
        <n v="605617"/>
        <n v="605632"/>
        <n v="605676"/>
        <n v="605694"/>
        <n v="605696"/>
        <n v="605698"/>
        <n v="605760"/>
        <n v="605763"/>
        <n v="605766"/>
        <n v="605768"/>
        <n v="605769"/>
        <n v="605774"/>
        <n v="605794"/>
        <n v="605826"/>
        <n v="605882"/>
        <n v="605901"/>
        <n v="605911"/>
        <n v="605912"/>
        <n v="605957"/>
        <n v="605969"/>
        <n v="605982"/>
        <n v="605986"/>
        <n v="606019"/>
        <n v="606026"/>
        <n v="606030"/>
        <n v="606031"/>
        <n v="606039"/>
        <n v="606049"/>
        <n v="606058"/>
        <n v="606123"/>
        <n v="606142"/>
        <n v="606210"/>
        <n v="606216"/>
        <n v="606219"/>
        <n v="606227"/>
        <n v="606239"/>
        <n v="606249"/>
        <n v="606264"/>
        <n v="606285"/>
        <n v="606286"/>
        <n v="606288"/>
        <n v="606291"/>
        <n v="606306"/>
        <n v="606309"/>
        <n v="606330"/>
        <n v="606331"/>
        <n v="606338"/>
        <n v="606348"/>
        <n v="606359"/>
        <n v="606370"/>
        <n v="606371"/>
        <n v="606391"/>
        <n v="606401"/>
        <n v="606408"/>
        <n v="606411"/>
        <n v="606436"/>
        <n v="606437"/>
        <n v="606443"/>
        <n v="606445"/>
        <n v="606457"/>
        <n v="606463"/>
        <n v="606470"/>
        <n v="606475"/>
        <n v="606478"/>
        <n v="606481"/>
        <n v="606488"/>
        <n v="606492"/>
        <n v="606498"/>
        <n v="606501"/>
        <n v="606507"/>
        <n v="606528"/>
        <n v="606536"/>
        <n v="606550"/>
        <n v="606558"/>
        <n v="606577"/>
        <n v="606614"/>
        <n v="606616"/>
        <n v="606623"/>
        <n v="606644"/>
        <n v="606645"/>
        <n v="606646"/>
        <n v="606649"/>
        <n v="609727"/>
        <n v="616002"/>
        <n v="616090"/>
        <n v="616102"/>
        <n v="616206"/>
        <n v="616221"/>
        <n v="616238"/>
        <n v="616261"/>
        <n v="616336"/>
        <n v="616370"/>
        <n v="616413"/>
        <n v="616414"/>
        <n v="616423"/>
        <n v="616433"/>
        <n v="616438"/>
        <n v="616457"/>
        <n v="616481"/>
        <n v="616483"/>
        <n v="616491"/>
        <n v="616494"/>
        <n v="616517"/>
        <n v="616518"/>
        <n v="616520"/>
        <n v="616522"/>
        <n v="616528"/>
        <n v="616530"/>
        <n v="616590"/>
        <n v="616597"/>
        <n v="616602"/>
        <n v="616605"/>
        <n v="625572"/>
        <n v="628010"/>
        <n v="628026"/>
        <n v="628032"/>
        <n v="628034"/>
        <n v="628044"/>
        <n v="628070"/>
        <n v="628092"/>
        <n v="628094"/>
        <n v="628100"/>
        <n v="628107"/>
        <n v="628159"/>
        <n v="628233"/>
        <n v="628237"/>
        <n v="628253"/>
        <n v="628262"/>
        <n v="628263"/>
        <n v="628286"/>
        <n v="628292"/>
        <n v="628294"/>
        <n v="628297"/>
        <n v="628300"/>
        <n v="628315"/>
        <n v="628345"/>
        <n v="628352"/>
        <n v="628356"/>
        <n v="628362"/>
        <n v="628373"/>
        <n v="628382"/>
        <n v="628386"/>
        <n v="628388"/>
        <n v="628391"/>
        <n v="628392"/>
        <n v="628394"/>
        <n v="628395"/>
        <n v="628397"/>
        <n v="628400"/>
        <n v="628411"/>
        <n v="628412"/>
        <n v="628419"/>
        <n v="628423"/>
        <n v="628424"/>
        <n v="628431"/>
        <n v="628433"/>
        <n v="628434"/>
        <n v="628450"/>
        <n v="628452"/>
        <n v="628455"/>
        <n v="628458"/>
        <n v="628460"/>
        <n v="628468"/>
        <n v="628479"/>
        <n v="628496"/>
        <n v="628507"/>
        <n v="628512"/>
        <n v="628531"/>
        <n v="628540"/>
        <n v="663252"/>
        <n v="663281"/>
        <n v="663283"/>
        <n v="663285"/>
        <n v="663301"/>
        <n v="663310"/>
        <n v="663324"/>
        <n v="663334"/>
        <n v="663385"/>
        <n v="663419"/>
        <n v="663456"/>
        <n v="663510"/>
        <n v="663591"/>
        <n v="663648"/>
        <n v="663649"/>
        <n v="663802"/>
        <n v="663807"/>
        <n v="664048"/>
        <n v="664084"/>
        <n v="664495"/>
        <n v="664507"/>
        <n v="664517"/>
        <n v="664594"/>
        <n v="665501"/>
        <n v="665626"/>
        <n v="665673"/>
        <n v="69430"/>
        <n v="69994"/>
        <m/>
        <n v="605643" u="1"/>
        <n v="605660" u="1"/>
        <n v="605670" u="1"/>
        <n v="605672" u="1"/>
        <n v="605681" u="1"/>
        <n v="605778" u="1"/>
        <n v="605990" u="1"/>
        <n v="606202" u="1"/>
        <n v="606267" u="1"/>
        <n v="606287" u="1"/>
        <n v="606300" u="1"/>
        <n v="606320" u="1"/>
        <n v="606349" u="1"/>
        <n v="606357" u="1"/>
        <n v="606368" u="1"/>
        <n v="606369" u="1"/>
        <n v="606378" u="1"/>
        <n v="606398" u="1"/>
        <n v="606399" u="1"/>
        <n v="606461" u="1"/>
        <n v="606476" u="1"/>
        <n v="606495" u="1"/>
        <n v="609919" u="1"/>
        <n v="665678" u="1"/>
        <n v="605592" u="1"/>
        <n v="605762" u="1"/>
        <n v="605811" u="1"/>
        <n v="605818" u="1"/>
        <n v="606066" u="1"/>
        <n v="606233" u="1"/>
        <n v="606301" u="1"/>
        <n v="606315" u="1"/>
        <n v="606601" u="1"/>
        <n v="606603" u="1"/>
        <n v="616489" u="1"/>
        <n v="628030" u="1"/>
        <n v="628242" u="1"/>
        <n v="628368" u="1"/>
        <n v="628372" u="1"/>
        <n v="628383" u="1"/>
        <n v="628416" u="1"/>
        <n v="628427" u="1"/>
        <n v="628474" u="1"/>
        <n v="628506" u="1"/>
        <n v="628511" u="1"/>
        <n v="628539" u="1"/>
        <n v="628554" u="1"/>
        <n v="628562" u="1"/>
        <n v="663007" u="1"/>
        <n v="663347" u="1"/>
        <n v="663583" u="1"/>
        <n v="663821" u="1"/>
        <n v="663830" u="1"/>
        <n v="664499" u="1"/>
        <n v="664506" u="1"/>
        <n v="605665" u="1"/>
        <n v="606085" u="1"/>
        <n v="628037" u="1"/>
        <n v="628055" u="1"/>
        <n v="628088" u="1"/>
        <n v="628102" u="1"/>
        <n v="628158" u="1"/>
        <n v="628282" u="1"/>
        <n v="628367" u="1"/>
        <n v="628378" u="1"/>
        <n v="628410" u="1"/>
        <n v="628428" u="1"/>
        <n v="628430" u="1"/>
        <n v="628438" u="1"/>
        <n v="628448" u="1"/>
        <n v="628466" u="1"/>
        <n v="628482" u="1"/>
        <n v="628557" u="1"/>
        <n v="628558" u="1"/>
        <n v="628583" u="1"/>
        <n v="663133" u="1"/>
        <n v="663270" u="1"/>
        <n v="663273" u="1"/>
        <n v="663278" u="1"/>
        <n v="663287" u="1"/>
        <n v="663364" u="1"/>
        <n v="663441" u="1"/>
        <n v="663670" u="1"/>
        <n v="663827" u="1"/>
        <n v="664511" u="1"/>
        <n v="664577" u="1"/>
        <n v="664581" u="1"/>
        <n v="605530" u="1"/>
        <n v="605532" u="1"/>
        <n v="605610" u="1"/>
        <n v="605642" u="1"/>
        <n v="605662" u="1"/>
        <n v="605668" u="1"/>
        <n v="605711" u="1"/>
        <n v="605722" u="1"/>
        <n v="605813" u="1"/>
        <n v="605837" u="1"/>
        <n v="605876" u="1"/>
        <n v="605881" u="1"/>
        <n v="606115" u="1"/>
        <n v="606163" u="1"/>
        <n v="606204" u="1"/>
        <n v="606214" u="1"/>
        <n v="606292" u="1"/>
        <n v="606296" u="1"/>
        <n v="606326" u="1"/>
        <n v="606335" u="1"/>
        <n v="606366" u="1"/>
        <n v="606410" u="1"/>
        <n v="606416" u="1"/>
        <n v="606431" u="1"/>
        <n v="606444" u="1"/>
        <n v="606449" u="1"/>
        <n v="606451" u="1"/>
        <n v="606549" u="1"/>
        <n v="606561" u="1"/>
        <n v="606588" u="1"/>
        <n v="606591" u="1"/>
        <n v="606620" u="1"/>
        <n v="628268" u="1"/>
        <n v="628440" u="1"/>
        <n v="662182" u="1"/>
        <n v="665612" u="1"/>
        <n v="605927" u="1"/>
        <n v="606065" u="1"/>
        <n v="606116" u="1"/>
        <n v="606334" u="1"/>
        <n v="606340" u="1"/>
        <n v="606430" u="1"/>
        <n v="606453" u="1"/>
        <n v="606471" u="1"/>
        <n v="606547" u="1"/>
        <n v="606587" u="1"/>
        <n v="628028" u="1"/>
        <n v="628049" u="1"/>
        <n v="628099" u="1"/>
        <n v="628306" u="1"/>
        <n v="628311" u="1"/>
        <n v="628520" u="1"/>
        <n v="628522" u="1"/>
        <n v="628636" u="1"/>
        <n v="663443" u="1"/>
        <n v="606278" u="1"/>
        <n v="606321" u="1"/>
        <n v="628024" u="1"/>
        <n v="628446" u="1"/>
        <n v="628518" u="1"/>
        <n v="628624" u="1"/>
        <n v="628629" u="1"/>
        <n v="628635" u="1"/>
        <n v="628639" u="1"/>
        <n v="628641" u="1"/>
        <n v="663847" u="1"/>
        <n v="663861" u="1"/>
        <n v="605996" u="1"/>
        <n v="606297" u="1"/>
        <n v="628365" u="1"/>
        <n v="628375" u="1"/>
        <n v="663141" u="1"/>
        <n v="663226" u="1"/>
        <n v="663355" u="1"/>
        <n v="663806" u="1"/>
        <n v="664057" u="1"/>
        <n v="605677" u="1"/>
        <n v="663293" u="1"/>
        <n v="606035" u="1"/>
        <n v="606352" u="1"/>
        <n v="628307" u="1"/>
        <n v="628399" u="1"/>
        <n v="628436" u="1"/>
        <n v="628476" u="1"/>
        <n v="628485" u="1"/>
        <n v="628487" u="1"/>
        <n v="628590" u="1"/>
        <n v="628616" u="1"/>
        <n v="663311" u="1"/>
        <n v="628065" u="1"/>
        <n v="628251" u="1"/>
        <n v="628289" u="1"/>
        <n v="628406" u="1"/>
        <n v="628459" u="1"/>
        <n v="628475" u="1"/>
        <n v="663810" u="1"/>
        <n v="628304" u="1"/>
        <n v="663753" u="1"/>
        <n v="628556" u="1"/>
        <n v="606396" u="1"/>
        <n v="606532" u="1"/>
        <n v="606642" u="1"/>
        <n v="628283" u="1"/>
        <n v="628465" u="1"/>
        <n v="628625" u="1"/>
        <n v="663587" u="1"/>
        <n v="664487" u="1"/>
        <n v="606509" u="1"/>
        <n v="605684" u="1"/>
        <n v="605669" u="1"/>
        <n v="663598" u="1"/>
        <n v="605523" u="1"/>
        <n v="605639" u="1"/>
        <n v="605651" u="1"/>
        <n v="605664" u="1"/>
        <n v="606064" u="1"/>
        <n v="606615" u="1"/>
        <n v="605600" u="1"/>
        <n v="605704" u="1"/>
        <n v="606075" u="1"/>
        <n v="606109" u="1"/>
        <n v="606138" u="1"/>
        <n v="606141" u="1"/>
        <n v="609708" u="1"/>
        <n v="628384" u="1"/>
        <n v="661783" u="1"/>
        <n v="606135" u="1"/>
        <n v="628528" u="1"/>
        <n v="628437" u="1"/>
        <n v="606524" u="1"/>
        <n v="606040" u="1"/>
        <n v="605667" u="1"/>
        <n v="605866" u="1"/>
        <n v="605641" u="1"/>
        <n v="606625" u="1"/>
        <n v="606420" u="1"/>
        <n v="606305" u="1"/>
        <n v="605597" u="1"/>
        <n v="605827" u="1"/>
        <n v="606125" u="1"/>
        <n v="605702" u="1"/>
        <n v="606439" u="1"/>
        <n v="605958" u="1"/>
        <n v="606063" u="1"/>
        <n v="628376" u="1"/>
        <n v="628380" u="1"/>
        <n v="628422" u="1"/>
        <n v="628456" u="1"/>
        <n v="628498" u="1"/>
        <n v="628542" u="1"/>
        <n v="606570" u="1"/>
        <n v="606137" u="1"/>
        <n v="606624" u="1"/>
        <n v="606633" u="1"/>
        <n v="606628" u="1"/>
        <n v="606626" u="1"/>
        <n v="605830" u="1"/>
        <n v="605915" u="1"/>
        <n v="605932" u="1"/>
        <n v="606096" u="1"/>
        <n v="606329" u="1"/>
        <n v="605674" u="1"/>
        <n v="605764" u="1"/>
        <n v="605804" u="1"/>
        <n v="605934" u="1"/>
        <n v="605944" u="1"/>
        <n v="605981" u="1"/>
        <n v="606139" u="1"/>
        <n v="606225" u="1"/>
        <n v="606243" u="1"/>
        <n v="606279" u="1"/>
        <n v="606280" u="1"/>
        <n v="606383" u="1"/>
        <n v="606392" u="1"/>
        <n v="606409" u="1"/>
        <n v="606424" u="1"/>
        <n v="606479" u="1"/>
        <n v="606480" u="1"/>
        <n v="606499" u="1"/>
        <n v="606504" u="1"/>
        <n v="606519" u="1"/>
        <n v="606617" u="1"/>
        <n v="606660" u="1"/>
        <n v="628285" u="1"/>
        <n v="628414" u="1"/>
        <n v="628514" u="1"/>
        <n v="628537" u="1"/>
        <n v="628552" u="1"/>
        <n v="628256" u="1"/>
        <n v="628290" u="1"/>
        <n v="628385" u="1"/>
        <n v="628517" u="1"/>
        <n v="628563" u="1"/>
        <n v="628565" u="1"/>
        <n v="628566" u="1"/>
        <n v="664136" u="1"/>
        <n v="605622" u="1"/>
        <n v="606434" u="1"/>
        <n v="606438" u="1"/>
        <n v="606482" u="1"/>
        <n v="606487" u="1"/>
        <n v="606505" u="1"/>
        <n v="606535" u="1"/>
        <n v="628106" u="1"/>
        <n v="605666" u="1"/>
        <n v="605874" u="1"/>
        <n v="606054" u="1"/>
        <n v="606244" u="1"/>
        <n v="606270" u="1"/>
        <n v="606489" u="1"/>
        <n v="605656" u="1"/>
        <n v="605692" u="1"/>
        <n v="605867" u="1"/>
        <n v="628451" u="1"/>
        <n v="605547" u="1"/>
        <n v="605565" u="1"/>
        <n v="606145" u="1"/>
        <n v="606466" u="1"/>
        <n v="606508" u="1"/>
        <n v="606654" u="1"/>
        <n v="618600" u="1"/>
        <n v="628426" u="1"/>
        <n v="628484" u="1"/>
        <n v="628605" u="1"/>
        <n v="663557" u="1"/>
        <n v="605871" u="1"/>
        <n v="606317" u="1"/>
        <n v="661767" u="1"/>
        <n v="605902" u="1"/>
        <n v="605926" u="1"/>
        <n v="628036" u="1"/>
        <n v="628071" u="1"/>
        <n v="628091" u="1"/>
        <n v="628439" u="1"/>
        <n v="628536" u="1"/>
        <n v="628555" u="1"/>
        <n v="663014" u="1"/>
        <n v="663265" u="1"/>
        <n v="663327" u="1"/>
        <n v="664050" u="1"/>
        <n v="605843" u="1"/>
        <n v="606341" u="1"/>
        <n v="605631" u="1"/>
        <n v="605675" u="1"/>
        <n v="628079" u="1"/>
        <n v="628039" u="1"/>
        <n v="606053" u="1"/>
        <n v="628532" u="1"/>
        <n v="628570" u="1"/>
        <n v="628453" u="1"/>
        <n v="628521" u="1"/>
        <n v="628524" u="1"/>
        <n v="606610" u="1"/>
        <n v="606397" u="1"/>
        <n v="606629" u="1"/>
        <n v="605678" u="1"/>
        <n v="606635" u="1"/>
        <n v="616629" u="1"/>
        <n v="616633" u="1"/>
        <n v="616634" u="1"/>
        <n v="616635" u="1"/>
        <n v="616636" u="1"/>
        <n v="616637" u="1"/>
        <n v="606448" u="1"/>
        <n v="605615" u="1"/>
        <n v="606275" u="1"/>
        <n v="606248" u="1"/>
        <n v="662816" u="1"/>
        <n v="606327" u="1"/>
        <n v="606386" u="1"/>
        <n v="606446" u="1"/>
        <n v="58425" u="1"/>
        <n v="58515" u="1"/>
        <n v="58551" u="1"/>
        <n v="618542" u="1"/>
        <n v="605515" u="1"/>
        <n v="605638" u="1"/>
        <n v="606333" u="1"/>
        <n v="606441" u="1"/>
        <n v="628072" u="1"/>
        <n v="628249" u="1"/>
        <n v="628535" u="1"/>
        <n v="628541" u="1"/>
        <n v="628579" u="1"/>
        <n v="628643" u="1"/>
        <n v="628644" u="1"/>
        <n v="663843" u="1"/>
        <n v="605635" u="1"/>
        <n v="606404" u="1"/>
        <n v="606506" u="1"/>
        <n v="605942" u="1"/>
        <n v="606560" u="1"/>
        <n v="628527" u="1"/>
        <n v="663932" u="1"/>
        <n v="628078" u="1"/>
        <n v="628499" u="1"/>
        <n v="628628" u="1"/>
        <n v="605514" u="1"/>
        <n v="606363" u="1"/>
        <n v="606473" u="1"/>
        <n v="606167" u="1"/>
        <n v="628632" u="1"/>
        <n v="606559" u="1"/>
        <n v="606070" u="1"/>
        <n v="606310" u="1"/>
        <n v="662596" u="1"/>
        <n v="605636" u="1"/>
        <n v="606254" u="1"/>
        <n v="606462" u="1"/>
        <n v="606491" u="1"/>
        <n v="605963" u="1"/>
        <n v="605886" u="1"/>
        <n v="606046" u="1"/>
        <n v="606377" u="1"/>
        <n v="664593" u="1"/>
        <n v="606353" u="1"/>
        <n v="606427" u="1"/>
        <n v="605520" u="1"/>
        <n v="606052" u="1"/>
        <n v="628023" u="1"/>
        <n v="628271" u="1"/>
        <n v="628276" u="1"/>
        <n v="628313" u="1"/>
        <n v="628359" u="1"/>
        <n v="628585" u="1"/>
        <n v="628586" u="1"/>
        <n v="628587" u="1"/>
        <n v="628591" u="1"/>
        <n v="628594" u="1"/>
        <n v="628595" u="1"/>
        <n v="628604" u="1"/>
        <n v="628610" u="1"/>
        <n v="628614" u="1"/>
        <n v="628615" u="1"/>
        <n v="628618" u="1"/>
        <n v="628623" u="1"/>
        <n v="628509" u="1"/>
        <n v="628510" u="1"/>
        <n v="628488" u="1"/>
        <n v="628048" u="1"/>
        <n v="628284" u="1"/>
        <n v="663078" u="1"/>
        <n v="663336" u="1"/>
        <n v="606412" u="1"/>
        <n v="628432" u="1"/>
        <n v="628486" u="1"/>
        <n v="628598" u="1"/>
        <n v="606418" u="1"/>
      </sharedItems>
    </cacheField>
    <cacheField name="Hora Inicio Intervalo" numFmtId="0">
      <sharedItems containsNonDate="0" containsDate="1" containsString="0" containsBlank="1" minDate="1899-12-30T14:00:00" maxDate="1899-12-30T19:30:00"/>
    </cacheField>
    <cacheField name="-" numFmtId="0">
      <sharedItems containsBlank="1"/>
    </cacheField>
    <cacheField name="Hora Fin Intervalo" numFmtId="0">
      <sharedItems containsNonDate="0" containsDate="1" containsString="0" containsBlank="1" minDate="1899-12-30T14:30:00" maxDate="1899-12-30T20:00:00"/>
    </cacheField>
    <cacheField name="Tiempo ACD" numFmtId="0">
      <sharedItems containsString="0" containsBlank="1" containsNumber="1" containsInteger="1" minValue="0" maxValue="1772"/>
    </cacheField>
    <cacheField name="Tiempo ACW" numFmtId="0">
      <sharedItems containsString="0" containsBlank="1" containsNumber="1" containsInteger="1" minValue="0" maxValue="1201"/>
    </cacheField>
    <cacheField name="Otra hora" numFmtId="0">
      <sharedItems containsString="0" containsBlank="1" containsNumber="1" containsInteger="1" minValue="0" maxValue="0"/>
    </cacheField>
    <cacheField name="Ring Time" numFmtId="0">
      <sharedItems containsString="0" containsBlank="1" containsNumber="1" containsInteger="1" minValue="0" maxValue="100"/>
    </cacheField>
    <cacheField name="Tiempo AUX" numFmtId="0">
      <sharedItems containsString="0" containsBlank="1" containsNumber="1" containsInteger="1" minValue="0" maxValue="0"/>
    </cacheField>
    <cacheField name="Tiempo dispon." numFmtId="0">
      <sharedItems containsString="0" containsBlank="1" containsNumber="1" containsInteger="1" minValue="0" maxValue="0"/>
    </cacheField>
    <cacheField name="Tiempo con personal" numFmtId="0">
      <sharedItems containsString="0" containsBlank="1" containsNumber="1" containsInteger="1" minValue="0" maxValue="0"/>
    </cacheField>
    <cacheField name="Tiempo de reten." numFmtId="0">
      <sharedItems containsString="0" containsBlank="1" containsNumber="1" containsInteger="1" minValue="0" maxValue="1169"/>
    </cacheField>
    <cacheField name="Tiempo Sa. de Ext" numFmtId="0">
      <sharedItems containsString="0" containsBlank="1" containsNumber="1" containsInteger="1" minValue="0" maxValue="996"/>
    </cacheField>
    <cacheField name="Auxtime 0" numFmtId="0">
      <sharedItems containsString="0" containsBlank="1" containsNumber="1" containsInteger="1" minValue="0" maxValue="0"/>
    </cacheField>
    <cacheField name="Auxtime 1" numFmtId="0">
      <sharedItems containsString="0" containsBlank="1" containsNumber="1" containsInteger="1" minValue="0" maxValue="0"/>
    </cacheField>
    <cacheField name="Auxtime 2" numFmtId="0">
      <sharedItems containsString="0" containsBlank="1" containsNumber="1" containsInteger="1" minValue="0" maxValue="0"/>
    </cacheField>
    <cacheField name="Auxtime 3" numFmtId="0">
      <sharedItems containsString="0" containsBlank="1" containsNumber="1" containsInteger="1" minValue="0" maxValue="0"/>
    </cacheField>
    <cacheField name="Auxtime 4" numFmtId="0">
      <sharedItems containsString="0" containsBlank="1" containsNumber="1" containsInteger="1" minValue="0" maxValue="0"/>
    </cacheField>
    <cacheField name="Auxtime 5" numFmtId="0">
      <sharedItems containsString="0" containsBlank="1" containsNumber="1" containsInteger="1" minValue="0" maxValue="0"/>
    </cacheField>
    <cacheField name="Auxtime 6" numFmtId="0">
      <sharedItems containsString="0" containsBlank="1" containsNumber="1" containsInteger="1" minValue="0" maxValue="0"/>
    </cacheField>
    <cacheField name="Auxtime 7" numFmtId="0">
      <sharedItems containsString="0" containsBlank="1" containsNumber="1" containsInteger="1" minValue="0" maxValue="0"/>
    </cacheField>
    <cacheField name="Auxtime 8" numFmtId="0">
      <sharedItems containsString="0" containsBlank="1" containsNumber="1" containsInteger="1" minValue="0" maxValue="0"/>
    </cacheField>
    <cacheField name="Auxtime 9" numFmtId="0">
      <sharedItems containsString="0" containsBlank="1" containsNumber="1" containsInteger="1" minValue="0" maxValue="0"/>
    </cacheField>
    <cacheField name="Llamadas ACD" numFmtId="0">
      <sharedItems containsString="0" containsBlank="1" containsNumber="1" containsInteger="1" minValue="0" maxValue="9"/>
    </cacheField>
    <cacheField name="Llamadas Liberadas" numFmtId="0">
      <sharedItems containsString="0" containsBlank="1" containsNumber="1" containsInteger="1" minValue="0" maxValue="8"/>
    </cacheField>
    <cacheField name="PCRC" numFmtId="0">
      <sharedItems containsBlank="1" count="4">
        <s v="S2S NO PREMIUM"/>
        <s v="S2S PREMIUM"/>
        <m/>
        <s v="" u="1"/>
      </sharedItems>
    </cacheField>
    <cacheField name="OPERADOR" numFmtId="0">
      <sharedItems containsBlank="1" count="331">
        <s v="ACOSTA AYELEN"/>
        <s v="RUSSO ROCIO BELEN"/>
        <s v="TOLOZA ESTEFANIA KAREN"/>
        <s v="MENDOZA NATALIA ELIZABETH"/>
        <s v="MAIDANA MENDOZA MALENA MELISA"/>
        <s v="VALENZUELA MELINA GISELLE"/>
        <s v="FERREYRA TOMAS AGUSTIN"/>
        <s v="CASTILLO MICAELA TATIANA"/>
        <s v="BERTUCCI AGOSTINA"/>
        <s v="D AGOSTINO MARIA BIANCA"/>
        <s v="SOTOS LA IACONA ENZO SANTINO"/>
        <s v="DE VUONO FACUNDO SANTIAGO"/>
        <s v="MANFREDI RUTH MELINA"/>
        <s v="CUBILLA MARLENE ARACELI"/>
        <s v="GILLES MORENA"/>
        <s v="MARTINEZ IGNACIO"/>
        <s v="SOLIS MELINA ALEJANDRA"/>
        <s v="CUELLAR JOEL ADRIAN"/>
        <s v="FRAGA NICOLAS"/>
        <s v="ZAPATA VAGNINI MARTINA"/>
        <s v="FRIAS BRENDA ANTONELA"/>
        <s v="SOSA VALENTINA"/>
        <s v="CASTRO CRISTIAN NICOLAS"/>
        <s v="VAZQUEZ ROSSI SOFIA ANAHI"/>
        <s v="GONZALEZ CANDELA"/>
        <s v="ESPINOZA CIELO"/>
        <s v="CASTILLO CUEVA LUCIANA"/>
        <s v="INFANTE ENZO"/>
        <s v="SOSA LUCIA CELESTE"/>
        <s v="VARGAS CAROLINA MELANY"/>
        <s v="DEMARCO FIDEL"/>
        <s v="WETZEL IGNACIO EZEQUIEL"/>
        <s v="BENITEZ LOURDES ROCIO"/>
        <s v="VERGARA TAMARA"/>
        <s v="OLIVARES MIRIAM DANIELA"/>
        <s v="FONFRIA VALENTINO"/>
        <s v="CEJAS MAYRA"/>
        <s v="GOMEZ ENCISO MONICA"/>
        <s v="NAVARRO BRUNO OCTAVIO"/>
        <s v="PEREZ LOURDES"/>
        <s v="MENGUEZ LUKA PATRICIO"/>
        <s v="MARAZ AYELEN JACQUELINE"/>
        <s v="CANTEROS JOHANNA ANAHI"/>
        <s v="GOMEZ BRUNO NAHUEL"/>
        <s v="MAIZ CAMILA"/>
        <s v="NARBONA SUSAN ABRIL"/>
        <s v="TORRES LUNA"/>
        <s v="DURO CANDELA MILAGROS"/>
        <s v="ACOSTA SEBASTIAN"/>
        <s v="PAEZ LUCAS ENZO GREGORIO"/>
        <s v="ROMITO AGOSTINA BELEN"/>
        <s v="OJEDA MAYRA ALEJANDRA"/>
        <s v="LOPEZ CAROLINA"/>
        <s v="MOSQUEIRA HERNAN FEDERICO"/>
        <s v="DONZELLI ANGELICA"/>
        <s v="FRANCO SELENA ROCIO"/>
        <s v="MOREAU MICAELA VICTORIA"/>
        <s v="GONZALEZ CRISTIAN ALBERTO"/>
        <s v="ABALOS HEREDIA DAIANA BELEN"/>
        <s v="MARTINEZ NORBERTO GUSTAVO"/>
        <s v="PINO ELISA"/>
        <s v="CALAHUANA SILVANA"/>
        <s v="GONSALEZ EMILIANO SEBASTIAN"/>
        <s v="GAYO MATIAS FEDERICO"/>
        <s v="BELCHIOR MEDINACELLI LUZ MARIA"/>
        <s v="GOMEZ CESAR NAHUEL"/>
        <s v="SANJUAN LAURA"/>
        <s v="MIRAGAYA MARIA JOSE"/>
        <s v="BURSESE MAITE PILAR"/>
        <s v="GARRIGO CAROLINA"/>
        <s v="FUHR PATRICIO ALEJANDRO"/>
        <s v="MACHADO RIVERA ELIAS RAUL"/>
        <s v="ALMIRON LUCIANA AYELEN"/>
        <s v="VACA OROZCO ANDREA"/>
        <s v="QUISBERT ARUATA ANDREW ROBERT"/>
        <s v="GUTIERREZ BRISA CRISTAL"/>
        <s v="GIAVINO ALAN EMMANUEL"/>
        <s v="SANSO NOEMI"/>
        <s v="SANCHEZ ADRIAN ALEJANDRO"/>
        <s v="TOFFOLETTI SOTO EVELYN"/>
        <s v="BARROJO FEDERICO ALEJANDRO"/>
        <s v="CERVANTES LOURDES ABRIL"/>
        <s v="SOTELO SILVANA ANAHI"/>
        <s v="ROLON NANCY MAGALI"/>
        <s v="FRAGALE PABLO DANIEL"/>
        <s v="RIQUELME LUCIA"/>
        <s v="SOSA BERNAO MARTINA"/>
        <s v="SAGRADO NICOLAS"/>
        <s v="CORIA CANDELA"/>
        <s v="SALLES MATIAS"/>
        <s v="COLMENARES EMILY"/>
        <s v="SANCHEZ JUAN MARCELO"/>
        <s v="ANDRZEYEVSKI NICOLOSI CAMILA BELEN"/>
        <s v="ZALAZAR BRAIAN EDGARDO"/>
        <e v="#N/A"/>
        <s v="AMUNDARREY JOAQUIN LEONEL"/>
        <m/>
        <s v="SOTO JESUS AGUSTIN" u="1"/>
        <s v="GARRETTO MILAGROS BELEN" u="1"/>
        <s v="MUÑOZ NOELIA" u="1"/>
        <s v="FERNANDEZ HELENA" u="1"/>
        <s v="MACALELLO ROCIO MICAELA" u="1"/>
        <s v="NOGUEIRA CELESTE AYLEN" u="1"/>
        <s v="FALCON NAYLA" u="1"/>
        <s v="ALANIS LUCIANO AGUSTIN" u="1"/>
        <s v="FERREYRA CANDELA JAEL" u="1"/>
        <s v="ARIAS FRANCO" u="1"/>
        <s v="GONZALEZ GONZALO" u="1"/>
        <s v="RAMOS LASTRA PABLO" u="1"/>
        <s v="ROMERO FRANCO" u="1"/>
        <s v="PADILLA RUTH NOEMI" u="1"/>
        <s v="ROMERO ROMINA" u="1"/>
        <s v="BAREIRO JONATAN EMANUEL" u="1"/>
        <s v="CASTORO SOFIA ABRIL" u="1"/>
        <s v="MANFREDI AGOSTINA JIMENA" u="1"/>
        <s v="GONZALEZ ELIANA" u="1"/>
        <s v="CONDRATIUK MIGUEL AGUSTIN" u="1"/>
        <s v="BRUSCO JADE JOLIE" u="1"/>
        <s v="SERTORIO DAMARIS MARIA AILEN" u="1"/>
        <s v="CARDOSO LUDMILA PAMELA" u="1"/>
        <s v="GOMEZ ROCIO BELEN" u="1"/>
        <s v="FERNANDEZ PAULA DENISSE" u="1"/>
        <s v="VALDEZ GAMARRA NAHUEL" u="1"/>
        <s v="ESPINDOLA ROMERO MELODY BELEN" u="1"/>
        <s v="DUCHANDU ROMINA" u="1"/>
        <s v="PANIAGUA CARLA NOEMI" u="1"/>
        <s v="VIQUE JUAN MANUEL" u="1"/>
        <s v="AMARIA EVELYN NICOLE" u="1"/>
        <s v="MAMANI EVELIN ARAZELY" u="1"/>
        <s v="QUINTANA LUCIA BELEN" u="1"/>
        <s v="BALBUENA JOSE LUIS" u="1"/>
        <s v="BARRIOS CACERES BRISA DANIELA" u="1"/>
        <s v="CARDILLO MARIANELLA BIANCA" u="1"/>
        <s v="RUIZ ALEX IVAN" u="1"/>
        <s v="PANDOLFELLI FLORENCIA" u="1"/>
        <s v="REGUEIRO MARTINA ESTEFANIA" u="1"/>
        <s v="LEITO DOMINGUEZ JONATHAN" u="1"/>
        <s v="SAAVEDRA FRANCISCO JAVIER" u="1"/>
        <s v="LEMOS MARIA DE LOS ANGELES" u="1"/>
        <s v="FERREIRA AGUSTINA" u="1"/>
        <s v="REVOLLO DAIANA DENISE" u="1"/>
        <s v="CASIVA XIMENA MILAGROS" u="1"/>
        <s v="ROMAN BARRIENTOS JUAN EDUARDO" u="1"/>
        <s v="GAETANI LUCILA CATALINA" u="1"/>
        <s v="GONZALEZ RODRIGO ALEJANDRO" u="1"/>
        <s v="DELIA NAHOMI AURELIANO" u="1"/>
        <s v="FRANCO MICAELA AYLEN" u="1"/>
        <s v="CARRO AILEN ZOE" u="1"/>
        <s v="ENRRIQUE ARIADNA FELISA" u="1"/>
        <s v="FONCECA JOAQUIN JORGE" u="1"/>
        <s v="PALACIOS MAURA" u="1"/>
        <s v="SORMANI LUANA AILIN" u="1"/>
        <s v="MARTINEZ CAROLINA ANABELA" u="1"/>
        <s v="POSDELEY AILEN ABIGAIL" u="1"/>
        <s v="LIMACHI BRENDA DESIREE" u="1"/>
        <s v="FRANCO BRUNO EZEQUIEL" u="1"/>
        <s v="VARELA LAUTARO DAMIAN" u="1"/>
        <s v="GARCIA JULIETA SOLEDAD" u="1"/>
        <s v="FRETES ELIAS BLAS" u="1"/>
        <s v="ZAVALA NOELIA SUSANA" u="1"/>
        <s v="LUNA JENNIFER ALEJANDRA" u="1"/>
        <s v="HANGLIN CORREA CRISTIAN NOE" u="1"/>
        <s v="COLMENARES ISMADARAY" u="1"/>
        <s v="GUTIERREZ MARIA SOLEDAD" u="1"/>
        <s v="MOTTA ELVERDI MICAELA DANIELA" u="1"/>
        <s v="TARABINI CRISTINA" u="1"/>
        <s v="GOMEZ MICAELA AYLEN" u="1"/>
        <s v="SANTANA CONCEPCION DEL ROSARIO" u="1"/>
        <s v="ZARZA GONZALO IVAN" u="1"/>
        <s v="TORRENTE GABRIEL NICOLAS" u="1"/>
        <s v="GOMEZ MATIAS" u="1"/>
        <s v="ARMAS BERROCAL GUILLERMO JESUS" u="1"/>
        <s v="LEZAMETA MACUTELA CELESTE" u="1"/>
        <s v="CABELLO JULIETA LIBERTAD" u="1"/>
        <s v="FARIAS YASMIN AYELEN" u="1"/>
        <s v="PALOMINO GERALDINE CAROLYN" u="1"/>
        <s v="RIZZOLI EMILIANO" u="1"/>
        <s v="MEJIAS ARO YUDALY" u="1"/>
        <s v="FERNANDEZ KAREN SOFIA" u="1"/>
        <s v="AGUINAGA GOMEZ MARIA MAGALI" u="1"/>
        <s v="CASALES JUAN DE DIOS" u="1"/>
        <s v="TORRES BIANCA" u="1"/>
        <s v="LENTINI MELANIE NOEMI" u="1"/>
        <s v="RIVERO MAURICIO NAZARENO" u="1"/>
        <s v="MOYA MILAGROS MICAELA" u="1"/>
        <s v="MINO ARIADNA SOLANGE" u="1"/>
        <s v="CHAVEZ LEANDRO" u="1"/>
        <s v="GALOC RUBHY" u="1"/>
        <s v="CARRIZO DANIELA ANAHI" u="1"/>
        <s v="MAKOWSKI CAÑETE MILAGROS" u="1"/>
        <s v="NOGUEIRA MARIA EUGENIA" u="1"/>
        <s v="MELLANO FRANCO GABRIEL" u="1"/>
        <s v="GALLARDO CANDELA ANABEL" u="1"/>
        <s v="PALACIO JONATHAN" u="1"/>
        <s v="JARA KAREN" u="1"/>
        <s v="MORALES GONZALEZ MELISA" u="1"/>
        <s v="CASTRO MARIA MAGALI" u="1"/>
        <s v="RODRIGUEZ NANCY NATALI" u="1"/>
        <s v="CORPUS BARRIOS CANDELA GIOVANNA" u="1"/>
        <s v="SARAVIA CAROLINA" u="1"/>
        <s v="BORQUEZ NAZARENO" u="1"/>
        <s v="NAVARRETE JULIANA EDIT" u="1"/>
        <s v="CASCO NAHUEL MARTIN" u="1"/>
        <s v="SANDOVAL ANGELICA SALOME" u="1"/>
        <s v="GONZA DIEGO MAXIMILIANO" u="1"/>
        <s v="VAZQUEZ SOFIA MAGALI" u="1"/>
        <s v="SANCHEZ YAMILA" u="1"/>
        <s v="NIN MACARENA BEATRIZ" u="1"/>
        <s v="LEIVA BRENDA MARINA" u="1"/>
        <s v="PERALTA EMILIANO" u="1"/>
        <s v="MALDONADO FLORENCIA" u="1"/>
        <s v="GAUNA EVELYN DENISE" u="1"/>
        <s v="GOMEZ AGUSTINA TATIANA" u="1"/>
        <s v="LOPEZ FRANCO NICOLAS" u="1"/>
        <s v="QUINTEROS LUCIANA MARIBEL" u="1"/>
        <s v="BENITEZ MELANIE" u="1"/>
        <s v="GUTIERREZ YAEL" u="1"/>
        <s v="CASTILLO CINTIA BELEN" u="1"/>
        <s v="CEPELOVICH EVELYN MARIEL" u="1"/>
        <s v="DOMINGUEZ LAUTARO IVAN" u="1"/>
        <s v="NIETO MELINA AYLEN" u="1"/>
        <s v="ROJAS RICARDO ARIEL" u="1"/>
        <s v="FRAGALE AGOSTINA" u="1"/>
        <s v="BUSTAMANTE CAMILA" u="1"/>
        <s v="ROJAS SOFIA" u="1"/>
        <s v="RIVERO MELANIE" u="1"/>
        <s v="SALINA BRENDA" u="1"/>
        <s v="ABENDAÑO COLLAO ALEXIS DANIEL" u="1"/>
        <s v="LOPEZ BRUNO JORGE" u="1"/>
        <s v="TOGNOLE JORGE LEONARDO" u="1"/>
        <s v="FIORENCE IRMA" u="1"/>
        <s v="RIVERO PRISCILA ABIGAIL" u="1"/>
        <s v="LENCINA AGUSTIN" u="1"/>
        <s v="GODINO FEDERICO DANIEL" u="1"/>
        <s v="FLEITAS JUAN GABRIEL" u="1"/>
        <s v="LIZUÑA AGUSTIN" u="1"/>
        <s v="LEDESMA CAMPOS MATIAS" u="1"/>
        <s v="RAMOS HERNAN" u="1"/>
        <s v="TORANZO MILAGROS" u="1"/>
        <s v="GODOY FLORENCIA YAEL" u="1"/>
        <s v="GARAY RAZINI SILVIA ANAHI" u="1"/>
        <s v="CABRAL LUZ AYELEN" u="1"/>
        <s v="VALLEJOS LUDMILA IARA" u="1"/>
        <s v="PICALLO PRISCILA YASMIN" u="1"/>
        <s v="VINCENTI FLORENCIA" u="1"/>
        <s v="MARCOS MALENA" u="1"/>
        <s v="TOLOZA FLORENCIA SOFIA" u="1"/>
        <s v="BAEZ IGNACIO" u="1"/>
        <s v="MARCOTE JULIETA BELEN" u="1"/>
        <s v="BENEDETTI QUINTERO ALAN PEDRO" u="1"/>
        <s v="COLMAN VALENZUELA SOFIA SOLEDAD" u="1"/>
        <s v="QUINTANA ELIZABETH DENISE" u="1"/>
        <s v="PARRA ESTEFANIA SOLEDAD" u="1"/>
        <s v="MARQUES MAGALI" u="1"/>
        <s v="FLORES JESUS EMANUEL" u="1"/>
        <s v="PALOMO LEANDRO MARTIN" u="1"/>
        <s v="LUNA JONATHAN ANDRES" u="1"/>
        <s v="CANTERO TATIANA AGUSTINA" u="1"/>
        <s v="MOLINA AXEL YOEL" u="1"/>
        <s v="NIEVA JOHANNA ALEJANDRA MARIEL" u="1"/>
        <s v="BRIZUELA CELESTE" u="1"/>
        <s v="BARON AZUL LUDMILA" u="1"/>
        <s v="ROJAS ROCIO LUMILA" u="1"/>
        <s v="IVAN GOÑI MILAGROS LUZ" u="1"/>
        <s v="HEBERT CACERES JUNIOR ANIBAL" u="1"/>
        <s v="BREGLIA MELANIE IARA" u="1"/>
        <s v="DE VEGA BRISA DAIANA" u="1"/>
        <s v="LATORRE CANDELA" u="1"/>
        <s v="OVEJERO VANINA ALEJANDRA" u="1"/>
        <s v="PICCININI DANIELA SOLEDAD" u="1"/>
        <s v="AVENDAÑO ANGELES MICHELLE" u="1"/>
        <s v="SERRUDO VARGAS CAMILA MIKAL" u="1"/>
        <s v="ENRIQUE ORIANA" u="1"/>
        <s v="BARRICARTE MARIANO NICOLAS" u="1"/>
        <s v="RODRIGUEZ TOMAS AGUSTIN" u="1"/>
        <s v="QUIROGA VIOLETA JAZMIN" u="1"/>
        <s v="ROJAS MATIAS" u="1"/>
        <s v="AGUAYO IRALA ROCIO MAGALI" u="1"/>
        <s v="BARRIO MARTINEZ IARA MARIANELLA" u="1"/>
        <s v="PEREZ CAMILA AILEN" u="1"/>
        <s v="KORENBLUM BIRRIEL LAUTARO URIEL" u="1"/>
        <s v="MARTINEZ MARIA AGUSTINA" u="1"/>
        <s v="DOS SANTOS AGOSTINA" u="1"/>
        <s v="NAVARRO NICOLAS EZEQUIEL" u="1"/>
        <s v="SANCHEZ FLORENCIA ARIADNA" u="1"/>
        <s v="UGARTE DIEGO" u="1"/>
        <s v="LUNA SHEILA BEATRIZ" u="1"/>
        <s v="MERIDA GOMEZ MAXIMILIANO EZEQUIEL" u="1"/>
        <s v="AQUINO ALEJANDRA" u="1"/>
        <s v="LEDESMA NAZARENO DANIEL" u="1"/>
        <s v="ARRIGHI RUIZ TOBIAS FRANCISCO" u="1"/>
        <s v="FARFAN BELEN ROXANA" u="1"/>
        <s v="CRUZ DAMIAN ESTEBAN" u="1"/>
        <s v="RODRIGUEZ IARA NAIR" u="1"/>
        <s v="TARABINI GLORIA INES" u="1"/>
        <s v="QUINTERO DEMATTEI CAMILA" u="1"/>
        <s v="TRAVAGLINI PRISCILA ORIANA" u="1"/>
        <s v="PAEZ PAULA FLORENCIA" u="1"/>
        <s v="SALVI VALENTIN ALEJANDRO" u="1"/>
        <s v="LUTTER IARA CATARINA INES" u="1"/>
        <s v="IBARRA FRANCISCO" u="1"/>
        <s v="ROLON LUCILA DIAMELA" u="1"/>
        <s v="LEZAMETA ANGELICA MARIA" u="1"/>
        <s v="PALACIOS DAIRA DENISE" u="1"/>
        <s v="DAVIRAN CALDERON LUISA PEGGY" u="1"/>
        <s v="AYALA MARIA VALENTINA" u="1"/>
        <s v="VILLACORTA NATASHA NEREA" u="1"/>
        <s v="GARAY RAZINI SILVINA ANAHI" u="1"/>
        <s v="RODRIGUEZ JEMIMA VICTORIA" u="1"/>
        <s v="TARIFA PATRICIO HERNAN" u="1"/>
        <s v="CONTRERAS LUCIANO ZAIR" u="1"/>
        <s v="BENITEZ JOANA SOLEDAD" u="1"/>
        <s v="SALAZAR TOMAS" u="1"/>
        <s v="LOPEZ VICTORIA ABRIL" u="1"/>
        <s v="CABALLERO NIEVA AYLEN LUZ" u="1"/>
        <s v="CABITU MALENA" u="1"/>
        <s v="PROPATTO MARIANA AGUSTINA" u="1"/>
        <s v="ARANDA CHIAUDANO MICAELA DAIANA" u="1"/>
        <s v="RIOS EXEQUIEL ALEJANDRO" u="1"/>
        <s v="AGÜERO BRISA MILAGROS" u="1"/>
        <s v="GOMEZ LEANDRO AGUSTIN" u="1"/>
        <s v="MOYA GARRIDO THOMAS EMANUEL" u="1"/>
        <s v="LOPEZ CANDELA YAZMIN" u="1"/>
        <s v="MALDONADO PRISCILA" u="1"/>
        <s v="FLORES IGNACIO JUAN BAUTISTA" u="1"/>
        <s v="SILVA SOFIA INES" u="1"/>
        <s v="SEGUI CAMILA JACQUELINE" u="1"/>
        <s v="FRANCO DAVID AGUSTIN" u="1"/>
        <s v="SOSA LUCIA NAIARA" u="1"/>
        <s v="AGUIRRE SASSO NAZARENA" u="1"/>
        <s v="SUAREZ SANCHEZ MARIA AGOSTINA" u="1"/>
      </sharedItems>
    </cacheField>
    <cacheField name="Inicio" numFmtId="0">
      <sharedItems containsNonDate="0" containsDate="1" containsString="0" containsBlank="1" minDate="1899-12-30T14:00:00" maxDate="1899-12-30T19:30:00"/>
    </cacheField>
    <cacheField name="Fin" numFmtId="0">
      <sharedItems containsNonDate="0" containsDate="1" containsString="0" containsBlank="1" minDate="1899-12-30T14:30:00" maxDate="1899-12-30T2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0">
  <r>
    <d v="2024-10-02T00:00:00"/>
    <n v="924"/>
    <s v="S2S No Premium"/>
    <s v="N2m_Acosta, Ayelen"/>
    <x v="0"/>
    <d v="1899-12-30T14:00:00"/>
    <s v="-"/>
    <d v="1899-12-30T14:30:0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0"/>
    <d v="1899-12-30T14:00:00"/>
    <d v="1899-12-30T14:30:00"/>
  </r>
  <r>
    <d v="2024-10-02T00:00:00"/>
    <n v="924"/>
    <s v="S2S No Premium"/>
    <s v="N2m_Acosta, Ayelen"/>
    <x v="0"/>
    <d v="1899-12-30T14:30:00"/>
    <s v="-"/>
    <d v="1899-12-30T15:00:00"/>
    <n v="791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0"/>
    <d v="1899-12-30T14:30:00"/>
    <d v="1899-12-30T15:00:00"/>
  </r>
  <r>
    <d v="2024-10-02T00:00:00"/>
    <n v="924"/>
    <s v="S2S No Premium"/>
    <s v="N2_Russo, Rocio"/>
    <x v="1"/>
    <d v="1899-12-30T15:30:00"/>
    <s v="-"/>
    <d v="1899-12-30T16:00:00"/>
    <n v="4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1"/>
    <d v="1899-12-30T15:30:00"/>
    <d v="1899-12-30T16:00:00"/>
  </r>
  <r>
    <d v="2024-10-02T00:00:00"/>
    <n v="924"/>
    <s v="S2S No Premium"/>
    <s v="N2_Russo, Rocio"/>
    <x v="1"/>
    <d v="1899-12-30T14:30:00"/>
    <s v="-"/>
    <d v="1899-12-30T15:00:00"/>
    <n v="556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1"/>
    <d v="1899-12-30T14:30:00"/>
    <d v="1899-12-30T15:00:00"/>
  </r>
  <r>
    <d v="2024-10-02T00:00:00"/>
    <n v="924"/>
    <s v="S2S No Premium"/>
    <s v="N2_Russo, Rocio"/>
    <x v="1"/>
    <d v="1899-12-30T15:00:00"/>
    <s v="-"/>
    <d v="1899-12-30T15:30:00"/>
    <n v="930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3"/>
    <n v="3"/>
    <x v="0"/>
    <x v="1"/>
    <d v="1899-12-30T15:00:00"/>
    <d v="1899-12-30T15:30:00"/>
  </r>
  <r>
    <d v="2024-10-02T00:00:00"/>
    <n v="924"/>
    <s v="S2S No Premium"/>
    <s v="N2_Russo, Rocio"/>
    <x v="1"/>
    <d v="1899-12-30T14:00:00"/>
    <s v="-"/>
    <d v="1899-12-30T14:30:00"/>
    <n v="1107"/>
    <n v="0"/>
    <n v="0"/>
    <n v="14"/>
    <n v="0"/>
    <n v="0"/>
    <n v="0"/>
    <n v="96"/>
    <n v="59"/>
    <n v="0"/>
    <n v="0"/>
    <n v="0"/>
    <n v="0"/>
    <n v="0"/>
    <n v="0"/>
    <n v="0"/>
    <n v="0"/>
    <n v="0"/>
    <n v="0"/>
    <n v="3"/>
    <n v="3"/>
    <x v="0"/>
    <x v="1"/>
    <d v="1899-12-30T14:00:00"/>
    <d v="1899-12-30T14:30:00"/>
  </r>
  <r>
    <d v="2024-10-02T00:00:00"/>
    <n v="924"/>
    <s v="S2S No Premium"/>
    <s v="N2m_TolozaEstefania"/>
    <x v="2"/>
    <d v="1899-12-30T19:30:00"/>
    <s v="-"/>
    <d v="1899-12-30T20:00:00"/>
    <n v="284"/>
    <n v="0"/>
    <n v="0"/>
    <n v="8"/>
    <n v="0"/>
    <n v="0"/>
    <n v="0"/>
    <n v="4"/>
    <n v="0"/>
    <n v="0"/>
    <n v="0"/>
    <n v="0"/>
    <n v="0"/>
    <n v="0"/>
    <n v="0"/>
    <n v="0"/>
    <n v="0"/>
    <n v="0"/>
    <n v="0"/>
    <n v="2"/>
    <n v="1"/>
    <x v="0"/>
    <x v="2"/>
    <d v="1899-12-30T19:30:00"/>
    <d v="1899-12-30T20:00:00"/>
  </r>
  <r>
    <d v="2024-10-02T00:00:00"/>
    <n v="924"/>
    <s v="S2S No Premium"/>
    <s v="N2m_TolozaEstefania"/>
    <x v="2"/>
    <d v="1899-12-30T19:00:00"/>
    <s v="-"/>
    <d v="1899-12-30T19:30:00"/>
    <n v="362"/>
    <n v="0"/>
    <n v="0"/>
    <n v="4"/>
    <n v="0"/>
    <n v="0"/>
    <n v="0"/>
    <n v="3"/>
    <n v="0"/>
    <n v="0"/>
    <n v="0"/>
    <n v="0"/>
    <n v="0"/>
    <n v="0"/>
    <n v="0"/>
    <n v="0"/>
    <n v="0"/>
    <n v="0"/>
    <n v="0"/>
    <n v="1"/>
    <n v="1"/>
    <x v="0"/>
    <x v="2"/>
    <d v="1899-12-30T19:00:00"/>
    <d v="1899-12-30T19:30:00"/>
  </r>
  <r>
    <d v="2024-10-02T00:00:00"/>
    <n v="924"/>
    <s v="S2S No Premium"/>
    <s v="N2m_TolozaEstefania"/>
    <x v="2"/>
    <d v="1899-12-30T14:30:00"/>
    <s v="-"/>
    <d v="1899-12-30T15:00:00"/>
    <n v="667"/>
    <n v="0"/>
    <n v="0"/>
    <n v="18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2"/>
    <d v="1899-12-30T14:30:00"/>
    <d v="1899-12-30T15:00:00"/>
  </r>
  <r>
    <d v="2024-10-02T00:00:00"/>
    <n v="924"/>
    <s v="S2S No Premium"/>
    <s v="N2m_TolozaEstefania"/>
    <x v="2"/>
    <d v="1899-12-30T15:00:00"/>
    <s v="-"/>
    <d v="1899-12-30T15:30:00"/>
    <n v="724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"/>
    <d v="1899-12-30T15:00:00"/>
    <d v="1899-12-30T15:30:00"/>
  </r>
  <r>
    <d v="2024-10-02T00:00:00"/>
    <n v="924"/>
    <s v="S2S No Premium"/>
    <s v="N2m_TolozaEstefania"/>
    <x v="2"/>
    <d v="1899-12-30T14:00:00"/>
    <s v="-"/>
    <d v="1899-12-30T14:30:00"/>
    <n v="980"/>
    <n v="128"/>
    <n v="0"/>
    <n v="15"/>
    <n v="0"/>
    <n v="0"/>
    <n v="0"/>
    <n v="2"/>
    <n v="0"/>
    <n v="0"/>
    <n v="0"/>
    <n v="0"/>
    <n v="0"/>
    <n v="0"/>
    <n v="0"/>
    <n v="0"/>
    <n v="0"/>
    <n v="0"/>
    <n v="0"/>
    <n v="3"/>
    <n v="1"/>
    <x v="0"/>
    <x v="2"/>
    <d v="1899-12-30T14:00:00"/>
    <d v="1899-12-30T14:30:00"/>
  </r>
  <r>
    <d v="2024-10-02T00:00:00"/>
    <n v="924"/>
    <s v="S2S No Premium"/>
    <s v="N2m_TolozaEstefania"/>
    <x v="2"/>
    <d v="1899-12-30T18:30:00"/>
    <s v="-"/>
    <d v="1899-12-30T19:00:00"/>
    <n v="1029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3"/>
    <x v="0"/>
    <x v="2"/>
    <d v="1899-12-30T18:30:00"/>
    <d v="1899-12-30T19:00:00"/>
  </r>
  <r>
    <d v="2024-10-02T00:00:00"/>
    <n v="924"/>
    <s v="S2S No Premium"/>
    <s v="N2m_TolozaEstefania"/>
    <x v="2"/>
    <d v="1899-12-30T16:00:00"/>
    <s v="-"/>
    <d v="1899-12-30T16:30:00"/>
    <n v="1083"/>
    <n v="0"/>
    <n v="0"/>
    <n v="19"/>
    <n v="0"/>
    <n v="0"/>
    <n v="0"/>
    <n v="75"/>
    <n v="0"/>
    <n v="0"/>
    <n v="0"/>
    <n v="0"/>
    <n v="0"/>
    <n v="0"/>
    <n v="0"/>
    <n v="0"/>
    <n v="0"/>
    <n v="0"/>
    <n v="0"/>
    <n v="4"/>
    <n v="3"/>
    <x v="0"/>
    <x v="2"/>
    <d v="1899-12-30T16:00:00"/>
    <d v="1899-12-30T16:30:00"/>
  </r>
  <r>
    <d v="2024-10-02T00:00:00"/>
    <n v="924"/>
    <s v="S2S No Premium"/>
    <s v="N2m_TolozaEstefania"/>
    <x v="2"/>
    <d v="1899-12-30T15:30:00"/>
    <s v="-"/>
    <d v="1899-12-30T16:00:00"/>
    <n v="1087"/>
    <n v="0"/>
    <n v="0"/>
    <n v="17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2"/>
    <d v="1899-12-30T15:30:00"/>
    <d v="1899-12-30T16:00:00"/>
  </r>
  <r>
    <d v="2024-10-02T00:00:00"/>
    <n v="924"/>
    <s v="S2S No Premium"/>
    <s v="N2m_TolozaEstefania"/>
    <x v="2"/>
    <d v="1899-12-30T16:30:00"/>
    <s v="-"/>
    <d v="1899-12-30T17:00:00"/>
    <n v="1115"/>
    <n v="0"/>
    <n v="0"/>
    <n v="28"/>
    <n v="0"/>
    <n v="0"/>
    <n v="0"/>
    <n v="111"/>
    <n v="101"/>
    <n v="0"/>
    <n v="0"/>
    <n v="0"/>
    <n v="0"/>
    <n v="0"/>
    <n v="0"/>
    <n v="0"/>
    <n v="0"/>
    <n v="0"/>
    <n v="0"/>
    <n v="6"/>
    <n v="5"/>
    <x v="0"/>
    <x v="2"/>
    <d v="1899-12-30T16:30:00"/>
    <d v="1899-12-30T17:00:00"/>
  </r>
  <r>
    <d v="2024-10-02T00:00:00"/>
    <n v="924"/>
    <s v="S2S No Premium"/>
    <s v="N2m_TolozaEstefania"/>
    <x v="2"/>
    <d v="1899-12-30T17:00:00"/>
    <s v="-"/>
    <d v="1899-12-30T17:30:00"/>
    <n v="1260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2"/>
    <d v="1899-12-30T17:00:00"/>
    <d v="1899-12-30T17:30:00"/>
  </r>
  <r>
    <d v="2024-10-02T00:00:00"/>
    <n v="924"/>
    <s v="S2S No Premium"/>
    <s v="N2m_TolozaEstefania"/>
    <x v="2"/>
    <d v="1899-12-30T17:30:00"/>
    <s v="-"/>
    <d v="1899-12-30T18:00:00"/>
    <n v="1382"/>
    <n v="0"/>
    <n v="0"/>
    <n v="26"/>
    <n v="0"/>
    <n v="0"/>
    <n v="0"/>
    <n v="7"/>
    <n v="0"/>
    <n v="0"/>
    <n v="0"/>
    <n v="0"/>
    <n v="0"/>
    <n v="0"/>
    <n v="0"/>
    <n v="0"/>
    <n v="0"/>
    <n v="0"/>
    <n v="0"/>
    <n v="6"/>
    <n v="5"/>
    <x v="0"/>
    <x v="2"/>
    <d v="1899-12-30T17:30:00"/>
    <d v="1899-12-30T18:00:00"/>
  </r>
  <r>
    <d v="2024-10-02T00:00:00"/>
    <n v="924"/>
    <s v="S2S No Premium"/>
    <s v="N2m_TolozaEstefania"/>
    <x v="2"/>
    <d v="1899-12-30T18:00:00"/>
    <s v="-"/>
    <d v="1899-12-30T18:30:00"/>
    <n v="1678"/>
    <n v="6"/>
    <n v="0"/>
    <n v="18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"/>
    <d v="1899-12-30T18:00:00"/>
    <d v="1899-12-30T18:30:00"/>
  </r>
  <r>
    <d v="2024-10-02T00:00:00"/>
    <n v="924"/>
    <s v="S2S No Premium"/>
    <s v="N2_Mendoza, Natalia"/>
    <x v="3"/>
    <d v="1899-12-30T14:00:00"/>
    <s v="-"/>
    <d v="1899-12-30T14:30:00"/>
    <n v="109"/>
    <n v="0"/>
    <n v="0"/>
    <n v="5"/>
    <n v="0"/>
    <n v="0"/>
    <n v="0"/>
    <n v="3"/>
    <n v="1"/>
    <n v="0"/>
    <n v="0"/>
    <n v="0"/>
    <n v="0"/>
    <n v="0"/>
    <n v="0"/>
    <n v="0"/>
    <n v="0"/>
    <n v="0"/>
    <n v="0"/>
    <n v="2"/>
    <n v="1"/>
    <x v="0"/>
    <x v="3"/>
    <d v="1899-12-30T14:00:00"/>
    <d v="1899-12-30T14:30:00"/>
  </r>
  <r>
    <d v="2024-10-02T00:00:00"/>
    <n v="925"/>
    <s v="S2S Premium"/>
    <s v="P_Maidana, Malena"/>
    <x v="4"/>
    <d v="1899-12-30T17:30:00"/>
    <s v="-"/>
    <d v="1899-12-30T18:00:00"/>
    <n v="0"/>
    <n v="83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4"/>
    <d v="1899-12-30T17:30:00"/>
    <d v="1899-12-30T18:00:00"/>
  </r>
  <r>
    <d v="2024-10-02T00:00:00"/>
    <n v="925"/>
    <s v="S2S Premium"/>
    <s v="P_Maidana, Malena"/>
    <x v="4"/>
    <d v="1899-12-30T15:30:00"/>
    <s v="-"/>
    <d v="1899-12-30T16:00:00"/>
    <n v="2"/>
    <n v="0"/>
    <n v="0"/>
    <n v="0"/>
    <n v="0"/>
    <n v="0"/>
    <n v="0"/>
    <n v="885"/>
    <n v="0"/>
    <n v="0"/>
    <n v="0"/>
    <n v="0"/>
    <n v="0"/>
    <n v="0"/>
    <n v="0"/>
    <n v="0"/>
    <n v="0"/>
    <n v="0"/>
    <n v="0"/>
    <n v="1"/>
    <n v="1"/>
    <x v="1"/>
    <x v="4"/>
    <d v="1899-12-30T15:30:00"/>
    <d v="1899-12-30T16:00:00"/>
  </r>
  <r>
    <d v="2024-10-02T00:00:00"/>
    <n v="925"/>
    <s v="S2S Premium"/>
    <s v="P_Maidana, Malena"/>
    <x v="4"/>
    <d v="1899-12-30T16:00:00"/>
    <s v="-"/>
    <d v="1899-12-30T16:30:00"/>
    <n v="329"/>
    <n v="0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"/>
    <d v="1899-12-30T16:00:00"/>
    <d v="1899-12-30T16:30:00"/>
  </r>
  <r>
    <d v="2024-10-02T00:00:00"/>
    <n v="925"/>
    <s v="S2S Premium"/>
    <s v="P_Maidana, Malena"/>
    <x v="4"/>
    <d v="1899-12-30T14:00:00"/>
    <s v="-"/>
    <d v="1899-12-30T14:30:00"/>
    <n v="646"/>
    <n v="85"/>
    <n v="0"/>
    <n v="19"/>
    <n v="0"/>
    <n v="0"/>
    <n v="0"/>
    <n v="261"/>
    <n v="140"/>
    <n v="0"/>
    <n v="0"/>
    <n v="0"/>
    <n v="0"/>
    <n v="0"/>
    <n v="0"/>
    <n v="0"/>
    <n v="0"/>
    <n v="0"/>
    <n v="0"/>
    <n v="2"/>
    <n v="2"/>
    <x v="1"/>
    <x v="4"/>
    <d v="1899-12-30T14:00:00"/>
    <d v="1899-12-30T14:30:00"/>
  </r>
  <r>
    <d v="2024-10-02T00:00:00"/>
    <n v="925"/>
    <s v="S2S Premium"/>
    <s v="P_Maidana, Malena"/>
    <x v="4"/>
    <d v="1899-12-30T15:00:00"/>
    <s v="-"/>
    <d v="1899-12-30T15:30:00"/>
    <n v="719"/>
    <n v="21"/>
    <n v="0"/>
    <n v="20"/>
    <n v="0"/>
    <n v="0"/>
    <n v="0"/>
    <n v="79"/>
    <n v="0"/>
    <n v="0"/>
    <n v="0"/>
    <n v="0"/>
    <n v="0"/>
    <n v="0"/>
    <n v="0"/>
    <n v="0"/>
    <n v="0"/>
    <n v="0"/>
    <n v="0"/>
    <n v="2"/>
    <n v="2"/>
    <x v="1"/>
    <x v="4"/>
    <d v="1899-12-30T15:00:00"/>
    <d v="1899-12-30T15:30:00"/>
  </r>
  <r>
    <d v="2024-10-02T00:00:00"/>
    <n v="925"/>
    <s v="S2S Premium"/>
    <s v="P_Maidana, Malena"/>
    <x v="4"/>
    <d v="1899-12-30T14:30:00"/>
    <s v="-"/>
    <d v="1899-12-30T15:00:00"/>
    <n v="771"/>
    <n v="271"/>
    <n v="0"/>
    <n v="35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4"/>
    <d v="1899-12-30T14:30:00"/>
    <d v="1899-12-30T15:00:00"/>
  </r>
  <r>
    <d v="2024-10-02T00:00:00"/>
    <n v="925"/>
    <s v="S2S Premium"/>
    <s v="P_Maidana, Malena"/>
    <x v="4"/>
    <d v="1899-12-30T17:00:00"/>
    <s v="-"/>
    <d v="1899-12-30T17:30:00"/>
    <n v="875"/>
    <n v="418"/>
    <n v="0"/>
    <n v="6"/>
    <n v="0"/>
    <n v="0"/>
    <n v="0"/>
    <n v="878"/>
    <n v="0"/>
    <n v="0"/>
    <n v="0"/>
    <n v="0"/>
    <n v="0"/>
    <n v="0"/>
    <n v="0"/>
    <n v="0"/>
    <n v="0"/>
    <n v="0"/>
    <n v="0"/>
    <n v="1"/>
    <n v="1"/>
    <x v="1"/>
    <x v="4"/>
    <d v="1899-12-30T17:00:00"/>
    <d v="1899-12-30T17:30:00"/>
  </r>
  <r>
    <d v="2024-10-02T00:00:00"/>
    <n v="925"/>
    <s v="S2S Premium"/>
    <s v="P_Maidana, Malena"/>
    <x v="4"/>
    <d v="1899-12-30T16:30:00"/>
    <s v="-"/>
    <d v="1899-12-30T17:00:00"/>
    <n v="1108"/>
    <n v="121"/>
    <n v="0"/>
    <n v="15"/>
    <n v="0"/>
    <n v="0"/>
    <n v="0"/>
    <n v="338"/>
    <n v="0"/>
    <n v="0"/>
    <n v="0"/>
    <n v="0"/>
    <n v="0"/>
    <n v="0"/>
    <n v="0"/>
    <n v="0"/>
    <n v="0"/>
    <n v="0"/>
    <n v="0"/>
    <n v="2"/>
    <n v="2"/>
    <x v="1"/>
    <x v="4"/>
    <d v="1899-12-30T16:30:00"/>
    <d v="1899-12-30T17:00:00"/>
  </r>
  <r>
    <d v="2024-10-02T00:00:00"/>
    <n v="925"/>
    <s v="S2S Premium"/>
    <s v="P_Valenzuela, Meli"/>
    <x v="5"/>
    <d v="1899-12-30T18:30:00"/>
    <s v="-"/>
    <d v="1899-12-30T19:00:00"/>
    <n v="684"/>
    <n v="0"/>
    <n v="0"/>
    <n v="12"/>
    <n v="0"/>
    <n v="0"/>
    <n v="0"/>
    <n v="5"/>
    <n v="0"/>
    <n v="0"/>
    <n v="0"/>
    <n v="0"/>
    <n v="0"/>
    <n v="0"/>
    <n v="0"/>
    <n v="0"/>
    <n v="0"/>
    <n v="0"/>
    <n v="0"/>
    <n v="4"/>
    <n v="4"/>
    <x v="1"/>
    <x v="5"/>
    <d v="1899-12-30T18:30:00"/>
    <d v="1899-12-30T19:00:00"/>
  </r>
  <r>
    <d v="2024-10-02T00:00:00"/>
    <n v="925"/>
    <s v="S2S Premium"/>
    <s v="P_Valenzuela, Meli"/>
    <x v="5"/>
    <d v="1899-12-30T18:00:00"/>
    <s v="-"/>
    <d v="1899-12-30T18:30:00"/>
    <n v="80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5"/>
    <d v="1899-12-30T18:00:00"/>
    <d v="1899-12-30T18:30:00"/>
  </r>
  <r>
    <d v="2024-10-02T00:00:00"/>
    <n v="925"/>
    <s v="S2S Premium"/>
    <s v="P_Valenzuela, Meli"/>
    <x v="5"/>
    <d v="1899-12-30T15:30:00"/>
    <s v="-"/>
    <d v="1899-12-30T16:00:00"/>
    <n v="839"/>
    <n v="0"/>
    <n v="0"/>
    <n v="13"/>
    <n v="0"/>
    <n v="0"/>
    <n v="0"/>
    <n v="106"/>
    <n v="0"/>
    <n v="0"/>
    <n v="0"/>
    <n v="0"/>
    <n v="0"/>
    <n v="0"/>
    <n v="0"/>
    <n v="0"/>
    <n v="0"/>
    <n v="0"/>
    <n v="0"/>
    <n v="3"/>
    <n v="3"/>
    <x v="1"/>
    <x v="5"/>
    <d v="1899-12-30T15:30:00"/>
    <d v="1899-12-30T16:00:00"/>
  </r>
  <r>
    <d v="2024-10-02T00:00:00"/>
    <n v="925"/>
    <s v="S2S Premium"/>
    <s v="P_Valenzuela, Meli"/>
    <x v="5"/>
    <d v="1899-12-30T15:00:00"/>
    <s v="-"/>
    <d v="1899-12-30T15:30:00"/>
    <n v="91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5"/>
    <d v="1899-12-30T15:00:00"/>
    <d v="1899-12-30T15:30:00"/>
  </r>
  <r>
    <d v="2024-10-02T00:00:00"/>
    <n v="925"/>
    <s v="S2S Premium"/>
    <s v="P_Valenzuela, Meli"/>
    <x v="5"/>
    <d v="1899-12-30T19:00:00"/>
    <s v="-"/>
    <d v="1899-12-30T19:30:00"/>
    <n v="1259"/>
    <n v="0"/>
    <n v="0"/>
    <n v="24"/>
    <n v="0"/>
    <n v="0"/>
    <n v="0"/>
    <n v="6"/>
    <n v="0"/>
    <n v="0"/>
    <n v="0"/>
    <n v="0"/>
    <n v="0"/>
    <n v="0"/>
    <n v="0"/>
    <n v="0"/>
    <n v="0"/>
    <n v="0"/>
    <n v="0"/>
    <n v="6"/>
    <n v="6"/>
    <x v="1"/>
    <x v="5"/>
    <d v="1899-12-30T19:00:00"/>
    <d v="1899-12-30T19:30:00"/>
  </r>
  <r>
    <d v="2024-10-02T00:00:00"/>
    <n v="925"/>
    <s v="S2S Premium"/>
    <s v="P_Valenzuela, Meli"/>
    <x v="5"/>
    <d v="1899-12-30T19:30:00"/>
    <s v="-"/>
    <d v="1899-12-30T20:00:00"/>
    <n v="1360"/>
    <n v="0"/>
    <n v="0"/>
    <n v="23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5"/>
    <d v="1899-12-30T19:30:00"/>
    <d v="1899-12-30T20:00:00"/>
  </r>
  <r>
    <d v="2024-10-02T00:00:00"/>
    <n v="925"/>
    <s v="S2S Premium"/>
    <s v="P_Ferreyra, Tomas"/>
    <x v="6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"/>
    <d v="1899-12-30T15:30:00"/>
    <d v="1899-12-30T16:00:00"/>
  </r>
  <r>
    <d v="2024-10-02T00:00:00"/>
    <n v="925"/>
    <s v="S2S Premium"/>
    <s v="P_Ferreyra, Tomas"/>
    <x v="6"/>
    <d v="1899-12-30T14:30:00"/>
    <s v="-"/>
    <d v="1899-12-30T15:00:00"/>
    <n v="0"/>
    <n v="0"/>
    <n v="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"/>
    <d v="1899-12-30T14:30:00"/>
    <d v="1899-12-30T15:00:00"/>
  </r>
  <r>
    <d v="2024-10-02T00:00:00"/>
    <n v="925"/>
    <s v="S2S Premium"/>
    <s v="P_Ferreyra, Tomas"/>
    <x v="6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"/>
    <d v="1899-12-30T14:00:00"/>
    <d v="1899-12-30T14:30:00"/>
  </r>
  <r>
    <d v="2024-10-02T00:00:00"/>
    <n v="925"/>
    <s v="S2S Premium"/>
    <s v="P_Ferreyra, Tomas"/>
    <x v="6"/>
    <d v="1899-12-30T15:00:00"/>
    <s v="-"/>
    <d v="1899-12-30T15:30:00"/>
    <n v="125"/>
    <n v="0"/>
    <n v="0"/>
    <n v="7"/>
    <n v="0"/>
    <n v="0"/>
    <n v="0"/>
    <n v="137"/>
    <n v="92"/>
    <n v="0"/>
    <n v="0"/>
    <n v="0"/>
    <n v="0"/>
    <n v="0"/>
    <n v="0"/>
    <n v="0"/>
    <n v="0"/>
    <n v="0"/>
    <n v="0"/>
    <n v="1"/>
    <n v="1"/>
    <x v="1"/>
    <x v="6"/>
    <d v="1899-12-30T15:00:00"/>
    <d v="1899-12-30T15:30:00"/>
  </r>
  <r>
    <d v="2024-10-02T00:00:00"/>
    <n v="925"/>
    <s v="S2S Premium"/>
    <s v="P_Castillo, Micaela"/>
    <x v="7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"/>
    <d v="1899-12-30T14:30:00"/>
    <d v="1899-12-30T15:00:00"/>
  </r>
  <r>
    <d v="2024-10-02T00:00:00"/>
    <n v="925"/>
    <s v="S2S Premium"/>
    <s v="P_Castillo, Micaela"/>
    <x v="7"/>
    <d v="1899-12-30T17:00:00"/>
    <s v="-"/>
    <d v="1899-12-30T17:30:00"/>
    <n v="431"/>
    <n v="0"/>
    <n v="0"/>
    <n v="9"/>
    <n v="0"/>
    <n v="0"/>
    <n v="0"/>
    <n v="323"/>
    <n v="46"/>
    <n v="0"/>
    <n v="0"/>
    <n v="0"/>
    <n v="0"/>
    <n v="0"/>
    <n v="0"/>
    <n v="0"/>
    <n v="0"/>
    <n v="0"/>
    <n v="0"/>
    <n v="2"/>
    <n v="2"/>
    <x v="1"/>
    <x v="7"/>
    <d v="1899-12-30T17:00:00"/>
    <d v="1899-12-30T17:30:00"/>
  </r>
  <r>
    <d v="2024-10-02T00:00:00"/>
    <n v="925"/>
    <s v="S2S Premium"/>
    <s v="P_Castillo, Micaela"/>
    <x v="7"/>
    <d v="1899-12-30T15:00:00"/>
    <s v="-"/>
    <d v="1899-12-30T15:30:00"/>
    <n v="504"/>
    <n v="0"/>
    <n v="0"/>
    <n v="21"/>
    <n v="0"/>
    <n v="0"/>
    <n v="0"/>
    <n v="106"/>
    <n v="72"/>
    <n v="0"/>
    <n v="0"/>
    <n v="0"/>
    <n v="0"/>
    <n v="0"/>
    <n v="0"/>
    <n v="0"/>
    <n v="0"/>
    <n v="0"/>
    <n v="0"/>
    <n v="4"/>
    <n v="3"/>
    <x v="1"/>
    <x v="7"/>
    <d v="1899-12-30T15:00:00"/>
    <d v="1899-12-30T15:30:00"/>
  </r>
  <r>
    <d v="2024-10-02T00:00:00"/>
    <n v="925"/>
    <s v="S2S Premium"/>
    <s v="P_Castillo, Micaela"/>
    <x v="7"/>
    <d v="1899-12-30T16:00:00"/>
    <s v="-"/>
    <d v="1899-12-30T16:30:00"/>
    <n v="542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7"/>
    <d v="1899-12-30T16:00:00"/>
    <d v="1899-12-30T16:30:00"/>
  </r>
  <r>
    <d v="2024-10-02T00:00:00"/>
    <n v="925"/>
    <s v="S2S Premium"/>
    <s v="P_Castillo, Micaela"/>
    <x v="7"/>
    <d v="1899-12-30T15:30:00"/>
    <s v="-"/>
    <d v="1899-12-30T16:00:00"/>
    <n v="618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7"/>
    <d v="1899-12-30T15:30:00"/>
    <d v="1899-12-30T16:00:00"/>
  </r>
  <r>
    <d v="2024-10-02T00:00:00"/>
    <n v="925"/>
    <s v="S2S Premium"/>
    <s v="P_Castillo, Micaela"/>
    <x v="7"/>
    <d v="1899-12-30T16:30:00"/>
    <s v="-"/>
    <d v="1899-12-30T17:00:00"/>
    <n v="1347"/>
    <n v="0"/>
    <n v="0"/>
    <n v="20"/>
    <n v="0"/>
    <n v="0"/>
    <n v="0"/>
    <n v="7"/>
    <n v="0"/>
    <n v="0"/>
    <n v="0"/>
    <n v="0"/>
    <n v="0"/>
    <n v="0"/>
    <n v="0"/>
    <n v="0"/>
    <n v="0"/>
    <n v="0"/>
    <n v="0"/>
    <n v="5"/>
    <n v="3"/>
    <x v="1"/>
    <x v="7"/>
    <d v="1899-12-30T16:30:00"/>
    <d v="1899-12-30T17:00:00"/>
  </r>
  <r>
    <d v="2024-10-02T00:00:00"/>
    <n v="924"/>
    <s v="S2S No Premium"/>
    <s v="N2m_Bertucci Agost"/>
    <x v="8"/>
    <d v="1899-12-30T15:00:00"/>
    <s v="-"/>
    <d v="1899-12-30T15:30:00"/>
    <n v="23"/>
    <n v="4"/>
    <n v="0"/>
    <n v="0"/>
    <n v="0"/>
    <n v="0"/>
    <n v="0"/>
    <n v="563"/>
    <n v="0"/>
    <n v="0"/>
    <n v="0"/>
    <n v="0"/>
    <n v="0"/>
    <n v="0"/>
    <n v="0"/>
    <n v="0"/>
    <n v="0"/>
    <n v="0"/>
    <n v="0"/>
    <n v="1"/>
    <n v="1"/>
    <x v="0"/>
    <x v="8"/>
    <d v="1899-12-30T15:00:00"/>
    <d v="1899-12-30T15:30:00"/>
  </r>
  <r>
    <d v="2024-10-02T00:00:00"/>
    <n v="924"/>
    <s v="S2S No Premium"/>
    <s v="N2m_Bertucci Agost"/>
    <x v="8"/>
    <d v="1899-12-30T14:30:00"/>
    <s v="-"/>
    <d v="1899-12-30T15:00:00"/>
    <n v="477"/>
    <n v="0"/>
    <n v="0"/>
    <n v="25"/>
    <n v="0"/>
    <n v="0"/>
    <n v="0"/>
    <n v="4"/>
    <n v="284"/>
    <n v="0"/>
    <n v="0"/>
    <n v="0"/>
    <n v="0"/>
    <n v="0"/>
    <n v="0"/>
    <n v="0"/>
    <n v="0"/>
    <n v="0"/>
    <n v="0"/>
    <n v="2"/>
    <n v="1"/>
    <x v="0"/>
    <x v="8"/>
    <d v="1899-12-30T14:30:00"/>
    <d v="1899-12-30T15:00:00"/>
  </r>
  <r>
    <d v="2024-10-02T00:00:00"/>
    <n v="924"/>
    <s v="S2S No Premium"/>
    <s v="N2m_Bertucci Agost"/>
    <x v="8"/>
    <d v="1899-12-30T14:00:00"/>
    <s v="-"/>
    <d v="1899-12-30T14:30:00"/>
    <n v="519"/>
    <n v="0"/>
    <n v="0"/>
    <n v="44"/>
    <n v="0"/>
    <n v="0"/>
    <n v="0"/>
    <n v="585"/>
    <n v="0"/>
    <n v="0"/>
    <n v="0"/>
    <n v="0"/>
    <n v="0"/>
    <n v="0"/>
    <n v="0"/>
    <n v="0"/>
    <n v="0"/>
    <n v="0"/>
    <n v="0"/>
    <n v="2"/>
    <n v="2"/>
    <x v="0"/>
    <x v="8"/>
    <d v="1899-12-30T14:00:00"/>
    <d v="1899-12-30T14:30:00"/>
  </r>
  <r>
    <d v="2024-10-02T00:00:00"/>
    <n v="925"/>
    <s v="S2S Premium"/>
    <s v="P_D agostino, María"/>
    <x v="9"/>
    <d v="1899-12-30T19:00:00"/>
    <s v="-"/>
    <d v="1899-12-30T19:30:00"/>
    <n v="148"/>
    <n v="0"/>
    <n v="0"/>
    <n v="0"/>
    <n v="0"/>
    <n v="0"/>
    <n v="0"/>
    <n v="245"/>
    <n v="0"/>
    <n v="0"/>
    <n v="0"/>
    <n v="0"/>
    <n v="0"/>
    <n v="0"/>
    <n v="0"/>
    <n v="0"/>
    <n v="0"/>
    <n v="0"/>
    <n v="0"/>
    <n v="1"/>
    <n v="0"/>
    <x v="1"/>
    <x v="9"/>
    <d v="1899-12-30T19:00:00"/>
    <d v="1899-12-30T19:30:00"/>
  </r>
  <r>
    <d v="2024-10-02T00:00:00"/>
    <n v="925"/>
    <s v="S2S Premium"/>
    <s v="P_D agostino, María"/>
    <x v="9"/>
    <d v="1899-12-30T14:30:00"/>
    <s v="-"/>
    <d v="1899-12-30T15:00:00"/>
    <n v="563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"/>
    <d v="1899-12-30T14:30:00"/>
    <d v="1899-12-30T15:00:00"/>
  </r>
  <r>
    <d v="2024-10-02T00:00:00"/>
    <n v="925"/>
    <s v="S2S Premium"/>
    <s v="P_D agostino, María"/>
    <x v="9"/>
    <d v="1899-12-30T19:30:00"/>
    <s v="-"/>
    <d v="1899-12-30T20:00:00"/>
    <n v="733"/>
    <n v="0"/>
    <n v="0"/>
    <n v="12"/>
    <n v="0"/>
    <n v="0"/>
    <n v="0"/>
    <n v="108"/>
    <n v="52"/>
    <n v="0"/>
    <n v="0"/>
    <n v="0"/>
    <n v="0"/>
    <n v="0"/>
    <n v="0"/>
    <n v="0"/>
    <n v="0"/>
    <n v="0"/>
    <n v="0"/>
    <n v="2"/>
    <n v="0"/>
    <x v="1"/>
    <x v="9"/>
    <d v="1899-12-30T19:30:00"/>
    <d v="1899-12-30T20:00:00"/>
  </r>
  <r>
    <d v="2024-10-02T00:00:00"/>
    <n v="925"/>
    <s v="S2S Premium"/>
    <s v="P_D agostino, María"/>
    <x v="9"/>
    <d v="1899-12-30T18:00:00"/>
    <s v="-"/>
    <d v="1899-12-30T18:30:00"/>
    <n v="832"/>
    <n v="0"/>
    <n v="0"/>
    <n v="16"/>
    <n v="0"/>
    <n v="0"/>
    <n v="0"/>
    <n v="187"/>
    <n v="77"/>
    <n v="0"/>
    <n v="0"/>
    <n v="0"/>
    <n v="0"/>
    <n v="0"/>
    <n v="0"/>
    <n v="0"/>
    <n v="0"/>
    <n v="0"/>
    <n v="0"/>
    <n v="4"/>
    <n v="4"/>
    <x v="1"/>
    <x v="9"/>
    <d v="1899-12-30T18:00:00"/>
    <d v="1899-12-30T18:30:00"/>
  </r>
  <r>
    <d v="2024-10-02T00:00:00"/>
    <n v="925"/>
    <s v="S2S Premium"/>
    <s v="P_D agostino, María"/>
    <x v="9"/>
    <d v="1899-12-30T18:30:00"/>
    <s v="-"/>
    <d v="1899-12-30T19:00:00"/>
    <n v="837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"/>
    <d v="1899-12-30T18:30:00"/>
    <d v="1899-12-30T19:00:00"/>
  </r>
  <r>
    <d v="2024-10-02T00:00:00"/>
    <n v="925"/>
    <s v="S2S Premium"/>
    <s v="P_D agostino, María"/>
    <x v="9"/>
    <d v="1899-12-30T15:00:00"/>
    <s v="-"/>
    <d v="1899-12-30T15:30:00"/>
    <n v="865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n v="2"/>
    <n v="0"/>
    <x v="1"/>
    <x v="9"/>
    <d v="1899-12-30T15:00:00"/>
    <d v="1899-12-30T15:30:00"/>
  </r>
  <r>
    <d v="2024-10-02T00:00:00"/>
    <n v="925"/>
    <s v="S2S Premium"/>
    <s v="P_D agostino, María"/>
    <x v="9"/>
    <d v="1899-12-30T14:00:00"/>
    <s v="-"/>
    <d v="1899-12-30T14:30:00"/>
    <n v="880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"/>
    <d v="1899-12-30T14:00:00"/>
    <d v="1899-12-30T14:30:00"/>
  </r>
  <r>
    <d v="2024-10-02T00:00:00"/>
    <n v="925"/>
    <s v="S2S Premium"/>
    <s v="P_D agostino, María"/>
    <x v="9"/>
    <d v="1899-12-30T17:00:00"/>
    <s v="-"/>
    <d v="1899-12-30T17:30:00"/>
    <n v="952"/>
    <n v="0"/>
    <n v="0"/>
    <n v="16"/>
    <n v="0"/>
    <n v="0"/>
    <n v="0"/>
    <n v="94"/>
    <n v="66"/>
    <n v="0"/>
    <n v="0"/>
    <n v="0"/>
    <n v="0"/>
    <n v="0"/>
    <n v="0"/>
    <n v="0"/>
    <n v="0"/>
    <n v="0"/>
    <n v="0"/>
    <n v="4"/>
    <n v="2"/>
    <x v="1"/>
    <x v="9"/>
    <d v="1899-12-30T17:00:00"/>
    <d v="1899-12-30T17:30:00"/>
  </r>
  <r>
    <d v="2024-10-02T00:00:00"/>
    <n v="925"/>
    <s v="S2S Premium"/>
    <s v="P_D agostino, María"/>
    <x v="9"/>
    <d v="1899-12-30T17:30:00"/>
    <s v="-"/>
    <d v="1899-12-30T18:00:00"/>
    <n v="1024"/>
    <n v="0"/>
    <n v="0"/>
    <n v="23"/>
    <n v="0"/>
    <n v="0"/>
    <n v="0"/>
    <n v="5"/>
    <n v="53"/>
    <n v="0"/>
    <n v="0"/>
    <n v="0"/>
    <n v="0"/>
    <n v="0"/>
    <n v="0"/>
    <n v="0"/>
    <n v="0"/>
    <n v="0"/>
    <n v="0"/>
    <n v="6"/>
    <n v="6"/>
    <x v="1"/>
    <x v="9"/>
    <d v="1899-12-30T17:30:00"/>
    <d v="1899-12-30T18:00:00"/>
  </r>
  <r>
    <d v="2024-10-02T00:00:00"/>
    <n v="925"/>
    <s v="S2S Premium"/>
    <s v="P_D agostino, María"/>
    <x v="9"/>
    <d v="1899-12-30T16:00:00"/>
    <s v="-"/>
    <d v="1899-12-30T16:30:00"/>
    <n v="1097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"/>
    <d v="1899-12-30T16:00:00"/>
    <d v="1899-12-30T16:30:00"/>
  </r>
  <r>
    <d v="2024-10-02T00:00:00"/>
    <n v="925"/>
    <s v="S2S Premium"/>
    <s v="P_D agostino, María"/>
    <x v="9"/>
    <d v="1899-12-30T15:30:00"/>
    <s v="-"/>
    <d v="1899-12-30T16:00:00"/>
    <n v="1111"/>
    <n v="0"/>
    <n v="0"/>
    <n v="10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"/>
    <d v="1899-12-30T15:30:00"/>
    <d v="1899-12-30T16:00:00"/>
  </r>
  <r>
    <d v="2024-10-02T00:00:00"/>
    <n v="925"/>
    <s v="S2S Premium"/>
    <s v="P_D agostino, María"/>
    <x v="9"/>
    <d v="1899-12-30T16:30:00"/>
    <s v="-"/>
    <d v="1899-12-30T17:00:00"/>
    <n v="1354"/>
    <n v="54"/>
    <n v="0"/>
    <n v="16"/>
    <n v="0"/>
    <n v="0"/>
    <n v="0"/>
    <n v="96"/>
    <n v="0"/>
    <n v="0"/>
    <n v="0"/>
    <n v="0"/>
    <n v="0"/>
    <n v="0"/>
    <n v="0"/>
    <n v="0"/>
    <n v="0"/>
    <n v="0"/>
    <n v="0"/>
    <n v="3"/>
    <n v="2"/>
    <x v="1"/>
    <x v="9"/>
    <d v="1899-12-30T16:30:00"/>
    <d v="1899-12-30T17:00:00"/>
  </r>
  <r>
    <d v="2024-10-02T00:00:00"/>
    <n v="925"/>
    <s v="S2S Premium"/>
    <s v="P_Sotos, Enzo"/>
    <x v="1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0"/>
    <d v="1899-12-30T14:30:00"/>
    <d v="1899-12-30T15:00:00"/>
  </r>
  <r>
    <d v="2024-10-02T00:00:00"/>
    <n v="925"/>
    <s v="S2S Premium"/>
    <s v="P_Sotos, Enzo"/>
    <x v="10"/>
    <d v="1899-12-30T15:30:00"/>
    <s v="-"/>
    <d v="1899-12-30T16:00:00"/>
    <n v="41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10"/>
    <d v="1899-12-30T15:30:00"/>
    <d v="1899-12-30T16:00:00"/>
  </r>
  <r>
    <d v="2024-10-02T00:00:00"/>
    <n v="925"/>
    <s v="S2S Premium"/>
    <s v="P_Sotos, Enzo"/>
    <x v="10"/>
    <d v="1899-12-30T15:00:00"/>
    <s v="-"/>
    <d v="1899-12-30T15:30:00"/>
    <n v="517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10"/>
    <d v="1899-12-30T15:00:00"/>
    <d v="1899-12-30T15:30:00"/>
  </r>
  <r>
    <d v="2024-10-02T00:00:00"/>
    <n v="925"/>
    <s v="S2S Premium"/>
    <s v="P_Sotos, Enzo"/>
    <x v="10"/>
    <d v="1899-12-30T16:00:00"/>
    <s v="-"/>
    <d v="1899-12-30T16:30:00"/>
    <n v="537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10"/>
    <d v="1899-12-30T16:00:00"/>
    <d v="1899-12-30T16:30:00"/>
  </r>
  <r>
    <d v="2024-10-02T00:00:00"/>
    <n v="925"/>
    <s v="S2S Premium"/>
    <s v="P_Sotos, Enzo"/>
    <x v="10"/>
    <d v="1899-12-30T17:00:00"/>
    <s v="-"/>
    <d v="1899-12-30T17:30:00"/>
    <n v="697"/>
    <n v="0"/>
    <n v="0"/>
    <n v="20"/>
    <n v="0"/>
    <n v="0"/>
    <n v="0"/>
    <n v="55"/>
    <n v="0"/>
    <n v="0"/>
    <n v="0"/>
    <n v="0"/>
    <n v="0"/>
    <n v="0"/>
    <n v="0"/>
    <n v="0"/>
    <n v="0"/>
    <n v="0"/>
    <n v="0"/>
    <n v="5"/>
    <n v="4"/>
    <x v="1"/>
    <x v="10"/>
    <d v="1899-12-30T17:00:00"/>
    <d v="1899-12-30T17:30:00"/>
  </r>
  <r>
    <d v="2024-10-02T00:00:00"/>
    <n v="925"/>
    <s v="S2S Premium"/>
    <s v="P_Sotos, Enzo"/>
    <x v="10"/>
    <d v="1899-12-30T16:30:00"/>
    <s v="-"/>
    <d v="1899-12-30T17:00:00"/>
    <n v="924"/>
    <n v="54"/>
    <n v="0"/>
    <n v="28"/>
    <n v="0"/>
    <n v="0"/>
    <n v="0"/>
    <n v="172"/>
    <n v="63"/>
    <n v="0"/>
    <n v="0"/>
    <n v="0"/>
    <n v="0"/>
    <n v="0"/>
    <n v="0"/>
    <n v="0"/>
    <n v="0"/>
    <n v="0"/>
    <n v="0"/>
    <n v="8"/>
    <n v="7"/>
    <x v="1"/>
    <x v="10"/>
    <d v="1899-12-30T16:30:00"/>
    <d v="1899-12-30T17:00:00"/>
  </r>
  <r>
    <d v="2024-10-02T00:00:00"/>
    <n v="925"/>
    <s v="S2S Premium"/>
    <s v="P_DeVuono, Facundo"/>
    <x v="11"/>
    <d v="1899-12-30T15:00:00"/>
    <s v="-"/>
    <d v="1899-12-30T15:30:00"/>
    <n v="524"/>
    <n v="0"/>
    <n v="0"/>
    <n v="15"/>
    <n v="0"/>
    <n v="0"/>
    <n v="0"/>
    <n v="74"/>
    <n v="0"/>
    <n v="0"/>
    <n v="0"/>
    <n v="0"/>
    <n v="0"/>
    <n v="0"/>
    <n v="0"/>
    <n v="0"/>
    <n v="0"/>
    <n v="0"/>
    <n v="0"/>
    <n v="2"/>
    <n v="2"/>
    <x v="1"/>
    <x v="11"/>
    <d v="1899-12-30T15:00:00"/>
    <d v="1899-12-30T15:30:00"/>
  </r>
  <r>
    <d v="2024-10-02T00:00:00"/>
    <n v="925"/>
    <s v="S2S Premium"/>
    <s v="P_DeVuono, Facundo"/>
    <x v="11"/>
    <d v="1899-12-30T15:30:00"/>
    <s v="-"/>
    <d v="1899-12-30T16:00:00"/>
    <n v="596"/>
    <n v="0"/>
    <n v="0"/>
    <n v="12"/>
    <n v="0"/>
    <n v="0"/>
    <n v="0"/>
    <n v="154"/>
    <n v="0"/>
    <n v="0"/>
    <n v="0"/>
    <n v="0"/>
    <n v="0"/>
    <n v="0"/>
    <n v="0"/>
    <n v="0"/>
    <n v="0"/>
    <n v="0"/>
    <n v="0"/>
    <n v="4"/>
    <n v="4"/>
    <x v="1"/>
    <x v="11"/>
    <d v="1899-12-30T15:30:00"/>
    <d v="1899-12-30T16:00:00"/>
  </r>
  <r>
    <d v="2024-10-02T00:00:00"/>
    <n v="925"/>
    <s v="S2S Premium"/>
    <s v="P_DeVuono, Facundo"/>
    <x v="11"/>
    <d v="1899-12-30T17:00:00"/>
    <s v="-"/>
    <d v="1899-12-30T17:30:00"/>
    <n v="596"/>
    <n v="0"/>
    <n v="0"/>
    <n v="12"/>
    <n v="0"/>
    <n v="0"/>
    <n v="0"/>
    <n v="239"/>
    <n v="0"/>
    <n v="0"/>
    <n v="0"/>
    <n v="0"/>
    <n v="0"/>
    <n v="0"/>
    <n v="0"/>
    <n v="0"/>
    <n v="0"/>
    <n v="0"/>
    <n v="0"/>
    <n v="4"/>
    <n v="4"/>
    <x v="1"/>
    <x v="11"/>
    <d v="1899-12-30T17:00:00"/>
    <d v="1899-12-30T17:30:00"/>
  </r>
  <r>
    <d v="2024-10-02T00:00:00"/>
    <n v="925"/>
    <s v="S2S Premium"/>
    <s v="P_DeVuono, Facundo"/>
    <x v="11"/>
    <d v="1899-12-30T16:00:00"/>
    <s v="-"/>
    <d v="1899-12-30T16:30:00"/>
    <n v="840"/>
    <n v="0"/>
    <n v="0"/>
    <n v="16"/>
    <n v="0"/>
    <n v="0"/>
    <n v="0"/>
    <n v="41"/>
    <n v="0"/>
    <n v="0"/>
    <n v="0"/>
    <n v="0"/>
    <n v="0"/>
    <n v="0"/>
    <n v="0"/>
    <n v="0"/>
    <n v="0"/>
    <n v="0"/>
    <n v="0"/>
    <n v="3"/>
    <n v="3"/>
    <x v="1"/>
    <x v="11"/>
    <d v="1899-12-30T16:00:00"/>
    <d v="1899-12-30T16:30:00"/>
  </r>
  <r>
    <d v="2024-10-02T00:00:00"/>
    <n v="925"/>
    <s v="S2S Premium"/>
    <s v="P_DeVuono, Facundo"/>
    <x v="11"/>
    <d v="1899-12-30T16:30:00"/>
    <s v="-"/>
    <d v="1899-12-30T17:00:00"/>
    <n v="870"/>
    <n v="0"/>
    <n v="0"/>
    <n v="12"/>
    <n v="0"/>
    <n v="0"/>
    <n v="0"/>
    <n v="659"/>
    <n v="0"/>
    <n v="0"/>
    <n v="0"/>
    <n v="0"/>
    <n v="0"/>
    <n v="0"/>
    <n v="0"/>
    <n v="0"/>
    <n v="0"/>
    <n v="0"/>
    <n v="0"/>
    <n v="3"/>
    <n v="3"/>
    <x v="1"/>
    <x v="11"/>
    <d v="1899-12-30T16:30:00"/>
    <d v="1899-12-30T17:00:00"/>
  </r>
  <r>
    <d v="2024-10-02T00:00:00"/>
    <n v="925"/>
    <s v="S2S Premium"/>
    <s v="P_Manfredi, Melina"/>
    <x v="1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2"/>
    <d v="1899-12-30T14:30:00"/>
    <d v="1899-12-30T15:00:00"/>
  </r>
  <r>
    <d v="2024-10-02T00:00:00"/>
    <n v="925"/>
    <s v="S2S Premium"/>
    <s v="P_Manfredi, Melina"/>
    <x v="12"/>
    <d v="1899-12-30T15:00:00"/>
    <s v="-"/>
    <d v="1899-12-30T15:30:00"/>
    <n v="442"/>
    <n v="0"/>
    <n v="0"/>
    <n v="23"/>
    <n v="0"/>
    <n v="0"/>
    <n v="0"/>
    <n v="36"/>
    <n v="0"/>
    <n v="0"/>
    <n v="0"/>
    <n v="0"/>
    <n v="0"/>
    <n v="0"/>
    <n v="0"/>
    <n v="0"/>
    <n v="0"/>
    <n v="0"/>
    <n v="0"/>
    <n v="5"/>
    <n v="3"/>
    <x v="1"/>
    <x v="12"/>
    <d v="1899-12-30T15:00:00"/>
    <d v="1899-12-30T15:30:00"/>
  </r>
  <r>
    <d v="2024-10-02T00:00:00"/>
    <n v="925"/>
    <s v="S2S Premium"/>
    <s v="P_Manfredi, Melina"/>
    <x v="12"/>
    <d v="1899-12-30T15:30:00"/>
    <s v="-"/>
    <d v="1899-12-30T16:00:00"/>
    <n v="572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4"/>
    <n v="0"/>
    <x v="1"/>
    <x v="12"/>
    <d v="1899-12-30T15:30:00"/>
    <d v="1899-12-30T16:00:00"/>
  </r>
  <r>
    <d v="2024-10-02T00:00:00"/>
    <n v="925"/>
    <s v="S2S Premium"/>
    <s v="P_Manfredi, Melina"/>
    <x v="12"/>
    <d v="1899-12-30T18:00:00"/>
    <s v="-"/>
    <d v="1899-12-30T18:30:00"/>
    <n v="642"/>
    <n v="0"/>
    <n v="0"/>
    <n v="12"/>
    <n v="0"/>
    <n v="0"/>
    <n v="0"/>
    <n v="140"/>
    <n v="115"/>
    <n v="0"/>
    <n v="0"/>
    <n v="0"/>
    <n v="0"/>
    <n v="0"/>
    <n v="0"/>
    <n v="0"/>
    <n v="0"/>
    <n v="0"/>
    <n v="0"/>
    <n v="3"/>
    <n v="3"/>
    <x v="1"/>
    <x v="12"/>
    <d v="1899-12-30T18:00:00"/>
    <d v="1899-12-30T18:30:00"/>
  </r>
  <r>
    <d v="2024-10-02T00:00:00"/>
    <n v="925"/>
    <s v="S2S Premium"/>
    <s v="P_Manfredi, Melina"/>
    <x v="12"/>
    <d v="1899-12-30T19:30:00"/>
    <s v="-"/>
    <d v="1899-12-30T20:00:00"/>
    <n v="727"/>
    <n v="0"/>
    <n v="0"/>
    <n v="22"/>
    <n v="0"/>
    <n v="0"/>
    <n v="0"/>
    <n v="84"/>
    <n v="75"/>
    <n v="0"/>
    <n v="0"/>
    <n v="0"/>
    <n v="0"/>
    <n v="0"/>
    <n v="0"/>
    <n v="0"/>
    <n v="0"/>
    <n v="0"/>
    <n v="0"/>
    <n v="6"/>
    <n v="6"/>
    <x v="1"/>
    <x v="12"/>
    <d v="1899-12-30T19:30:00"/>
    <d v="1899-12-30T20:00:00"/>
  </r>
  <r>
    <d v="2024-10-02T00:00:00"/>
    <n v="925"/>
    <s v="S2S Premium"/>
    <s v="P_Manfredi, Melina"/>
    <x v="12"/>
    <d v="1899-12-30T19:00:00"/>
    <s v="-"/>
    <d v="1899-12-30T19:30:00"/>
    <n v="727"/>
    <n v="0"/>
    <n v="0"/>
    <n v="16"/>
    <n v="0"/>
    <n v="0"/>
    <n v="0"/>
    <n v="253"/>
    <n v="209"/>
    <n v="0"/>
    <n v="0"/>
    <n v="0"/>
    <n v="0"/>
    <n v="0"/>
    <n v="0"/>
    <n v="0"/>
    <n v="0"/>
    <n v="0"/>
    <n v="0"/>
    <n v="5"/>
    <n v="5"/>
    <x v="1"/>
    <x v="12"/>
    <d v="1899-12-30T19:00:00"/>
    <d v="1899-12-30T19:30:00"/>
  </r>
  <r>
    <d v="2024-10-02T00:00:00"/>
    <n v="925"/>
    <s v="S2S Premium"/>
    <s v="P_Manfredi, Melina"/>
    <x v="12"/>
    <d v="1899-12-30T18:30:00"/>
    <s v="-"/>
    <d v="1899-12-30T19:00:00"/>
    <n v="838"/>
    <n v="0"/>
    <n v="0"/>
    <n v="20"/>
    <n v="0"/>
    <n v="0"/>
    <n v="0"/>
    <n v="297"/>
    <n v="0"/>
    <n v="0"/>
    <n v="0"/>
    <n v="0"/>
    <n v="0"/>
    <n v="0"/>
    <n v="0"/>
    <n v="0"/>
    <n v="0"/>
    <n v="0"/>
    <n v="0"/>
    <n v="4"/>
    <n v="2"/>
    <x v="1"/>
    <x v="12"/>
    <d v="1899-12-30T18:30:00"/>
    <d v="1899-12-30T19:00:00"/>
  </r>
  <r>
    <d v="2024-10-02T00:00:00"/>
    <n v="924"/>
    <s v="S2S No Premium"/>
    <s v="N2m_Cubilla Marlene"/>
    <x v="13"/>
    <d v="1899-12-30T14:00:00"/>
    <s v="-"/>
    <d v="1899-12-30T14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13"/>
    <d v="1899-12-30T14:00:00"/>
    <d v="1899-12-30T14:30:00"/>
  </r>
  <r>
    <d v="2024-10-02T00:00:00"/>
    <n v="925"/>
    <s v="S2S Premium"/>
    <s v="P_Gilles, Morena"/>
    <x v="14"/>
    <d v="1899-12-30T15:00:00"/>
    <s v="-"/>
    <d v="1899-12-30T15:30:00"/>
    <n v="587"/>
    <n v="0"/>
    <n v="0"/>
    <n v="9"/>
    <n v="0"/>
    <n v="0"/>
    <n v="0"/>
    <n v="33"/>
    <n v="0"/>
    <n v="0"/>
    <n v="0"/>
    <n v="0"/>
    <n v="0"/>
    <n v="0"/>
    <n v="0"/>
    <n v="0"/>
    <n v="0"/>
    <n v="0"/>
    <n v="0"/>
    <n v="2"/>
    <n v="2"/>
    <x v="1"/>
    <x v="14"/>
    <d v="1899-12-30T15:00:00"/>
    <d v="1899-12-30T15:30:00"/>
  </r>
  <r>
    <d v="2024-10-02T00:00:00"/>
    <n v="925"/>
    <s v="S2S Premium"/>
    <s v="P_Gilles, Morena"/>
    <x v="14"/>
    <d v="1899-12-30T14:00:00"/>
    <s v="-"/>
    <d v="1899-12-30T14:30:00"/>
    <n v="657"/>
    <n v="0"/>
    <n v="0"/>
    <n v="24"/>
    <n v="0"/>
    <n v="0"/>
    <n v="0"/>
    <n v="2"/>
    <n v="0"/>
    <n v="0"/>
    <n v="0"/>
    <n v="0"/>
    <n v="0"/>
    <n v="0"/>
    <n v="0"/>
    <n v="0"/>
    <n v="0"/>
    <n v="0"/>
    <n v="0"/>
    <n v="4"/>
    <n v="3"/>
    <x v="1"/>
    <x v="14"/>
    <d v="1899-12-30T14:00:00"/>
    <d v="1899-12-30T14:30:00"/>
  </r>
  <r>
    <d v="2024-10-02T00:00:00"/>
    <n v="925"/>
    <s v="S2S Premium"/>
    <s v="P_Gilles, Morena"/>
    <x v="14"/>
    <d v="1899-12-30T14:30:00"/>
    <s v="-"/>
    <d v="1899-12-30T15:00:00"/>
    <n v="803"/>
    <n v="0"/>
    <n v="0"/>
    <n v="15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14"/>
    <d v="1899-12-30T14:30:00"/>
    <d v="1899-12-30T15:00:00"/>
  </r>
  <r>
    <d v="2024-10-02T00:00:00"/>
    <n v="925"/>
    <s v="S2S Premium"/>
    <s v="P_Martinez Ignac"/>
    <x v="1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5"/>
    <d v="1899-12-30T15:00:00"/>
    <d v="1899-12-30T15:30:00"/>
  </r>
  <r>
    <d v="2024-10-02T00:00:00"/>
    <n v="925"/>
    <s v="S2S Premium"/>
    <s v="P_Martinez Ignac"/>
    <x v="15"/>
    <d v="1899-12-30T14:30:00"/>
    <s v="-"/>
    <d v="1899-12-30T15:00:00"/>
    <n v="172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1"/>
    <n v="1"/>
    <x v="1"/>
    <x v="15"/>
    <d v="1899-12-30T14:30:00"/>
    <d v="1899-12-30T15:00:00"/>
  </r>
  <r>
    <d v="2024-10-02T00:00:00"/>
    <n v="925"/>
    <s v="S2S Premium"/>
    <s v="P_Martinez Ignac"/>
    <x v="15"/>
    <d v="1899-12-30T14:00:00"/>
    <s v="-"/>
    <d v="1899-12-30T14:30:00"/>
    <n v="1077"/>
    <n v="0"/>
    <n v="0"/>
    <n v="11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15"/>
    <d v="1899-12-30T14:00:00"/>
    <d v="1899-12-30T14:30:00"/>
  </r>
  <r>
    <d v="2024-10-02T00:00:00"/>
    <n v="924"/>
    <s v="S2S No Premium"/>
    <s v="N2m_Solis Melina"/>
    <x v="16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6"/>
    <d v="1899-12-30T15:30:00"/>
    <d v="1899-12-30T16:00:00"/>
  </r>
  <r>
    <d v="2024-10-02T00:00:00"/>
    <n v="924"/>
    <s v="S2S No Premium"/>
    <s v="N2m_Solis Melina"/>
    <x v="16"/>
    <d v="1899-12-30T19:30:00"/>
    <s v="-"/>
    <d v="1899-12-30T20:00:00"/>
    <n v="530"/>
    <n v="0"/>
    <n v="0"/>
    <n v="15"/>
    <n v="0"/>
    <n v="0"/>
    <n v="0"/>
    <n v="116"/>
    <n v="73"/>
    <n v="0"/>
    <n v="0"/>
    <n v="0"/>
    <n v="0"/>
    <n v="0"/>
    <n v="0"/>
    <n v="0"/>
    <n v="0"/>
    <n v="0"/>
    <n v="0"/>
    <n v="4"/>
    <n v="4"/>
    <x v="0"/>
    <x v="16"/>
    <d v="1899-12-30T19:30:00"/>
    <d v="1899-12-30T20:00:00"/>
  </r>
  <r>
    <d v="2024-10-02T00:00:00"/>
    <n v="924"/>
    <s v="S2S No Premium"/>
    <s v="N2m_Solis Melina"/>
    <x v="16"/>
    <d v="1899-12-30T18:30:00"/>
    <s v="-"/>
    <d v="1899-12-30T19:00:00"/>
    <n v="652"/>
    <n v="131"/>
    <n v="0"/>
    <n v="15"/>
    <n v="0"/>
    <n v="0"/>
    <n v="0"/>
    <n v="43"/>
    <n v="0"/>
    <n v="0"/>
    <n v="0"/>
    <n v="0"/>
    <n v="0"/>
    <n v="0"/>
    <n v="0"/>
    <n v="0"/>
    <n v="0"/>
    <n v="0"/>
    <n v="0"/>
    <n v="4"/>
    <n v="3"/>
    <x v="0"/>
    <x v="16"/>
    <d v="1899-12-30T18:30:00"/>
    <d v="1899-12-30T19:00:00"/>
  </r>
  <r>
    <d v="2024-10-02T00:00:00"/>
    <n v="924"/>
    <s v="S2S No Premium"/>
    <s v="N2m_Solis Melina"/>
    <x v="16"/>
    <d v="1899-12-30T19:00:00"/>
    <s v="-"/>
    <d v="1899-12-30T19:30:00"/>
    <n v="853"/>
    <n v="168"/>
    <n v="0"/>
    <n v="15"/>
    <n v="0"/>
    <n v="0"/>
    <n v="0"/>
    <n v="150"/>
    <n v="0"/>
    <n v="0"/>
    <n v="0"/>
    <n v="0"/>
    <n v="0"/>
    <n v="0"/>
    <n v="0"/>
    <n v="0"/>
    <n v="0"/>
    <n v="0"/>
    <n v="0"/>
    <n v="3"/>
    <n v="2"/>
    <x v="0"/>
    <x v="16"/>
    <d v="1899-12-30T19:00:00"/>
    <d v="1899-12-30T19:30:00"/>
  </r>
  <r>
    <d v="2024-10-02T00:00:00"/>
    <n v="924"/>
    <s v="S2S No Premium"/>
    <s v="N2m_Solis Melina"/>
    <x v="16"/>
    <d v="1899-12-30T17:00:00"/>
    <s v="-"/>
    <d v="1899-12-30T17:30:00"/>
    <n v="923"/>
    <n v="278"/>
    <n v="0"/>
    <n v="26"/>
    <n v="0"/>
    <n v="0"/>
    <n v="0"/>
    <n v="289"/>
    <n v="0"/>
    <n v="0"/>
    <n v="0"/>
    <n v="0"/>
    <n v="0"/>
    <n v="0"/>
    <n v="0"/>
    <n v="0"/>
    <n v="0"/>
    <n v="0"/>
    <n v="0"/>
    <n v="7"/>
    <n v="7"/>
    <x v="0"/>
    <x v="16"/>
    <d v="1899-12-30T17:00:00"/>
    <d v="1899-12-30T17:30:00"/>
  </r>
  <r>
    <d v="2024-10-02T00:00:00"/>
    <n v="924"/>
    <s v="S2S No Premium"/>
    <s v="N2m_Solis Melina"/>
    <x v="16"/>
    <d v="1899-12-30T17:30:00"/>
    <s v="-"/>
    <d v="1899-12-30T18:00:00"/>
    <n v="1161"/>
    <n v="132"/>
    <n v="0"/>
    <n v="16"/>
    <n v="0"/>
    <n v="0"/>
    <n v="0"/>
    <n v="126"/>
    <n v="65"/>
    <n v="0"/>
    <n v="0"/>
    <n v="0"/>
    <n v="0"/>
    <n v="0"/>
    <n v="0"/>
    <n v="0"/>
    <n v="0"/>
    <n v="0"/>
    <n v="0"/>
    <n v="4"/>
    <n v="4"/>
    <x v="0"/>
    <x v="16"/>
    <d v="1899-12-30T17:30:00"/>
    <d v="1899-12-30T18:00:00"/>
  </r>
  <r>
    <d v="2024-10-02T00:00:00"/>
    <n v="924"/>
    <s v="S2S No Premium"/>
    <s v="N2m_Solis Melina"/>
    <x v="16"/>
    <d v="1899-12-30T18:00:00"/>
    <s v="-"/>
    <d v="1899-12-30T18:30:00"/>
    <n v="1221"/>
    <n v="262"/>
    <n v="0"/>
    <n v="18"/>
    <n v="0"/>
    <n v="0"/>
    <n v="0"/>
    <n v="53"/>
    <n v="0"/>
    <n v="0"/>
    <n v="0"/>
    <n v="0"/>
    <n v="0"/>
    <n v="0"/>
    <n v="0"/>
    <n v="0"/>
    <n v="0"/>
    <n v="0"/>
    <n v="0"/>
    <n v="6"/>
    <n v="6"/>
    <x v="0"/>
    <x v="16"/>
    <d v="1899-12-30T18:00:00"/>
    <d v="1899-12-30T18:30:00"/>
  </r>
  <r>
    <d v="2024-10-02T00:00:00"/>
    <n v="924"/>
    <s v="S2S No Premium"/>
    <s v="N2m_Solis Melina"/>
    <x v="16"/>
    <d v="1899-12-30T16:00:00"/>
    <s v="-"/>
    <d v="1899-12-30T16:30:00"/>
    <n v="1279"/>
    <n v="0"/>
    <n v="0"/>
    <n v="25"/>
    <n v="0"/>
    <n v="0"/>
    <n v="0"/>
    <n v="6"/>
    <n v="0"/>
    <n v="0"/>
    <n v="0"/>
    <n v="0"/>
    <n v="0"/>
    <n v="0"/>
    <n v="0"/>
    <n v="0"/>
    <n v="0"/>
    <n v="0"/>
    <n v="0"/>
    <n v="5"/>
    <n v="5"/>
    <x v="0"/>
    <x v="16"/>
    <d v="1899-12-30T16:00:00"/>
    <d v="1899-12-30T16:30:00"/>
  </r>
  <r>
    <d v="2024-10-02T00:00:00"/>
    <n v="924"/>
    <s v="S2S No Premium"/>
    <s v="N2m_Solis Melina"/>
    <x v="16"/>
    <d v="1899-12-30T16:30:00"/>
    <s v="-"/>
    <d v="1899-12-30T17:00:00"/>
    <n v="1307"/>
    <n v="93"/>
    <n v="0"/>
    <n v="12"/>
    <n v="0"/>
    <n v="0"/>
    <n v="0"/>
    <n v="57"/>
    <n v="0"/>
    <n v="0"/>
    <n v="0"/>
    <n v="0"/>
    <n v="0"/>
    <n v="0"/>
    <n v="0"/>
    <n v="0"/>
    <n v="0"/>
    <n v="0"/>
    <n v="0"/>
    <n v="3"/>
    <n v="2"/>
    <x v="0"/>
    <x v="16"/>
    <d v="1899-12-30T16:30:00"/>
    <d v="1899-12-30T17:00:00"/>
  </r>
  <r>
    <d v="2024-10-02T00:00:00"/>
    <n v="925"/>
    <s v="S2S Premium"/>
    <s v="Pm_Cuellar, Joel"/>
    <x v="1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17"/>
    <d v="1899-12-30T15:00:00"/>
    <d v="1899-12-30T15:30:00"/>
  </r>
  <r>
    <d v="2024-10-02T00:00:00"/>
    <n v="925"/>
    <s v="S2S Premium"/>
    <s v="Pm_Cuellar, Joel"/>
    <x v="17"/>
    <d v="1899-12-30T14:30:00"/>
    <s v="-"/>
    <d v="1899-12-30T15:00:00"/>
    <n v="568"/>
    <n v="0"/>
    <n v="0"/>
    <n v="8"/>
    <n v="0"/>
    <n v="0"/>
    <n v="0"/>
    <n v="4"/>
    <n v="0"/>
    <n v="0"/>
    <n v="0"/>
    <n v="0"/>
    <n v="0"/>
    <n v="0"/>
    <n v="0"/>
    <n v="0"/>
    <n v="0"/>
    <n v="0"/>
    <n v="0"/>
    <n v="3"/>
    <n v="3"/>
    <x v="1"/>
    <x v="17"/>
    <d v="1899-12-30T14:30:00"/>
    <d v="1899-12-30T15:00:00"/>
  </r>
  <r>
    <d v="2024-10-02T00:00:00"/>
    <n v="925"/>
    <s v="S2S Premium"/>
    <s v="Pm_Cuellar, Joel"/>
    <x v="17"/>
    <d v="1899-12-30T14:00:00"/>
    <s v="-"/>
    <d v="1899-12-30T14:30:00"/>
    <n v="914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17"/>
    <d v="1899-12-30T14:00:00"/>
    <d v="1899-12-30T14:30:00"/>
  </r>
  <r>
    <d v="2024-10-02T00:00:00"/>
    <n v="925"/>
    <s v="S2S Premium"/>
    <s v="P_Fraga, Nicolas"/>
    <x v="18"/>
    <d v="1899-12-30T15:30:00"/>
    <s v="-"/>
    <d v="1899-12-30T16:00:00"/>
    <n v="135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18"/>
    <d v="1899-12-30T15:30:00"/>
    <d v="1899-12-30T16:00:00"/>
  </r>
  <r>
    <d v="2024-10-02T00:00:00"/>
    <n v="925"/>
    <s v="S2S Premium"/>
    <s v="P_Fraga, Nicolas"/>
    <x v="18"/>
    <d v="1899-12-30T16:00:00"/>
    <s v="-"/>
    <d v="1899-12-30T16:30:00"/>
    <n v="776"/>
    <n v="0"/>
    <n v="0"/>
    <n v="12"/>
    <n v="0"/>
    <n v="0"/>
    <n v="0"/>
    <n v="30"/>
    <n v="0"/>
    <n v="0"/>
    <n v="0"/>
    <n v="0"/>
    <n v="0"/>
    <n v="0"/>
    <n v="0"/>
    <n v="0"/>
    <n v="0"/>
    <n v="0"/>
    <n v="0"/>
    <n v="3"/>
    <n v="3"/>
    <x v="1"/>
    <x v="18"/>
    <d v="1899-12-30T16:00:00"/>
    <d v="1899-12-30T16:30:00"/>
  </r>
  <r>
    <d v="2024-10-02T00:00:00"/>
    <n v="925"/>
    <s v="S2S Premium"/>
    <s v="P_Fraga, Nicolas"/>
    <x v="18"/>
    <d v="1899-12-30T14:00:00"/>
    <s v="-"/>
    <d v="1899-12-30T14:30:00"/>
    <n v="805"/>
    <n v="0"/>
    <n v="0"/>
    <n v="18"/>
    <n v="0"/>
    <n v="0"/>
    <n v="0"/>
    <n v="110"/>
    <n v="104"/>
    <n v="0"/>
    <n v="0"/>
    <n v="0"/>
    <n v="0"/>
    <n v="0"/>
    <n v="0"/>
    <n v="0"/>
    <n v="0"/>
    <n v="0"/>
    <n v="0"/>
    <n v="3"/>
    <n v="2"/>
    <x v="1"/>
    <x v="18"/>
    <d v="1899-12-30T14:00:00"/>
    <d v="1899-12-30T14:30:00"/>
  </r>
  <r>
    <d v="2024-10-02T00:00:00"/>
    <n v="925"/>
    <s v="S2S Premium"/>
    <s v="P_Fraga, Nicolas"/>
    <x v="18"/>
    <d v="1899-12-30T15:00:00"/>
    <s v="-"/>
    <d v="1899-12-30T15:30:00"/>
    <n v="839"/>
    <n v="0"/>
    <n v="0"/>
    <n v="17"/>
    <n v="0"/>
    <n v="0"/>
    <n v="0"/>
    <n v="113"/>
    <n v="58"/>
    <n v="0"/>
    <n v="0"/>
    <n v="0"/>
    <n v="0"/>
    <n v="0"/>
    <n v="0"/>
    <n v="0"/>
    <n v="0"/>
    <n v="0"/>
    <n v="0"/>
    <n v="4"/>
    <n v="3"/>
    <x v="1"/>
    <x v="18"/>
    <d v="1899-12-30T15:00:00"/>
    <d v="1899-12-30T15:30:00"/>
  </r>
  <r>
    <d v="2024-10-02T00:00:00"/>
    <n v="925"/>
    <s v="S2S Premium"/>
    <s v="P_Fraga, Nicolas"/>
    <x v="18"/>
    <d v="1899-12-30T17:00:00"/>
    <s v="-"/>
    <d v="1899-12-30T17:30:00"/>
    <n v="902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2"/>
    <x v="1"/>
    <x v="18"/>
    <d v="1899-12-30T17:00:00"/>
    <d v="1899-12-30T17:30:00"/>
  </r>
  <r>
    <d v="2024-10-02T00:00:00"/>
    <n v="925"/>
    <s v="S2S Premium"/>
    <s v="P_Fraga, Nicolas"/>
    <x v="18"/>
    <d v="1899-12-30T16:30:00"/>
    <s v="-"/>
    <d v="1899-12-30T17:00:00"/>
    <n v="1142"/>
    <n v="0"/>
    <n v="0"/>
    <n v="24"/>
    <n v="0"/>
    <n v="0"/>
    <n v="0"/>
    <n v="75"/>
    <n v="0"/>
    <n v="0"/>
    <n v="0"/>
    <n v="0"/>
    <n v="0"/>
    <n v="0"/>
    <n v="0"/>
    <n v="0"/>
    <n v="0"/>
    <n v="0"/>
    <n v="0"/>
    <n v="6"/>
    <n v="5"/>
    <x v="1"/>
    <x v="18"/>
    <d v="1899-12-30T16:30:00"/>
    <d v="1899-12-30T17:00:00"/>
  </r>
  <r>
    <d v="2024-10-02T00:00:00"/>
    <n v="925"/>
    <s v="S2S Premium"/>
    <s v="P_Fraga, Nicolas"/>
    <x v="18"/>
    <d v="1899-12-30T14:30:00"/>
    <s v="-"/>
    <d v="1899-12-30T15:00:00"/>
    <n v="1194"/>
    <n v="0"/>
    <n v="0"/>
    <n v="8"/>
    <n v="0"/>
    <n v="0"/>
    <n v="0"/>
    <n v="112"/>
    <n v="0"/>
    <n v="0"/>
    <n v="0"/>
    <n v="0"/>
    <n v="0"/>
    <n v="0"/>
    <n v="0"/>
    <n v="0"/>
    <n v="0"/>
    <n v="0"/>
    <n v="0"/>
    <n v="2"/>
    <n v="2"/>
    <x v="1"/>
    <x v="18"/>
    <d v="1899-12-30T14:30:00"/>
    <d v="1899-12-30T15:00:00"/>
  </r>
  <r>
    <d v="2024-10-02T00:00:00"/>
    <n v="924"/>
    <s v="S2S No Premium"/>
    <s v="N2m_Zapata Martina"/>
    <x v="19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19"/>
    <d v="1899-12-30T19:00:00"/>
    <d v="1899-12-30T19:30:00"/>
  </r>
  <r>
    <d v="2024-10-02T00:00:00"/>
    <n v="924"/>
    <s v="S2S No Premium"/>
    <s v="N2m_Zapata Martina"/>
    <x v="19"/>
    <d v="1899-12-30T19:30:00"/>
    <s v="-"/>
    <d v="1899-12-30T20:00:00"/>
    <n v="65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19"/>
    <d v="1899-12-30T19:30:00"/>
    <d v="1899-12-30T20:00:00"/>
  </r>
  <r>
    <d v="2024-10-02T00:00:00"/>
    <n v="924"/>
    <s v="S2S No Premium"/>
    <s v="N2m_Zapata Martina"/>
    <x v="19"/>
    <d v="1899-12-30T15:00:00"/>
    <s v="-"/>
    <d v="1899-12-30T15:30:00"/>
    <n v="757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19"/>
    <d v="1899-12-30T15:00:00"/>
    <d v="1899-12-30T15:30:00"/>
  </r>
  <r>
    <d v="2024-10-02T00:00:00"/>
    <n v="924"/>
    <s v="S2S No Premium"/>
    <s v="N2m_Zapata Martina"/>
    <x v="19"/>
    <d v="1899-12-30T18:30:00"/>
    <s v="-"/>
    <d v="1899-12-30T19:00:00"/>
    <n v="814"/>
    <n v="88"/>
    <n v="0"/>
    <n v="16"/>
    <n v="0"/>
    <n v="0"/>
    <n v="0"/>
    <n v="13"/>
    <n v="10"/>
    <n v="0"/>
    <n v="0"/>
    <n v="0"/>
    <n v="0"/>
    <n v="0"/>
    <n v="0"/>
    <n v="0"/>
    <n v="0"/>
    <n v="0"/>
    <n v="0"/>
    <n v="5"/>
    <n v="3"/>
    <x v="0"/>
    <x v="19"/>
    <d v="1899-12-30T18:30:00"/>
    <d v="1899-12-30T19:00:00"/>
  </r>
  <r>
    <d v="2024-10-02T00:00:00"/>
    <n v="924"/>
    <s v="S2S No Premium"/>
    <s v="N2m_Zapata Martina"/>
    <x v="19"/>
    <d v="1899-12-30T18:00:00"/>
    <s v="-"/>
    <d v="1899-12-30T18:30:00"/>
    <n v="99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19"/>
    <d v="1899-12-30T18:00:00"/>
    <d v="1899-12-30T18:30:00"/>
  </r>
  <r>
    <d v="2024-10-02T00:00:00"/>
    <n v="924"/>
    <s v="S2S No Premium"/>
    <s v="N2m_Zapata Martina"/>
    <x v="19"/>
    <d v="1899-12-30T15:30:00"/>
    <s v="-"/>
    <d v="1899-12-30T16:00:00"/>
    <n v="999"/>
    <n v="0"/>
    <n v="0"/>
    <n v="21"/>
    <n v="0"/>
    <n v="0"/>
    <n v="0"/>
    <n v="2"/>
    <n v="0"/>
    <n v="0"/>
    <n v="0"/>
    <n v="0"/>
    <n v="0"/>
    <n v="0"/>
    <n v="0"/>
    <n v="0"/>
    <n v="0"/>
    <n v="0"/>
    <n v="0"/>
    <n v="5"/>
    <n v="2"/>
    <x v="0"/>
    <x v="19"/>
    <d v="1899-12-30T15:30:00"/>
    <d v="1899-12-30T16:00:00"/>
  </r>
  <r>
    <d v="2024-10-02T00:00:00"/>
    <n v="924"/>
    <s v="S2S No Premium"/>
    <s v="N2m_Zapata Martina"/>
    <x v="19"/>
    <d v="1899-12-30T17:00:00"/>
    <s v="-"/>
    <d v="1899-12-30T17:30:00"/>
    <n v="1176"/>
    <n v="0"/>
    <n v="0"/>
    <n v="28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19"/>
    <d v="1899-12-30T17:00:00"/>
    <d v="1899-12-30T17:30:00"/>
  </r>
  <r>
    <d v="2024-10-02T00:00:00"/>
    <n v="924"/>
    <s v="S2S No Premium"/>
    <s v="N2m_Zapata Martina"/>
    <x v="19"/>
    <d v="1899-12-30T17:30:00"/>
    <s v="-"/>
    <d v="1899-12-30T18:00:00"/>
    <n v="1206"/>
    <n v="12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19"/>
    <d v="1899-12-30T17:30:00"/>
    <d v="1899-12-30T18:00:00"/>
  </r>
  <r>
    <d v="2024-10-02T00:00:00"/>
    <n v="924"/>
    <s v="S2S No Premium"/>
    <s v="N2m_Zapata Martina"/>
    <x v="19"/>
    <d v="1899-12-30T16:00:00"/>
    <s v="-"/>
    <d v="1899-12-30T16:30:00"/>
    <n v="1278"/>
    <n v="0"/>
    <n v="0"/>
    <n v="22"/>
    <n v="0"/>
    <n v="0"/>
    <n v="0"/>
    <n v="36"/>
    <n v="0"/>
    <n v="0"/>
    <n v="0"/>
    <n v="0"/>
    <n v="0"/>
    <n v="0"/>
    <n v="0"/>
    <n v="0"/>
    <n v="0"/>
    <n v="0"/>
    <n v="0"/>
    <n v="5"/>
    <n v="3"/>
    <x v="0"/>
    <x v="19"/>
    <d v="1899-12-30T16:00:00"/>
    <d v="1899-12-30T16:30:00"/>
  </r>
  <r>
    <d v="2024-10-02T00:00:00"/>
    <n v="924"/>
    <s v="S2S No Premium"/>
    <s v="N2m_Zapata Martina"/>
    <x v="19"/>
    <d v="1899-12-30T16:30:00"/>
    <s v="-"/>
    <d v="1899-12-30T17:00:00"/>
    <n v="1305"/>
    <n v="0"/>
    <n v="0"/>
    <n v="24"/>
    <n v="0"/>
    <n v="0"/>
    <n v="0"/>
    <n v="6"/>
    <n v="0"/>
    <n v="0"/>
    <n v="0"/>
    <n v="0"/>
    <n v="0"/>
    <n v="0"/>
    <n v="0"/>
    <n v="0"/>
    <n v="0"/>
    <n v="0"/>
    <n v="0"/>
    <n v="7"/>
    <n v="4"/>
    <x v="0"/>
    <x v="19"/>
    <d v="1899-12-30T16:30:00"/>
    <d v="1899-12-30T17:00:00"/>
  </r>
  <r>
    <d v="2024-10-02T00:00:00"/>
    <n v="924"/>
    <s v="S2S No Premium"/>
    <s v="N2_Frias, Brenda"/>
    <x v="20"/>
    <d v="1899-12-30T15:00:00"/>
    <s v="-"/>
    <d v="1899-12-30T15:30:00"/>
    <n v="11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20"/>
    <d v="1899-12-30T15:00:00"/>
    <d v="1899-12-30T15:30:00"/>
  </r>
  <r>
    <d v="2024-10-02T00:00:00"/>
    <n v="924"/>
    <s v="S2S No Premium"/>
    <s v="N2_Frias, Brenda"/>
    <x v="20"/>
    <d v="1899-12-30T14:30:00"/>
    <s v="-"/>
    <d v="1899-12-30T15:00:00"/>
    <n v="531"/>
    <n v="0"/>
    <n v="0"/>
    <n v="13"/>
    <n v="0"/>
    <n v="0"/>
    <n v="0"/>
    <n v="535"/>
    <n v="0"/>
    <n v="0"/>
    <n v="0"/>
    <n v="0"/>
    <n v="0"/>
    <n v="0"/>
    <n v="0"/>
    <n v="0"/>
    <n v="0"/>
    <n v="0"/>
    <n v="0"/>
    <n v="2"/>
    <n v="2"/>
    <x v="0"/>
    <x v="20"/>
    <d v="1899-12-30T14:30:00"/>
    <d v="1899-12-30T15:00:00"/>
  </r>
  <r>
    <d v="2024-10-02T00:00:00"/>
    <n v="924"/>
    <s v="S2S No Premium"/>
    <s v="N2_Frias, Brenda"/>
    <x v="20"/>
    <d v="1899-12-30T14:00:00"/>
    <s v="-"/>
    <d v="1899-12-30T14:30:00"/>
    <n v="721"/>
    <n v="0"/>
    <n v="0"/>
    <n v="12"/>
    <n v="0"/>
    <n v="0"/>
    <n v="0"/>
    <n v="181"/>
    <n v="0"/>
    <n v="0"/>
    <n v="0"/>
    <n v="0"/>
    <n v="0"/>
    <n v="0"/>
    <n v="0"/>
    <n v="0"/>
    <n v="0"/>
    <n v="0"/>
    <n v="0"/>
    <n v="3"/>
    <n v="2"/>
    <x v="0"/>
    <x v="20"/>
    <d v="1899-12-30T14:00:00"/>
    <d v="1899-12-30T14:30:00"/>
  </r>
  <r>
    <d v="2024-10-02T00:00:00"/>
    <n v="925"/>
    <s v="S2S Premium"/>
    <s v="P_Sosa, Valentina"/>
    <x v="21"/>
    <d v="1899-12-30T14:00:00"/>
    <s v="-"/>
    <d v="1899-12-30T14:30:00"/>
    <n v="596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21"/>
    <d v="1899-12-30T14:00:00"/>
    <d v="1899-12-30T14:30:00"/>
  </r>
  <r>
    <d v="2024-10-02T00:00:00"/>
    <n v="925"/>
    <s v="S2S Premium"/>
    <s v="P_Sosa, Valentina"/>
    <x v="21"/>
    <d v="1899-12-30T14:30:00"/>
    <s v="-"/>
    <d v="1899-12-30T15:00:00"/>
    <n v="788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3"/>
    <n v="2"/>
    <x v="1"/>
    <x v="21"/>
    <d v="1899-12-30T14:30:00"/>
    <d v="1899-12-30T15:00:00"/>
  </r>
  <r>
    <d v="2024-10-02T00:00:00"/>
    <n v="924"/>
    <s v="S2S No Premium"/>
    <s v="N2m_Castro Cristian"/>
    <x v="2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22"/>
    <d v="1899-12-30T14:30:00"/>
    <d v="1899-12-30T15:00:00"/>
  </r>
  <r>
    <d v="2024-10-02T00:00:00"/>
    <n v="924"/>
    <s v="S2S No Premium"/>
    <s v="N2m_Castro Cristian"/>
    <x v="22"/>
    <d v="1899-12-30T19:30:00"/>
    <s v="-"/>
    <d v="1899-12-30T20:00:00"/>
    <n v="649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3"/>
    <n v="3"/>
    <x v="0"/>
    <x v="22"/>
    <d v="1899-12-30T19:30:00"/>
    <d v="1899-12-30T20:00:00"/>
  </r>
  <r>
    <d v="2024-10-02T00:00:00"/>
    <n v="924"/>
    <s v="S2S No Premium"/>
    <s v="N2m_Castro Cristian"/>
    <x v="22"/>
    <d v="1899-12-30T15:00:00"/>
    <s v="-"/>
    <d v="1899-12-30T15:30:00"/>
    <n v="699"/>
    <n v="9"/>
    <n v="0"/>
    <n v="19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22"/>
    <d v="1899-12-30T15:00:00"/>
    <d v="1899-12-30T15:30:00"/>
  </r>
  <r>
    <d v="2024-10-02T00:00:00"/>
    <n v="924"/>
    <s v="S2S No Premium"/>
    <s v="N2m_Castro Cristian"/>
    <x v="22"/>
    <d v="1899-12-30T19:00:00"/>
    <s v="-"/>
    <d v="1899-12-30T19:30:00"/>
    <n v="906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2"/>
    <d v="1899-12-30T19:00:00"/>
    <d v="1899-12-30T19:30:00"/>
  </r>
  <r>
    <d v="2024-10-02T00:00:00"/>
    <n v="924"/>
    <s v="S2S No Premium"/>
    <s v="N2m_Castro Cristian"/>
    <x v="22"/>
    <d v="1899-12-30T15:30:00"/>
    <s v="-"/>
    <d v="1899-12-30T16:00:00"/>
    <n v="949"/>
    <n v="0"/>
    <n v="0"/>
    <n v="26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22"/>
    <d v="1899-12-30T15:30:00"/>
    <d v="1899-12-30T16:00:00"/>
  </r>
  <r>
    <d v="2024-10-02T00:00:00"/>
    <n v="924"/>
    <s v="S2S No Premium"/>
    <s v="N2m_Castro Cristian"/>
    <x v="22"/>
    <d v="1899-12-30T18:30:00"/>
    <s v="-"/>
    <d v="1899-12-30T19:00:00"/>
    <n v="1019"/>
    <n v="0"/>
    <n v="0"/>
    <n v="20"/>
    <n v="0"/>
    <n v="0"/>
    <n v="0"/>
    <n v="4"/>
    <n v="1"/>
    <n v="0"/>
    <n v="0"/>
    <n v="0"/>
    <n v="0"/>
    <n v="0"/>
    <n v="0"/>
    <n v="0"/>
    <n v="0"/>
    <n v="0"/>
    <n v="0"/>
    <n v="5"/>
    <n v="4"/>
    <x v="0"/>
    <x v="22"/>
    <d v="1899-12-30T18:30:00"/>
    <d v="1899-12-30T19:00:00"/>
  </r>
  <r>
    <d v="2024-10-02T00:00:00"/>
    <n v="924"/>
    <s v="S2S No Premium"/>
    <s v="N2m_Castro Cristian"/>
    <x v="22"/>
    <d v="1899-12-30T16:30:00"/>
    <s v="-"/>
    <d v="1899-12-30T17:00:00"/>
    <n v="1383"/>
    <n v="0"/>
    <n v="0"/>
    <n v="24"/>
    <n v="0"/>
    <n v="0"/>
    <n v="0"/>
    <n v="5"/>
    <n v="0"/>
    <n v="0"/>
    <n v="0"/>
    <n v="0"/>
    <n v="0"/>
    <n v="0"/>
    <n v="0"/>
    <n v="0"/>
    <n v="0"/>
    <n v="0"/>
    <n v="0"/>
    <n v="6"/>
    <n v="4"/>
    <x v="0"/>
    <x v="22"/>
    <d v="1899-12-30T16:30:00"/>
    <d v="1899-12-30T17:00:00"/>
  </r>
  <r>
    <d v="2024-10-02T00:00:00"/>
    <n v="924"/>
    <s v="S2S No Premium"/>
    <s v="N2m_Castro Cristian"/>
    <x v="22"/>
    <d v="1899-12-30T17:00:00"/>
    <s v="-"/>
    <d v="1899-12-30T17:30:00"/>
    <n v="1383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2"/>
    <d v="1899-12-30T17:00:00"/>
    <d v="1899-12-30T17:30:00"/>
  </r>
  <r>
    <d v="2024-10-02T00:00:00"/>
    <n v="924"/>
    <s v="S2S No Premium"/>
    <s v="N2m_Castro Cristian"/>
    <x v="22"/>
    <d v="1899-12-30T17:30:00"/>
    <s v="-"/>
    <d v="1899-12-30T18:00:00"/>
    <n v="1388"/>
    <n v="0"/>
    <n v="0"/>
    <n v="16"/>
    <n v="0"/>
    <n v="0"/>
    <n v="0"/>
    <n v="108"/>
    <n v="57"/>
    <n v="0"/>
    <n v="0"/>
    <n v="0"/>
    <n v="0"/>
    <n v="0"/>
    <n v="0"/>
    <n v="0"/>
    <n v="0"/>
    <n v="0"/>
    <n v="0"/>
    <n v="4"/>
    <n v="4"/>
    <x v="0"/>
    <x v="22"/>
    <d v="1899-12-30T17:30:00"/>
    <d v="1899-12-30T18:00:00"/>
  </r>
  <r>
    <d v="2024-10-02T00:00:00"/>
    <n v="924"/>
    <s v="S2S No Premium"/>
    <s v="N2m_Castro Cristian"/>
    <x v="22"/>
    <d v="1899-12-30T16:00:00"/>
    <s v="-"/>
    <d v="1899-12-30T16:30:00"/>
    <n v="1420"/>
    <n v="0"/>
    <n v="0"/>
    <n v="22"/>
    <n v="0"/>
    <n v="0"/>
    <n v="0"/>
    <n v="6"/>
    <n v="0"/>
    <n v="0"/>
    <n v="0"/>
    <n v="0"/>
    <n v="0"/>
    <n v="0"/>
    <n v="0"/>
    <n v="0"/>
    <n v="0"/>
    <n v="0"/>
    <n v="0"/>
    <n v="5"/>
    <n v="5"/>
    <x v="0"/>
    <x v="22"/>
    <d v="1899-12-30T16:00:00"/>
    <d v="1899-12-30T16:30:00"/>
  </r>
  <r>
    <d v="2024-10-02T00:00:00"/>
    <n v="924"/>
    <s v="S2S No Premium"/>
    <s v="N2m_Castro Cristian"/>
    <x v="22"/>
    <d v="1899-12-30T18:00:00"/>
    <s v="-"/>
    <d v="1899-12-30T18:30:00"/>
    <n v="1464"/>
    <n v="0"/>
    <n v="0"/>
    <n v="25"/>
    <n v="0"/>
    <n v="0"/>
    <n v="0"/>
    <n v="7"/>
    <n v="0"/>
    <n v="0"/>
    <n v="0"/>
    <n v="0"/>
    <n v="0"/>
    <n v="0"/>
    <n v="0"/>
    <n v="0"/>
    <n v="0"/>
    <n v="0"/>
    <n v="0"/>
    <n v="7"/>
    <n v="5"/>
    <x v="0"/>
    <x v="22"/>
    <d v="1899-12-30T18:00:00"/>
    <d v="1899-12-30T18:30:00"/>
  </r>
  <r>
    <d v="2024-10-02T00:00:00"/>
    <n v="925"/>
    <s v="S2S Premium"/>
    <s v="P_Vazquez, Sofia"/>
    <x v="23"/>
    <d v="1899-12-30T15:00:00"/>
    <s v="-"/>
    <d v="1899-12-30T15:30:00"/>
    <n v="626"/>
    <n v="0"/>
    <n v="0"/>
    <n v="20"/>
    <n v="0"/>
    <n v="0"/>
    <n v="0"/>
    <n v="60"/>
    <n v="41"/>
    <n v="0"/>
    <n v="0"/>
    <n v="0"/>
    <n v="0"/>
    <n v="0"/>
    <n v="0"/>
    <n v="0"/>
    <n v="0"/>
    <n v="0"/>
    <n v="0"/>
    <n v="4"/>
    <n v="3"/>
    <x v="1"/>
    <x v="23"/>
    <d v="1899-12-30T15:00:00"/>
    <d v="1899-12-30T15:30:00"/>
  </r>
  <r>
    <d v="2024-10-02T00:00:00"/>
    <n v="925"/>
    <s v="S2S Premium"/>
    <s v="P_Vazquez, Sofia"/>
    <x v="23"/>
    <d v="1899-12-30T15:30:00"/>
    <s v="-"/>
    <d v="1899-12-30T16:00:00"/>
    <n v="627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4"/>
    <x v="1"/>
    <x v="23"/>
    <d v="1899-12-30T15:30:00"/>
    <d v="1899-12-30T16:00:00"/>
  </r>
  <r>
    <d v="2024-10-02T00:00:00"/>
    <n v="925"/>
    <s v="S2S Premium"/>
    <s v="P_Vazquez, Sofia"/>
    <x v="23"/>
    <d v="1899-12-30T18:30:00"/>
    <s v="-"/>
    <d v="1899-12-30T19:00:00"/>
    <n v="697"/>
    <n v="0"/>
    <n v="0"/>
    <n v="24"/>
    <n v="0"/>
    <n v="0"/>
    <n v="0"/>
    <n v="238"/>
    <n v="136"/>
    <n v="0"/>
    <n v="0"/>
    <n v="0"/>
    <n v="0"/>
    <n v="0"/>
    <n v="0"/>
    <n v="0"/>
    <n v="0"/>
    <n v="0"/>
    <n v="0"/>
    <n v="5"/>
    <n v="5"/>
    <x v="1"/>
    <x v="23"/>
    <d v="1899-12-30T18:30:00"/>
    <d v="1899-12-30T19:00:00"/>
  </r>
  <r>
    <d v="2024-10-02T00:00:00"/>
    <n v="925"/>
    <s v="S2S Premium"/>
    <s v="P_Vazquez, Sofia"/>
    <x v="23"/>
    <d v="1899-12-30T19:00:00"/>
    <s v="-"/>
    <d v="1899-12-30T19:30:00"/>
    <n v="779"/>
    <n v="0"/>
    <n v="0"/>
    <n v="24"/>
    <n v="0"/>
    <n v="0"/>
    <n v="0"/>
    <n v="397"/>
    <n v="167"/>
    <n v="0"/>
    <n v="0"/>
    <n v="0"/>
    <n v="0"/>
    <n v="0"/>
    <n v="0"/>
    <n v="0"/>
    <n v="0"/>
    <n v="0"/>
    <n v="0"/>
    <n v="7"/>
    <n v="7"/>
    <x v="1"/>
    <x v="23"/>
    <d v="1899-12-30T19:00:00"/>
    <d v="1899-12-30T19:30:00"/>
  </r>
  <r>
    <d v="2024-10-02T00:00:00"/>
    <n v="925"/>
    <s v="S2S Premium"/>
    <s v="P_Vazquez, Sofia"/>
    <x v="23"/>
    <d v="1899-12-30T18:00:00"/>
    <s v="-"/>
    <d v="1899-12-30T18:30:00"/>
    <n v="796"/>
    <n v="0"/>
    <n v="0"/>
    <n v="14"/>
    <n v="0"/>
    <n v="0"/>
    <n v="0"/>
    <n v="101"/>
    <n v="0"/>
    <n v="0"/>
    <n v="0"/>
    <n v="0"/>
    <n v="0"/>
    <n v="0"/>
    <n v="0"/>
    <n v="0"/>
    <n v="0"/>
    <n v="0"/>
    <n v="0"/>
    <n v="3"/>
    <n v="3"/>
    <x v="1"/>
    <x v="23"/>
    <d v="1899-12-30T18:00:00"/>
    <d v="1899-12-30T18:30:00"/>
  </r>
  <r>
    <d v="2024-10-02T00:00:00"/>
    <n v="925"/>
    <s v="S2S Premium"/>
    <s v="P_Vazquez, Sofia"/>
    <x v="23"/>
    <d v="1899-12-30T19:30:00"/>
    <s v="-"/>
    <d v="1899-12-30T20:00:00"/>
    <n v="869"/>
    <n v="0"/>
    <n v="0"/>
    <n v="24"/>
    <n v="0"/>
    <n v="0"/>
    <n v="0"/>
    <n v="227"/>
    <n v="34"/>
    <n v="0"/>
    <n v="0"/>
    <n v="0"/>
    <n v="0"/>
    <n v="0"/>
    <n v="0"/>
    <n v="0"/>
    <n v="0"/>
    <n v="0"/>
    <n v="0"/>
    <n v="6"/>
    <n v="6"/>
    <x v="1"/>
    <x v="23"/>
    <d v="1899-12-30T19:30:00"/>
    <d v="1899-12-30T20:00:00"/>
  </r>
  <r>
    <d v="2024-10-02T00:00:00"/>
    <n v="925"/>
    <s v="S2S Premium"/>
    <s v="Pm_Gonzalez, Cande"/>
    <x v="24"/>
    <d v="1899-12-30T14:30:00"/>
    <s v="-"/>
    <d v="1899-12-30T15:00:00"/>
    <n v="566"/>
    <n v="72"/>
    <n v="0"/>
    <n v="12"/>
    <n v="0"/>
    <n v="0"/>
    <n v="0"/>
    <n v="90"/>
    <n v="0"/>
    <n v="0"/>
    <n v="0"/>
    <n v="0"/>
    <n v="0"/>
    <n v="0"/>
    <n v="0"/>
    <n v="0"/>
    <n v="0"/>
    <n v="0"/>
    <n v="0"/>
    <n v="3"/>
    <n v="2"/>
    <x v="1"/>
    <x v="24"/>
    <d v="1899-12-30T14:30:00"/>
    <d v="1899-12-30T15:00:00"/>
  </r>
  <r>
    <d v="2024-10-02T00:00:00"/>
    <n v="925"/>
    <s v="S2S Premium"/>
    <s v="Pm_Gonzalez, Cande"/>
    <x v="24"/>
    <d v="1899-12-30T14:00:00"/>
    <s v="-"/>
    <d v="1899-12-30T14:30:00"/>
    <n v="582"/>
    <n v="125"/>
    <n v="0"/>
    <n v="16"/>
    <n v="0"/>
    <n v="0"/>
    <n v="0"/>
    <n v="374"/>
    <n v="115"/>
    <n v="0"/>
    <n v="0"/>
    <n v="0"/>
    <n v="0"/>
    <n v="0"/>
    <n v="0"/>
    <n v="0"/>
    <n v="0"/>
    <n v="0"/>
    <n v="0"/>
    <n v="5"/>
    <n v="5"/>
    <x v="1"/>
    <x v="24"/>
    <d v="1899-12-30T14:00:00"/>
    <d v="1899-12-30T14:30:00"/>
  </r>
  <r>
    <d v="2024-10-02T00:00:00"/>
    <n v="924"/>
    <s v="S2S No Premium"/>
    <s v="N2m_Espinoza, Cielo"/>
    <x v="25"/>
    <d v="1899-12-30T18:30:00"/>
    <s v="-"/>
    <d v="1899-12-30T19:00:00"/>
    <n v="423"/>
    <n v="0"/>
    <n v="0"/>
    <n v="15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5"/>
    <d v="1899-12-30T18:30:00"/>
    <d v="1899-12-30T19:00:00"/>
  </r>
  <r>
    <d v="2024-10-02T00:00:00"/>
    <n v="924"/>
    <s v="S2S No Premium"/>
    <s v="N2m_Espinoza, Cielo"/>
    <x v="25"/>
    <d v="1899-12-30T19:30:00"/>
    <s v="-"/>
    <d v="1899-12-30T20:00:00"/>
    <n v="467"/>
    <n v="5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3"/>
    <x v="0"/>
    <x v="25"/>
    <d v="1899-12-30T19:30:00"/>
    <d v="1899-12-30T20:00:00"/>
  </r>
  <r>
    <d v="2024-10-02T00:00:00"/>
    <n v="924"/>
    <s v="S2S No Premium"/>
    <s v="N2m_Espinoza, Cielo"/>
    <x v="25"/>
    <d v="1899-12-30T18:00:00"/>
    <s v="-"/>
    <d v="1899-12-30T18:30:00"/>
    <n v="685"/>
    <n v="178"/>
    <n v="0"/>
    <n v="20"/>
    <n v="0"/>
    <n v="0"/>
    <n v="0"/>
    <n v="120"/>
    <n v="0"/>
    <n v="0"/>
    <n v="0"/>
    <n v="0"/>
    <n v="0"/>
    <n v="0"/>
    <n v="0"/>
    <n v="0"/>
    <n v="0"/>
    <n v="0"/>
    <n v="0"/>
    <n v="4"/>
    <n v="4"/>
    <x v="0"/>
    <x v="25"/>
    <d v="1899-12-30T18:00:00"/>
    <d v="1899-12-30T18:30:00"/>
  </r>
  <r>
    <d v="2024-10-02T00:00:00"/>
    <n v="924"/>
    <s v="S2S No Premium"/>
    <s v="N2m_Espinoza, Cielo"/>
    <x v="25"/>
    <d v="1899-12-30T19:00:00"/>
    <s v="-"/>
    <d v="1899-12-30T19:30:00"/>
    <n v="1100"/>
    <n v="5"/>
    <n v="0"/>
    <n v="15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5"/>
    <d v="1899-12-30T19:00:00"/>
    <d v="1899-12-30T19:30:00"/>
  </r>
  <r>
    <d v="2024-10-02T00:00:00"/>
    <n v="924"/>
    <s v="S2S No Premium"/>
    <s v="N2m_Castillo Lucian"/>
    <x v="26"/>
    <d v="1899-12-30T15:30:00"/>
    <s v="-"/>
    <d v="1899-12-30T16:00:00"/>
    <n v="220"/>
    <n v="131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26"/>
    <d v="1899-12-30T15:30:00"/>
    <d v="1899-12-30T16:00:00"/>
  </r>
  <r>
    <d v="2024-10-02T00:00:00"/>
    <n v="924"/>
    <s v="S2S No Premium"/>
    <s v="N2m_Castillo Lucian"/>
    <x v="26"/>
    <d v="1899-12-30T17:00:00"/>
    <s v="-"/>
    <d v="1899-12-30T17:30:00"/>
    <n v="23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26"/>
    <d v="1899-12-30T17:00:00"/>
    <d v="1899-12-30T17:30:00"/>
  </r>
  <r>
    <d v="2024-10-02T00:00:00"/>
    <n v="924"/>
    <s v="S2S No Premium"/>
    <s v="N2m_Castillo Lucian"/>
    <x v="26"/>
    <d v="1899-12-30T14:30:00"/>
    <s v="-"/>
    <d v="1899-12-30T15:00:00"/>
    <n v="855"/>
    <n v="0"/>
    <n v="0"/>
    <n v="19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26"/>
    <d v="1899-12-30T14:30:00"/>
    <d v="1899-12-30T15:00:00"/>
  </r>
  <r>
    <d v="2024-10-02T00:00:00"/>
    <n v="924"/>
    <s v="S2S No Premium"/>
    <s v="N2m_Castillo Lucian"/>
    <x v="26"/>
    <d v="1899-12-30T14:00:00"/>
    <s v="-"/>
    <d v="1899-12-30T14:30:00"/>
    <n v="897"/>
    <n v="107"/>
    <n v="0"/>
    <n v="31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26"/>
    <d v="1899-12-30T14:00:00"/>
    <d v="1899-12-30T14:30:00"/>
  </r>
  <r>
    <d v="2024-10-02T00:00:00"/>
    <n v="924"/>
    <s v="S2S No Premium"/>
    <s v="N2m_Castillo Lucian"/>
    <x v="26"/>
    <d v="1899-12-30T16:00:00"/>
    <s v="-"/>
    <d v="1899-12-30T16:30:00"/>
    <n v="1032"/>
    <n v="128"/>
    <n v="0"/>
    <n v="35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26"/>
    <d v="1899-12-30T16:00:00"/>
    <d v="1899-12-30T16:30:00"/>
  </r>
  <r>
    <d v="2024-10-02T00:00:00"/>
    <n v="924"/>
    <s v="S2S No Premium"/>
    <s v="N2m_Castillo Lucian"/>
    <x v="26"/>
    <d v="1899-12-30T16:30:00"/>
    <s v="-"/>
    <d v="1899-12-30T17:00:00"/>
    <n v="1142"/>
    <n v="0"/>
    <n v="0"/>
    <n v="30"/>
    <n v="0"/>
    <n v="0"/>
    <n v="0"/>
    <n v="2"/>
    <n v="0"/>
    <n v="0"/>
    <n v="0"/>
    <n v="0"/>
    <n v="0"/>
    <n v="0"/>
    <n v="0"/>
    <n v="0"/>
    <n v="0"/>
    <n v="0"/>
    <n v="0"/>
    <n v="5"/>
    <n v="2"/>
    <x v="0"/>
    <x v="26"/>
    <d v="1899-12-30T16:30:00"/>
    <d v="1899-12-30T17:00:00"/>
  </r>
  <r>
    <d v="2024-10-02T00:00:00"/>
    <n v="924"/>
    <s v="S2S No Premium"/>
    <s v="N2m_Castillo Lucian"/>
    <x v="26"/>
    <d v="1899-12-30T15:00:00"/>
    <s v="-"/>
    <d v="1899-12-30T15:30:00"/>
    <n v="1155"/>
    <n v="0"/>
    <n v="0"/>
    <n v="15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26"/>
    <d v="1899-12-30T15:00:00"/>
    <d v="1899-12-30T15:30:00"/>
  </r>
  <r>
    <d v="2024-10-02T00:00:00"/>
    <n v="925"/>
    <s v="S2S Premium"/>
    <s v="P_Infante, Enzo"/>
    <x v="27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27"/>
    <d v="1899-12-30T14:30:00"/>
    <d v="1899-12-30T15:00:00"/>
  </r>
  <r>
    <d v="2024-10-02T00:00:00"/>
    <n v="925"/>
    <s v="S2S Premium"/>
    <s v="P_Infante, Enzo"/>
    <x v="27"/>
    <d v="1899-12-30T19:00:00"/>
    <s v="-"/>
    <d v="1899-12-30T19:30:00"/>
    <n v="146"/>
    <n v="23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27"/>
    <d v="1899-12-30T19:00:00"/>
    <d v="1899-12-30T19:30:00"/>
  </r>
  <r>
    <d v="2024-10-02T00:00:00"/>
    <n v="925"/>
    <s v="S2S Premium"/>
    <s v="P_Infante, Enzo"/>
    <x v="27"/>
    <d v="1899-12-30T18:00:00"/>
    <s v="-"/>
    <d v="1899-12-30T18:30:00"/>
    <n v="350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2"/>
    <n v="1"/>
    <x v="1"/>
    <x v="27"/>
    <d v="1899-12-30T18:00:00"/>
    <d v="1899-12-30T18:30:00"/>
  </r>
  <r>
    <d v="2024-10-02T00:00:00"/>
    <n v="925"/>
    <s v="S2S Premium"/>
    <s v="P_Infante, Enzo"/>
    <x v="27"/>
    <d v="1899-12-30T15:30:00"/>
    <s v="-"/>
    <d v="1899-12-30T16:00:00"/>
    <n v="499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27"/>
    <d v="1899-12-30T15:30:00"/>
    <d v="1899-12-30T16:00:00"/>
  </r>
  <r>
    <d v="2024-10-02T00:00:00"/>
    <n v="925"/>
    <s v="S2S Premium"/>
    <s v="P_Infante, Enzo"/>
    <x v="27"/>
    <d v="1899-12-30T15:00:00"/>
    <s v="-"/>
    <d v="1899-12-30T15:30:00"/>
    <n v="577"/>
    <n v="0"/>
    <n v="0"/>
    <n v="9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27"/>
    <d v="1899-12-30T15:00:00"/>
    <d v="1899-12-30T15:30:00"/>
  </r>
  <r>
    <d v="2024-10-02T00:00:00"/>
    <n v="925"/>
    <s v="S2S Premium"/>
    <s v="P_Infante, Enzo"/>
    <x v="27"/>
    <d v="1899-12-30T18:30:00"/>
    <s v="-"/>
    <d v="1899-12-30T19:00:00"/>
    <n v="683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27"/>
    <d v="1899-12-30T18:30:00"/>
    <d v="1899-12-30T19:00:00"/>
  </r>
  <r>
    <d v="2024-10-02T00:00:00"/>
    <n v="925"/>
    <s v="S2S Premium"/>
    <s v="P_Infante, Enzo"/>
    <x v="27"/>
    <d v="1899-12-30T19:30:00"/>
    <s v="-"/>
    <d v="1899-12-30T20:00:00"/>
    <n v="687"/>
    <n v="3"/>
    <n v="0"/>
    <n v="15"/>
    <n v="0"/>
    <n v="0"/>
    <n v="0"/>
    <n v="68"/>
    <n v="36"/>
    <n v="0"/>
    <n v="0"/>
    <n v="0"/>
    <n v="0"/>
    <n v="0"/>
    <n v="0"/>
    <n v="0"/>
    <n v="0"/>
    <n v="0"/>
    <n v="0"/>
    <n v="3"/>
    <n v="3"/>
    <x v="1"/>
    <x v="27"/>
    <d v="1899-12-30T19:30:00"/>
    <d v="1899-12-30T20:00:00"/>
  </r>
  <r>
    <d v="2024-10-02T00:00:00"/>
    <n v="925"/>
    <s v="S2S Premium"/>
    <s v="Pm_Sosa,Lucia"/>
    <x v="28"/>
    <d v="1899-12-30T14:30:00"/>
    <s v="-"/>
    <d v="1899-12-30T15:00:00"/>
    <n v="489"/>
    <n v="43"/>
    <n v="0"/>
    <n v="27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28"/>
    <d v="1899-12-30T14:30:00"/>
    <d v="1899-12-30T15:00:00"/>
  </r>
  <r>
    <d v="2024-10-02T00:00:00"/>
    <n v="925"/>
    <s v="S2S Premium"/>
    <s v="Pm_Sosa,Lucia"/>
    <x v="28"/>
    <d v="1899-12-30T14:00:00"/>
    <s v="-"/>
    <d v="1899-12-30T14:30:00"/>
    <n v="598"/>
    <n v="86"/>
    <n v="0"/>
    <n v="20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28"/>
    <d v="1899-12-30T14:00:00"/>
    <d v="1899-12-30T14:30:00"/>
  </r>
  <r>
    <d v="2024-10-02T00:00:00"/>
    <n v="925"/>
    <s v="S2S Premium"/>
    <s v="P_Vargas, Carol"/>
    <x v="29"/>
    <d v="1899-12-30T15:00:00"/>
    <s v="-"/>
    <d v="1899-12-30T15:30:00"/>
    <n v="27"/>
    <n v="0"/>
    <n v="0"/>
    <n v="0"/>
    <n v="0"/>
    <n v="0"/>
    <n v="0"/>
    <n v="258"/>
    <n v="0"/>
    <n v="0"/>
    <n v="0"/>
    <n v="0"/>
    <n v="0"/>
    <n v="0"/>
    <n v="0"/>
    <n v="0"/>
    <n v="0"/>
    <n v="0"/>
    <n v="0"/>
    <n v="1"/>
    <n v="1"/>
    <x v="1"/>
    <x v="29"/>
    <d v="1899-12-30T15:00:00"/>
    <d v="1899-12-30T15:30:00"/>
  </r>
  <r>
    <d v="2024-10-02T00:00:00"/>
    <n v="925"/>
    <s v="S2S Premium"/>
    <s v="P_Vargas, Carol"/>
    <x v="29"/>
    <d v="1899-12-30T14:30:00"/>
    <s v="-"/>
    <d v="1899-12-30T15:00:00"/>
    <n v="674"/>
    <n v="0"/>
    <n v="0"/>
    <n v="13"/>
    <n v="0"/>
    <n v="0"/>
    <n v="0"/>
    <n v="99"/>
    <n v="278"/>
    <n v="0"/>
    <n v="0"/>
    <n v="0"/>
    <n v="0"/>
    <n v="0"/>
    <n v="0"/>
    <n v="0"/>
    <n v="0"/>
    <n v="0"/>
    <n v="0"/>
    <n v="3"/>
    <n v="1"/>
    <x v="1"/>
    <x v="29"/>
    <d v="1899-12-30T14:30:00"/>
    <d v="1899-12-30T15:00:00"/>
  </r>
  <r>
    <d v="2024-10-02T00:00:00"/>
    <n v="925"/>
    <s v="S2S Premium"/>
    <s v="P_Vargas, Carol"/>
    <x v="29"/>
    <d v="1899-12-30T14:00:00"/>
    <s v="-"/>
    <d v="1899-12-30T14:30:00"/>
    <n v="685"/>
    <n v="0"/>
    <n v="0"/>
    <n v="19"/>
    <n v="0"/>
    <n v="0"/>
    <n v="0"/>
    <n v="5"/>
    <n v="0"/>
    <n v="0"/>
    <n v="0"/>
    <n v="0"/>
    <n v="0"/>
    <n v="0"/>
    <n v="0"/>
    <n v="0"/>
    <n v="0"/>
    <n v="0"/>
    <n v="0"/>
    <n v="4"/>
    <n v="4"/>
    <x v="1"/>
    <x v="29"/>
    <d v="1899-12-30T14:00:00"/>
    <d v="1899-12-30T14:30:00"/>
  </r>
  <r>
    <d v="2024-10-02T00:00:00"/>
    <n v="925"/>
    <s v="S2S Premium"/>
    <s v="Pm_Demarco Fidel"/>
    <x v="30"/>
    <d v="1899-12-30T14:30:00"/>
    <s v="-"/>
    <d v="1899-12-30T15:00:00"/>
    <n v="541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30"/>
    <d v="1899-12-30T14:30:00"/>
    <d v="1899-12-30T15:00:00"/>
  </r>
  <r>
    <d v="2024-10-02T00:00:00"/>
    <n v="925"/>
    <s v="S2S Premium"/>
    <s v="Pm_Demarco Fidel"/>
    <x v="30"/>
    <d v="1899-12-30T14:00:00"/>
    <s v="-"/>
    <d v="1899-12-30T14:30:00"/>
    <n v="630"/>
    <n v="0"/>
    <n v="0"/>
    <n v="16"/>
    <n v="0"/>
    <n v="0"/>
    <n v="0"/>
    <n v="170"/>
    <n v="122"/>
    <n v="0"/>
    <n v="0"/>
    <n v="0"/>
    <n v="0"/>
    <n v="0"/>
    <n v="0"/>
    <n v="0"/>
    <n v="0"/>
    <n v="0"/>
    <n v="0"/>
    <n v="4"/>
    <n v="1"/>
    <x v="1"/>
    <x v="30"/>
    <d v="1899-12-30T14:00:00"/>
    <d v="1899-12-30T14:30:00"/>
  </r>
  <r>
    <d v="2024-10-02T00:00:00"/>
    <n v="924"/>
    <s v="S2S No Premium"/>
    <s v="N2_Wetzel, Ignacio"/>
    <x v="31"/>
    <d v="1899-12-30T14:30:00"/>
    <s v="-"/>
    <d v="1899-12-30T15:00:00"/>
    <n v="596"/>
    <n v="251"/>
    <n v="0"/>
    <n v="14"/>
    <n v="0"/>
    <n v="0"/>
    <n v="0"/>
    <n v="25"/>
    <n v="0"/>
    <n v="0"/>
    <n v="0"/>
    <n v="0"/>
    <n v="0"/>
    <n v="0"/>
    <n v="0"/>
    <n v="0"/>
    <n v="0"/>
    <n v="0"/>
    <n v="0"/>
    <n v="3"/>
    <n v="2"/>
    <x v="0"/>
    <x v="31"/>
    <d v="1899-12-30T14:30:00"/>
    <d v="1899-12-30T15:00:00"/>
  </r>
  <r>
    <d v="2024-10-02T00:00:00"/>
    <n v="924"/>
    <s v="S2S No Premium"/>
    <s v="N2_Wetzel, Ignacio"/>
    <x v="31"/>
    <d v="1899-12-30T15:00:00"/>
    <s v="-"/>
    <d v="1899-12-30T15:30:00"/>
    <n v="1038"/>
    <n v="0"/>
    <n v="0"/>
    <n v="9"/>
    <n v="0"/>
    <n v="0"/>
    <n v="0"/>
    <n v="137"/>
    <n v="0"/>
    <n v="0"/>
    <n v="0"/>
    <n v="0"/>
    <n v="0"/>
    <n v="0"/>
    <n v="0"/>
    <n v="0"/>
    <n v="0"/>
    <n v="0"/>
    <n v="0"/>
    <n v="3"/>
    <n v="0"/>
    <x v="0"/>
    <x v="31"/>
    <d v="1899-12-30T15:00:00"/>
    <d v="1899-12-30T15:30:00"/>
  </r>
  <r>
    <d v="2024-10-02T00:00:00"/>
    <n v="924"/>
    <s v="S2S No Premium"/>
    <s v="N2_Wetzel, Ignacio"/>
    <x v="31"/>
    <d v="1899-12-30T14:00:00"/>
    <s v="-"/>
    <d v="1899-12-30T14:30:00"/>
    <n v="1093"/>
    <n v="0"/>
    <n v="0"/>
    <n v="12"/>
    <n v="0"/>
    <n v="0"/>
    <n v="0"/>
    <n v="95"/>
    <n v="0"/>
    <n v="0"/>
    <n v="0"/>
    <n v="0"/>
    <n v="0"/>
    <n v="0"/>
    <n v="0"/>
    <n v="0"/>
    <n v="0"/>
    <n v="0"/>
    <n v="0"/>
    <n v="3"/>
    <n v="1"/>
    <x v="0"/>
    <x v="31"/>
    <d v="1899-12-30T14:00:00"/>
    <d v="1899-12-30T14:30:00"/>
  </r>
  <r>
    <d v="2024-10-02T00:00:00"/>
    <n v="925"/>
    <s v="S2S Premium"/>
    <s v="P_Benitez, Lou"/>
    <x v="32"/>
    <d v="1899-12-30T18:00:00"/>
    <s v="-"/>
    <d v="1899-12-30T18:30:00"/>
    <n v="132"/>
    <n v="0"/>
    <n v="0"/>
    <n v="4"/>
    <n v="0"/>
    <n v="0"/>
    <n v="0"/>
    <n v="200"/>
    <n v="184"/>
    <n v="0"/>
    <n v="0"/>
    <n v="0"/>
    <n v="0"/>
    <n v="0"/>
    <n v="0"/>
    <n v="0"/>
    <n v="0"/>
    <n v="0"/>
    <n v="0"/>
    <n v="1"/>
    <n v="0"/>
    <x v="1"/>
    <x v="32"/>
    <d v="1899-12-30T18:00:00"/>
    <d v="1899-12-30T18:30:00"/>
  </r>
  <r>
    <d v="2024-10-02T00:00:00"/>
    <n v="925"/>
    <s v="S2S Premium"/>
    <s v="P_Vergara, Tamara"/>
    <x v="33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3"/>
    <d v="1899-12-30T14:00:00"/>
    <d v="1899-12-30T14:30:00"/>
  </r>
  <r>
    <d v="2024-10-02T00:00:00"/>
    <n v="925"/>
    <s v="S2S Premium"/>
    <s v="P_Vergara, Tamara"/>
    <x v="33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3"/>
    <d v="1899-12-30T14:30:00"/>
    <d v="1899-12-30T15:00:00"/>
  </r>
  <r>
    <d v="2024-10-02T00:00:00"/>
    <n v="925"/>
    <s v="S2S Premium"/>
    <s v="P_Olivares, Miriam"/>
    <x v="34"/>
    <d v="1899-12-30T15:30:00"/>
    <s v="-"/>
    <d v="1899-12-30T16:00:00"/>
    <n v="522"/>
    <n v="0"/>
    <n v="0"/>
    <n v="16"/>
    <n v="0"/>
    <n v="0"/>
    <n v="0"/>
    <n v="174"/>
    <n v="46"/>
    <n v="0"/>
    <n v="0"/>
    <n v="0"/>
    <n v="0"/>
    <n v="0"/>
    <n v="0"/>
    <n v="0"/>
    <n v="0"/>
    <n v="0"/>
    <n v="0"/>
    <n v="5"/>
    <n v="4"/>
    <x v="1"/>
    <x v="34"/>
    <d v="1899-12-30T15:30:00"/>
    <d v="1899-12-30T16:00:00"/>
  </r>
  <r>
    <d v="2024-10-02T00:00:00"/>
    <n v="925"/>
    <s v="S2S Premium"/>
    <s v="P_Olivares, Miriam"/>
    <x v="34"/>
    <d v="1899-12-30T18:00:00"/>
    <s v="-"/>
    <d v="1899-12-30T18:30:00"/>
    <n v="808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4"/>
    <d v="1899-12-30T18:00:00"/>
    <d v="1899-12-30T18:30:00"/>
  </r>
  <r>
    <d v="2024-10-02T00:00:00"/>
    <n v="925"/>
    <s v="S2S Premium"/>
    <s v="P_Olivares, Miriam"/>
    <x v="34"/>
    <d v="1899-12-30T18:30:00"/>
    <s v="-"/>
    <d v="1899-12-30T19:00:00"/>
    <n v="944"/>
    <n v="0"/>
    <n v="0"/>
    <n v="24"/>
    <n v="0"/>
    <n v="0"/>
    <n v="0"/>
    <n v="5"/>
    <n v="0"/>
    <n v="0"/>
    <n v="0"/>
    <n v="0"/>
    <n v="0"/>
    <n v="0"/>
    <n v="0"/>
    <n v="0"/>
    <n v="0"/>
    <n v="0"/>
    <n v="0"/>
    <n v="5"/>
    <n v="4"/>
    <x v="1"/>
    <x v="34"/>
    <d v="1899-12-30T18:30:00"/>
    <d v="1899-12-30T19:00:00"/>
  </r>
  <r>
    <d v="2024-10-02T00:00:00"/>
    <n v="925"/>
    <s v="S2S Premium"/>
    <s v="P_Olivares, Miriam"/>
    <x v="34"/>
    <d v="1899-12-30T15:00:00"/>
    <s v="-"/>
    <d v="1899-12-30T15:30:00"/>
    <n v="1043"/>
    <n v="0"/>
    <n v="0"/>
    <n v="23"/>
    <n v="0"/>
    <n v="0"/>
    <n v="0"/>
    <n v="2"/>
    <n v="84"/>
    <n v="0"/>
    <n v="0"/>
    <n v="0"/>
    <n v="0"/>
    <n v="0"/>
    <n v="0"/>
    <n v="0"/>
    <n v="0"/>
    <n v="0"/>
    <n v="0"/>
    <n v="2"/>
    <n v="2"/>
    <x v="1"/>
    <x v="34"/>
    <d v="1899-12-30T15:00:00"/>
    <d v="1899-12-30T15:30:00"/>
  </r>
  <r>
    <d v="2024-10-02T00:00:00"/>
    <n v="925"/>
    <s v="S2S Premium"/>
    <s v="P_Olivares, Miriam"/>
    <x v="34"/>
    <d v="1899-12-30T19:00:00"/>
    <s v="-"/>
    <d v="1899-12-30T19:30:00"/>
    <n v="1086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5"/>
    <n v="4"/>
    <x v="1"/>
    <x v="34"/>
    <d v="1899-12-30T19:00:00"/>
    <d v="1899-12-30T19:30:00"/>
  </r>
  <r>
    <d v="2024-10-02T00:00:00"/>
    <n v="925"/>
    <s v="S2S Premium"/>
    <s v="P_Olivares, Miriam"/>
    <x v="34"/>
    <d v="1899-12-30T19:30:00"/>
    <s v="-"/>
    <d v="1899-12-30T20:00:00"/>
    <n v="1090"/>
    <n v="0"/>
    <n v="0"/>
    <n v="11"/>
    <n v="0"/>
    <n v="0"/>
    <n v="0"/>
    <n v="262"/>
    <n v="202"/>
    <n v="0"/>
    <n v="0"/>
    <n v="0"/>
    <n v="0"/>
    <n v="0"/>
    <n v="0"/>
    <n v="0"/>
    <n v="0"/>
    <n v="0"/>
    <n v="0"/>
    <n v="4"/>
    <n v="4"/>
    <x v="1"/>
    <x v="34"/>
    <d v="1899-12-30T19:30:00"/>
    <d v="1899-12-30T20:00:00"/>
  </r>
  <r>
    <d v="2024-10-02T00:00:00"/>
    <n v="924"/>
    <s v="S2S No Premium"/>
    <s v="N2m_Fonfria, Valen"/>
    <x v="35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5"/>
    <d v="1899-12-30T14:00:00"/>
    <d v="1899-12-30T14:30:00"/>
  </r>
  <r>
    <d v="2024-10-02T00:00:00"/>
    <n v="924"/>
    <s v="S2S No Premium"/>
    <s v="N2m_Fonfria, Valen"/>
    <x v="35"/>
    <d v="1899-12-30T15:00:00"/>
    <s v="-"/>
    <d v="1899-12-30T15:30:0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1"/>
    <x v="0"/>
    <x v="35"/>
    <d v="1899-12-30T15:00:00"/>
    <d v="1899-12-30T15:30:00"/>
  </r>
  <r>
    <d v="2024-10-02T00:00:00"/>
    <n v="924"/>
    <s v="S2S No Premium"/>
    <s v="N2m_Fonfria, Valen"/>
    <x v="35"/>
    <d v="1899-12-30T14:30:00"/>
    <s v="-"/>
    <d v="1899-12-30T15:00:00"/>
    <n v="939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35"/>
    <d v="1899-12-30T14:30:00"/>
    <d v="1899-12-30T15:00:00"/>
  </r>
  <r>
    <d v="2024-10-02T00:00:00"/>
    <n v="924"/>
    <s v="S2S No Premium"/>
    <s v="N2_Cejas, Mayra"/>
    <x v="36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36"/>
    <d v="1899-12-30T19:30:00"/>
    <d v="1899-12-30T20:00:00"/>
  </r>
  <r>
    <d v="2024-10-02T00:00:00"/>
    <n v="924"/>
    <s v="S2S No Premium"/>
    <s v="N2_Cejas, Mayra"/>
    <x v="36"/>
    <d v="1899-12-30T19:00:00"/>
    <s v="-"/>
    <d v="1899-12-30T19:30:00"/>
    <n v="67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36"/>
    <d v="1899-12-30T19:00:00"/>
    <d v="1899-12-30T19:30:00"/>
  </r>
  <r>
    <d v="2024-10-02T00:00:00"/>
    <n v="924"/>
    <s v="S2S No Premium"/>
    <s v="N2_Cejas, Mayra"/>
    <x v="36"/>
    <d v="1899-12-30T15:00:00"/>
    <s v="-"/>
    <d v="1899-12-30T15:30:00"/>
    <n v="728"/>
    <n v="175"/>
    <n v="0"/>
    <n v="20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36"/>
    <d v="1899-12-30T15:00:00"/>
    <d v="1899-12-30T15:30:00"/>
  </r>
  <r>
    <d v="2024-10-02T00:00:00"/>
    <n v="924"/>
    <s v="S2S No Premium"/>
    <s v="N2_Cejas, Mayra"/>
    <x v="36"/>
    <d v="1899-12-30T18:30:00"/>
    <s v="-"/>
    <d v="1899-12-30T19:00:00"/>
    <n v="1202"/>
    <n v="0"/>
    <n v="0"/>
    <n v="8"/>
    <n v="0"/>
    <n v="0"/>
    <n v="0"/>
    <n v="76"/>
    <n v="0"/>
    <n v="0"/>
    <n v="0"/>
    <n v="0"/>
    <n v="0"/>
    <n v="0"/>
    <n v="0"/>
    <n v="0"/>
    <n v="0"/>
    <n v="0"/>
    <n v="0"/>
    <n v="3"/>
    <n v="2"/>
    <x v="0"/>
    <x v="36"/>
    <d v="1899-12-30T18:30:00"/>
    <d v="1899-12-30T19:00:00"/>
  </r>
  <r>
    <d v="2024-10-02T00:00:00"/>
    <n v="924"/>
    <s v="S2S No Premium"/>
    <s v="N2_Cejas, Mayra"/>
    <x v="36"/>
    <d v="1899-12-30T18:00:00"/>
    <s v="-"/>
    <d v="1899-12-30T18:30:00"/>
    <n v="1352"/>
    <n v="55"/>
    <n v="0"/>
    <n v="23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36"/>
    <d v="1899-12-30T18:00:00"/>
    <d v="1899-12-30T18:30:00"/>
  </r>
  <r>
    <d v="2024-10-02T00:00:00"/>
    <n v="925"/>
    <s v="S2S Premium"/>
    <s v="P_Gomez, Monica"/>
    <x v="37"/>
    <d v="1899-12-30T16:00:00"/>
    <s v="-"/>
    <d v="1899-12-30T16:30:00"/>
    <n v="9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37"/>
    <d v="1899-12-30T16:00:00"/>
    <d v="1899-12-30T16:30:00"/>
  </r>
  <r>
    <d v="2024-10-02T00:00:00"/>
    <n v="925"/>
    <s v="S2S Premium"/>
    <s v="P_Gomez, Monica"/>
    <x v="37"/>
    <d v="1899-12-30T15:00:00"/>
    <s v="-"/>
    <d v="1899-12-30T15:30:00"/>
    <n v="700"/>
    <n v="0"/>
    <n v="0"/>
    <n v="14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7"/>
    <d v="1899-12-30T15:00:00"/>
    <d v="1899-12-30T15:30:00"/>
  </r>
  <r>
    <d v="2024-10-02T00:00:00"/>
    <n v="925"/>
    <s v="S2S Premium"/>
    <s v="P_Gomez, Monica"/>
    <x v="37"/>
    <d v="1899-12-30T15:30:00"/>
    <s v="-"/>
    <d v="1899-12-30T16:00:00"/>
    <n v="728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7"/>
    <d v="1899-12-30T15:30:00"/>
    <d v="1899-12-30T16:00:00"/>
  </r>
  <r>
    <d v="2024-10-02T00:00:00"/>
    <n v="925"/>
    <s v="S2S Premium"/>
    <s v="P_Gomez, Monica"/>
    <x v="37"/>
    <d v="1899-12-30T18:00:00"/>
    <s v="-"/>
    <d v="1899-12-30T18:30:00"/>
    <n v="916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37"/>
    <d v="1899-12-30T18:00:00"/>
    <d v="1899-12-30T18:30:00"/>
  </r>
  <r>
    <d v="2024-10-02T00:00:00"/>
    <n v="925"/>
    <s v="S2S Premium"/>
    <s v="P_Gomez, Monica"/>
    <x v="37"/>
    <d v="1899-12-30T19:30:00"/>
    <s v="-"/>
    <d v="1899-12-30T20:00:00"/>
    <n v="1103"/>
    <n v="0"/>
    <n v="0"/>
    <n v="12"/>
    <n v="0"/>
    <n v="0"/>
    <n v="0"/>
    <n v="287"/>
    <n v="0"/>
    <n v="0"/>
    <n v="0"/>
    <n v="0"/>
    <n v="0"/>
    <n v="0"/>
    <n v="0"/>
    <n v="0"/>
    <n v="0"/>
    <n v="0"/>
    <n v="0"/>
    <n v="4"/>
    <n v="4"/>
    <x v="1"/>
    <x v="37"/>
    <d v="1899-12-30T19:30:00"/>
    <d v="1899-12-30T20:00:00"/>
  </r>
  <r>
    <d v="2024-10-02T00:00:00"/>
    <n v="925"/>
    <s v="S2S Premium"/>
    <s v="P_Gomez, Monica"/>
    <x v="37"/>
    <d v="1899-12-30T18:30:00"/>
    <s v="-"/>
    <d v="1899-12-30T19:00:00"/>
    <n v="1174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37"/>
    <d v="1899-12-30T18:30:00"/>
    <d v="1899-12-30T19:00:00"/>
  </r>
  <r>
    <d v="2024-10-02T00:00:00"/>
    <n v="925"/>
    <s v="S2S Premium"/>
    <s v="P_Gomez, Monica"/>
    <x v="37"/>
    <d v="1899-12-30T19:00:00"/>
    <s v="-"/>
    <d v="1899-12-30T19:30:00"/>
    <n v="1400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37"/>
    <d v="1899-12-30T19:00:00"/>
    <d v="1899-12-30T19:30:00"/>
  </r>
  <r>
    <d v="2024-10-02T00:00:00"/>
    <n v="925"/>
    <s v="S2S Premium"/>
    <s v="P_Navarro, Bruno"/>
    <x v="38"/>
    <d v="1899-12-30T14:30:00"/>
    <s v="-"/>
    <d v="1899-12-30T15:00:00"/>
    <n v="551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38"/>
    <d v="1899-12-30T14:30:00"/>
    <d v="1899-12-30T15:00:00"/>
  </r>
  <r>
    <d v="2024-10-02T00:00:00"/>
    <n v="925"/>
    <s v="S2S Premium"/>
    <s v="P_Navarro, Bruno"/>
    <x v="38"/>
    <d v="1899-12-30T14:00:00"/>
    <s v="-"/>
    <d v="1899-12-30T14:30:00"/>
    <n v="758"/>
    <n v="0"/>
    <n v="0"/>
    <n v="12"/>
    <n v="0"/>
    <n v="0"/>
    <n v="0"/>
    <n v="493"/>
    <n v="0"/>
    <n v="0"/>
    <n v="0"/>
    <n v="0"/>
    <n v="0"/>
    <n v="0"/>
    <n v="0"/>
    <n v="0"/>
    <n v="0"/>
    <n v="0"/>
    <n v="0"/>
    <n v="3"/>
    <n v="3"/>
    <x v="1"/>
    <x v="38"/>
    <d v="1899-12-30T14:00:00"/>
    <d v="1899-12-30T14:30:00"/>
  </r>
  <r>
    <d v="2024-10-02T00:00:00"/>
    <n v="925"/>
    <s v="S2S Premium"/>
    <s v="P_Perez, Lourdes"/>
    <x v="39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39"/>
    <d v="1899-12-30T15:30:00"/>
    <d v="1899-12-30T16:00:00"/>
  </r>
  <r>
    <d v="2024-10-02T00:00:00"/>
    <n v="925"/>
    <s v="S2S Premium"/>
    <s v="P_Perez, Lourdes"/>
    <x v="39"/>
    <d v="1899-12-30T18:30:00"/>
    <s v="-"/>
    <d v="1899-12-30T19:00:00"/>
    <n v="600"/>
    <n v="0"/>
    <n v="0"/>
    <n v="12"/>
    <n v="0"/>
    <n v="0"/>
    <n v="0"/>
    <n v="77"/>
    <n v="54"/>
    <n v="0"/>
    <n v="0"/>
    <n v="0"/>
    <n v="0"/>
    <n v="0"/>
    <n v="0"/>
    <n v="0"/>
    <n v="0"/>
    <n v="0"/>
    <n v="0"/>
    <n v="3"/>
    <n v="3"/>
    <x v="1"/>
    <x v="39"/>
    <d v="1899-12-30T18:30:00"/>
    <d v="1899-12-30T19:00:00"/>
  </r>
  <r>
    <d v="2024-10-02T00:00:00"/>
    <n v="925"/>
    <s v="S2S Premium"/>
    <s v="P_Perez, Lourdes"/>
    <x v="39"/>
    <d v="1899-12-30T18:00:00"/>
    <s v="-"/>
    <d v="1899-12-30T18:30:00"/>
    <n v="660"/>
    <n v="70"/>
    <n v="0"/>
    <n v="25"/>
    <n v="0"/>
    <n v="0"/>
    <n v="0"/>
    <n v="117"/>
    <n v="78"/>
    <n v="0"/>
    <n v="0"/>
    <n v="0"/>
    <n v="0"/>
    <n v="0"/>
    <n v="0"/>
    <n v="0"/>
    <n v="0"/>
    <n v="0"/>
    <n v="0"/>
    <n v="6"/>
    <n v="6"/>
    <x v="1"/>
    <x v="39"/>
    <d v="1899-12-30T18:00:00"/>
    <d v="1899-12-30T18:30:00"/>
  </r>
  <r>
    <d v="2024-10-02T00:00:00"/>
    <n v="925"/>
    <s v="S2S Premium"/>
    <s v="P_Perez, Lourdes"/>
    <x v="39"/>
    <d v="1899-12-30T19:30:00"/>
    <s v="-"/>
    <d v="1899-12-30T20:00:00"/>
    <n v="760"/>
    <n v="43"/>
    <n v="0"/>
    <n v="16"/>
    <n v="0"/>
    <n v="0"/>
    <n v="0"/>
    <n v="409"/>
    <n v="240"/>
    <n v="0"/>
    <n v="0"/>
    <n v="0"/>
    <n v="0"/>
    <n v="0"/>
    <n v="0"/>
    <n v="0"/>
    <n v="0"/>
    <n v="0"/>
    <n v="0"/>
    <n v="3"/>
    <n v="3"/>
    <x v="1"/>
    <x v="39"/>
    <d v="1899-12-30T19:30:00"/>
    <d v="1899-12-30T20:00:00"/>
  </r>
  <r>
    <d v="2024-10-02T00:00:00"/>
    <n v="925"/>
    <s v="S2S Premium"/>
    <s v="P_Perez, Lourdes"/>
    <x v="39"/>
    <d v="1899-12-30T17:00:00"/>
    <s v="-"/>
    <d v="1899-12-30T17:30:00"/>
    <n v="825"/>
    <n v="0"/>
    <n v="0"/>
    <n v="20"/>
    <n v="0"/>
    <n v="0"/>
    <n v="0"/>
    <n v="123"/>
    <n v="115"/>
    <n v="0"/>
    <n v="0"/>
    <n v="0"/>
    <n v="0"/>
    <n v="0"/>
    <n v="0"/>
    <n v="0"/>
    <n v="0"/>
    <n v="0"/>
    <n v="0"/>
    <n v="6"/>
    <n v="4"/>
    <x v="1"/>
    <x v="39"/>
    <d v="1899-12-30T17:00:00"/>
    <d v="1899-12-30T17:30:00"/>
  </r>
  <r>
    <d v="2024-10-02T00:00:00"/>
    <n v="925"/>
    <s v="S2S Premium"/>
    <s v="P_Perez, Lourdes"/>
    <x v="39"/>
    <d v="1899-12-30T16:00:00"/>
    <s v="-"/>
    <d v="1899-12-30T16:30:00"/>
    <n v="1035"/>
    <n v="0"/>
    <n v="0"/>
    <n v="14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39"/>
    <d v="1899-12-30T16:00:00"/>
    <d v="1899-12-30T16:30:00"/>
  </r>
  <r>
    <d v="2024-10-02T00:00:00"/>
    <n v="925"/>
    <s v="S2S Premium"/>
    <s v="P_Perez, Lourdes"/>
    <x v="39"/>
    <d v="1899-12-30T19:00:00"/>
    <s v="-"/>
    <d v="1899-12-30T19:30:00"/>
    <n v="1099"/>
    <n v="0"/>
    <n v="0"/>
    <n v="24"/>
    <n v="0"/>
    <n v="0"/>
    <n v="0"/>
    <n v="8"/>
    <n v="0"/>
    <n v="0"/>
    <n v="0"/>
    <n v="0"/>
    <n v="0"/>
    <n v="0"/>
    <n v="0"/>
    <n v="0"/>
    <n v="0"/>
    <n v="0"/>
    <n v="0"/>
    <n v="7"/>
    <n v="7"/>
    <x v="1"/>
    <x v="39"/>
    <d v="1899-12-30T19:00:00"/>
    <d v="1899-12-30T19:30:00"/>
  </r>
  <r>
    <d v="2024-10-02T00:00:00"/>
    <n v="925"/>
    <s v="S2S Premium"/>
    <s v="P_Perez, Lourdes"/>
    <x v="39"/>
    <d v="1899-12-30T16:30:00"/>
    <s v="-"/>
    <d v="1899-12-30T17:00:00"/>
    <n v="1269"/>
    <n v="84"/>
    <n v="0"/>
    <n v="17"/>
    <n v="0"/>
    <n v="0"/>
    <n v="0"/>
    <n v="52"/>
    <n v="0"/>
    <n v="0"/>
    <n v="0"/>
    <n v="0"/>
    <n v="0"/>
    <n v="0"/>
    <n v="0"/>
    <n v="0"/>
    <n v="0"/>
    <n v="0"/>
    <n v="0"/>
    <n v="3"/>
    <n v="2"/>
    <x v="1"/>
    <x v="39"/>
    <d v="1899-12-30T16:30:00"/>
    <d v="1899-12-30T17:00:00"/>
  </r>
  <r>
    <d v="2024-10-02T00:00:00"/>
    <n v="925"/>
    <s v="S2S Premium"/>
    <s v="P_Perez, Lourdes"/>
    <x v="39"/>
    <d v="1899-12-30T17:30:00"/>
    <s v="-"/>
    <d v="1899-12-30T18:00:00"/>
    <n v="1356"/>
    <n v="266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39"/>
    <d v="1899-12-30T17:30:00"/>
    <d v="1899-12-30T18:00:00"/>
  </r>
  <r>
    <d v="2024-10-02T00:00:00"/>
    <n v="925"/>
    <s v="S2S Premium"/>
    <s v="Pm_Menguez, Luka"/>
    <x v="40"/>
    <d v="1899-12-30T17:00:00"/>
    <s v="-"/>
    <d v="1899-12-30T17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40"/>
    <d v="1899-12-30T17:00:00"/>
    <d v="1899-12-30T17:30:00"/>
  </r>
  <r>
    <d v="2024-10-02T00:00:00"/>
    <n v="925"/>
    <s v="S2S Premium"/>
    <s v="Pm_Menguez, Luka"/>
    <x v="40"/>
    <d v="1899-12-30T16:00:00"/>
    <s v="-"/>
    <d v="1899-12-30T16:30:00"/>
    <n v="133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40"/>
    <d v="1899-12-30T16:00:00"/>
    <d v="1899-12-30T16:30:00"/>
  </r>
  <r>
    <d v="2024-10-02T00:00:00"/>
    <n v="925"/>
    <s v="S2S Premium"/>
    <s v="Pm_Menguez, Luka"/>
    <x v="40"/>
    <d v="1899-12-30T15:30:00"/>
    <s v="-"/>
    <d v="1899-12-30T16:00:00"/>
    <n v="275"/>
    <n v="0"/>
    <n v="0"/>
    <n v="0"/>
    <n v="0"/>
    <n v="0"/>
    <n v="0"/>
    <n v="84"/>
    <n v="0"/>
    <n v="0"/>
    <n v="0"/>
    <n v="0"/>
    <n v="0"/>
    <n v="0"/>
    <n v="0"/>
    <n v="0"/>
    <n v="0"/>
    <n v="0"/>
    <n v="0"/>
    <n v="1"/>
    <n v="1"/>
    <x v="1"/>
    <x v="40"/>
    <d v="1899-12-30T15:30:00"/>
    <d v="1899-12-30T16:00:00"/>
  </r>
  <r>
    <d v="2024-10-02T00:00:00"/>
    <n v="925"/>
    <s v="S2S Premium"/>
    <s v="Pm_Menguez, Luka"/>
    <x v="40"/>
    <d v="1899-12-30T14:30:00"/>
    <s v="-"/>
    <d v="1899-12-30T15:00:00"/>
    <n v="380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40"/>
    <d v="1899-12-30T14:30:00"/>
    <d v="1899-12-30T15:00:00"/>
  </r>
  <r>
    <d v="2024-10-02T00:00:00"/>
    <n v="925"/>
    <s v="S2S Premium"/>
    <s v="Pm_Menguez, Luka"/>
    <x v="40"/>
    <d v="1899-12-30T16:30:00"/>
    <s v="-"/>
    <d v="1899-12-30T17:00:00"/>
    <n v="398"/>
    <n v="0"/>
    <n v="0"/>
    <n v="12"/>
    <n v="0"/>
    <n v="0"/>
    <n v="0"/>
    <n v="49"/>
    <n v="44"/>
    <n v="0"/>
    <n v="0"/>
    <n v="0"/>
    <n v="0"/>
    <n v="0"/>
    <n v="0"/>
    <n v="0"/>
    <n v="0"/>
    <n v="0"/>
    <n v="0"/>
    <n v="3"/>
    <n v="3"/>
    <x v="1"/>
    <x v="40"/>
    <d v="1899-12-30T16:30:00"/>
    <d v="1899-12-30T17:00:00"/>
  </r>
  <r>
    <d v="2024-10-02T00:00:00"/>
    <n v="925"/>
    <s v="S2S Premium"/>
    <s v="Pm_Menguez, Luka"/>
    <x v="40"/>
    <d v="1899-12-30T14:00:00"/>
    <s v="-"/>
    <d v="1899-12-30T14:30:00"/>
    <n v="414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1"/>
    <x v="40"/>
    <d v="1899-12-30T14:00:00"/>
    <d v="1899-12-30T14:30:00"/>
  </r>
  <r>
    <d v="2024-10-02T00:00:00"/>
    <n v="925"/>
    <s v="S2S Premium"/>
    <s v="Pm_Menguez, Luka"/>
    <x v="40"/>
    <d v="1899-12-30T15:00:00"/>
    <s v="-"/>
    <d v="1899-12-30T15:30:00"/>
    <n v="597"/>
    <n v="0"/>
    <n v="0"/>
    <n v="13"/>
    <n v="0"/>
    <n v="0"/>
    <n v="0"/>
    <n v="212"/>
    <n v="0"/>
    <n v="0"/>
    <n v="0"/>
    <n v="0"/>
    <n v="0"/>
    <n v="0"/>
    <n v="0"/>
    <n v="0"/>
    <n v="0"/>
    <n v="0"/>
    <n v="0"/>
    <n v="2"/>
    <n v="2"/>
    <x v="1"/>
    <x v="40"/>
    <d v="1899-12-30T15:00:00"/>
    <d v="1899-12-30T15:30:00"/>
  </r>
  <r>
    <d v="2024-10-02T00:00:00"/>
    <n v="925"/>
    <s v="S2S Premium"/>
    <s v="Pm_Maraz, Ayelen"/>
    <x v="41"/>
    <d v="1899-12-30T14:30:00"/>
    <s v="-"/>
    <d v="1899-12-30T15:00:00"/>
    <n v="460"/>
    <n v="256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41"/>
    <d v="1899-12-30T14:30:00"/>
    <d v="1899-12-30T15:00:00"/>
  </r>
  <r>
    <d v="2024-10-02T00:00:00"/>
    <n v="925"/>
    <s v="S2S Premium"/>
    <s v="Pm_Maraz, Ayelen"/>
    <x v="41"/>
    <d v="1899-12-30T14:00:00"/>
    <s v="-"/>
    <d v="1899-12-30T14:30:00"/>
    <n v="1075"/>
    <n v="0"/>
    <n v="0"/>
    <n v="13"/>
    <n v="0"/>
    <n v="0"/>
    <n v="0"/>
    <n v="89"/>
    <n v="0"/>
    <n v="0"/>
    <n v="0"/>
    <n v="0"/>
    <n v="0"/>
    <n v="0"/>
    <n v="0"/>
    <n v="0"/>
    <n v="0"/>
    <n v="0"/>
    <n v="0"/>
    <n v="2"/>
    <n v="1"/>
    <x v="1"/>
    <x v="41"/>
    <d v="1899-12-30T14:00:00"/>
    <d v="1899-12-30T14:30:00"/>
  </r>
  <r>
    <d v="2024-10-02T00:00:00"/>
    <n v="924"/>
    <s v="S2S No Premium"/>
    <s v="N2_Canteros,Johanna"/>
    <x v="42"/>
    <d v="1899-12-30T15:30:00"/>
    <s v="-"/>
    <d v="1899-12-30T16:00:00"/>
    <n v="76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2"/>
    <d v="1899-12-30T15:30:00"/>
    <d v="1899-12-30T16:00:00"/>
  </r>
  <r>
    <d v="2024-10-02T00:00:00"/>
    <n v="924"/>
    <s v="S2S No Premium"/>
    <s v="N2_Canteros,Johanna"/>
    <x v="42"/>
    <d v="1899-12-30T19:30:00"/>
    <s v="-"/>
    <d v="1899-12-30T20:00:00"/>
    <n v="659"/>
    <n v="0"/>
    <n v="0"/>
    <n v="22"/>
    <n v="0"/>
    <n v="0"/>
    <n v="0"/>
    <n v="1"/>
    <n v="114"/>
    <n v="0"/>
    <n v="0"/>
    <n v="0"/>
    <n v="0"/>
    <n v="0"/>
    <n v="0"/>
    <n v="0"/>
    <n v="0"/>
    <n v="0"/>
    <n v="0"/>
    <n v="1"/>
    <n v="1"/>
    <x v="0"/>
    <x v="42"/>
    <d v="1899-12-30T19:30:00"/>
    <d v="1899-12-30T20:00:00"/>
  </r>
  <r>
    <d v="2024-10-02T00:00:00"/>
    <n v="924"/>
    <s v="S2S No Premium"/>
    <s v="N2_Canteros,Johanna"/>
    <x v="42"/>
    <d v="1899-12-30T19:00:00"/>
    <s v="-"/>
    <d v="1899-12-30T19:30:00"/>
    <n v="775"/>
    <n v="0"/>
    <n v="0"/>
    <n v="41"/>
    <n v="0"/>
    <n v="0"/>
    <n v="0"/>
    <n v="5"/>
    <n v="0"/>
    <n v="0"/>
    <n v="0"/>
    <n v="0"/>
    <n v="0"/>
    <n v="0"/>
    <n v="0"/>
    <n v="0"/>
    <n v="0"/>
    <n v="0"/>
    <n v="0"/>
    <n v="4"/>
    <n v="4"/>
    <x v="0"/>
    <x v="42"/>
    <d v="1899-12-30T19:00:00"/>
    <d v="1899-12-30T19:30:00"/>
  </r>
  <r>
    <d v="2024-10-02T00:00:00"/>
    <n v="924"/>
    <s v="S2S No Premium"/>
    <s v="N2_Canteros,Johanna"/>
    <x v="42"/>
    <d v="1899-12-30T18:30:00"/>
    <s v="-"/>
    <d v="1899-12-30T19:00:00"/>
    <n v="834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42"/>
    <d v="1899-12-30T18:30:00"/>
    <d v="1899-12-30T19:00:00"/>
  </r>
  <r>
    <d v="2024-10-02T00:00:00"/>
    <n v="924"/>
    <s v="S2S No Premium"/>
    <s v="N2_Canteros,Johanna"/>
    <x v="42"/>
    <d v="1899-12-30T16:00:00"/>
    <s v="-"/>
    <d v="1899-12-30T16:30:00"/>
    <n v="1301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42"/>
    <d v="1899-12-30T16:00:00"/>
    <d v="1899-12-30T16:30:00"/>
  </r>
  <r>
    <d v="2024-10-02T00:00:00"/>
    <n v="924"/>
    <s v="S2S No Premium"/>
    <s v="N2_Canteros,Johanna"/>
    <x v="42"/>
    <d v="1899-12-30T17:30:00"/>
    <s v="-"/>
    <d v="1899-12-30T18:00:00"/>
    <n v="1419"/>
    <n v="0"/>
    <n v="0"/>
    <n v="20"/>
    <n v="0"/>
    <n v="0"/>
    <n v="0"/>
    <n v="78"/>
    <n v="0"/>
    <n v="0"/>
    <n v="0"/>
    <n v="0"/>
    <n v="0"/>
    <n v="0"/>
    <n v="0"/>
    <n v="0"/>
    <n v="0"/>
    <n v="0"/>
    <n v="0"/>
    <n v="5"/>
    <n v="4"/>
    <x v="0"/>
    <x v="42"/>
    <d v="1899-12-30T17:30:00"/>
    <d v="1899-12-30T18:00:00"/>
  </r>
  <r>
    <d v="2024-10-02T00:00:00"/>
    <n v="924"/>
    <s v="S2S No Premium"/>
    <s v="N2_Canteros,Johanna"/>
    <x v="42"/>
    <d v="1899-12-30T16:30:00"/>
    <s v="-"/>
    <d v="1899-12-30T17:00:00"/>
    <n v="1421"/>
    <n v="0"/>
    <n v="0"/>
    <n v="21"/>
    <n v="0"/>
    <n v="0"/>
    <n v="0"/>
    <n v="6"/>
    <n v="0"/>
    <n v="0"/>
    <n v="0"/>
    <n v="0"/>
    <n v="0"/>
    <n v="0"/>
    <n v="0"/>
    <n v="0"/>
    <n v="0"/>
    <n v="0"/>
    <n v="0"/>
    <n v="5"/>
    <n v="5"/>
    <x v="0"/>
    <x v="42"/>
    <d v="1899-12-30T16:30:00"/>
    <d v="1899-12-30T17:00:00"/>
  </r>
  <r>
    <d v="2024-10-02T00:00:00"/>
    <n v="924"/>
    <s v="S2S No Premium"/>
    <s v="N2_Canteros,Johanna"/>
    <x v="42"/>
    <d v="1899-12-30T17:00:00"/>
    <s v="-"/>
    <d v="1899-12-30T17:30:00"/>
    <n v="1452"/>
    <n v="0"/>
    <n v="0"/>
    <n v="13"/>
    <n v="0"/>
    <n v="0"/>
    <n v="0"/>
    <n v="47"/>
    <n v="0"/>
    <n v="0"/>
    <n v="0"/>
    <n v="0"/>
    <n v="0"/>
    <n v="0"/>
    <n v="0"/>
    <n v="0"/>
    <n v="0"/>
    <n v="0"/>
    <n v="0"/>
    <n v="3"/>
    <n v="3"/>
    <x v="0"/>
    <x v="42"/>
    <d v="1899-12-30T17:00:00"/>
    <d v="1899-12-30T17:30:00"/>
  </r>
  <r>
    <d v="2024-10-02T00:00:00"/>
    <n v="924"/>
    <s v="S2S No Premium"/>
    <s v="N2_Canteros,Johanna"/>
    <x v="42"/>
    <d v="1899-12-30T18:00:00"/>
    <s v="-"/>
    <d v="1899-12-30T18:30:00"/>
    <n v="1552"/>
    <n v="0"/>
    <n v="0"/>
    <n v="23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42"/>
    <d v="1899-12-30T18:00:00"/>
    <d v="1899-12-30T18:30:00"/>
  </r>
  <r>
    <d v="2024-10-02T00:00:00"/>
    <n v="924"/>
    <s v="S2S No Premium"/>
    <s v="N2m_Gomez, Bruno"/>
    <x v="43"/>
    <d v="1899-12-30T15:00:00"/>
    <s v="-"/>
    <d v="1899-12-30T15:30:00"/>
    <n v="377"/>
    <n v="0"/>
    <n v="0"/>
    <n v="17"/>
    <n v="0"/>
    <n v="0"/>
    <n v="0"/>
    <n v="93"/>
    <n v="0"/>
    <n v="0"/>
    <n v="0"/>
    <n v="0"/>
    <n v="0"/>
    <n v="0"/>
    <n v="0"/>
    <n v="0"/>
    <n v="0"/>
    <n v="0"/>
    <n v="0"/>
    <n v="3"/>
    <n v="3"/>
    <x v="0"/>
    <x v="43"/>
    <d v="1899-12-30T15:00:00"/>
    <d v="1899-12-30T15:30:00"/>
  </r>
  <r>
    <d v="2024-10-02T00:00:00"/>
    <n v="925"/>
    <s v="S2S Premium"/>
    <s v="P_Maiz, Camila"/>
    <x v="44"/>
    <d v="1899-12-30T15:30:00"/>
    <s v="-"/>
    <d v="1899-12-30T16:00:00"/>
    <n v="83"/>
    <n v="9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44"/>
    <d v="1899-12-30T15:30:00"/>
    <d v="1899-12-30T16:00:00"/>
  </r>
  <r>
    <d v="2024-10-02T00:00:00"/>
    <n v="925"/>
    <s v="S2S Premium"/>
    <s v="P_Maiz, Camila"/>
    <x v="44"/>
    <d v="1899-12-30T18:00:00"/>
    <s v="-"/>
    <d v="1899-12-30T18:30:00"/>
    <n v="219"/>
    <n v="46"/>
    <n v="0"/>
    <n v="8"/>
    <n v="0"/>
    <n v="0"/>
    <n v="0"/>
    <n v="143"/>
    <n v="52"/>
    <n v="0"/>
    <n v="0"/>
    <n v="0"/>
    <n v="0"/>
    <n v="0"/>
    <n v="0"/>
    <n v="0"/>
    <n v="0"/>
    <n v="0"/>
    <n v="0"/>
    <n v="2"/>
    <n v="2"/>
    <x v="1"/>
    <x v="44"/>
    <d v="1899-12-30T18:00:00"/>
    <d v="1899-12-30T18:30:00"/>
  </r>
  <r>
    <d v="2024-10-02T00:00:00"/>
    <n v="925"/>
    <s v="S2S Premium"/>
    <s v="P_Maiz, Camila"/>
    <x v="44"/>
    <d v="1899-12-30T19:30:00"/>
    <s v="-"/>
    <d v="1899-12-30T20:00:00"/>
    <n v="335"/>
    <n v="63"/>
    <n v="0"/>
    <n v="16"/>
    <n v="0"/>
    <n v="0"/>
    <n v="0"/>
    <n v="268"/>
    <n v="177"/>
    <n v="0"/>
    <n v="0"/>
    <n v="0"/>
    <n v="0"/>
    <n v="0"/>
    <n v="0"/>
    <n v="0"/>
    <n v="0"/>
    <n v="0"/>
    <n v="0"/>
    <n v="4"/>
    <n v="2"/>
    <x v="1"/>
    <x v="44"/>
    <d v="1899-12-30T19:30:00"/>
    <d v="1899-12-30T20:00:00"/>
  </r>
  <r>
    <d v="2024-10-02T00:00:00"/>
    <n v="925"/>
    <s v="S2S Premium"/>
    <s v="P_Maiz, Camila"/>
    <x v="44"/>
    <d v="1899-12-30T15:00:00"/>
    <s v="-"/>
    <d v="1899-12-30T15:30:00"/>
    <n v="446"/>
    <n v="123"/>
    <n v="0"/>
    <n v="8"/>
    <n v="0"/>
    <n v="0"/>
    <n v="0"/>
    <n v="121"/>
    <n v="0"/>
    <n v="0"/>
    <n v="0"/>
    <n v="0"/>
    <n v="0"/>
    <n v="0"/>
    <n v="0"/>
    <n v="0"/>
    <n v="0"/>
    <n v="0"/>
    <n v="0"/>
    <n v="2"/>
    <n v="1"/>
    <x v="1"/>
    <x v="44"/>
    <d v="1899-12-30T15:00:00"/>
    <d v="1899-12-30T15:30:00"/>
  </r>
  <r>
    <d v="2024-10-02T00:00:00"/>
    <n v="925"/>
    <s v="S2S Premium"/>
    <s v="P_Maiz, Camila"/>
    <x v="44"/>
    <d v="1899-12-30T18:30:00"/>
    <s v="-"/>
    <d v="1899-12-30T19:00:00"/>
    <n v="651"/>
    <n v="23"/>
    <n v="0"/>
    <n v="20"/>
    <n v="0"/>
    <n v="0"/>
    <n v="0"/>
    <n v="135"/>
    <n v="1"/>
    <n v="0"/>
    <n v="0"/>
    <n v="0"/>
    <n v="0"/>
    <n v="0"/>
    <n v="0"/>
    <n v="0"/>
    <n v="0"/>
    <n v="0"/>
    <n v="0"/>
    <n v="4"/>
    <n v="3"/>
    <x v="1"/>
    <x v="44"/>
    <d v="1899-12-30T18:30:00"/>
    <d v="1899-12-30T19:00:00"/>
  </r>
  <r>
    <d v="2024-10-02T00:00:00"/>
    <n v="925"/>
    <s v="S2S Premium"/>
    <s v="P_Maiz, Camila"/>
    <x v="44"/>
    <d v="1899-12-30T19:00:00"/>
    <s v="-"/>
    <d v="1899-12-30T19:30:00"/>
    <n v="771"/>
    <n v="202"/>
    <n v="0"/>
    <n v="24"/>
    <n v="0"/>
    <n v="0"/>
    <n v="0"/>
    <n v="60"/>
    <n v="1"/>
    <n v="0"/>
    <n v="0"/>
    <n v="0"/>
    <n v="0"/>
    <n v="0"/>
    <n v="0"/>
    <n v="0"/>
    <n v="0"/>
    <n v="0"/>
    <n v="0"/>
    <n v="7"/>
    <n v="3"/>
    <x v="1"/>
    <x v="44"/>
    <d v="1899-12-30T19:00:00"/>
    <d v="1899-12-30T19:30:00"/>
  </r>
  <r>
    <d v="2024-10-02T00:00:00"/>
    <n v="924"/>
    <s v="S2S No Premium"/>
    <s v="N2m_Narbona Susan"/>
    <x v="45"/>
    <d v="1899-12-30T15:00:00"/>
    <s v="-"/>
    <d v="1899-12-30T15:30:00"/>
    <n v="3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45"/>
    <d v="1899-12-30T15:00:00"/>
    <d v="1899-12-30T15:30:00"/>
  </r>
  <r>
    <d v="2024-10-02T00:00:00"/>
    <n v="924"/>
    <s v="S2S No Premium"/>
    <s v="N2m_Narbona Susan"/>
    <x v="45"/>
    <d v="1899-12-30T15:30:00"/>
    <s v="-"/>
    <d v="1899-12-30T16:00:00"/>
    <n v="1167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45"/>
    <d v="1899-12-30T15:30:00"/>
    <d v="1899-12-30T16:00:00"/>
  </r>
  <r>
    <d v="2024-10-02T00:00:00"/>
    <n v="924"/>
    <s v="S2S No Premium"/>
    <s v="N2m_Narbona Susan"/>
    <x v="45"/>
    <d v="1899-12-30T16:30:00"/>
    <s v="-"/>
    <d v="1899-12-30T17:00:00"/>
    <n v="1236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6"/>
    <n v="3"/>
    <x v="0"/>
    <x v="45"/>
    <d v="1899-12-30T16:30:00"/>
    <d v="1899-12-30T17:00:00"/>
  </r>
  <r>
    <d v="2024-10-02T00:00:00"/>
    <n v="924"/>
    <s v="S2S No Premium"/>
    <s v="N2m_Narbona Susan"/>
    <x v="45"/>
    <d v="1899-12-30T14:30:00"/>
    <s v="-"/>
    <d v="1899-12-30T15:00:00"/>
    <n v="1267"/>
    <n v="0"/>
    <n v="0"/>
    <n v="9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45"/>
    <d v="1899-12-30T14:30:00"/>
    <d v="1899-12-30T15:00:00"/>
  </r>
  <r>
    <d v="2024-10-02T00:00:00"/>
    <n v="924"/>
    <s v="S2S No Premium"/>
    <s v="N2m_Narbona Susan"/>
    <x v="45"/>
    <d v="1899-12-30T14:00:00"/>
    <s v="-"/>
    <d v="1899-12-30T14:30:00"/>
    <n v="1267"/>
    <n v="72"/>
    <n v="0"/>
    <n v="13"/>
    <n v="0"/>
    <n v="0"/>
    <n v="0"/>
    <n v="1"/>
    <n v="1"/>
    <n v="0"/>
    <n v="0"/>
    <n v="0"/>
    <n v="0"/>
    <n v="0"/>
    <n v="0"/>
    <n v="0"/>
    <n v="0"/>
    <n v="0"/>
    <n v="0"/>
    <n v="3"/>
    <n v="1"/>
    <x v="0"/>
    <x v="45"/>
    <d v="1899-12-30T14:00:00"/>
    <d v="1899-12-30T14:30:00"/>
  </r>
  <r>
    <d v="2024-10-02T00:00:00"/>
    <n v="924"/>
    <s v="S2S No Premium"/>
    <s v="N2m_Narbona Susan"/>
    <x v="45"/>
    <d v="1899-12-30T16:00:00"/>
    <s v="-"/>
    <d v="1899-12-30T16:30:00"/>
    <n v="1417"/>
    <n v="0"/>
    <n v="0"/>
    <n v="17"/>
    <n v="0"/>
    <n v="0"/>
    <n v="0"/>
    <n v="67"/>
    <n v="61"/>
    <n v="0"/>
    <n v="0"/>
    <n v="0"/>
    <n v="0"/>
    <n v="0"/>
    <n v="0"/>
    <n v="0"/>
    <n v="0"/>
    <n v="0"/>
    <n v="0"/>
    <n v="4"/>
    <n v="3"/>
    <x v="0"/>
    <x v="45"/>
    <d v="1899-12-30T16:00:00"/>
    <d v="1899-12-30T16:30:00"/>
  </r>
  <r>
    <d v="2024-10-02T00:00:00"/>
    <n v="924"/>
    <s v="S2S No Premium"/>
    <s v="N2_Torres Luna"/>
    <x v="46"/>
    <d v="1899-12-30T14:30:00"/>
    <s v="-"/>
    <d v="1899-12-30T15:00:00"/>
    <n v="88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0"/>
    <x v="0"/>
    <x v="46"/>
    <d v="1899-12-30T14:30:00"/>
    <d v="1899-12-30T15:00:00"/>
  </r>
  <r>
    <d v="2024-10-02T00:00:00"/>
    <n v="924"/>
    <s v="S2S No Premium"/>
    <s v="N2_Torres Luna"/>
    <x v="46"/>
    <d v="1899-12-30T14:00:00"/>
    <s v="-"/>
    <d v="1899-12-30T14:30:00"/>
    <n v="413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46"/>
    <d v="1899-12-30T14:00:00"/>
    <d v="1899-12-30T14:30:00"/>
  </r>
  <r>
    <d v="2024-10-02T00:00:00"/>
    <n v="924"/>
    <s v="S2S No Premium"/>
    <s v="N2m_Duro, Candela"/>
    <x v="47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47"/>
    <d v="1899-12-30T19:00:00"/>
    <d v="1899-12-30T19:30:00"/>
  </r>
  <r>
    <d v="2024-10-02T00:00:00"/>
    <n v="924"/>
    <s v="S2S No Premium"/>
    <s v="N2m_Duro, Candela"/>
    <x v="47"/>
    <d v="1899-12-30T18:30:00"/>
    <s v="-"/>
    <d v="1899-12-30T19:00:00"/>
    <n v="32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1"/>
    <x v="0"/>
    <x v="47"/>
    <d v="1899-12-30T18:30:00"/>
    <d v="1899-12-30T19:00:00"/>
  </r>
  <r>
    <d v="2024-10-02T00:00:00"/>
    <n v="924"/>
    <s v="S2S No Premium"/>
    <s v="N2m_Duro, Candela"/>
    <x v="47"/>
    <d v="1899-12-30T17:30:00"/>
    <s v="-"/>
    <d v="1899-12-30T18:00:00"/>
    <n v="478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5"/>
    <n v="4"/>
    <x v="0"/>
    <x v="47"/>
    <d v="1899-12-30T17:30:00"/>
    <d v="1899-12-30T18:00:00"/>
  </r>
  <r>
    <d v="2024-10-02T00:00:00"/>
    <n v="924"/>
    <s v="S2S No Premium"/>
    <s v="N2m_Duro, Candela"/>
    <x v="47"/>
    <d v="1899-12-30T19:30:00"/>
    <s v="-"/>
    <d v="1899-12-30T20:00:00"/>
    <n v="515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47"/>
    <d v="1899-12-30T19:30:00"/>
    <d v="1899-12-30T20:00:00"/>
  </r>
  <r>
    <d v="2024-10-02T00:00:00"/>
    <n v="924"/>
    <s v="S2S No Premium"/>
    <s v="N2m_Duro, Candela"/>
    <x v="47"/>
    <d v="1899-12-30T15:00:00"/>
    <s v="-"/>
    <d v="1899-12-30T15:30:00"/>
    <n v="601"/>
    <n v="0"/>
    <n v="0"/>
    <n v="21"/>
    <n v="0"/>
    <n v="0"/>
    <n v="0"/>
    <n v="136"/>
    <n v="130"/>
    <n v="0"/>
    <n v="0"/>
    <n v="0"/>
    <n v="0"/>
    <n v="0"/>
    <n v="0"/>
    <n v="0"/>
    <n v="0"/>
    <n v="0"/>
    <n v="0"/>
    <n v="4"/>
    <n v="3"/>
    <x v="0"/>
    <x v="47"/>
    <d v="1899-12-30T15:00:00"/>
    <d v="1899-12-30T15:30:00"/>
  </r>
  <r>
    <d v="2024-10-02T00:00:00"/>
    <n v="924"/>
    <s v="S2S No Premium"/>
    <s v="N2m_Duro, Candela"/>
    <x v="47"/>
    <d v="1899-12-30T17:00:00"/>
    <s v="-"/>
    <d v="1899-12-30T17:30:00"/>
    <n v="779"/>
    <n v="0"/>
    <n v="0"/>
    <n v="26"/>
    <n v="0"/>
    <n v="0"/>
    <n v="0"/>
    <n v="5"/>
    <n v="0"/>
    <n v="0"/>
    <n v="0"/>
    <n v="0"/>
    <n v="0"/>
    <n v="0"/>
    <n v="0"/>
    <n v="0"/>
    <n v="0"/>
    <n v="0"/>
    <n v="0"/>
    <n v="6"/>
    <n v="5"/>
    <x v="0"/>
    <x v="47"/>
    <d v="1899-12-30T17:00:00"/>
    <d v="1899-12-30T17:30:00"/>
  </r>
  <r>
    <d v="2024-10-02T00:00:00"/>
    <n v="924"/>
    <s v="S2S No Premium"/>
    <s v="N2m_Duro, Candela"/>
    <x v="47"/>
    <d v="1899-12-30T15:30:00"/>
    <s v="-"/>
    <d v="1899-12-30T16:00:00"/>
    <n v="860"/>
    <n v="0"/>
    <n v="0"/>
    <n v="25"/>
    <n v="0"/>
    <n v="0"/>
    <n v="0"/>
    <n v="3"/>
    <n v="0"/>
    <n v="0"/>
    <n v="0"/>
    <n v="0"/>
    <n v="0"/>
    <n v="0"/>
    <n v="0"/>
    <n v="0"/>
    <n v="0"/>
    <n v="0"/>
    <n v="0"/>
    <n v="5"/>
    <n v="3"/>
    <x v="0"/>
    <x v="47"/>
    <d v="1899-12-30T15:30:00"/>
    <d v="1899-12-30T16:00:00"/>
  </r>
  <r>
    <d v="2024-10-02T00:00:00"/>
    <n v="924"/>
    <s v="S2S No Premium"/>
    <s v="N2m_Duro, Candela"/>
    <x v="47"/>
    <d v="1899-12-30T16:30:00"/>
    <s v="-"/>
    <d v="1899-12-30T17:00:00"/>
    <n v="1083"/>
    <n v="0"/>
    <n v="0"/>
    <n v="32"/>
    <n v="0"/>
    <n v="0"/>
    <n v="0"/>
    <n v="7"/>
    <n v="0"/>
    <n v="0"/>
    <n v="0"/>
    <n v="0"/>
    <n v="0"/>
    <n v="0"/>
    <n v="0"/>
    <n v="0"/>
    <n v="0"/>
    <n v="0"/>
    <n v="0"/>
    <n v="8"/>
    <n v="7"/>
    <x v="0"/>
    <x v="47"/>
    <d v="1899-12-30T16:30:00"/>
    <d v="1899-12-30T17:00:00"/>
  </r>
  <r>
    <d v="2024-10-02T00:00:00"/>
    <n v="924"/>
    <s v="S2S No Premium"/>
    <s v="N2m_Duro, Candela"/>
    <x v="47"/>
    <d v="1899-12-30T16:00:00"/>
    <s v="-"/>
    <d v="1899-12-30T16:30:00"/>
    <n v="1176"/>
    <n v="0"/>
    <n v="0"/>
    <n v="20"/>
    <n v="0"/>
    <n v="0"/>
    <n v="0"/>
    <n v="101"/>
    <n v="89"/>
    <n v="0"/>
    <n v="0"/>
    <n v="0"/>
    <n v="0"/>
    <n v="0"/>
    <n v="0"/>
    <n v="0"/>
    <n v="0"/>
    <n v="0"/>
    <n v="0"/>
    <n v="5"/>
    <n v="3"/>
    <x v="0"/>
    <x v="47"/>
    <d v="1899-12-30T16:00:00"/>
    <d v="1899-12-30T16:30:00"/>
  </r>
  <r>
    <d v="2024-10-02T00:00:00"/>
    <n v="924"/>
    <s v="S2S No Premium"/>
    <s v="N2m_Duro, Candela"/>
    <x v="47"/>
    <d v="1899-12-30T18:00:00"/>
    <s v="-"/>
    <d v="1899-12-30T18:30:00"/>
    <n v="1614"/>
    <n v="0"/>
    <n v="0"/>
    <n v="29"/>
    <n v="0"/>
    <n v="0"/>
    <n v="0"/>
    <n v="6"/>
    <n v="0"/>
    <n v="0"/>
    <n v="0"/>
    <n v="0"/>
    <n v="0"/>
    <n v="0"/>
    <n v="0"/>
    <n v="0"/>
    <n v="0"/>
    <n v="0"/>
    <n v="0"/>
    <n v="6"/>
    <n v="6"/>
    <x v="0"/>
    <x v="47"/>
    <d v="1899-12-30T18:00:00"/>
    <d v="1899-12-30T18:30:00"/>
  </r>
  <r>
    <d v="2024-10-02T00:00:00"/>
    <n v="924"/>
    <s v="S2S No Premium"/>
    <s v="N2_Acosta,Sebastian"/>
    <x v="48"/>
    <d v="1899-12-30T15:00:00"/>
    <s v="-"/>
    <d v="1899-12-30T15:30:00"/>
    <n v="750"/>
    <n v="0"/>
    <n v="0"/>
    <n v="13"/>
    <n v="0"/>
    <n v="0"/>
    <n v="0"/>
    <n v="63"/>
    <n v="58"/>
    <n v="0"/>
    <n v="0"/>
    <n v="0"/>
    <n v="0"/>
    <n v="0"/>
    <n v="0"/>
    <n v="0"/>
    <n v="0"/>
    <n v="0"/>
    <n v="0"/>
    <n v="4"/>
    <n v="4"/>
    <x v="0"/>
    <x v="48"/>
    <d v="1899-12-30T15:00:00"/>
    <d v="1899-12-30T15:30:00"/>
  </r>
  <r>
    <d v="2024-10-02T00:00:00"/>
    <n v="924"/>
    <s v="S2S No Premium"/>
    <s v="N2_Acosta,Sebastian"/>
    <x v="48"/>
    <d v="1899-12-30T14:30:00"/>
    <s v="-"/>
    <d v="1899-12-30T15:00:00"/>
    <n v="904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3"/>
    <n v="3"/>
    <x v="0"/>
    <x v="48"/>
    <d v="1899-12-30T14:30:00"/>
    <d v="1899-12-30T15:00:00"/>
  </r>
  <r>
    <d v="2024-10-02T00:00:00"/>
    <n v="924"/>
    <s v="S2S No Premium"/>
    <s v="N2_Acosta,Sebastian"/>
    <x v="48"/>
    <d v="1899-12-30T14:00:00"/>
    <s v="-"/>
    <d v="1899-12-30T14:30:00"/>
    <n v="976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48"/>
    <d v="1899-12-30T14:00:00"/>
    <d v="1899-12-30T14:30:00"/>
  </r>
  <r>
    <d v="2024-10-02T00:00:00"/>
    <n v="925"/>
    <s v="S2S Premium"/>
    <s v="P_Paez, Lucas"/>
    <x v="49"/>
    <d v="1899-12-30T15:30:00"/>
    <s v="-"/>
    <d v="1899-12-30T16:00:00"/>
    <n v="220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49"/>
    <d v="1899-12-30T15:30:00"/>
    <d v="1899-12-30T16:00:00"/>
  </r>
  <r>
    <d v="2024-10-02T00:00:00"/>
    <n v="925"/>
    <s v="S2S Premium"/>
    <s v="P_Paez, Lucas"/>
    <x v="49"/>
    <d v="1899-12-30T15:00:00"/>
    <s v="-"/>
    <d v="1899-12-30T15:30:00"/>
    <n v="366"/>
    <n v="0"/>
    <n v="0"/>
    <n v="16"/>
    <n v="0"/>
    <n v="0"/>
    <n v="0"/>
    <n v="192"/>
    <n v="147"/>
    <n v="0"/>
    <n v="0"/>
    <n v="0"/>
    <n v="0"/>
    <n v="0"/>
    <n v="0"/>
    <n v="0"/>
    <n v="0"/>
    <n v="0"/>
    <n v="0"/>
    <n v="3"/>
    <n v="2"/>
    <x v="1"/>
    <x v="49"/>
    <d v="1899-12-30T15:00:00"/>
    <d v="1899-12-30T15:30:00"/>
  </r>
  <r>
    <d v="2024-10-02T00:00:00"/>
    <n v="925"/>
    <s v="S2S Premium"/>
    <s v="P_Paez, Lucas"/>
    <x v="49"/>
    <d v="1899-12-30T18:00:00"/>
    <s v="-"/>
    <d v="1899-12-30T18:30:00"/>
    <n v="48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49"/>
    <d v="1899-12-30T18:00:00"/>
    <d v="1899-12-30T18:30:00"/>
  </r>
  <r>
    <d v="2024-10-02T00:00:00"/>
    <n v="925"/>
    <s v="S2S Premium"/>
    <s v="P_Paez, Lucas"/>
    <x v="49"/>
    <d v="1899-12-30T18:30:00"/>
    <s v="-"/>
    <d v="1899-12-30T19:00:00"/>
    <n v="573"/>
    <n v="0"/>
    <n v="0"/>
    <n v="8"/>
    <n v="0"/>
    <n v="0"/>
    <n v="0"/>
    <n v="110"/>
    <n v="0"/>
    <n v="0"/>
    <n v="0"/>
    <n v="0"/>
    <n v="0"/>
    <n v="0"/>
    <n v="0"/>
    <n v="0"/>
    <n v="0"/>
    <n v="0"/>
    <n v="0"/>
    <n v="2"/>
    <n v="1"/>
    <x v="1"/>
    <x v="49"/>
    <d v="1899-12-30T18:30:00"/>
    <d v="1899-12-30T19:00:00"/>
  </r>
  <r>
    <d v="2024-10-02T00:00:00"/>
    <n v="925"/>
    <s v="S2S Premium"/>
    <s v="P_Paez, Lucas"/>
    <x v="49"/>
    <d v="1899-12-30T19:30:00"/>
    <s v="-"/>
    <d v="1899-12-30T20:00:00"/>
    <n v="650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49"/>
    <d v="1899-12-30T19:30:00"/>
    <d v="1899-12-30T20:00:00"/>
  </r>
  <r>
    <d v="2024-10-02T00:00:00"/>
    <n v="925"/>
    <s v="S2S Premium"/>
    <s v="P_Paez, Lucas"/>
    <x v="49"/>
    <d v="1899-12-30T19:00:00"/>
    <s v="-"/>
    <d v="1899-12-30T19:30:00"/>
    <n v="733"/>
    <n v="77"/>
    <n v="0"/>
    <n v="16"/>
    <n v="0"/>
    <n v="0"/>
    <n v="0"/>
    <n v="1169"/>
    <n v="131"/>
    <n v="0"/>
    <n v="0"/>
    <n v="0"/>
    <n v="0"/>
    <n v="0"/>
    <n v="0"/>
    <n v="0"/>
    <n v="0"/>
    <n v="0"/>
    <n v="0"/>
    <n v="5"/>
    <n v="5"/>
    <x v="1"/>
    <x v="49"/>
    <d v="1899-12-30T19:00:00"/>
    <d v="1899-12-30T19:30:00"/>
  </r>
  <r>
    <d v="2024-10-02T00:00:00"/>
    <n v="924"/>
    <s v="S2S No Premium"/>
    <s v="N2m_Romito Agostina"/>
    <x v="50"/>
    <d v="1899-12-30T15:30:00"/>
    <s v="-"/>
    <d v="1899-12-30T16:00:00"/>
    <n v="4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50"/>
    <d v="1899-12-30T15:30:00"/>
    <d v="1899-12-30T16:00:00"/>
  </r>
  <r>
    <d v="2024-10-02T00:00:00"/>
    <n v="924"/>
    <s v="S2S No Premium"/>
    <s v="N2m_Romito Agostina"/>
    <x v="50"/>
    <d v="1899-12-30T15:00:00"/>
    <s v="-"/>
    <d v="1899-12-30T15:30:00"/>
    <n v="612"/>
    <n v="0"/>
    <n v="0"/>
    <n v="16"/>
    <n v="0"/>
    <n v="0"/>
    <n v="0"/>
    <n v="3"/>
    <n v="1"/>
    <n v="0"/>
    <n v="0"/>
    <n v="0"/>
    <n v="0"/>
    <n v="0"/>
    <n v="0"/>
    <n v="0"/>
    <n v="0"/>
    <n v="0"/>
    <n v="0"/>
    <n v="3"/>
    <n v="3"/>
    <x v="0"/>
    <x v="50"/>
    <d v="1899-12-30T15:00:00"/>
    <d v="1899-12-30T15:30:00"/>
  </r>
  <r>
    <d v="2024-10-02T00:00:00"/>
    <n v="925"/>
    <s v="S2S Premium"/>
    <s v="P_Ojeda Mayra"/>
    <x v="51"/>
    <d v="1899-12-30T19:30:00"/>
    <s v="-"/>
    <d v="1899-12-30T20:00:00"/>
    <n v="760"/>
    <n v="0"/>
    <n v="0"/>
    <n v="20"/>
    <n v="0"/>
    <n v="0"/>
    <n v="0"/>
    <n v="251"/>
    <n v="149"/>
    <n v="0"/>
    <n v="0"/>
    <n v="0"/>
    <n v="0"/>
    <n v="0"/>
    <n v="0"/>
    <n v="0"/>
    <n v="0"/>
    <n v="0"/>
    <n v="0"/>
    <n v="5"/>
    <n v="4"/>
    <x v="1"/>
    <x v="51"/>
    <d v="1899-12-30T19:30:00"/>
    <d v="1899-12-30T20:00:00"/>
  </r>
  <r>
    <d v="2024-10-02T00:00:00"/>
    <n v="925"/>
    <s v="S2S Premium"/>
    <s v="P_Ojeda Mayra"/>
    <x v="51"/>
    <d v="1899-12-30T18:00:00"/>
    <s v="-"/>
    <d v="1899-12-30T18:30:00"/>
    <n v="938"/>
    <n v="0"/>
    <n v="0"/>
    <n v="13"/>
    <n v="0"/>
    <n v="0"/>
    <n v="0"/>
    <n v="157"/>
    <n v="0"/>
    <n v="0"/>
    <n v="0"/>
    <n v="0"/>
    <n v="0"/>
    <n v="0"/>
    <n v="0"/>
    <n v="0"/>
    <n v="0"/>
    <n v="0"/>
    <n v="0"/>
    <n v="2"/>
    <n v="2"/>
    <x v="1"/>
    <x v="51"/>
    <d v="1899-12-30T18:00:00"/>
    <d v="1899-12-30T18:30:00"/>
  </r>
  <r>
    <d v="2024-10-02T00:00:00"/>
    <n v="925"/>
    <s v="S2S Premium"/>
    <s v="P_Ojeda Mayra"/>
    <x v="51"/>
    <d v="1899-12-30T19:00:00"/>
    <s v="-"/>
    <d v="1899-12-30T19:30:00"/>
    <n v="1092"/>
    <n v="0"/>
    <n v="0"/>
    <n v="16"/>
    <n v="0"/>
    <n v="0"/>
    <n v="0"/>
    <n v="245"/>
    <n v="59"/>
    <n v="0"/>
    <n v="0"/>
    <n v="0"/>
    <n v="0"/>
    <n v="0"/>
    <n v="0"/>
    <n v="0"/>
    <n v="0"/>
    <n v="0"/>
    <n v="0"/>
    <n v="4"/>
    <n v="3"/>
    <x v="1"/>
    <x v="51"/>
    <d v="1899-12-30T19:00:00"/>
    <d v="1899-12-30T19:30:00"/>
  </r>
  <r>
    <d v="2024-10-02T00:00:00"/>
    <n v="925"/>
    <s v="S2S Premium"/>
    <s v="P_Ojeda Mayra"/>
    <x v="51"/>
    <d v="1899-12-30T18:30:00"/>
    <s v="-"/>
    <d v="1899-12-30T19:00:00"/>
    <n v="1146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51"/>
    <d v="1899-12-30T18:30:00"/>
    <d v="1899-12-30T19:00:00"/>
  </r>
  <r>
    <d v="2024-10-02T00:00:00"/>
    <n v="924"/>
    <s v="S2S No Premium"/>
    <s v="N2m_Lopez, Caro"/>
    <x v="52"/>
    <d v="1899-12-30T16:00:00"/>
    <s v="-"/>
    <d v="1899-12-30T16:30:00"/>
    <n v="540"/>
    <n v="4"/>
    <n v="0"/>
    <n v="14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52"/>
    <d v="1899-12-30T16:00:00"/>
    <d v="1899-12-30T16:30:00"/>
  </r>
  <r>
    <d v="2024-10-02T00:00:00"/>
    <n v="924"/>
    <s v="S2S No Premium"/>
    <s v="N2m_Lopez, Caro"/>
    <x v="52"/>
    <d v="1899-12-30T16:30:00"/>
    <s v="-"/>
    <d v="1899-12-30T17:00:00"/>
    <n v="999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2"/>
    <n v="2"/>
    <x v="0"/>
    <x v="52"/>
    <d v="1899-12-30T16:30:00"/>
    <d v="1899-12-30T17:00:00"/>
  </r>
  <r>
    <d v="2024-10-02T00:00:00"/>
    <n v="924"/>
    <s v="S2S No Premium"/>
    <s v="N2m_Lopez, Caro"/>
    <x v="52"/>
    <d v="1899-12-30T14:30:00"/>
    <s v="-"/>
    <d v="1899-12-30T15:00:00"/>
    <n v="1008"/>
    <n v="192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2"/>
    <x v="0"/>
    <x v="52"/>
    <d v="1899-12-30T14:30:00"/>
    <d v="1899-12-30T15:00:00"/>
  </r>
  <r>
    <d v="2024-10-02T00:00:00"/>
    <n v="924"/>
    <s v="S2S No Premium"/>
    <s v="N2m_Lopez, Caro"/>
    <x v="52"/>
    <d v="1899-12-30T14:00:00"/>
    <s v="-"/>
    <d v="1899-12-30T14:30:00"/>
    <n v="1045"/>
    <n v="44"/>
    <n v="0"/>
    <n v="9"/>
    <n v="0"/>
    <n v="0"/>
    <n v="0"/>
    <n v="29"/>
    <n v="0"/>
    <n v="0"/>
    <n v="0"/>
    <n v="0"/>
    <n v="0"/>
    <n v="0"/>
    <n v="0"/>
    <n v="0"/>
    <n v="0"/>
    <n v="0"/>
    <n v="0"/>
    <n v="3"/>
    <n v="3"/>
    <x v="0"/>
    <x v="52"/>
    <d v="1899-12-30T14:00:00"/>
    <d v="1899-12-30T14:30:00"/>
  </r>
  <r>
    <d v="2024-10-02T00:00:00"/>
    <n v="924"/>
    <s v="S2S No Premium"/>
    <s v="N2m_Lopez, Caro"/>
    <x v="52"/>
    <d v="1899-12-30T17:30:00"/>
    <s v="-"/>
    <d v="1899-12-30T18:00:00"/>
    <n v="1055"/>
    <n v="301"/>
    <n v="0"/>
    <n v="16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52"/>
    <d v="1899-12-30T17:30:00"/>
    <d v="1899-12-30T18:00:00"/>
  </r>
  <r>
    <d v="2024-10-02T00:00:00"/>
    <n v="924"/>
    <s v="S2S No Premium"/>
    <s v="N2m_Lopez, Caro"/>
    <x v="52"/>
    <d v="1899-12-30T15:00:00"/>
    <s v="-"/>
    <d v="1899-12-30T15:30:00"/>
    <n v="1071"/>
    <n v="0"/>
    <n v="0"/>
    <n v="9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52"/>
    <d v="1899-12-30T15:00:00"/>
    <d v="1899-12-30T15:30:00"/>
  </r>
  <r>
    <d v="2024-10-02T00:00:00"/>
    <n v="924"/>
    <s v="S2S No Premium"/>
    <s v="N2m_Lopez, Caro"/>
    <x v="52"/>
    <d v="1899-12-30T17:00:00"/>
    <s v="-"/>
    <d v="1899-12-30T17:30:00"/>
    <n v="1086"/>
    <n v="128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52"/>
    <d v="1899-12-30T17:00:00"/>
    <d v="1899-12-30T17:30:00"/>
  </r>
  <r>
    <d v="2024-10-02T00:00:00"/>
    <n v="924"/>
    <s v="S2S No Premium"/>
    <s v="N2m_Lopez, Caro"/>
    <x v="52"/>
    <d v="1899-12-30T15:30:00"/>
    <s v="-"/>
    <d v="1899-12-30T16:00:00"/>
    <n v="1123"/>
    <n v="0"/>
    <n v="0"/>
    <n v="16"/>
    <n v="0"/>
    <n v="0"/>
    <n v="0"/>
    <n v="145"/>
    <n v="0"/>
    <n v="0"/>
    <n v="0"/>
    <n v="0"/>
    <n v="0"/>
    <n v="0"/>
    <n v="0"/>
    <n v="0"/>
    <n v="0"/>
    <n v="0"/>
    <n v="0"/>
    <n v="4"/>
    <n v="4"/>
    <x v="0"/>
    <x v="52"/>
    <d v="1899-12-30T15:30:00"/>
    <d v="1899-12-30T16:00:00"/>
  </r>
  <r>
    <d v="2024-10-02T00:00:00"/>
    <n v="924"/>
    <s v="S2S No Premium"/>
    <s v="N2_Mosqueira, Federi"/>
    <x v="53"/>
    <d v="1899-12-30T14:30:00"/>
    <s v="-"/>
    <d v="1899-12-30T15:00:00"/>
    <n v="3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53"/>
    <d v="1899-12-30T14:30:00"/>
    <d v="1899-12-30T15:00:00"/>
  </r>
  <r>
    <d v="2024-10-02T00:00:00"/>
    <n v="924"/>
    <s v="S2S No Premium"/>
    <s v="N2_Mosqueira, Federi"/>
    <x v="53"/>
    <d v="1899-12-30T15:00:00"/>
    <s v="-"/>
    <d v="1899-12-30T15:30:00"/>
    <n v="916"/>
    <n v="0"/>
    <n v="0"/>
    <n v="13"/>
    <n v="0"/>
    <n v="0"/>
    <n v="0"/>
    <n v="11"/>
    <n v="0"/>
    <n v="0"/>
    <n v="0"/>
    <n v="0"/>
    <n v="0"/>
    <n v="0"/>
    <n v="0"/>
    <n v="0"/>
    <n v="0"/>
    <n v="0"/>
    <n v="0"/>
    <n v="3"/>
    <n v="3"/>
    <x v="0"/>
    <x v="53"/>
    <d v="1899-12-30T15:00:00"/>
    <d v="1899-12-30T15:30:00"/>
  </r>
  <r>
    <d v="2024-10-02T00:00:00"/>
    <n v="924"/>
    <s v="S2S No Premium"/>
    <s v="N2_Mosqueira, Federi"/>
    <x v="53"/>
    <d v="1899-12-30T14:00:00"/>
    <s v="-"/>
    <d v="1899-12-30T14:30:00"/>
    <n v="1183"/>
    <n v="132"/>
    <n v="0"/>
    <n v="13"/>
    <n v="0"/>
    <n v="0"/>
    <n v="0"/>
    <n v="4"/>
    <n v="0"/>
    <n v="0"/>
    <n v="0"/>
    <n v="0"/>
    <n v="0"/>
    <n v="0"/>
    <n v="0"/>
    <n v="0"/>
    <n v="0"/>
    <n v="0"/>
    <n v="0"/>
    <n v="3"/>
    <n v="2"/>
    <x v="0"/>
    <x v="53"/>
    <d v="1899-12-30T14:00:00"/>
    <d v="1899-12-30T14:30:00"/>
  </r>
  <r>
    <d v="2024-10-02T00:00:00"/>
    <n v="925"/>
    <s v="S2S Premium"/>
    <s v="P_Donzelli, Angelic"/>
    <x v="54"/>
    <d v="1899-12-30T18:30:00"/>
    <s v="-"/>
    <d v="1899-12-30T19:00:00"/>
    <n v="4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4"/>
    <d v="1899-12-30T18:30:00"/>
    <d v="1899-12-30T19:00:00"/>
  </r>
  <r>
    <d v="2024-10-02T00:00:00"/>
    <n v="925"/>
    <s v="S2S Premium"/>
    <s v="P_Donzelli, Angelic"/>
    <x v="54"/>
    <d v="1899-12-30T19:30:00"/>
    <s v="-"/>
    <d v="1899-12-30T20:00:00"/>
    <n v="981"/>
    <n v="0"/>
    <n v="0"/>
    <n v="15"/>
    <n v="0"/>
    <n v="0"/>
    <n v="0"/>
    <n v="441"/>
    <n v="0"/>
    <n v="0"/>
    <n v="0"/>
    <n v="0"/>
    <n v="0"/>
    <n v="0"/>
    <n v="0"/>
    <n v="0"/>
    <n v="0"/>
    <n v="0"/>
    <n v="0"/>
    <n v="2"/>
    <n v="2"/>
    <x v="1"/>
    <x v="54"/>
    <d v="1899-12-30T19:30:00"/>
    <d v="1899-12-30T20:00:00"/>
  </r>
  <r>
    <d v="2024-10-02T00:00:00"/>
    <n v="925"/>
    <s v="S2S Premium"/>
    <s v="P_Donzelli, Angelic"/>
    <x v="54"/>
    <d v="1899-12-30T19:00:00"/>
    <s v="-"/>
    <d v="1899-12-30T19:30:00"/>
    <n v="1188"/>
    <n v="0"/>
    <n v="0"/>
    <n v="9"/>
    <n v="0"/>
    <n v="0"/>
    <n v="0"/>
    <n v="457"/>
    <n v="0"/>
    <n v="0"/>
    <n v="0"/>
    <n v="0"/>
    <n v="0"/>
    <n v="0"/>
    <n v="0"/>
    <n v="0"/>
    <n v="0"/>
    <n v="0"/>
    <n v="0"/>
    <n v="2"/>
    <n v="2"/>
    <x v="1"/>
    <x v="54"/>
    <d v="1899-12-30T19:00:00"/>
    <d v="1899-12-30T19:30:00"/>
  </r>
  <r>
    <d v="2024-10-02T00:00:00"/>
    <n v="925"/>
    <s v="S2S Premium"/>
    <s v="P_Franco, Selena"/>
    <x v="55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5"/>
    <d v="1899-12-30T14:30:00"/>
    <d v="1899-12-30T15:00:00"/>
  </r>
  <r>
    <d v="2024-10-02T00:00:00"/>
    <n v="925"/>
    <s v="S2S Premium"/>
    <s v="P_Franco, Selena"/>
    <x v="55"/>
    <d v="1899-12-30T19:30:00"/>
    <s v="-"/>
    <d v="1899-12-30T20:00:00"/>
    <n v="278"/>
    <n v="0"/>
    <n v="0"/>
    <n v="4"/>
    <n v="0"/>
    <n v="0"/>
    <n v="0"/>
    <n v="67"/>
    <n v="0"/>
    <n v="0"/>
    <n v="0"/>
    <n v="0"/>
    <n v="0"/>
    <n v="0"/>
    <n v="0"/>
    <n v="0"/>
    <n v="0"/>
    <n v="0"/>
    <n v="0"/>
    <n v="1"/>
    <n v="0"/>
    <x v="1"/>
    <x v="55"/>
    <d v="1899-12-30T19:30:00"/>
    <d v="1899-12-30T20:00:00"/>
  </r>
  <r>
    <d v="2024-10-02T00:00:00"/>
    <n v="925"/>
    <s v="S2S Premium"/>
    <s v="P_Franco, Selena"/>
    <x v="55"/>
    <d v="1899-12-30T16:00:00"/>
    <s v="-"/>
    <d v="1899-12-30T16:30:00"/>
    <n v="523"/>
    <n v="0"/>
    <n v="0"/>
    <n v="16"/>
    <n v="0"/>
    <n v="0"/>
    <n v="0"/>
    <n v="46"/>
    <n v="42"/>
    <n v="0"/>
    <n v="0"/>
    <n v="0"/>
    <n v="0"/>
    <n v="0"/>
    <n v="0"/>
    <n v="0"/>
    <n v="0"/>
    <n v="0"/>
    <n v="0"/>
    <n v="3"/>
    <n v="3"/>
    <x v="1"/>
    <x v="55"/>
    <d v="1899-12-30T16:00:00"/>
    <d v="1899-12-30T16:30:00"/>
  </r>
  <r>
    <d v="2024-10-02T00:00:00"/>
    <n v="925"/>
    <s v="S2S Premium"/>
    <s v="P_Franco, Selena"/>
    <x v="55"/>
    <d v="1899-12-30T19:00:00"/>
    <s v="-"/>
    <d v="1899-12-30T19:30:00"/>
    <n v="576"/>
    <n v="0"/>
    <n v="0"/>
    <n v="8"/>
    <n v="0"/>
    <n v="0"/>
    <n v="0"/>
    <n v="327"/>
    <n v="176"/>
    <n v="0"/>
    <n v="0"/>
    <n v="0"/>
    <n v="0"/>
    <n v="0"/>
    <n v="0"/>
    <n v="0"/>
    <n v="0"/>
    <n v="0"/>
    <n v="0"/>
    <n v="3"/>
    <n v="2"/>
    <x v="1"/>
    <x v="55"/>
    <d v="1899-12-30T19:00:00"/>
    <d v="1899-12-30T19:30:00"/>
  </r>
  <r>
    <d v="2024-10-02T00:00:00"/>
    <n v="925"/>
    <s v="S2S Premium"/>
    <s v="P_Franco, Selena"/>
    <x v="55"/>
    <d v="1899-12-30T17:30:00"/>
    <s v="-"/>
    <d v="1899-12-30T18:00:00"/>
    <n v="764"/>
    <n v="0"/>
    <n v="0"/>
    <n v="9"/>
    <n v="0"/>
    <n v="0"/>
    <n v="0"/>
    <n v="544"/>
    <n v="0"/>
    <n v="0"/>
    <n v="0"/>
    <n v="0"/>
    <n v="0"/>
    <n v="0"/>
    <n v="0"/>
    <n v="0"/>
    <n v="0"/>
    <n v="0"/>
    <n v="0"/>
    <n v="3"/>
    <n v="3"/>
    <x v="1"/>
    <x v="55"/>
    <d v="1899-12-30T17:30:00"/>
    <d v="1899-12-30T18:00:00"/>
  </r>
  <r>
    <d v="2024-10-02T00:00:00"/>
    <n v="925"/>
    <s v="S2S Premium"/>
    <s v="P_Franco, Selena"/>
    <x v="55"/>
    <d v="1899-12-30T15:00:00"/>
    <s v="-"/>
    <d v="1899-12-30T15:30:00"/>
    <n v="774"/>
    <n v="0"/>
    <n v="0"/>
    <n v="20"/>
    <n v="0"/>
    <n v="0"/>
    <n v="0"/>
    <n v="100"/>
    <n v="0"/>
    <n v="0"/>
    <n v="0"/>
    <n v="0"/>
    <n v="0"/>
    <n v="0"/>
    <n v="0"/>
    <n v="0"/>
    <n v="0"/>
    <n v="0"/>
    <n v="0"/>
    <n v="4"/>
    <n v="3"/>
    <x v="1"/>
    <x v="55"/>
    <d v="1899-12-30T15:00:00"/>
    <d v="1899-12-30T15:30:00"/>
  </r>
  <r>
    <d v="2024-10-02T00:00:00"/>
    <n v="925"/>
    <s v="S2S Premium"/>
    <s v="P_Franco, Selena"/>
    <x v="55"/>
    <d v="1899-12-30T18:00:00"/>
    <s v="-"/>
    <d v="1899-12-30T18:30:00"/>
    <n v="868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55"/>
    <d v="1899-12-30T18:00:00"/>
    <d v="1899-12-30T18:30:00"/>
  </r>
  <r>
    <d v="2024-10-02T00:00:00"/>
    <n v="925"/>
    <s v="S2S Premium"/>
    <s v="P_Franco, Selena"/>
    <x v="55"/>
    <d v="1899-12-30T15:30:00"/>
    <s v="-"/>
    <d v="1899-12-30T16:00:00"/>
    <n v="972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55"/>
    <d v="1899-12-30T15:30:00"/>
    <d v="1899-12-30T16:00:00"/>
  </r>
  <r>
    <d v="2024-10-02T00:00:00"/>
    <n v="925"/>
    <s v="S2S Premium"/>
    <s v="P_Franco, Selena"/>
    <x v="55"/>
    <d v="1899-12-30T17:00:00"/>
    <s v="-"/>
    <d v="1899-12-30T17:30:00"/>
    <n v="1050"/>
    <n v="0"/>
    <n v="0"/>
    <n v="21"/>
    <n v="0"/>
    <n v="0"/>
    <n v="0"/>
    <n v="53"/>
    <n v="43"/>
    <n v="0"/>
    <n v="0"/>
    <n v="0"/>
    <n v="0"/>
    <n v="0"/>
    <n v="0"/>
    <n v="0"/>
    <n v="0"/>
    <n v="0"/>
    <n v="0"/>
    <n v="4"/>
    <n v="4"/>
    <x v="1"/>
    <x v="55"/>
    <d v="1899-12-30T17:00:00"/>
    <d v="1899-12-30T17:30:00"/>
  </r>
  <r>
    <d v="2024-10-02T00:00:00"/>
    <n v="925"/>
    <s v="S2S Premium"/>
    <s v="P_Franco, Selena"/>
    <x v="55"/>
    <d v="1899-12-30T18:30:00"/>
    <s v="-"/>
    <d v="1899-12-30T19:00:00"/>
    <n v="1092"/>
    <n v="0"/>
    <n v="0"/>
    <n v="15"/>
    <n v="0"/>
    <n v="0"/>
    <n v="0"/>
    <n v="174"/>
    <n v="0"/>
    <n v="0"/>
    <n v="0"/>
    <n v="0"/>
    <n v="0"/>
    <n v="0"/>
    <n v="0"/>
    <n v="0"/>
    <n v="0"/>
    <n v="0"/>
    <n v="0"/>
    <n v="3"/>
    <n v="2"/>
    <x v="1"/>
    <x v="55"/>
    <d v="1899-12-30T18:30:00"/>
    <d v="1899-12-30T19:00:00"/>
  </r>
  <r>
    <d v="2024-10-02T00:00:00"/>
    <n v="925"/>
    <s v="S2S Premium"/>
    <s v="P_Franco, Selena"/>
    <x v="55"/>
    <d v="1899-12-30T16:30:00"/>
    <s v="-"/>
    <d v="1899-12-30T17:00:00"/>
    <n v="1151"/>
    <n v="0"/>
    <n v="0"/>
    <n v="4"/>
    <n v="0"/>
    <n v="0"/>
    <n v="0"/>
    <n v="617"/>
    <n v="140"/>
    <n v="0"/>
    <n v="0"/>
    <n v="0"/>
    <n v="0"/>
    <n v="0"/>
    <n v="0"/>
    <n v="0"/>
    <n v="0"/>
    <n v="0"/>
    <n v="0"/>
    <n v="2"/>
    <n v="2"/>
    <x v="1"/>
    <x v="55"/>
    <d v="1899-12-30T16:30:00"/>
    <d v="1899-12-30T17:00:00"/>
  </r>
  <r>
    <d v="2024-10-02T00:00:00"/>
    <n v="924"/>
    <s v="S2S No Premium"/>
    <s v="N2m_MoreauMic"/>
    <x v="56"/>
    <d v="1899-12-30T18:30:00"/>
    <s v="-"/>
    <d v="1899-12-30T19:00:00"/>
    <n v="328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56"/>
    <d v="1899-12-30T18:30:00"/>
    <d v="1899-12-30T19:00:00"/>
  </r>
  <r>
    <d v="2024-10-02T00:00:00"/>
    <n v="924"/>
    <s v="S2S No Premium"/>
    <s v="N2m_MoreauMic"/>
    <x v="56"/>
    <d v="1899-12-30T19:30:00"/>
    <s v="-"/>
    <d v="1899-12-30T20:00:00"/>
    <n v="468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56"/>
    <d v="1899-12-30T19:30:00"/>
    <d v="1899-12-30T20:00:00"/>
  </r>
  <r>
    <d v="2024-10-02T00:00:00"/>
    <n v="924"/>
    <s v="S2S No Premium"/>
    <s v="N2m_MoreauMic"/>
    <x v="56"/>
    <d v="1899-12-30T19:00:00"/>
    <s v="-"/>
    <d v="1899-12-30T19:30:00"/>
    <n v="740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56"/>
    <d v="1899-12-30T19:00:00"/>
    <d v="1899-12-30T19:30:00"/>
  </r>
  <r>
    <d v="2024-10-02T00:00:00"/>
    <n v="924"/>
    <s v="S2S No Premium"/>
    <s v="N2m_MoreauMic"/>
    <x v="56"/>
    <d v="1899-12-30T15:00:00"/>
    <s v="-"/>
    <d v="1899-12-30T15:30:00"/>
    <n v="908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56"/>
    <d v="1899-12-30T15:00:00"/>
    <d v="1899-12-30T15:30:00"/>
  </r>
  <r>
    <d v="2024-10-02T00:00:00"/>
    <n v="924"/>
    <s v="S2S No Premium"/>
    <s v="N2m_MoreauMic"/>
    <x v="56"/>
    <d v="1899-12-30T15:30:00"/>
    <s v="-"/>
    <d v="1899-12-30T16:00:00"/>
    <n v="986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56"/>
    <d v="1899-12-30T15:30:00"/>
    <d v="1899-12-30T16:00:00"/>
  </r>
  <r>
    <d v="2024-10-02T00:00:00"/>
    <n v="924"/>
    <s v="S2S No Premium"/>
    <s v="N2m_MoreauMic"/>
    <x v="56"/>
    <d v="1899-12-30T16:30:00"/>
    <s v="-"/>
    <d v="1899-12-30T17:00:00"/>
    <n v="1189"/>
    <n v="252"/>
    <n v="0"/>
    <n v="25"/>
    <n v="0"/>
    <n v="0"/>
    <n v="0"/>
    <n v="6"/>
    <n v="0"/>
    <n v="0"/>
    <n v="0"/>
    <n v="0"/>
    <n v="0"/>
    <n v="0"/>
    <n v="0"/>
    <n v="0"/>
    <n v="0"/>
    <n v="0"/>
    <n v="0"/>
    <n v="7"/>
    <n v="6"/>
    <x v="0"/>
    <x v="56"/>
    <d v="1899-12-30T16:30:00"/>
    <d v="1899-12-30T17:00:00"/>
  </r>
  <r>
    <d v="2024-10-02T00:00:00"/>
    <n v="924"/>
    <s v="S2S No Premium"/>
    <s v="N2m_MoreauMic"/>
    <x v="56"/>
    <d v="1899-12-30T17:00:00"/>
    <s v="-"/>
    <d v="1899-12-30T17:30:00"/>
    <n v="1360"/>
    <n v="0"/>
    <n v="0"/>
    <n v="21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56"/>
    <d v="1899-12-30T17:00:00"/>
    <d v="1899-12-30T17:30:00"/>
  </r>
  <r>
    <d v="2024-10-02T00:00:00"/>
    <n v="924"/>
    <s v="S2S No Premium"/>
    <s v="N2m_MoreauMic"/>
    <x v="56"/>
    <d v="1899-12-30T17:30:00"/>
    <s v="-"/>
    <d v="1899-12-30T18:00:00"/>
    <n v="1427"/>
    <n v="0"/>
    <n v="0"/>
    <n v="26"/>
    <n v="0"/>
    <n v="0"/>
    <n v="0"/>
    <n v="5"/>
    <n v="1"/>
    <n v="0"/>
    <n v="0"/>
    <n v="0"/>
    <n v="0"/>
    <n v="0"/>
    <n v="0"/>
    <n v="0"/>
    <n v="0"/>
    <n v="0"/>
    <n v="0"/>
    <n v="6"/>
    <n v="5"/>
    <x v="0"/>
    <x v="56"/>
    <d v="1899-12-30T17:30:00"/>
    <d v="1899-12-30T18:00:00"/>
  </r>
  <r>
    <d v="2024-10-02T00:00:00"/>
    <n v="924"/>
    <s v="S2S No Premium"/>
    <s v="N2m_MoreauMic"/>
    <x v="56"/>
    <d v="1899-12-30T16:00:00"/>
    <s v="-"/>
    <d v="1899-12-30T16:30:00"/>
    <n v="1454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56"/>
    <d v="1899-12-30T16:00:00"/>
    <d v="1899-12-30T16:30:00"/>
  </r>
  <r>
    <d v="2024-10-02T00:00:00"/>
    <n v="924"/>
    <s v="S2S No Premium"/>
    <s v="N2m_MoreauMic"/>
    <x v="56"/>
    <d v="1899-12-30T18:00:00"/>
    <s v="-"/>
    <d v="1899-12-30T18:30:00"/>
    <n v="1457"/>
    <n v="0"/>
    <n v="0"/>
    <n v="39"/>
    <n v="0"/>
    <n v="0"/>
    <n v="0"/>
    <n v="8"/>
    <n v="0"/>
    <n v="0"/>
    <n v="0"/>
    <n v="0"/>
    <n v="0"/>
    <n v="0"/>
    <n v="0"/>
    <n v="0"/>
    <n v="0"/>
    <n v="0"/>
    <n v="0"/>
    <n v="9"/>
    <n v="8"/>
    <x v="0"/>
    <x v="56"/>
    <d v="1899-12-30T18:00:00"/>
    <d v="1899-12-30T18:30:00"/>
  </r>
  <r>
    <d v="2024-10-02T00:00:00"/>
    <n v="925"/>
    <s v="S2S Premium"/>
    <s v="Pm_GonzalezCristian"/>
    <x v="57"/>
    <d v="1899-12-30T17:30:00"/>
    <s v="-"/>
    <d v="1899-12-30T18:00:00"/>
    <n v="46"/>
    <n v="0"/>
    <n v="0"/>
    <n v="6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57"/>
    <d v="1899-12-30T17:30:00"/>
    <d v="1899-12-30T18:00:00"/>
  </r>
  <r>
    <d v="2024-10-02T00:00:00"/>
    <n v="925"/>
    <s v="S2S Premium"/>
    <s v="Pm_GonzalezCristian"/>
    <x v="57"/>
    <d v="1899-12-30T18:00:00"/>
    <s v="-"/>
    <d v="1899-12-30T18:30:00"/>
    <n v="689"/>
    <n v="0"/>
    <n v="0"/>
    <n v="16"/>
    <n v="0"/>
    <n v="0"/>
    <n v="0"/>
    <n v="48"/>
    <n v="41"/>
    <n v="0"/>
    <n v="0"/>
    <n v="0"/>
    <n v="0"/>
    <n v="0"/>
    <n v="0"/>
    <n v="0"/>
    <n v="0"/>
    <n v="0"/>
    <n v="0"/>
    <n v="4"/>
    <n v="4"/>
    <x v="1"/>
    <x v="57"/>
    <d v="1899-12-30T18:00:00"/>
    <d v="1899-12-30T18:30:00"/>
  </r>
  <r>
    <d v="2024-10-02T00:00:00"/>
    <n v="925"/>
    <s v="S2S Premium"/>
    <s v="Pm_GonzalezCristian"/>
    <x v="57"/>
    <d v="1899-12-30T19:30:00"/>
    <s v="-"/>
    <d v="1899-12-30T20:00:00"/>
    <n v="985"/>
    <n v="0"/>
    <n v="0"/>
    <n v="20"/>
    <n v="0"/>
    <n v="0"/>
    <n v="0"/>
    <n v="192"/>
    <n v="165"/>
    <n v="0"/>
    <n v="0"/>
    <n v="0"/>
    <n v="0"/>
    <n v="0"/>
    <n v="0"/>
    <n v="0"/>
    <n v="0"/>
    <n v="0"/>
    <n v="0"/>
    <n v="4"/>
    <n v="4"/>
    <x v="1"/>
    <x v="57"/>
    <d v="1899-12-30T19:30:00"/>
    <d v="1899-12-30T20:00:00"/>
  </r>
  <r>
    <d v="2024-10-02T00:00:00"/>
    <n v="925"/>
    <s v="S2S Premium"/>
    <s v="Pm_GonzalezCristian"/>
    <x v="57"/>
    <d v="1899-12-30T18:30:00"/>
    <s v="-"/>
    <d v="1899-12-30T19:00:00"/>
    <n v="109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57"/>
    <d v="1899-12-30T18:30:00"/>
    <d v="1899-12-30T19:00:00"/>
  </r>
  <r>
    <d v="2024-10-02T00:00:00"/>
    <n v="925"/>
    <s v="S2S Premium"/>
    <s v="Pm_GonzalezCristian"/>
    <x v="57"/>
    <d v="1899-12-30T19:00:00"/>
    <s v="-"/>
    <d v="1899-12-30T19:30:00"/>
    <n v="1339"/>
    <n v="0"/>
    <n v="0"/>
    <n v="22"/>
    <n v="0"/>
    <n v="0"/>
    <n v="0"/>
    <n v="3"/>
    <n v="0"/>
    <n v="0"/>
    <n v="0"/>
    <n v="0"/>
    <n v="0"/>
    <n v="0"/>
    <n v="0"/>
    <n v="0"/>
    <n v="0"/>
    <n v="0"/>
    <n v="0"/>
    <n v="6"/>
    <n v="3"/>
    <x v="1"/>
    <x v="57"/>
    <d v="1899-12-30T19:00:00"/>
    <d v="1899-12-30T19:30:00"/>
  </r>
  <r>
    <d v="2024-10-02T00:00:00"/>
    <n v="925"/>
    <s v="S2S Premium"/>
    <s v="P_Abalos, Daiana"/>
    <x v="58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58"/>
    <d v="1899-12-30T14:30:00"/>
    <d v="1899-12-30T15:00:00"/>
  </r>
  <r>
    <d v="2024-10-02T00:00:00"/>
    <n v="925"/>
    <s v="S2S Premium"/>
    <s v="P_Abalos, Daiana"/>
    <x v="58"/>
    <d v="1899-12-30T15:30:00"/>
    <s v="-"/>
    <d v="1899-12-30T16:00:00"/>
    <n v="991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58"/>
    <d v="1899-12-30T15:30:00"/>
    <d v="1899-12-30T16:00:00"/>
  </r>
  <r>
    <d v="2024-10-02T00:00:00"/>
    <n v="925"/>
    <s v="S2S Premium"/>
    <s v="P_Abalos, Daiana"/>
    <x v="58"/>
    <d v="1899-12-30T18:30:00"/>
    <s v="-"/>
    <d v="1899-12-30T19:00:00"/>
    <n v="100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58"/>
    <d v="1899-12-30T18:30:00"/>
    <d v="1899-12-30T19:00:00"/>
  </r>
  <r>
    <d v="2024-10-02T00:00:00"/>
    <n v="925"/>
    <s v="S2S Premium"/>
    <s v="P_Abalos, Daiana"/>
    <x v="58"/>
    <d v="1899-12-30T18:00:00"/>
    <s v="-"/>
    <d v="1899-12-30T18:30:00"/>
    <n v="1112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1"/>
    <x v="1"/>
    <x v="58"/>
    <d v="1899-12-30T18:00:00"/>
    <d v="1899-12-30T18:30:00"/>
  </r>
  <r>
    <d v="2024-10-02T00:00:00"/>
    <n v="925"/>
    <s v="S2S Premium"/>
    <s v="P_Abalos, Daiana"/>
    <x v="58"/>
    <d v="1899-12-30T17:30:00"/>
    <s v="-"/>
    <d v="1899-12-30T18:00:00"/>
    <n v="1120"/>
    <n v="0"/>
    <n v="0"/>
    <n v="24"/>
    <n v="0"/>
    <n v="0"/>
    <n v="0"/>
    <n v="112"/>
    <n v="104"/>
    <n v="0"/>
    <n v="0"/>
    <n v="0"/>
    <n v="0"/>
    <n v="0"/>
    <n v="0"/>
    <n v="0"/>
    <n v="0"/>
    <n v="0"/>
    <n v="0"/>
    <n v="5"/>
    <n v="4"/>
    <x v="1"/>
    <x v="58"/>
    <d v="1899-12-30T17:30:00"/>
    <d v="1899-12-30T18:00:00"/>
  </r>
  <r>
    <d v="2024-10-02T00:00:00"/>
    <n v="925"/>
    <s v="S2S Premium"/>
    <s v="P_Abalos, Daiana"/>
    <x v="58"/>
    <d v="1899-12-30T17:00:00"/>
    <s v="-"/>
    <d v="1899-12-30T17:30:00"/>
    <n v="1128"/>
    <n v="0"/>
    <n v="0"/>
    <n v="14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58"/>
    <d v="1899-12-30T17:00:00"/>
    <d v="1899-12-30T17:30:00"/>
  </r>
  <r>
    <d v="2024-10-02T00:00:00"/>
    <n v="925"/>
    <s v="S2S Premium"/>
    <s v="P_Abalos, Daiana"/>
    <x v="58"/>
    <d v="1899-12-30T16:00:00"/>
    <s v="-"/>
    <d v="1899-12-30T16:30:00"/>
    <n v="1157"/>
    <n v="0"/>
    <n v="0"/>
    <n v="8"/>
    <n v="0"/>
    <n v="0"/>
    <n v="0"/>
    <n v="41"/>
    <n v="34"/>
    <n v="0"/>
    <n v="0"/>
    <n v="0"/>
    <n v="0"/>
    <n v="0"/>
    <n v="0"/>
    <n v="0"/>
    <n v="0"/>
    <n v="0"/>
    <n v="0"/>
    <n v="3"/>
    <n v="3"/>
    <x v="1"/>
    <x v="58"/>
    <d v="1899-12-30T16:00:00"/>
    <d v="1899-12-30T16:30:00"/>
  </r>
  <r>
    <d v="2024-10-02T00:00:00"/>
    <n v="925"/>
    <s v="S2S Premium"/>
    <s v="P_Abalos, Daiana"/>
    <x v="58"/>
    <d v="1899-12-30T15:00:00"/>
    <s v="-"/>
    <d v="1899-12-30T15:30:00"/>
    <n v="1165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58"/>
    <d v="1899-12-30T15:00:00"/>
    <d v="1899-12-30T15:30:00"/>
  </r>
  <r>
    <d v="2024-10-02T00:00:00"/>
    <n v="925"/>
    <s v="S2S Premium"/>
    <s v="P_Abalos, Daiana"/>
    <x v="58"/>
    <d v="1899-12-30T16:30:00"/>
    <s v="-"/>
    <d v="1899-12-30T17:00:00"/>
    <n v="1226"/>
    <n v="0"/>
    <n v="0"/>
    <n v="27"/>
    <n v="0"/>
    <n v="0"/>
    <n v="0"/>
    <n v="39"/>
    <n v="0"/>
    <n v="0"/>
    <n v="0"/>
    <n v="0"/>
    <n v="0"/>
    <n v="0"/>
    <n v="0"/>
    <n v="0"/>
    <n v="0"/>
    <n v="0"/>
    <n v="0"/>
    <n v="5"/>
    <n v="2"/>
    <x v="1"/>
    <x v="58"/>
    <d v="1899-12-30T16:30:00"/>
    <d v="1899-12-30T17:00:00"/>
  </r>
  <r>
    <d v="2024-10-02T00:00:00"/>
    <n v="925"/>
    <s v="S2S Premium"/>
    <s v="P_Abalos, Daiana"/>
    <x v="58"/>
    <d v="1899-12-30T19:00:00"/>
    <s v="-"/>
    <d v="1899-12-30T19:30:00"/>
    <n v="1246"/>
    <n v="0"/>
    <n v="0"/>
    <n v="18"/>
    <n v="0"/>
    <n v="0"/>
    <n v="0"/>
    <n v="141"/>
    <n v="134"/>
    <n v="0"/>
    <n v="0"/>
    <n v="0"/>
    <n v="0"/>
    <n v="0"/>
    <n v="0"/>
    <n v="0"/>
    <n v="0"/>
    <n v="0"/>
    <n v="0"/>
    <n v="5"/>
    <n v="3"/>
    <x v="1"/>
    <x v="58"/>
    <d v="1899-12-30T19:00:00"/>
    <d v="1899-12-30T19:30:00"/>
  </r>
  <r>
    <d v="2024-10-02T00:00:00"/>
    <n v="925"/>
    <s v="S2S Premium"/>
    <s v="P_Abalos, Daiana"/>
    <x v="58"/>
    <d v="1899-12-30T19:30:00"/>
    <s v="-"/>
    <d v="1899-12-30T20:00:00"/>
    <n v="1265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58"/>
    <d v="1899-12-30T19:30:00"/>
    <d v="1899-12-30T20:00:00"/>
  </r>
  <r>
    <d v="2024-10-02T00:00:00"/>
    <n v="924"/>
    <s v="S2S No Premium"/>
    <s v="N2_Martinez Norbert"/>
    <x v="59"/>
    <d v="1899-12-30T14:00:00"/>
    <s v="-"/>
    <d v="1899-12-30T14:30:00"/>
    <n v="711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59"/>
    <d v="1899-12-30T14:00:00"/>
    <d v="1899-12-30T14:30:00"/>
  </r>
  <r>
    <d v="2024-10-02T00:00:00"/>
    <n v="924"/>
    <s v="S2S No Premium"/>
    <s v="N2_Martinez Norbert"/>
    <x v="59"/>
    <d v="1899-12-30T14:30:00"/>
    <s v="-"/>
    <d v="1899-12-30T15:00:00"/>
    <n v="813"/>
    <n v="0"/>
    <n v="0"/>
    <n v="19"/>
    <n v="0"/>
    <n v="0"/>
    <n v="0"/>
    <n v="4"/>
    <n v="0"/>
    <n v="0"/>
    <n v="0"/>
    <n v="0"/>
    <n v="0"/>
    <n v="0"/>
    <n v="0"/>
    <n v="0"/>
    <n v="0"/>
    <n v="0"/>
    <n v="0"/>
    <n v="3"/>
    <n v="3"/>
    <x v="0"/>
    <x v="59"/>
    <d v="1899-12-30T14:30:00"/>
    <d v="1899-12-30T15:00:00"/>
  </r>
  <r>
    <d v="2024-10-02T00:00:00"/>
    <n v="924"/>
    <s v="S2S No Premium"/>
    <s v="N2_Martinez Norbert"/>
    <x v="59"/>
    <d v="1899-12-30T15:30:00"/>
    <s v="-"/>
    <d v="1899-12-30T16:00:00"/>
    <n v="1084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3"/>
    <n v="0"/>
    <x v="0"/>
    <x v="59"/>
    <d v="1899-12-30T15:30:00"/>
    <d v="1899-12-30T16:00:00"/>
  </r>
  <r>
    <d v="2024-10-02T00:00:00"/>
    <n v="924"/>
    <s v="S2S No Premium"/>
    <s v="N2_Martinez Norbert"/>
    <x v="59"/>
    <d v="1899-12-30T15:00:00"/>
    <s v="-"/>
    <d v="1899-12-30T15:30:00"/>
    <n v="1113"/>
    <n v="0"/>
    <n v="0"/>
    <n v="10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59"/>
    <d v="1899-12-30T15:00:00"/>
    <d v="1899-12-30T15:30:00"/>
  </r>
  <r>
    <d v="2024-10-02T00:00:00"/>
    <n v="925"/>
    <s v="S2S Premium"/>
    <s v="P_Pino, Elisa"/>
    <x v="6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60"/>
    <d v="1899-12-30T14:30:00"/>
    <d v="1899-12-30T15:00:00"/>
  </r>
  <r>
    <d v="2024-10-02T00:00:00"/>
    <n v="925"/>
    <s v="S2S Premium"/>
    <s v="P_Pino, Elisa"/>
    <x v="60"/>
    <d v="1899-12-30T18:30:00"/>
    <s v="-"/>
    <d v="1899-12-30T19:00:00"/>
    <n v="655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60"/>
    <d v="1899-12-30T18:30:00"/>
    <d v="1899-12-30T19:00:00"/>
  </r>
  <r>
    <d v="2024-10-02T00:00:00"/>
    <n v="925"/>
    <s v="S2S Premium"/>
    <s v="P_Pino, Elisa"/>
    <x v="60"/>
    <d v="1899-12-30T16:00:00"/>
    <s v="-"/>
    <d v="1899-12-30T16:30:00"/>
    <n v="737"/>
    <n v="0"/>
    <n v="0"/>
    <n v="16"/>
    <n v="0"/>
    <n v="0"/>
    <n v="0"/>
    <n v="193"/>
    <n v="31"/>
    <n v="0"/>
    <n v="0"/>
    <n v="0"/>
    <n v="0"/>
    <n v="0"/>
    <n v="0"/>
    <n v="0"/>
    <n v="0"/>
    <n v="0"/>
    <n v="0"/>
    <n v="4"/>
    <n v="4"/>
    <x v="1"/>
    <x v="60"/>
    <d v="1899-12-30T16:00:00"/>
    <d v="1899-12-30T16:30:00"/>
  </r>
  <r>
    <d v="2024-10-02T00:00:00"/>
    <n v="925"/>
    <s v="S2S Premium"/>
    <s v="P_Pino, Elisa"/>
    <x v="60"/>
    <d v="1899-12-30T17:00:00"/>
    <s v="-"/>
    <d v="1899-12-30T17:30:00"/>
    <n v="830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60"/>
    <d v="1899-12-30T17:00:00"/>
    <d v="1899-12-30T17:30:00"/>
  </r>
  <r>
    <d v="2024-10-02T00:00:00"/>
    <n v="925"/>
    <s v="S2S Premium"/>
    <s v="P_Pino, Elisa"/>
    <x v="60"/>
    <d v="1899-12-30T18:00:00"/>
    <s v="-"/>
    <d v="1899-12-30T18:30:00"/>
    <n v="903"/>
    <n v="0"/>
    <n v="0"/>
    <n v="9"/>
    <n v="0"/>
    <n v="0"/>
    <n v="0"/>
    <n v="3"/>
    <n v="0"/>
    <n v="0"/>
    <n v="0"/>
    <n v="0"/>
    <n v="0"/>
    <n v="0"/>
    <n v="0"/>
    <n v="0"/>
    <n v="0"/>
    <n v="0"/>
    <n v="0"/>
    <n v="2"/>
    <n v="2"/>
    <x v="1"/>
    <x v="60"/>
    <d v="1899-12-30T18:00:00"/>
    <d v="1899-12-30T18:30:00"/>
  </r>
  <r>
    <d v="2024-10-02T00:00:00"/>
    <n v="925"/>
    <s v="S2S Premium"/>
    <s v="P_Pino, Elisa"/>
    <x v="60"/>
    <d v="1899-12-30T19:30:00"/>
    <s v="-"/>
    <d v="1899-12-30T20:00:00"/>
    <n v="906"/>
    <n v="0"/>
    <n v="0"/>
    <n v="12"/>
    <n v="0"/>
    <n v="0"/>
    <n v="0"/>
    <n v="275"/>
    <n v="45"/>
    <n v="0"/>
    <n v="0"/>
    <n v="0"/>
    <n v="0"/>
    <n v="0"/>
    <n v="0"/>
    <n v="0"/>
    <n v="0"/>
    <n v="0"/>
    <n v="0"/>
    <n v="4"/>
    <n v="4"/>
    <x v="1"/>
    <x v="60"/>
    <d v="1899-12-30T19:30:00"/>
    <d v="1899-12-30T20:00:00"/>
  </r>
  <r>
    <d v="2024-10-02T00:00:00"/>
    <n v="925"/>
    <s v="S2S Premium"/>
    <s v="P_Pino, Elisa"/>
    <x v="60"/>
    <d v="1899-12-30T17:30:00"/>
    <s v="-"/>
    <d v="1899-12-30T18:00:00"/>
    <n v="907"/>
    <n v="0"/>
    <n v="0"/>
    <n v="21"/>
    <n v="0"/>
    <n v="0"/>
    <n v="0"/>
    <n v="208"/>
    <n v="97"/>
    <n v="0"/>
    <n v="0"/>
    <n v="0"/>
    <n v="0"/>
    <n v="0"/>
    <n v="0"/>
    <n v="0"/>
    <n v="0"/>
    <n v="0"/>
    <n v="0"/>
    <n v="6"/>
    <n v="5"/>
    <x v="1"/>
    <x v="60"/>
    <d v="1899-12-30T17:30:00"/>
    <d v="1899-12-30T18:00:00"/>
  </r>
  <r>
    <d v="2024-10-02T00:00:00"/>
    <n v="925"/>
    <s v="S2S Premium"/>
    <s v="P_Pino, Elisa"/>
    <x v="60"/>
    <d v="1899-12-30T19:00:00"/>
    <s v="-"/>
    <d v="1899-12-30T19:30:00"/>
    <n v="976"/>
    <n v="0"/>
    <n v="0"/>
    <n v="12"/>
    <n v="0"/>
    <n v="0"/>
    <n v="0"/>
    <n v="138"/>
    <n v="0"/>
    <n v="0"/>
    <n v="0"/>
    <n v="0"/>
    <n v="0"/>
    <n v="0"/>
    <n v="0"/>
    <n v="0"/>
    <n v="0"/>
    <n v="0"/>
    <n v="0"/>
    <n v="3"/>
    <n v="3"/>
    <x v="1"/>
    <x v="60"/>
    <d v="1899-12-30T19:00:00"/>
    <d v="1899-12-30T19:30:00"/>
  </r>
  <r>
    <d v="2024-10-02T00:00:00"/>
    <n v="925"/>
    <s v="S2S Premium"/>
    <s v="P_Pino, Elisa"/>
    <x v="60"/>
    <d v="1899-12-30T15:00:00"/>
    <s v="-"/>
    <d v="1899-12-30T15:30:00"/>
    <n v="1001"/>
    <n v="0"/>
    <n v="0"/>
    <n v="1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0"/>
    <d v="1899-12-30T15:00:00"/>
    <d v="1899-12-30T15:30:00"/>
  </r>
  <r>
    <d v="2024-10-02T00:00:00"/>
    <n v="925"/>
    <s v="S2S Premium"/>
    <s v="P_Pino, Elisa"/>
    <x v="60"/>
    <d v="1899-12-30T15:30:00"/>
    <s v="-"/>
    <d v="1899-12-30T16:00:00"/>
    <n v="110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60"/>
    <d v="1899-12-30T15:30:00"/>
    <d v="1899-12-30T16:00:00"/>
  </r>
  <r>
    <d v="2024-10-02T00:00:00"/>
    <n v="925"/>
    <s v="S2S Premium"/>
    <s v="P_Pino, Elisa"/>
    <x v="60"/>
    <d v="1899-12-30T16:30:00"/>
    <s v="-"/>
    <d v="1899-12-30T17:00:00"/>
    <n v="1565"/>
    <n v="0"/>
    <n v="0"/>
    <n v="8"/>
    <n v="0"/>
    <n v="0"/>
    <n v="0"/>
    <n v="93"/>
    <n v="0"/>
    <n v="0"/>
    <n v="0"/>
    <n v="0"/>
    <n v="0"/>
    <n v="0"/>
    <n v="0"/>
    <n v="0"/>
    <n v="0"/>
    <n v="0"/>
    <n v="0"/>
    <n v="2"/>
    <n v="1"/>
    <x v="1"/>
    <x v="60"/>
    <d v="1899-12-30T16:30:00"/>
    <d v="1899-12-30T17:00:00"/>
  </r>
  <r>
    <d v="2024-10-02T00:00:00"/>
    <n v="924"/>
    <s v="S2S No Premium"/>
    <s v="N2m_Calahuana Silva"/>
    <x v="61"/>
    <d v="1899-12-30T18:00:00"/>
    <s v="-"/>
    <d v="1899-12-30T18:30:00"/>
    <n v="10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61"/>
    <d v="1899-12-30T18:00:00"/>
    <d v="1899-12-30T18:30:00"/>
  </r>
  <r>
    <d v="2024-10-02T00:00:00"/>
    <n v="924"/>
    <s v="S2S No Premium"/>
    <s v="N2m_Calahuana Silva"/>
    <x v="61"/>
    <d v="1899-12-30T15:30:00"/>
    <s v="-"/>
    <d v="1899-12-30T16:00:00"/>
    <n v="825"/>
    <n v="0"/>
    <n v="0"/>
    <n v="19"/>
    <n v="0"/>
    <n v="0"/>
    <n v="0"/>
    <n v="3"/>
    <n v="3"/>
    <n v="0"/>
    <n v="0"/>
    <n v="0"/>
    <n v="0"/>
    <n v="0"/>
    <n v="0"/>
    <n v="0"/>
    <n v="0"/>
    <n v="0"/>
    <n v="0"/>
    <n v="4"/>
    <n v="2"/>
    <x v="0"/>
    <x v="61"/>
    <d v="1899-12-30T15:30:00"/>
    <d v="1899-12-30T16:00:00"/>
  </r>
  <r>
    <d v="2024-10-02T00:00:00"/>
    <n v="924"/>
    <s v="S2S No Premium"/>
    <s v="N2m_Calahuana Silva"/>
    <x v="61"/>
    <d v="1899-12-30T14:00:00"/>
    <s v="-"/>
    <d v="1899-12-30T14:30:00"/>
    <n v="916"/>
    <n v="0"/>
    <n v="0"/>
    <n v="19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61"/>
    <d v="1899-12-30T14:00:00"/>
    <d v="1899-12-30T14:30:00"/>
  </r>
  <r>
    <d v="2024-10-02T00:00:00"/>
    <n v="924"/>
    <s v="S2S No Premium"/>
    <s v="N2m_Calahuana Silva"/>
    <x v="61"/>
    <d v="1899-12-30T14:30:00"/>
    <s v="-"/>
    <d v="1899-12-30T15:00:00"/>
    <n v="1028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61"/>
    <d v="1899-12-30T14:30:00"/>
    <d v="1899-12-30T15:00:00"/>
  </r>
  <r>
    <d v="2024-10-02T00:00:00"/>
    <n v="924"/>
    <s v="S2S No Premium"/>
    <s v="N2m_Calahuana Silva"/>
    <x v="61"/>
    <d v="1899-12-30T15:00:00"/>
    <s v="-"/>
    <d v="1899-12-30T15:30:00"/>
    <n v="1031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61"/>
    <d v="1899-12-30T15:00:00"/>
    <d v="1899-12-30T15:30:00"/>
  </r>
  <r>
    <d v="2024-10-02T00:00:00"/>
    <n v="924"/>
    <s v="S2S No Premium"/>
    <s v="N2m_Calahuana Silva"/>
    <x v="61"/>
    <d v="1899-12-30T16:00:00"/>
    <s v="-"/>
    <d v="1899-12-30T16:30:00"/>
    <n v="1187"/>
    <n v="0"/>
    <n v="0"/>
    <n v="25"/>
    <n v="0"/>
    <n v="0"/>
    <n v="0"/>
    <n v="7"/>
    <n v="1"/>
    <n v="0"/>
    <n v="0"/>
    <n v="0"/>
    <n v="0"/>
    <n v="0"/>
    <n v="0"/>
    <n v="0"/>
    <n v="0"/>
    <n v="0"/>
    <n v="0"/>
    <n v="7"/>
    <n v="7"/>
    <x v="0"/>
    <x v="61"/>
    <d v="1899-12-30T16:00:00"/>
    <d v="1899-12-30T16:30:00"/>
  </r>
  <r>
    <d v="2024-10-02T00:00:00"/>
    <n v="924"/>
    <s v="S2S No Premium"/>
    <s v="N2m_Calahuana Silva"/>
    <x v="61"/>
    <d v="1899-12-30T17:00:00"/>
    <s v="-"/>
    <d v="1899-12-30T17:30:00"/>
    <n v="1368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61"/>
    <d v="1899-12-30T17:00:00"/>
    <d v="1899-12-30T17:30:00"/>
  </r>
  <r>
    <d v="2024-10-02T00:00:00"/>
    <n v="924"/>
    <s v="S2S No Premium"/>
    <s v="N2m_Calahuana Silva"/>
    <x v="61"/>
    <d v="1899-12-30T16:30:00"/>
    <s v="-"/>
    <d v="1899-12-30T17:00:00"/>
    <n v="1386"/>
    <n v="0"/>
    <n v="0"/>
    <n v="21"/>
    <n v="0"/>
    <n v="0"/>
    <n v="0"/>
    <n v="22"/>
    <n v="5"/>
    <n v="0"/>
    <n v="0"/>
    <n v="0"/>
    <n v="0"/>
    <n v="0"/>
    <n v="0"/>
    <n v="0"/>
    <n v="0"/>
    <n v="0"/>
    <n v="0"/>
    <n v="4"/>
    <n v="2"/>
    <x v="0"/>
    <x v="61"/>
    <d v="1899-12-30T16:30:00"/>
    <d v="1899-12-30T17:00:00"/>
  </r>
  <r>
    <d v="2024-10-02T00:00:00"/>
    <n v="924"/>
    <s v="S2S No Premium"/>
    <s v="N2m_Calahuana Silva"/>
    <x v="61"/>
    <d v="1899-12-30T17:30:00"/>
    <s v="-"/>
    <d v="1899-12-30T18:00:00"/>
    <n v="1499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61"/>
    <d v="1899-12-30T17:30:00"/>
    <d v="1899-12-30T18:00:00"/>
  </r>
  <r>
    <d v="2024-10-02T00:00:00"/>
    <n v="924"/>
    <s v="S2S No Premium"/>
    <s v="N2m_Gonsalez Emilia"/>
    <x v="6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2"/>
    <d v="1899-12-30T14:30:00"/>
    <d v="1899-12-30T15:00:00"/>
  </r>
  <r>
    <d v="2024-10-02T00:00:00"/>
    <n v="924"/>
    <s v="S2S No Premium"/>
    <s v="N2m_Gonsalez Emilia"/>
    <x v="62"/>
    <d v="1899-12-30T17:30:00"/>
    <s v="-"/>
    <d v="1899-12-30T18:00:00"/>
    <n v="28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62"/>
    <d v="1899-12-30T17:30:00"/>
    <d v="1899-12-30T18:00:00"/>
  </r>
  <r>
    <d v="2024-10-02T00:00:00"/>
    <n v="924"/>
    <s v="S2S No Premium"/>
    <s v="N2m_Gonsalez Emilia"/>
    <x v="62"/>
    <d v="1899-12-30T17:00:00"/>
    <s v="-"/>
    <d v="1899-12-30T17:30:00"/>
    <n v="221"/>
    <n v="0"/>
    <n v="0"/>
    <n v="5"/>
    <n v="0"/>
    <n v="0"/>
    <n v="0"/>
    <n v="168"/>
    <n v="0"/>
    <n v="0"/>
    <n v="0"/>
    <n v="0"/>
    <n v="0"/>
    <n v="0"/>
    <n v="0"/>
    <n v="0"/>
    <n v="0"/>
    <n v="0"/>
    <n v="0"/>
    <n v="1"/>
    <n v="1"/>
    <x v="0"/>
    <x v="62"/>
    <d v="1899-12-30T17:00:00"/>
    <d v="1899-12-30T17:30:00"/>
  </r>
  <r>
    <d v="2024-10-02T00:00:00"/>
    <n v="924"/>
    <s v="S2S No Premium"/>
    <s v="N2m_Gonsalez Emilia"/>
    <x v="62"/>
    <d v="1899-12-30T15:00:00"/>
    <s v="-"/>
    <d v="1899-12-30T15:30:00"/>
    <n v="493"/>
    <n v="221"/>
    <n v="0"/>
    <n v="18"/>
    <n v="0"/>
    <n v="0"/>
    <n v="0"/>
    <n v="3"/>
    <n v="36"/>
    <n v="0"/>
    <n v="0"/>
    <n v="0"/>
    <n v="0"/>
    <n v="0"/>
    <n v="0"/>
    <n v="0"/>
    <n v="0"/>
    <n v="0"/>
    <n v="0"/>
    <n v="3"/>
    <n v="3"/>
    <x v="0"/>
    <x v="62"/>
    <d v="1899-12-30T15:00:00"/>
    <d v="1899-12-30T15:30:00"/>
  </r>
  <r>
    <d v="2024-10-02T00:00:00"/>
    <n v="924"/>
    <s v="S2S No Premium"/>
    <s v="N2m_Gonsalez Emilia"/>
    <x v="62"/>
    <d v="1899-12-30T15:30:00"/>
    <s v="-"/>
    <d v="1899-12-30T16:00:00"/>
    <n v="802"/>
    <n v="0"/>
    <n v="0"/>
    <n v="16"/>
    <n v="0"/>
    <n v="0"/>
    <n v="0"/>
    <n v="145"/>
    <n v="12"/>
    <n v="0"/>
    <n v="0"/>
    <n v="0"/>
    <n v="0"/>
    <n v="0"/>
    <n v="0"/>
    <n v="0"/>
    <n v="0"/>
    <n v="0"/>
    <n v="0"/>
    <n v="4"/>
    <n v="3"/>
    <x v="0"/>
    <x v="62"/>
    <d v="1899-12-30T15:30:00"/>
    <d v="1899-12-30T16:00:00"/>
  </r>
  <r>
    <d v="2024-10-02T00:00:00"/>
    <n v="924"/>
    <s v="S2S No Premium"/>
    <s v="N2m_Gonsalez Emilia"/>
    <x v="62"/>
    <d v="1899-12-30T16:00:00"/>
    <s v="-"/>
    <d v="1899-12-30T16:30:00"/>
    <n v="901"/>
    <n v="171"/>
    <n v="0"/>
    <n v="13"/>
    <n v="0"/>
    <n v="0"/>
    <n v="0"/>
    <n v="276"/>
    <n v="0"/>
    <n v="0"/>
    <n v="0"/>
    <n v="0"/>
    <n v="0"/>
    <n v="0"/>
    <n v="0"/>
    <n v="0"/>
    <n v="0"/>
    <n v="0"/>
    <n v="0"/>
    <n v="4"/>
    <n v="4"/>
    <x v="0"/>
    <x v="62"/>
    <d v="1899-12-30T16:00:00"/>
    <d v="1899-12-30T16:30:00"/>
  </r>
  <r>
    <d v="2024-10-02T00:00:00"/>
    <n v="924"/>
    <s v="S2S No Premium"/>
    <s v="N2m_Gonsalez Emilia"/>
    <x v="62"/>
    <d v="1899-12-30T16:30:00"/>
    <s v="-"/>
    <d v="1899-12-30T17:00:00"/>
    <n v="1312"/>
    <n v="13"/>
    <n v="0"/>
    <n v="29"/>
    <n v="0"/>
    <n v="0"/>
    <n v="0"/>
    <n v="6"/>
    <n v="1"/>
    <n v="0"/>
    <n v="0"/>
    <n v="0"/>
    <n v="0"/>
    <n v="0"/>
    <n v="0"/>
    <n v="0"/>
    <n v="0"/>
    <n v="0"/>
    <n v="0"/>
    <n v="6"/>
    <n v="6"/>
    <x v="0"/>
    <x v="62"/>
    <d v="1899-12-30T16:30:00"/>
    <d v="1899-12-30T17:00:00"/>
  </r>
  <r>
    <d v="2024-10-02T00:00:00"/>
    <n v="924"/>
    <s v="S2S No Premium"/>
    <s v="N2m_Gayo, Matias"/>
    <x v="63"/>
    <d v="1899-12-30T19:30:00"/>
    <s v="-"/>
    <d v="1899-12-30T20:00:00"/>
    <n v="97"/>
    <n v="6"/>
    <n v="0"/>
    <n v="0"/>
    <n v="0"/>
    <n v="0"/>
    <n v="0"/>
    <n v="537"/>
    <n v="55"/>
    <n v="0"/>
    <n v="0"/>
    <n v="0"/>
    <n v="0"/>
    <n v="0"/>
    <n v="0"/>
    <n v="0"/>
    <n v="0"/>
    <n v="0"/>
    <n v="0"/>
    <n v="1"/>
    <n v="1"/>
    <x v="0"/>
    <x v="63"/>
    <d v="1899-12-30T19:30:00"/>
    <d v="1899-12-30T20:00:00"/>
  </r>
  <r>
    <d v="2024-10-02T00:00:00"/>
    <n v="924"/>
    <s v="S2S No Premium"/>
    <s v="N2m_Gayo, Matias"/>
    <x v="63"/>
    <d v="1899-12-30T19:00:00"/>
    <s v="-"/>
    <d v="1899-12-30T19:30:00"/>
    <n v="210"/>
    <n v="31"/>
    <n v="0"/>
    <n v="8"/>
    <n v="0"/>
    <n v="0"/>
    <n v="0"/>
    <n v="97"/>
    <n v="46"/>
    <n v="0"/>
    <n v="0"/>
    <n v="0"/>
    <n v="0"/>
    <n v="0"/>
    <n v="0"/>
    <n v="0"/>
    <n v="0"/>
    <n v="0"/>
    <n v="0"/>
    <n v="1"/>
    <n v="1"/>
    <x v="0"/>
    <x v="63"/>
    <d v="1899-12-30T19:00:00"/>
    <d v="1899-12-30T19:30:00"/>
  </r>
  <r>
    <d v="2024-10-02T00:00:00"/>
    <n v="924"/>
    <s v="S2S No Premium"/>
    <s v="N2m_Gayo, Matias"/>
    <x v="63"/>
    <d v="1899-12-30T15:00:00"/>
    <s v="-"/>
    <d v="1899-12-30T15:30:00"/>
    <n v="557"/>
    <n v="37"/>
    <n v="0"/>
    <n v="10"/>
    <n v="0"/>
    <n v="0"/>
    <n v="0"/>
    <n v="164"/>
    <n v="0"/>
    <n v="0"/>
    <n v="0"/>
    <n v="0"/>
    <n v="0"/>
    <n v="0"/>
    <n v="0"/>
    <n v="0"/>
    <n v="0"/>
    <n v="0"/>
    <n v="0"/>
    <n v="2"/>
    <n v="2"/>
    <x v="0"/>
    <x v="63"/>
    <d v="1899-12-30T15:00:00"/>
    <d v="1899-12-30T15:30:00"/>
  </r>
  <r>
    <d v="2024-10-02T00:00:00"/>
    <n v="924"/>
    <s v="S2S No Premium"/>
    <s v="N2m_Gayo, Matias"/>
    <x v="63"/>
    <d v="1899-12-30T15:30:00"/>
    <s v="-"/>
    <d v="1899-12-30T16:00:00"/>
    <n v="609"/>
    <n v="0"/>
    <n v="0"/>
    <n v="23"/>
    <n v="0"/>
    <n v="0"/>
    <n v="0"/>
    <n v="30"/>
    <n v="0"/>
    <n v="0"/>
    <n v="0"/>
    <n v="0"/>
    <n v="0"/>
    <n v="0"/>
    <n v="0"/>
    <n v="0"/>
    <n v="0"/>
    <n v="0"/>
    <n v="0"/>
    <n v="4"/>
    <n v="3"/>
    <x v="0"/>
    <x v="63"/>
    <d v="1899-12-30T15:30:00"/>
    <d v="1899-12-30T16:00:00"/>
  </r>
  <r>
    <d v="2024-10-02T00:00:00"/>
    <n v="924"/>
    <s v="S2S No Premium"/>
    <s v="N2m_Gayo, Matias"/>
    <x v="63"/>
    <d v="1899-12-30T17:00:00"/>
    <s v="-"/>
    <d v="1899-12-30T17:30:00"/>
    <n v="657"/>
    <n v="0"/>
    <n v="0"/>
    <n v="10"/>
    <n v="0"/>
    <n v="0"/>
    <n v="0"/>
    <n v="253"/>
    <n v="83"/>
    <n v="0"/>
    <n v="0"/>
    <n v="0"/>
    <n v="0"/>
    <n v="0"/>
    <n v="0"/>
    <n v="0"/>
    <n v="0"/>
    <n v="0"/>
    <n v="0"/>
    <n v="3"/>
    <n v="2"/>
    <x v="0"/>
    <x v="63"/>
    <d v="1899-12-30T17:00:00"/>
    <d v="1899-12-30T17:30:00"/>
  </r>
  <r>
    <d v="2024-10-02T00:00:00"/>
    <n v="924"/>
    <s v="S2S No Premium"/>
    <s v="N2m_Gayo, Matias"/>
    <x v="63"/>
    <d v="1899-12-30T18:30:00"/>
    <s v="-"/>
    <d v="1899-12-30T19:00:00"/>
    <n v="664"/>
    <n v="82"/>
    <n v="0"/>
    <n v="13"/>
    <n v="0"/>
    <n v="0"/>
    <n v="0"/>
    <n v="248"/>
    <n v="0"/>
    <n v="0"/>
    <n v="0"/>
    <n v="0"/>
    <n v="0"/>
    <n v="0"/>
    <n v="0"/>
    <n v="0"/>
    <n v="0"/>
    <n v="0"/>
    <n v="0"/>
    <n v="3"/>
    <n v="3"/>
    <x v="0"/>
    <x v="63"/>
    <d v="1899-12-30T18:30:00"/>
    <d v="1899-12-30T19:00:00"/>
  </r>
  <r>
    <d v="2024-10-02T00:00:00"/>
    <n v="924"/>
    <s v="S2S No Premium"/>
    <s v="N2m_Gayo, Matias"/>
    <x v="63"/>
    <d v="1899-12-30T16:30:00"/>
    <s v="-"/>
    <d v="1899-12-30T17:00:00"/>
    <n v="885"/>
    <n v="20"/>
    <n v="0"/>
    <n v="29"/>
    <n v="0"/>
    <n v="0"/>
    <n v="0"/>
    <n v="272"/>
    <n v="0"/>
    <n v="0"/>
    <n v="0"/>
    <n v="0"/>
    <n v="0"/>
    <n v="0"/>
    <n v="0"/>
    <n v="0"/>
    <n v="0"/>
    <n v="0"/>
    <n v="0"/>
    <n v="7"/>
    <n v="6"/>
    <x v="0"/>
    <x v="63"/>
    <d v="1899-12-30T16:30:00"/>
    <d v="1899-12-30T17:00:00"/>
  </r>
  <r>
    <d v="2024-10-02T00:00:00"/>
    <n v="924"/>
    <s v="S2S No Premium"/>
    <s v="N2m_Gayo, Matias"/>
    <x v="63"/>
    <d v="1899-12-30T17:30:00"/>
    <s v="-"/>
    <d v="1899-12-30T18:00:00"/>
    <n v="1041"/>
    <n v="5"/>
    <n v="0"/>
    <n v="28"/>
    <n v="0"/>
    <n v="0"/>
    <n v="0"/>
    <n v="704"/>
    <n v="0"/>
    <n v="0"/>
    <n v="0"/>
    <n v="0"/>
    <n v="0"/>
    <n v="0"/>
    <n v="0"/>
    <n v="0"/>
    <n v="0"/>
    <n v="0"/>
    <n v="0"/>
    <n v="7"/>
    <n v="5"/>
    <x v="0"/>
    <x v="63"/>
    <d v="1899-12-30T17:30:00"/>
    <d v="1899-12-30T18:00:00"/>
  </r>
  <r>
    <d v="2024-10-02T00:00:00"/>
    <n v="924"/>
    <s v="S2S No Premium"/>
    <s v="N2m_Gayo, Matias"/>
    <x v="63"/>
    <d v="1899-12-30T16:00:00"/>
    <s v="-"/>
    <d v="1899-12-30T16:30:00"/>
    <n v="1084"/>
    <n v="0"/>
    <n v="0"/>
    <n v="20"/>
    <n v="0"/>
    <n v="0"/>
    <n v="0"/>
    <n v="119"/>
    <n v="1"/>
    <n v="0"/>
    <n v="0"/>
    <n v="0"/>
    <n v="0"/>
    <n v="0"/>
    <n v="0"/>
    <n v="0"/>
    <n v="0"/>
    <n v="0"/>
    <n v="0"/>
    <n v="5"/>
    <n v="4"/>
    <x v="0"/>
    <x v="63"/>
    <d v="1899-12-30T16:00:00"/>
    <d v="1899-12-30T16:30:00"/>
  </r>
  <r>
    <d v="2024-10-02T00:00:00"/>
    <n v="924"/>
    <s v="S2S No Premium"/>
    <s v="N2m_Gayo, Matias"/>
    <x v="63"/>
    <d v="1899-12-30T18:00:00"/>
    <s v="-"/>
    <d v="1899-12-30T18:30:00"/>
    <n v="1260"/>
    <n v="0"/>
    <n v="0"/>
    <n v="24"/>
    <n v="0"/>
    <n v="0"/>
    <n v="0"/>
    <n v="136"/>
    <n v="0"/>
    <n v="0"/>
    <n v="0"/>
    <n v="0"/>
    <n v="0"/>
    <n v="0"/>
    <n v="0"/>
    <n v="0"/>
    <n v="0"/>
    <n v="0"/>
    <n v="0"/>
    <n v="7"/>
    <n v="6"/>
    <x v="0"/>
    <x v="63"/>
    <d v="1899-12-30T18:00:00"/>
    <d v="1899-12-30T18:30:00"/>
  </r>
  <r>
    <d v="2024-10-02T00:00:00"/>
    <n v="924"/>
    <s v="S2S No Premium"/>
    <s v="N2_Belchior Medina"/>
    <x v="64"/>
    <d v="1899-12-30T14:00:00"/>
    <s v="-"/>
    <d v="1899-12-30T14:30:00"/>
    <n v="603"/>
    <n v="0"/>
    <n v="0"/>
    <n v="16"/>
    <n v="0"/>
    <n v="0"/>
    <n v="0"/>
    <n v="70"/>
    <n v="0"/>
    <n v="0"/>
    <n v="0"/>
    <n v="0"/>
    <n v="0"/>
    <n v="0"/>
    <n v="0"/>
    <n v="0"/>
    <n v="0"/>
    <n v="0"/>
    <n v="0"/>
    <n v="5"/>
    <n v="3"/>
    <x v="0"/>
    <x v="64"/>
    <d v="1899-12-30T14:00:00"/>
    <d v="1899-12-30T14:30:00"/>
  </r>
  <r>
    <d v="2024-10-02T00:00:00"/>
    <n v="924"/>
    <s v="S2S No Premium"/>
    <s v="N2_Belchior Medina"/>
    <x v="64"/>
    <d v="1899-12-30T14:30:00"/>
    <s v="-"/>
    <d v="1899-12-30T15:00:00"/>
    <n v="720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64"/>
    <d v="1899-12-30T14:30:00"/>
    <d v="1899-12-30T15:00:00"/>
  </r>
  <r>
    <d v="2024-10-02T00:00:00"/>
    <n v="924"/>
    <s v="S2S No Premium"/>
    <s v="N2_Belchior Medina"/>
    <x v="64"/>
    <d v="1899-12-30T15:00:00"/>
    <s v="-"/>
    <d v="1899-12-30T15:30:00"/>
    <n v="919"/>
    <n v="76"/>
    <n v="0"/>
    <n v="12"/>
    <n v="0"/>
    <n v="0"/>
    <n v="0"/>
    <n v="65"/>
    <n v="0"/>
    <n v="0"/>
    <n v="0"/>
    <n v="0"/>
    <n v="0"/>
    <n v="0"/>
    <n v="0"/>
    <n v="0"/>
    <n v="0"/>
    <n v="0"/>
    <n v="0"/>
    <n v="3"/>
    <n v="1"/>
    <x v="0"/>
    <x v="64"/>
    <d v="1899-12-30T15:00:00"/>
    <d v="1899-12-30T15:30:00"/>
  </r>
  <r>
    <d v="2024-10-02T00:00:00"/>
    <n v="924"/>
    <s v="S2S No Premium"/>
    <s v="N2m_Gomez, Cesar"/>
    <x v="65"/>
    <d v="1899-12-30T19:30:00"/>
    <s v="-"/>
    <d v="1899-12-30T20:00:00"/>
    <n v="521"/>
    <n v="244"/>
    <n v="0"/>
    <n v="12"/>
    <n v="0"/>
    <n v="0"/>
    <n v="0"/>
    <n v="143"/>
    <n v="0"/>
    <n v="0"/>
    <n v="0"/>
    <n v="0"/>
    <n v="0"/>
    <n v="0"/>
    <n v="0"/>
    <n v="0"/>
    <n v="0"/>
    <n v="0"/>
    <n v="0"/>
    <n v="3"/>
    <n v="2"/>
    <x v="0"/>
    <x v="65"/>
    <d v="1899-12-30T19:30:00"/>
    <d v="1899-12-30T20:00:00"/>
  </r>
  <r>
    <d v="2024-10-02T00:00:00"/>
    <n v="924"/>
    <s v="S2S No Premium"/>
    <s v="N2m_Gomez, Cesar"/>
    <x v="65"/>
    <d v="1899-12-30T15:00:00"/>
    <s v="-"/>
    <d v="1899-12-30T15:30:00"/>
    <n v="704"/>
    <n v="0"/>
    <n v="0"/>
    <n v="16"/>
    <n v="0"/>
    <n v="0"/>
    <n v="0"/>
    <n v="25"/>
    <n v="0"/>
    <n v="0"/>
    <n v="0"/>
    <n v="0"/>
    <n v="0"/>
    <n v="0"/>
    <n v="0"/>
    <n v="0"/>
    <n v="0"/>
    <n v="0"/>
    <n v="0"/>
    <n v="3"/>
    <n v="3"/>
    <x v="0"/>
    <x v="65"/>
    <d v="1899-12-30T15:00:00"/>
    <d v="1899-12-30T15:30:00"/>
  </r>
  <r>
    <d v="2024-10-02T00:00:00"/>
    <n v="924"/>
    <s v="S2S No Premium"/>
    <s v="N2m_Gomez, Cesar"/>
    <x v="65"/>
    <d v="1899-12-30T18:30:00"/>
    <s v="-"/>
    <d v="1899-12-30T19:00:00"/>
    <n v="749"/>
    <n v="79"/>
    <n v="0"/>
    <n v="12"/>
    <n v="0"/>
    <n v="0"/>
    <n v="0"/>
    <n v="191"/>
    <n v="0"/>
    <n v="0"/>
    <n v="0"/>
    <n v="0"/>
    <n v="0"/>
    <n v="0"/>
    <n v="0"/>
    <n v="0"/>
    <n v="0"/>
    <n v="0"/>
    <n v="0"/>
    <n v="4"/>
    <n v="4"/>
    <x v="0"/>
    <x v="65"/>
    <d v="1899-12-30T18:30:00"/>
    <d v="1899-12-30T19:00:00"/>
  </r>
  <r>
    <d v="2024-10-02T00:00:00"/>
    <n v="924"/>
    <s v="S2S No Premium"/>
    <s v="N2m_Gomez, Cesar"/>
    <x v="65"/>
    <d v="1899-12-30T15:30:00"/>
    <s v="-"/>
    <d v="1899-12-30T16:00:00"/>
    <n v="829"/>
    <n v="0"/>
    <n v="0"/>
    <n v="16"/>
    <n v="0"/>
    <n v="0"/>
    <n v="0"/>
    <n v="274"/>
    <n v="0"/>
    <n v="0"/>
    <n v="0"/>
    <n v="0"/>
    <n v="0"/>
    <n v="0"/>
    <n v="0"/>
    <n v="0"/>
    <n v="0"/>
    <n v="0"/>
    <n v="0"/>
    <n v="5"/>
    <n v="3"/>
    <x v="0"/>
    <x v="65"/>
    <d v="1899-12-30T15:30:00"/>
    <d v="1899-12-30T16:00:00"/>
  </r>
  <r>
    <d v="2024-10-02T00:00:00"/>
    <n v="924"/>
    <s v="S2S No Premium"/>
    <s v="N2m_Gomez, Cesar"/>
    <x v="65"/>
    <d v="1899-12-30T19:00:00"/>
    <s v="-"/>
    <d v="1899-12-30T19:30:00"/>
    <n v="895"/>
    <n v="0"/>
    <n v="0"/>
    <n v="16"/>
    <n v="0"/>
    <n v="0"/>
    <n v="0"/>
    <n v="319"/>
    <n v="44"/>
    <n v="0"/>
    <n v="0"/>
    <n v="0"/>
    <n v="0"/>
    <n v="0"/>
    <n v="0"/>
    <n v="0"/>
    <n v="0"/>
    <n v="0"/>
    <n v="0"/>
    <n v="4"/>
    <n v="4"/>
    <x v="0"/>
    <x v="65"/>
    <d v="1899-12-30T19:00:00"/>
    <d v="1899-12-30T19:30:00"/>
  </r>
  <r>
    <d v="2024-10-02T00:00:00"/>
    <n v="924"/>
    <s v="S2S No Premium"/>
    <s v="N2m_Gomez, Cesar"/>
    <x v="65"/>
    <d v="1899-12-30T17:30:00"/>
    <s v="-"/>
    <d v="1899-12-30T18:00:00"/>
    <n v="983"/>
    <n v="0"/>
    <n v="0"/>
    <n v="30"/>
    <n v="0"/>
    <n v="0"/>
    <n v="0"/>
    <n v="101"/>
    <n v="0"/>
    <n v="0"/>
    <n v="0"/>
    <n v="0"/>
    <n v="0"/>
    <n v="0"/>
    <n v="0"/>
    <n v="0"/>
    <n v="0"/>
    <n v="0"/>
    <n v="0"/>
    <n v="7"/>
    <n v="5"/>
    <x v="0"/>
    <x v="65"/>
    <d v="1899-12-30T17:30:00"/>
    <d v="1899-12-30T18:00:00"/>
  </r>
  <r>
    <d v="2024-10-02T00:00:00"/>
    <n v="924"/>
    <s v="S2S No Premium"/>
    <s v="N2m_Gomez, Cesar"/>
    <x v="65"/>
    <d v="1899-12-30T16:00:00"/>
    <s v="-"/>
    <d v="1899-12-30T16:30:00"/>
    <n v="1068"/>
    <n v="0"/>
    <n v="0"/>
    <n v="28"/>
    <n v="0"/>
    <n v="0"/>
    <n v="0"/>
    <n v="187"/>
    <n v="1"/>
    <n v="0"/>
    <n v="0"/>
    <n v="0"/>
    <n v="0"/>
    <n v="0"/>
    <n v="0"/>
    <n v="0"/>
    <n v="0"/>
    <n v="0"/>
    <n v="0"/>
    <n v="6"/>
    <n v="5"/>
    <x v="0"/>
    <x v="65"/>
    <d v="1899-12-30T16:00:00"/>
    <d v="1899-12-30T16:30:00"/>
  </r>
  <r>
    <d v="2024-10-02T00:00:00"/>
    <n v="924"/>
    <s v="S2S No Premium"/>
    <s v="N2m_Gomez, Cesar"/>
    <x v="65"/>
    <d v="1899-12-30T17:00:00"/>
    <s v="-"/>
    <d v="1899-12-30T17:30:00"/>
    <n v="1079"/>
    <n v="0"/>
    <n v="0"/>
    <n v="20"/>
    <n v="0"/>
    <n v="0"/>
    <n v="0"/>
    <n v="163"/>
    <n v="0"/>
    <n v="0"/>
    <n v="0"/>
    <n v="0"/>
    <n v="0"/>
    <n v="0"/>
    <n v="0"/>
    <n v="0"/>
    <n v="0"/>
    <n v="0"/>
    <n v="0"/>
    <n v="4"/>
    <n v="3"/>
    <x v="0"/>
    <x v="65"/>
    <d v="1899-12-30T17:00:00"/>
    <d v="1899-12-30T17:30:00"/>
  </r>
  <r>
    <d v="2024-10-02T00:00:00"/>
    <n v="924"/>
    <s v="S2S No Premium"/>
    <s v="N2m_Gomez, Cesar"/>
    <x v="65"/>
    <d v="1899-12-30T16:30:00"/>
    <s v="-"/>
    <d v="1899-12-30T17:00:00"/>
    <n v="1312"/>
    <n v="0"/>
    <n v="0"/>
    <n v="12"/>
    <n v="0"/>
    <n v="0"/>
    <n v="0"/>
    <n v="73"/>
    <n v="0"/>
    <n v="0"/>
    <n v="0"/>
    <n v="0"/>
    <n v="0"/>
    <n v="0"/>
    <n v="0"/>
    <n v="0"/>
    <n v="0"/>
    <n v="0"/>
    <n v="0"/>
    <n v="4"/>
    <n v="4"/>
    <x v="0"/>
    <x v="65"/>
    <d v="1899-12-30T16:30:00"/>
    <d v="1899-12-30T17:00:00"/>
  </r>
  <r>
    <d v="2024-10-02T00:00:00"/>
    <n v="924"/>
    <s v="S2S No Premium"/>
    <s v="N2m_Gomez, Cesar"/>
    <x v="65"/>
    <d v="1899-12-30T18:00:00"/>
    <s v="-"/>
    <d v="1899-12-30T18:30:00"/>
    <n v="1550"/>
    <n v="0"/>
    <n v="0"/>
    <n v="22"/>
    <n v="0"/>
    <n v="0"/>
    <n v="0"/>
    <n v="147"/>
    <n v="0"/>
    <n v="0"/>
    <n v="0"/>
    <n v="0"/>
    <n v="0"/>
    <n v="0"/>
    <n v="0"/>
    <n v="0"/>
    <n v="0"/>
    <n v="0"/>
    <n v="0"/>
    <n v="5"/>
    <n v="4"/>
    <x v="0"/>
    <x v="65"/>
    <d v="1899-12-30T18:00:00"/>
    <d v="1899-12-30T18:30:00"/>
  </r>
  <r>
    <d v="2024-10-02T00:00:00"/>
    <n v="924"/>
    <s v="S2S No Premium"/>
    <s v="N2m_Sanjuan Laura"/>
    <x v="66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6"/>
    <d v="1899-12-30T14:30:00"/>
    <d v="1899-12-30T15:00:00"/>
  </r>
  <r>
    <d v="2024-10-02T00:00:00"/>
    <n v="924"/>
    <s v="S2S No Premium"/>
    <s v="N2m_Sanjuan Laura"/>
    <x v="66"/>
    <d v="1899-12-30T19:00:00"/>
    <s v="-"/>
    <d v="1899-12-30T19:30:00"/>
    <n v="783"/>
    <n v="1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6"/>
    <d v="1899-12-30T19:00:00"/>
    <d v="1899-12-30T19:30:00"/>
  </r>
  <r>
    <d v="2024-10-02T00:00:00"/>
    <n v="924"/>
    <s v="S2S No Premium"/>
    <s v="N2m_Sanjuan Laura"/>
    <x v="66"/>
    <d v="1899-12-30T18:30:00"/>
    <s v="-"/>
    <d v="1899-12-30T19:00:00"/>
    <n v="792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66"/>
    <d v="1899-12-30T18:30:00"/>
    <d v="1899-12-30T19:00:00"/>
  </r>
  <r>
    <d v="2024-10-02T00:00:00"/>
    <n v="924"/>
    <s v="S2S No Premium"/>
    <s v="N2m_Sanjuan Laura"/>
    <x v="66"/>
    <d v="1899-12-30T19:30:00"/>
    <s v="-"/>
    <d v="1899-12-30T20:00:00"/>
    <n v="831"/>
    <n v="221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66"/>
    <d v="1899-12-30T19:30:00"/>
    <d v="1899-12-30T20:00:00"/>
  </r>
  <r>
    <d v="2024-10-02T00:00:00"/>
    <n v="924"/>
    <s v="S2S No Premium"/>
    <s v="N2m_Sanjuan Laura"/>
    <x v="66"/>
    <d v="1899-12-30T15:00:00"/>
    <s v="-"/>
    <d v="1899-12-30T15:30:00"/>
    <n v="848"/>
    <n v="0"/>
    <n v="0"/>
    <n v="15"/>
    <n v="0"/>
    <n v="0"/>
    <n v="0"/>
    <n v="3"/>
    <n v="0"/>
    <n v="0"/>
    <n v="0"/>
    <n v="0"/>
    <n v="0"/>
    <n v="0"/>
    <n v="0"/>
    <n v="0"/>
    <n v="0"/>
    <n v="0"/>
    <n v="0"/>
    <n v="3"/>
    <n v="2"/>
    <x v="0"/>
    <x v="66"/>
    <d v="1899-12-30T15:00:00"/>
    <d v="1899-12-30T15:30:00"/>
  </r>
  <r>
    <d v="2024-10-02T00:00:00"/>
    <n v="924"/>
    <s v="S2S No Premium"/>
    <s v="N2m_Sanjuan Laura"/>
    <x v="66"/>
    <d v="1899-12-30T16:30:00"/>
    <s v="-"/>
    <d v="1899-12-30T17:00:00"/>
    <n v="912"/>
    <n v="0"/>
    <n v="0"/>
    <n v="25"/>
    <n v="0"/>
    <n v="0"/>
    <n v="0"/>
    <n v="7"/>
    <n v="0"/>
    <n v="0"/>
    <n v="0"/>
    <n v="0"/>
    <n v="0"/>
    <n v="0"/>
    <n v="0"/>
    <n v="0"/>
    <n v="0"/>
    <n v="0"/>
    <n v="0"/>
    <n v="7"/>
    <n v="7"/>
    <x v="0"/>
    <x v="66"/>
    <d v="1899-12-30T16:30:00"/>
    <d v="1899-12-30T17:00:00"/>
  </r>
  <r>
    <d v="2024-10-02T00:00:00"/>
    <n v="924"/>
    <s v="S2S No Premium"/>
    <s v="N2m_Sanjuan Laura"/>
    <x v="66"/>
    <d v="1899-12-30T17:00:00"/>
    <s v="-"/>
    <d v="1899-12-30T17:30:00"/>
    <n v="1013"/>
    <n v="177"/>
    <n v="0"/>
    <n v="2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66"/>
    <d v="1899-12-30T17:00:00"/>
    <d v="1899-12-30T17:30:00"/>
  </r>
  <r>
    <d v="2024-10-02T00:00:00"/>
    <n v="924"/>
    <s v="S2S No Premium"/>
    <s v="N2m_Sanjuan Laura"/>
    <x v="66"/>
    <d v="1899-12-30T15:30:00"/>
    <s v="-"/>
    <d v="1899-12-30T16:00:00"/>
    <n v="1148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66"/>
    <d v="1899-12-30T15:30:00"/>
    <d v="1899-12-30T16:00:00"/>
  </r>
  <r>
    <d v="2024-10-02T00:00:00"/>
    <n v="924"/>
    <s v="S2S No Premium"/>
    <s v="N2m_Sanjuan Laura"/>
    <x v="66"/>
    <d v="1899-12-30T17:30:00"/>
    <s v="-"/>
    <d v="1899-12-30T18:00:00"/>
    <n v="1413"/>
    <n v="51"/>
    <n v="0"/>
    <n v="31"/>
    <n v="0"/>
    <n v="0"/>
    <n v="0"/>
    <n v="8"/>
    <n v="0"/>
    <n v="0"/>
    <n v="0"/>
    <n v="0"/>
    <n v="0"/>
    <n v="0"/>
    <n v="0"/>
    <n v="0"/>
    <n v="0"/>
    <n v="0"/>
    <n v="0"/>
    <n v="7"/>
    <n v="7"/>
    <x v="0"/>
    <x v="66"/>
    <d v="1899-12-30T17:30:00"/>
    <d v="1899-12-30T18:00:00"/>
  </r>
  <r>
    <d v="2024-10-02T00:00:00"/>
    <n v="924"/>
    <s v="S2S No Premium"/>
    <s v="N2m_Sanjuan Laura"/>
    <x v="66"/>
    <d v="1899-12-30T16:00:00"/>
    <s v="-"/>
    <d v="1899-12-30T16:30:00"/>
    <n v="1426"/>
    <n v="0"/>
    <n v="0"/>
    <n v="21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66"/>
    <d v="1899-12-30T16:00:00"/>
    <d v="1899-12-30T16:30:00"/>
  </r>
  <r>
    <d v="2024-10-02T00:00:00"/>
    <n v="924"/>
    <s v="S2S No Premium"/>
    <s v="N2m_Sanjuan Laura"/>
    <x v="66"/>
    <d v="1899-12-30T18:00:00"/>
    <s v="-"/>
    <d v="1899-12-30T18:30:00"/>
    <n v="1699"/>
    <n v="0"/>
    <n v="0"/>
    <n v="24"/>
    <n v="0"/>
    <n v="0"/>
    <n v="0"/>
    <n v="4"/>
    <n v="0"/>
    <n v="0"/>
    <n v="0"/>
    <n v="0"/>
    <n v="0"/>
    <n v="0"/>
    <n v="0"/>
    <n v="0"/>
    <n v="0"/>
    <n v="0"/>
    <n v="0"/>
    <n v="5"/>
    <n v="3"/>
    <x v="0"/>
    <x v="66"/>
    <d v="1899-12-30T18:00:00"/>
    <d v="1899-12-30T18:30:00"/>
  </r>
  <r>
    <d v="2024-10-02T00:00:00"/>
    <n v="925"/>
    <s v="S2S Premium"/>
    <s v="P_Miragaya Maria"/>
    <x v="67"/>
    <d v="1899-12-30T19:00:00"/>
    <s v="-"/>
    <d v="1899-12-30T19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67"/>
    <d v="1899-12-30T19:00:00"/>
    <d v="1899-12-30T19:30:00"/>
  </r>
  <r>
    <d v="2024-10-02T00:00:00"/>
    <n v="925"/>
    <s v="S2S Premium"/>
    <s v="P_Miragaya Maria"/>
    <x v="67"/>
    <d v="1899-12-30T17:00:00"/>
    <s v="-"/>
    <d v="1899-12-30T17:30:00"/>
    <n v="684"/>
    <n v="855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67"/>
    <d v="1899-12-30T17:00:00"/>
    <d v="1899-12-30T17:30:00"/>
  </r>
  <r>
    <d v="2024-10-02T00:00:00"/>
    <n v="925"/>
    <s v="S2S Premium"/>
    <s v="P_Miragaya Maria"/>
    <x v="67"/>
    <d v="1899-12-30T14:30:00"/>
    <s v="-"/>
    <d v="1899-12-30T15:00:00"/>
    <n v="698"/>
    <n v="0"/>
    <n v="0"/>
    <n v="9"/>
    <n v="0"/>
    <n v="0"/>
    <n v="0"/>
    <n v="183"/>
    <n v="178"/>
    <n v="0"/>
    <n v="0"/>
    <n v="0"/>
    <n v="0"/>
    <n v="0"/>
    <n v="0"/>
    <n v="0"/>
    <n v="0"/>
    <n v="0"/>
    <n v="0"/>
    <n v="3"/>
    <n v="3"/>
    <x v="1"/>
    <x v="67"/>
    <d v="1899-12-30T14:30:00"/>
    <d v="1899-12-30T15:00:00"/>
  </r>
  <r>
    <d v="2024-10-02T00:00:00"/>
    <n v="925"/>
    <s v="S2S Premium"/>
    <s v="P_Miragaya Maria"/>
    <x v="67"/>
    <d v="1899-12-30T15:30:00"/>
    <s v="-"/>
    <d v="1899-12-30T16:00:00"/>
    <n v="700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67"/>
    <d v="1899-12-30T15:30:00"/>
    <d v="1899-12-30T16:00:00"/>
  </r>
  <r>
    <d v="2024-10-02T00:00:00"/>
    <n v="925"/>
    <s v="S2S Premium"/>
    <s v="P_Miragaya Maria"/>
    <x v="67"/>
    <d v="1899-12-30T16:00:00"/>
    <s v="-"/>
    <d v="1899-12-30T16:30:00"/>
    <n v="873"/>
    <n v="0"/>
    <n v="0"/>
    <n v="13"/>
    <n v="0"/>
    <n v="0"/>
    <n v="0"/>
    <n v="55"/>
    <n v="50"/>
    <n v="0"/>
    <n v="0"/>
    <n v="0"/>
    <n v="0"/>
    <n v="0"/>
    <n v="0"/>
    <n v="0"/>
    <n v="0"/>
    <n v="0"/>
    <n v="0"/>
    <n v="3"/>
    <n v="2"/>
    <x v="1"/>
    <x v="67"/>
    <d v="1899-12-30T16:00:00"/>
    <d v="1899-12-30T16:30:00"/>
  </r>
  <r>
    <d v="2024-10-02T00:00:00"/>
    <n v="925"/>
    <s v="S2S Premium"/>
    <s v="P_Miragaya Maria"/>
    <x v="67"/>
    <d v="1899-12-30T14:00:00"/>
    <s v="-"/>
    <d v="1899-12-30T14:30:00"/>
    <n v="996"/>
    <n v="0"/>
    <n v="0"/>
    <n v="15"/>
    <n v="0"/>
    <n v="0"/>
    <n v="0"/>
    <n v="2"/>
    <n v="0"/>
    <n v="0"/>
    <n v="0"/>
    <n v="0"/>
    <n v="0"/>
    <n v="0"/>
    <n v="0"/>
    <n v="0"/>
    <n v="0"/>
    <n v="0"/>
    <n v="0"/>
    <n v="2"/>
    <n v="1"/>
    <x v="1"/>
    <x v="67"/>
    <d v="1899-12-30T14:00:00"/>
    <d v="1899-12-30T14:30:00"/>
  </r>
  <r>
    <d v="2024-10-02T00:00:00"/>
    <n v="925"/>
    <s v="S2S Premium"/>
    <s v="P_Miragaya Maria"/>
    <x v="67"/>
    <d v="1899-12-30T18:00:00"/>
    <s v="-"/>
    <d v="1899-12-30T18:30:00"/>
    <n v="102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4"/>
    <n v="2"/>
    <x v="1"/>
    <x v="67"/>
    <d v="1899-12-30T18:00:00"/>
    <d v="1899-12-30T18:30:00"/>
  </r>
  <r>
    <d v="2024-10-02T00:00:00"/>
    <n v="925"/>
    <s v="S2S Premium"/>
    <s v="P_Miragaya Maria"/>
    <x v="67"/>
    <d v="1899-12-30T18:30:00"/>
    <s v="-"/>
    <d v="1899-12-30T19:00:00"/>
    <n v="1074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7"/>
    <d v="1899-12-30T18:30:00"/>
    <d v="1899-12-30T19:00:00"/>
  </r>
  <r>
    <d v="2024-10-02T00:00:00"/>
    <n v="925"/>
    <s v="S2S Premium"/>
    <s v="P_Miragaya Maria"/>
    <x v="67"/>
    <d v="1899-12-30T15:00:00"/>
    <s v="-"/>
    <d v="1899-12-30T15:30:00"/>
    <n v="1083"/>
    <n v="0"/>
    <n v="0"/>
    <n v="18"/>
    <n v="0"/>
    <n v="0"/>
    <n v="0"/>
    <n v="5"/>
    <n v="0"/>
    <n v="0"/>
    <n v="0"/>
    <n v="0"/>
    <n v="0"/>
    <n v="0"/>
    <n v="0"/>
    <n v="0"/>
    <n v="0"/>
    <n v="0"/>
    <n v="0"/>
    <n v="4"/>
    <n v="4"/>
    <x v="1"/>
    <x v="67"/>
    <d v="1899-12-30T15:00:00"/>
    <d v="1899-12-30T15:30:00"/>
  </r>
  <r>
    <d v="2024-10-02T00:00:00"/>
    <n v="925"/>
    <s v="S2S Premium"/>
    <s v="P_Miragaya Maria"/>
    <x v="67"/>
    <d v="1899-12-30T17:30:00"/>
    <s v="-"/>
    <d v="1899-12-30T18:00:00"/>
    <n v="1268"/>
    <n v="0"/>
    <n v="0"/>
    <n v="13"/>
    <n v="0"/>
    <n v="0"/>
    <n v="0"/>
    <n v="8"/>
    <n v="2"/>
    <n v="0"/>
    <n v="0"/>
    <n v="0"/>
    <n v="0"/>
    <n v="0"/>
    <n v="0"/>
    <n v="0"/>
    <n v="0"/>
    <n v="0"/>
    <n v="0"/>
    <n v="3"/>
    <n v="2"/>
    <x v="1"/>
    <x v="67"/>
    <d v="1899-12-30T17:30:00"/>
    <d v="1899-12-30T18:00:00"/>
  </r>
  <r>
    <d v="2024-10-02T00:00:00"/>
    <n v="925"/>
    <s v="S2S Premium"/>
    <s v="P_Miragaya Maria"/>
    <x v="67"/>
    <d v="1899-12-30T16:30:00"/>
    <s v="-"/>
    <d v="1899-12-30T17:00:00"/>
    <n v="1284"/>
    <n v="32"/>
    <n v="0"/>
    <n v="16"/>
    <n v="0"/>
    <n v="0"/>
    <n v="0"/>
    <n v="53"/>
    <n v="48"/>
    <n v="0"/>
    <n v="0"/>
    <n v="0"/>
    <n v="0"/>
    <n v="0"/>
    <n v="0"/>
    <n v="0"/>
    <n v="0"/>
    <n v="0"/>
    <n v="0"/>
    <n v="3"/>
    <n v="2"/>
    <x v="1"/>
    <x v="67"/>
    <d v="1899-12-30T16:30:00"/>
    <d v="1899-12-30T17:00:00"/>
  </r>
  <r>
    <d v="2024-10-02T00:00:00"/>
    <n v="925"/>
    <s v="S2S Premium"/>
    <s v="P_Miragaya Maria"/>
    <x v="67"/>
    <d v="1899-12-30T19:30:00"/>
    <s v="-"/>
    <d v="1899-12-30T20:00:00"/>
    <n v="1322"/>
    <n v="73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67"/>
    <d v="1899-12-30T19:30:00"/>
    <d v="1899-12-30T20:00:00"/>
  </r>
  <r>
    <d v="2024-10-02T00:00:00"/>
    <n v="924"/>
    <s v="S2S No Premium"/>
    <s v="N2m_Bursese Maite"/>
    <x v="68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68"/>
    <d v="1899-12-30T14:30:00"/>
    <d v="1899-12-30T15:00:00"/>
  </r>
  <r>
    <d v="2024-10-02T00:00:00"/>
    <n v="924"/>
    <s v="S2S No Premium"/>
    <s v="N2m_Bursese Maite"/>
    <x v="68"/>
    <d v="1899-12-30T15:30:00"/>
    <s v="-"/>
    <d v="1899-12-30T16:00:00"/>
    <n v="14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68"/>
    <d v="1899-12-30T15:30:00"/>
    <d v="1899-12-30T16:00:00"/>
  </r>
  <r>
    <d v="2024-10-02T00:00:00"/>
    <n v="924"/>
    <s v="S2S No Premium"/>
    <s v="N2m_Bursese Maite"/>
    <x v="68"/>
    <d v="1899-12-30T15:00:00"/>
    <s v="-"/>
    <d v="1899-12-30T15:30:00"/>
    <n v="822"/>
    <n v="272"/>
    <n v="0"/>
    <n v="17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68"/>
    <d v="1899-12-30T15:00:00"/>
    <d v="1899-12-30T15:30:00"/>
  </r>
  <r>
    <d v="2024-10-02T00:00:00"/>
    <n v="925"/>
    <s v="S2S Premium"/>
    <s v="Pm_Garrigo Carolina"/>
    <x v="69"/>
    <d v="1899-12-30T14:00:00"/>
    <s v="-"/>
    <d v="1899-12-30T14:30:00"/>
    <n v="146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69"/>
    <d v="1899-12-30T14:00:00"/>
    <d v="1899-12-30T14:30:00"/>
  </r>
  <r>
    <d v="2024-10-02T00:00:00"/>
    <n v="925"/>
    <s v="S2S Premium"/>
    <s v="Pm_Garrigo Carolina"/>
    <x v="69"/>
    <d v="1899-12-30T15:30:00"/>
    <s v="-"/>
    <d v="1899-12-30T16:00:00"/>
    <n v="646"/>
    <n v="0"/>
    <n v="0"/>
    <n v="10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9"/>
    <d v="1899-12-30T15:30:00"/>
    <d v="1899-12-30T16:00:00"/>
  </r>
  <r>
    <d v="2024-10-02T00:00:00"/>
    <n v="925"/>
    <s v="S2S Premium"/>
    <s v="Pm_Garrigo Carolina"/>
    <x v="69"/>
    <d v="1899-12-30T14:30:00"/>
    <s v="-"/>
    <d v="1899-12-30T15:00:00"/>
    <n v="665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69"/>
    <d v="1899-12-30T14:30:00"/>
    <d v="1899-12-30T15:00:00"/>
  </r>
  <r>
    <d v="2024-10-02T00:00:00"/>
    <n v="925"/>
    <s v="S2S Premium"/>
    <s v="Pm_Garrigo Carolina"/>
    <x v="69"/>
    <d v="1899-12-30T15:00:00"/>
    <s v="-"/>
    <d v="1899-12-30T15:30:00"/>
    <n v="1043"/>
    <n v="0"/>
    <n v="0"/>
    <n v="13"/>
    <n v="0"/>
    <n v="0"/>
    <n v="0"/>
    <n v="4"/>
    <n v="0"/>
    <n v="0"/>
    <n v="0"/>
    <n v="0"/>
    <n v="0"/>
    <n v="0"/>
    <n v="0"/>
    <n v="0"/>
    <n v="0"/>
    <n v="0"/>
    <n v="0"/>
    <n v="2"/>
    <n v="2"/>
    <x v="1"/>
    <x v="69"/>
    <d v="1899-12-30T15:00:00"/>
    <d v="1899-12-30T15:30:00"/>
  </r>
  <r>
    <d v="2024-10-02T00:00:00"/>
    <n v="925"/>
    <s v="S2S Premium"/>
    <s v="Pm_Fuhr, Patricio"/>
    <x v="70"/>
    <d v="1899-12-30T18:00:00"/>
    <s v="-"/>
    <d v="1899-12-30T18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70"/>
    <d v="1899-12-30T18:00:00"/>
    <d v="1899-12-30T18:30:00"/>
  </r>
  <r>
    <d v="2024-10-02T00:00:00"/>
    <n v="925"/>
    <s v="S2S Premium"/>
    <s v="Pm_Fuhr, Patricio"/>
    <x v="70"/>
    <d v="1899-12-30T19:30:00"/>
    <s v="-"/>
    <d v="1899-12-30T20:00:00"/>
    <n v="134"/>
    <n v="0"/>
    <n v="0"/>
    <n v="12"/>
    <n v="0"/>
    <n v="0"/>
    <n v="0"/>
    <n v="3"/>
    <n v="3"/>
    <n v="0"/>
    <n v="0"/>
    <n v="0"/>
    <n v="0"/>
    <n v="0"/>
    <n v="0"/>
    <n v="0"/>
    <n v="0"/>
    <n v="0"/>
    <n v="0"/>
    <n v="3"/>
    <n v="3"/>
    <x v="1"/>
    <x v="70"/>
    <d v="1899-12-30T19:30:00"/>
    <d v="1899-12-30T20:00:00"/>
  </r>
  <r>
    <d v="2024-10-02T00:00:00"/>
    <n v="925"/>
    <s v="S2S Premium"/>
    <s v="Pm_Fuhr, Patricio"/>
    <x v="70"/>
    <d v="1899-12-30T18:30:00"/>
    <s v="-"/>
    <d v="1899-12-30T19:00:00"/>
    <n v="14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70"/>
    <d v="1899-12-30T18:30:00"/>
    <d v="1899-12-30T19:00:00"/>
  </r>
  <r>
    <d v="2024-10-02T00:00:00"/>
    <n v="925"/>
    <s v="S2S Premium"/>
    <s v="Pm_Fuhr, Patricio"/>
    <x v="70"/>
    <d v="1899-12-30T19:00:00"/>
    <s v="-"/>
    <d v="1899-12-30T19:30:00"/>
    <n v="148"/>
    <n v="0"/>
    <n v="0"/>
    <n v="9"/>
    <n v="0"/>
    <n v="0"/>
    <n v="0"/>
    <n v="2"/>
    <n v="2"/>
    <n v="0"/>
    <n v="0"/>
    <n v="0"/>
    <n v="0"/>
    <n v="0"/>
    <n v="0"/>
    <n v="0"/>
    <n v="0"/>
    <n v="0"/>
    <n v="0"/>
    <n v="2"/>
    <n v="2"/>
    <x v="1"/>
    <x v="70"/>
    <d v="1899-12-30T19:00:00"/>
    <d v="1899-12-30T19:30:00"/>
  </r>
  <r>
    <d v="2024-10-02T00:00:00"/>
    <n v="925"/>
    <s v="S2S Premium"/>
    <s v="Pm_Machado, Elías"/>
    <x v="71"/>
    <d v="1899-12-30T19:30:00"/>
    <s v="-"/>
    <d v="1899-12-30T20:00:00"/>
    <n v="400"/>
    <n v="60"/>
    <n v="0"/>
    <n v="14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71"/>
    <d v="1899-12-30T19:30:00"/>
    <d v="1899-12-30T20:00:00"/>
  </r>
  <r>
    <d v="2024-10-02T00:00:00"/>
    <n v="924"/>
    <s v="S2S No Premium"/>
    <s v="N2m_Almiron,Luciana"/>
    <x v="72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2"/>
    <d v="1899-12-30T14:30:00"/>
    <d v="1899-12-30T15:00:00"/>
  </r>
  <r>
    <d v="2024-10-02T00:00:00"/>
    <n v="924"/>
    <s v="S2S No Premium"/>
    <s v="N2m_Almiron,Luciana"/>
    <x v="72"/>
    <d v="1899-12-30T18:00:00"/>
    <s v="-"/>
    <d v="1899-12-30T18:30:00"/>
    <n v="95"/>
    <n v="41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72"/>
    <d v="1899-12-30T18:00:00"/>
    <d v="1899-12-30T18:30:00"/>
  </r>
  <r>
    <d v="2024-10-02T00:00:00"/>
    <n v="924"/>
    <s v="S2S No Premium"/>
    <s v="N2m_Almiron,Luciana"/>
    <x v="72"/>
    <d v="1899-12-30T17:00:00"/>
    <s v="-"/>
    <d v="1899-12-30T17:30:00"/>
    <n v="486"/>
    <n v="18"/>
    <n v="0"/>
    <n v="14"/>
    <n v="0"/>
    <n v="0"/>
    <n v="0"/>
    <n v="1111"/>
    <n v="0"/>
    <n v="0"/>
    <n v="0"/>
    <n v="0"/>
    <n v="0"/>
    <n v="0"/>
    <n v="0"/>
    <n v="0"/>
    <n v="0"/>
    <n v="0"/>
    <n v="0"/>
    <n v="4"/>
    <n v="4"/>
    <x v="0"/>
    <x v="72"/>
    <d v="1899-12-30T17:00:00"/>
    <d v="1899-12-30T17:30:00"/>
  </r>
  <r>
    <d v="2024-10-02T00:00:00"/>
    <n v="924"/>
    <s v="S2S No Premium"/>
    <s v="N2m_Almiron,Luciana"/>
    <x v="72"/>
    <d v="1899-12-30T19:30:00"/>
    <s v="-"/>
    <d v="1899-12-30T20:00:00"/>
    <n v="593"/>
    <n v="38"/>
    <n v="0"/>
    <n v="8"/>
    <n v="0"/>
    <n v="0"/>
    <n v="0"/>
    <n v="66"/>
    <n v="0"/>
    <n v="0"/>
    <n v="0"/>
    <n v="0"/>
    <n v="0"/>
    <n v="0"/>
    <n v="0"/>
    <n v="0"/>
    <n v="0"/>
    <n v="0"/>
    <n v="0"/>
    <n v="2"/>
    <n v="2"/>
    <x v="0"/>
    <x v="72"/>
    <d v="1899-12-30T19:30:00"/>
    <d v="1899-12-30T20:00:00"/>
  </r>
  <r>
    <d v="2024-10-02T00:00:00"/>
    <n v="924"/>
    <s v="S2S No Premium"/>
    <s v="N2m_Almiron,Luciana"/>
    <x v="72"/>
    <d v="1899-12-30T15:00:00"/>
    <s v="-"/>
    <d v="1899-12-30T15:30:00"/>
    <n v="652"/>
    <n v="100"/>
    <n v="0"/>
    <n v="18"/>
    <n v="0"/>
    <n v="0"/>
    <n v="0"/>
    <n v="122"/>
    <n v="7"/>
    <n v="0"/>
    <n v="0"/>
    <n v="0"/>
    <n v="0"/>
    <n v="0"/>
    <n v="0"/>
    <n v="0"/>
    <n v="0"/>
    <n v="0"/>
    <n v="0"/>
    <n v="3"/>
    <n v="2"/>
    <x v="0"/>
    <x v="72"/>
    <d v="1899-12-30T15:00:00"/>
    <d v="1899-12-30T15:30:00"/>
  </r>
  <r>
    <d v="2024-10-02T00:00:00"/>
    <n v="924"/>
    <s v="S2S No Premium"/>
    <s v="N2m_Almiron,Luciana"/>
    <x v="72"/>
    <d v="1899-12-30T15:30:00"/>
    <s v="-"/>
    <d v="1899-12-30T16:00:00"/>
    <n v="806"/>
    <n v="0"/>
    <n v="0"/>
    <n v="12"/>
    <n v="0"/>
    <n v="0"/>
    <n v="0"/>
    <n v="230"/>
    <n v="64"/>
    <n v="0"/>
    <n v="0"/>
    <n v="0"/>
    <n v="0"/>
    <n v="0"/>
    <n v="0"/>
    <n v="0"/>
    <n v="0"/>
    <n v="0"/>
    <n v="0"/>
    <n v="3"/>
    <n v="3"/>
    <x v="0"/>
    <x v="72"/>
    <d v="1899-12-30T15:30:00"/>
    <d v="1899-12-30T16:00:00"/>
  </r>
  <r>
    <d v="2024-10-02T00:00:00"/>
    <n v="924"/>
    <s v="S2S No Premium"/>
    <s v="N2m_Almiron,Luciana"/>
    <x v="72"/>
    <d v="1899-12-30T16:30:00"/>
    <s v="-"/>
    <d v="1899-12-30T17:00:00"/>
    <n v="838"/>
    <n v="6"/>
    <n v="0"/>
    <n v="16"/>
    <n v="0"/>
    <n v="0"/>
    <n v="0"/>
    <n v="213"/>
    <n v="0"/>
    <n v="0"/>
    <n v="0"/>
    <n v="0"/>
    <n v="0"/>
    <n v="0"/>
    <n v="0"/>
    <n v="0"/>
    <n v="0"/>
    <n v="0"/>
    <n v="0"/>
    <n v="4"/>
    <n v="4"/>
    <x v="0"/>
    <x v="72"/>
    <d v="1899-12-30T16:30:00"/>
    <d v="1899-12-30T17:00:00"/>
  </r>
  <r>
    <d v="2024-10-02T00:00:00"/>
    <n v="924"/>
    <s v="S2S No Premium"/>
    <s v="N2m_Almiron,Luciana"/>
    <x v="72"/>
    <d v="1899-12-30T18:30:00"/>
    <s v="-"/>
    <d v="1899-12-30T19:00:00"/>
    <n v="864"/>
    <n v="70"/>
    <n v="0"/>
    <n v="12"/>
    <n v="0"/>
    <n v="0"/>
    <n v="0"/>
    <n v="201"/>
    <n v="34"/>
    <n v="0"/>
    <n v="0"/>
    <n v="0"/>
    <n v="0"/>
    <n v="0"/>
    <n v="0"/>
    <n v="0"/>
    <n v="0"/>
    <n v="0"/>
    <n v="0"/>
    <n v="2"/>
    <n v="2"/>
    <x v="0"/>
    <x v="72"/>
    <d v="1899-12-30T18:30:00"/>
    <d v="1899-12-30T19:00:00"/>
  </r>
  <r>
    <d v="2024-10-02T00:00:00"/>
    <n v="924"/>
    <s v="S2S No Premium"/>
    <s v="N2m_Almiron,Luciana"/>
    <x v="72"/>
    <d v="1899-12-30T19:00:00"/>
    <s v="-"/>
    <d v="1899-12-30T19:30:00"/>
    <n v="884"/>
    <n v="50"/>
    <n v="0"/>
    <n v="11"/>
    <n v="0"/>
    <n v="0"/>
    <n v="0"/>
    <n v="324"/>
    <n v="0"/>
    <n v="0"/>
    <n v="0"/>
    <n v="0"/>
    <n v="0"/>
    <n v="0"/>
    <n v="0"/>
    <n v="0"/>
    <n v="0"/>
    <n v="0"/>
    <n v="0"/>
    <n v="3"/>
    <n v="2"/>
    <x v="0"/>
    <x v="72"/>
    <d v="1899-12-30T19:00:00"/>
    <d v="1899-12-30T19:30:00"/>
  </r>
  <r>
    <d v="2024-10-02T00:00:00"/>
    <n v="924"/>
    <s v="S2S No Premium"/>
    <s v="N2m_Almiron,Luciana"/>
    <x v="72"/>
    <d v="1899-12-30T17:30:00"/>
    <s v="-"/>
    <d v="1899-12-30T18:00:00"/>
    <n v="918"/>
    <n v="93"/>
    <n v="0"/>
    <n v="16"/>
    <n v="0"/>
    <n v="0"/>
    <n v="0"/>
    <n v="544"/>
    <n v="0"/>
    <n v="0"/>
    <n v="0"/>
    <n v="0"/>
    <n v="0"/>
    <n v="0"/>
    <n v="0"/>
    <n v="0"/>
    <n v="0"/>
    <n v="0"/>
    <n v="0"/>
    <n v="4"/>
    <n v="3"/>
    <x v="0"/>
    <x v="72"/>
    <d v="1899-12-30T17:30:00"/>
    <d v="1899-12-30T18:00:00"/>
  </r>
  <r>
    <d v="2024-10-02T00:00:00"/>
    <n v="924"/>
    <s v="S2S No Premium"/>
    <s v="N2m_Almiron,Luciana"/>
    <x v="72"/>
    <d v="1899-12-30T16:00:00"/>
    <s v="-"/>
    <d v="1899-12-30T16:30:00"/>
    <n v="1064"/>
    <n v="127"/>
    <n v="0"/>
    <n v="8"/>
    <n v="0"/>
    <n v="0"/>
    <n v="0"/>
    <n v="724"/>
    <n v="0"/>
    <n v="0"/>
    <n v="0"/>
    <n v="0"/>
    <n v="0"/>
    <n v="0"/>
    <n v="0"/>
    <n v="0"/>
    <n v="0"/>
    <n v="0"/>
    <n v="0"/>
    <n v="2"/>
    <n v="2"/>
    <x v="0"/>
    <x v="72"/>
    <d v="1899-12-30T16:00:00"/>
    <d v="1899-12-30T16:30:00"/>
  </r>
  <r>
    <d v="2024-10-02T00:00:00"/>
    <n v="924"/>
    <s v="S2S No Premium"/>
    <s v="N2m_Vaca, Andrea"/>
    <x v="73"/>
    <d v="1899-12-30T14:30:00"/>
    <s v="-"/>
    <d v="1899-12-30T15:00:00"/>
    <n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1"/>
    <x v="0"/>
    <x v="73"/>
    <d v="1899-12-30T14:30:00"/>
    <d v="1899-12-30T15:00:00"/>
  </r>
  <r>
    <d v="2024-10-02T00:00:00"/>
    <n v="924"/>
    <s v="S2S No Premium"/>
    <s v="N2m_Vaca, Andrea"/>
    <x v="73"/>
    <d v="1899-12-30T16:00:00"/>
    <s v="-"/>
    <d v="1899-12-30T16:30:00"/>
    <n v="85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1"/>
    <n v="0"/>
    <x v="0"/>
    <x v="73"/>
    <d v="1899-12-30T16:00:00"/>
    <d v="1899-12-30T16:30:00"/>
  </r>
  <r>
    <d v="2024-10-02T00:00:00"/>
    <n v="924"/>
    <s v="S2S No Premium"/>
    <s v="N2m_Vaca, Andrea"/>
    <x v="73"/>
    <d v="1899-12-30T15:00:00"/>
    <s v="-"/>
    <d v="1899-12-30T15:30:00"/>
    <n v="679"/>
    <n v="0"/>
    <n v="0"/>
    <n v="14"/>
    <n v="0"/>
    <n v="0"/>
    <n v="0"/>
    <n v="18"/>
    <n v="0"/>
    <n v="0"/>
    <n v="0"/>
    <n v="0"/>
    <n v="0"/>
    <n v="0"/>
    <n v="0"/>
    <n v="0"/>
    <n v="0"/>
    <n v="0"/>
    <n v="0"/>
    <n v="2"/>
    <n v="2"/>
    <x v="0"/>
    <x v="73"/>
    <d v="1899-12-30T15:00:00"/>
    <d v="1899-12-30T15:30:00"/>
  </r>
  <r>
    <d v="2024-10-02T00:00:00"/>
    <n v="924"/>
    <s v="S2S No Premium"/>
    <s v="N2m_Vaca, Andrea"/>
    <x v="73"/>
    <d v="1899-12-30T14:00:00"/>
    <s v="-"/>
    <d v="1899-12-30T14:30:00"/>
    <n v="922"/>
    <n v="265"/>
    <n v="0"/>
    <n v="18"/>
    <n v="0"/>
    <n v="0"/>
    <n v="0"/>
    <n v="120"/>
    <n v="81"/>
    <n v="0"/>
    <n v="0"/>
    <n v="0"/>
    <n v="0"/>
    <n v="0"/>
    <n v="0"/>
    <n v="0"/>
    <n v="0"/>
    <n v="0"/>
    <n v="0"/>
    <n v="3"/>
    <n v="1"/>
    <x v="0"/>
    <x v="73"/>
    <d v="1899-12-30T14:00:00"/>
    <d v="1899-12-30T14:30:00"/>
  </r>
  <r>
    <d v="2024-10-02T00:00:00"/>
    <n v="924"/>
    <s v="S2S No Premium"/>
    <s v="N2m_Vaca, Andrea"/>
    <x v="73"/>
    <d v="1899-12-30T15:30:00"/>
    <s v="-"/>
    <d v="1899-12-30T16:00:00"/>
    <n v="1059"/>
    <n v="0"/>
    <n v="0"/>
    <n v="21"/>
    <n v="0"/>
    <n v="0"/>
    <n v="0"/>
    <n v="143"/>
    <n v="134"/>
    <n v="0"/>
    <n v="0"/>
    <n v="0"/>
    <n v="0"/>
    <n v="0"/>
    <n v="0"/>
    <n v="0"/>
    <n v="0"/>
    <n v="0"/>
    <n v="0"/>
    <n v="5"/>
    <n v="5"/>
    <x v="0"/>
    <x v="73"/>
    <d v="1899-12-30T15:30:00"/>
    <d v="1899-12-30T16:00:00"/>
  </r>
  <r>
    <d v="2024-10-02T00:00:00"/>
    <n v="924"/>
    <s v="S2S No Premium"/>
    <s v="N2m_Quisbert, Andrew"/>
    <x v="74"/>
    <d v="1899-12-30T14:00:00"/>
    <s v="-"/>
    <d v="1899-12-30T14:30:00"/>
    <n v="528"/>
    <n v="0"/>
    <n v="0"/>
    <n v="18"/>
    <n v="0"/>
    <n v="0"/>
    <n v="0"/>
    <n v="6"/>
    <n v="0"/>
    <n v="0"/>
    <n v="0"/>
    <n v="0"/>
    <n v="0"/>
    <n v="0"/>
    <n v="0"/>
    <n v="0"/>
    <n v="0"/>
    <n v="0"/>
    <n v="0"/>
    <n v="4"/>
    <n v="1"/>
    <x v="0"/>
    <x v="74"/>
    <d v="1899-12-30T14:00:00"/>
    <d v="1899-12-30T14:30:00"/>
  </r>
  <r>
    <d v="2024-10-02T00:00:00"/>
    <n v="924"/>
    <s v="S2S No Premium"/>
    <s v="N2m_Quisbert, Andrew"/>
    <x v="74"/>
    <d v="1899-12-30T14:30:00"/>
    <s v="-"/>
    <d v="1899-12-30T15:00:00"/>
    <n v="1255"/>
    <n v="40"/>
    <n v="0"/>
    <n v="5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74"/>
    <d v="1899-12-30T14:30:00"/>
    <d v="1899-12-30T15:00:00"/>
  </r>
  <r>
    <d v="2024-10-02T00:00:00"/>
    <n v="924"/>
    <s v="S2S No Premium"/>
    <s v="N2m_Gutierrez, Brisa"/>
    <x v="75"/>
    <d v="1899-12-30T14:00:00"/>
    <s v="-"/>
    <d v="1899-12-30T14:30:00"/>
    <n v="822"/>
    <n v="58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75"/>
    <d v="1899-12-30T14:00:00"/>
    <d v="1899-12-30T14:30:00"/>
  </r>
  <r>
    <d v="2024-10-02T00:00:00"/>
    <n v="924"/>
    <s v="S2S No Premium"/>
    <s v="N2m_Gutierrez, Brisa"/>
    <x v="75"/>
    <d v="1899-12-30T14:30:00"/>
    <s v="-"/>
    <d v="1899-12-30T15:00:00"/>
    <n v="889"/>
    <n v="24"/>
    <n v="0"/>
    <n v="10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75"/>
    <d v="1899-12-30T14:30:00"/>
    <d v="1899-12-30T15:00:00"/>
  </r>
  <r>
    <d v="2024-10-02T00:00:00"/>
    <n v="924"/>
    <s v="S2S No Premium"/>
    <s v="N2m_Giavino, Alan"/>
    <x v="76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6"/>
    <d v="1899-12-30T14:00:00"/>
    <d v="1899-12-30T14:30:00"/>
  </r>
  <r>
    <d v="2024-10-02T00:00:00"/>
    <n v="924"/>
    <s v="S2S No Premium"/>
    <s v="N2m_Giavino, Alan"/>
    <x v="76"/>
    <d v="1899-12-30T14:30:00"/>
    <s v="-"/>
    <d v="1899-12-30T15:00:00"/>
    <n v="897"/>
    <n v="132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76"/>
    <d v="1899-12-30T14:30:00"/>
    <d v="1899-12-30T15:00:00"/>
  </r>
  <r>
    <d v="2024-10-02T00:00:00"/>
    <n v="924"/>
    <s v="S2S No Premium"/>
    <s v="N2m_Sanso, Naomi"/>
    <x v="77"/>
    <d v="1899-12-30T17:30:00"/>
    <s v="-"/>
    <d v="1899-12-30T18:00:00"/>
    <n v="8"/>
    <n v="0"/>
    <n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77"/>
    <d v="1899-12-30T17:30:00"/>
    <d v="1899-12-30T18:00:00"/>
  </r>
  <r>
    <d v="2024-10-02T00:00:00"/>
    <n v="924"/>
    <s v="S2S No Premium"/>
    <s v="N2m_Sanso, Naomi"/>
    <x v="77"/>
    <d v="1899-12-30T19:30:00"/>
    <s v="-"/>
    <d v="1899-12-30T20:00:00"/>
    <n v="661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77"/>
    <d v="1899-12-30T19:30:00"/>
    <d v="1899-12-30T20:00:00"/>
  </r>
  <r>
    <d v="2024-10-02T00:00:00"/>
    <n v="924"/>
    <s v="S2S No Premium"/>
    <s v="N2m_Sanso, Naomi"/>
    <x v="77"/>
    <d v="1899-12-30T18:30:00"/>
    <s v="-"/>
    <d v="1899-12-30T19:00:00"/>
    <n v="1095"/>
    <n v="0"/>
    <n v="0"/>
    <n v="8"/>
    <n v="0"/>
    <n v="0"/>
    <n v="0"/>
    <n v="18"/>
    <n v="0"/>
    <n v="0"/>
    <n v="0"/>
    <n v="0"/>
    <n v="0"/>
    <n v="0"/>
    <n v="0"/>
    <n v="0"/>
    <n v="0"/>
    <n v="0"/>
    <n v="0"/>
    <n v="2"/>
    <n v="2"/>
    <x v="0"/>
    <x v="77"/>
    <d v="1899-12-30T18:30:00"/>
    <d v="1899-12-30T19:00:00"/>
  </r>
  <r>
    <d v="2024-10-02T00:00:00"/>
    <n v="924"/>
    <s v="S2S No Premium"/>
    <s v="N2m_Sanso, Naomi"/>
    <x v="77"/>
    <d v="1899-12-30T19:00:00"/>
    <s v="-"/>
    <d v="1899-12-30T19:30:00"/>
    <n v="1211"/>
    <n v="18"/>
    <n v="0"/>
    <n v="8"/>
    <n v="0"/>
    <n v="0"/>
    <n v="0"/>
    <n v="49"/>
    <n v="0"/>
    <n v="0"/>
    <n v="0"/>
    <n v="0"/>
    <n v="0"/>
    <n v="0"/>
    <n v="0"/>
    <n v="0"/>
    <n v="0"/>
    <n v="0"/>
    <n v="0"/>
    <n v="3"/>
    <n v="2"/>
    <x v="0"/>
    <x v="77"/>
    <d v="1899-12-30T19:00:00"/>
    <d v="1899-12-30T19:30:00"/>
  </r>
  <r>
    <d v="2024-10-02T00:00:00"/>
    <n v="924"/>
    <s v="S2S No Premium"/>
    <s v="N2m_Sanso, Naomi"/>
    <x v="77"/>
    <d v="1899-12-30T18:00:00"/>
    <s v="-"/>
    <d v="1899-12-30T18:30:00"/>
    <n v="1575"/>
    <n v="0"/>
    <n v="0"/>
    <n v="21"/>
    <n v="0"/>
    <n v="0"/>
    <n v="0"/>
    <n v="55"/>
    <n v="0"/>
    <n v="0"/>
    <n v="0"/>
    <n v="0"/>
    <n v="0"/>
    <n v="0"/>
    <n v="0"/>
    <n v="0"/>
    <n v="0"/>
    <n v="0"/>
    <n v="0"/>
    <n v="5"/>
    <n v="4"/>
    <x v="0"/>
    <x v="77"/>
    <d v="1899-12-30T18:00:00"/>
    <d v="1899-12-30T18:30:00"/>
  </r>
  <r>
    <d v="2024-10-02T00:00:00"/>
    <n v="925"/>
    <s v="S2S Premium"/>
    <s v="Pm_Sánchez, Adrian"/>
    <x v="78"/>
    <d v="1899-12-30T14:00:00"/>
    <s v="-"/>
    <d v="1899-12-30T14:30:00"/>
    <n v="24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78"/>
    <d v="1899-12-30T14:00:00"/>
    <d v="1899-12-30T14:30:00"/>
  </r>
  <r>
    <d v="2024-10-02T00:00:00"/>
    <n v="925"/>
    <s v="S2S Premium"/>
    <s v="Pm_Sánchez, Adrian"/>
    <x v="78"/>
    <d v="1899-12-30T14:30:00"/>
    <s v="-"/>
    <d v="1899-12-30T15:00:00"/>
    <n v="855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78"/>
    <d v="1899-12-30T14:30:00"/>
    <d v="1899-12-30T15:00:00"/>
  </r>
  <r>
    <d v="2024-10-02T00:00:00"/>
    <n v="924"/>
    <s v="S2S No Premium"/>
    <s v="N2m_Toffoletti Evely"/>
    <x v="79"/>
    <d v="1899-12-30T14:30:00"/>
    <s v="-"/>
    <d v="1899-12-30T15:00:00"/>
    <n v="733"/>
    <n v="0"/>
    <n v="0"/>
    <n v="12"/>
    <n v="0"/>
    <n v="0"/>
    <n v="0"/>
    <n v="161"/>
    <n v="0"/>
    <n v="0"/>
    <n v="0"/>
    <n v="0"/>
    <n v="0"/>
    <n v="0"/>
    <n v="0"/>
    <n v="0"/>
    <n v="0"/>
    <n v="0"/>
    <n v="0"/>
    <n v="3"/>
    <n v="3"/>
    <x v="0"/>
    <x v="79"/>
    <d v="1899-12-30T14:30:00"/>
    <d v="1899-12-30T15:00:00"/>
  </r>
  <r>
    <d v="2024-10-02T00:00:00"/>
    <n v="924"/>
    <s v="S2S No Premium"/>
    <s v="N2m_Toffoletti Evely"/>
    <x v="79"/>
    <d v="1899-12-30T14:00:00"/>
    <s v="-"/>
    <d v="1899-12-30T14:30:00"/>
    <n v="1063"/>
    <n v="0"/>
    <n v="0"/>
    <n v="12"/>
    <n v="0"/>
    <n v="0"/>
    <n v="0"/>
    <n v="18"/>
    <n v="0"/>
    <n v="0"/>
    <n v="0"/>
    <n v="0"/>
    <n v="0"/>
    <n v="0"/>
    <n v="0"/>
    <n v="0"/>
    <n v="0"/>
    <n v="0"/>
    <n v="0"/>
    <n v="3"/>
    <n v="2"/>
    <x v="0"/>
    <x v="79"/>
    <d v="1899-12-30T14:00:00"/>
    <d v="1899-12-30T14:30:00"/>
  </r>
  <r>
    <d v="2024-10-02T00:00:00"/>
    <n v="924"/>
    <s v="S2S No Premium"/>
    <s v="N2m_Barrojo, Fede"/>
    <x v="80"/>
    <d v="1899-12-30T19:30:00"/>
    <s v="-"/>
    <d v="1899-12-30T20:00:00"/>
    <n v="757"/>
    <n v="0"/>
    <n v="0"/>
    <n v="16"/>
    <n v="0"/>
    <n v="0"/>
    <n v="0"/>
    <n v="88"/>
    <n v="81"/>
    <n v="0"/>
    <n v="0"/>
    <n v="0"/>
    <n v="0"/>
    <n v="0"/>
    <n v="0"/>
    <n v="0"/>
    <n v="0"/>
    <n v="0"/>
    <n v="0"/>
    <n v="3"/>
    <n v="3"/>
    <x v="0"/>
    <x v="80"/>
    <d v="1899-12-30T19:30:00"/>
    <d v="1899-12-30T20:00:00"/>
  </r>
  <r>
    <d v="2024-10-02T00:00:00"/>
    <n v="924"/>
    <s v="S2S No Premium"/>
    <s v="N2m_Barrojo, Fede"/>
    <x v="80"/>
    <d v="1899-12-30T19:00:00"/>
    <s v="-"/>
    <d v="1899-12-30T19:30:00"/>
    <n v="809"/>
    <n v="0"/>
    <n v="0"/>
    <n v="7"/>
    <n v="0"/>
    <n v="0"/>
    <n v="0"/>
    <n v="149"/>
    <n v="0"/>
    <n v="0"/>
    <n v="0"/>
    <n v="0"/>
    <n v="0"/>
    <n v="0"/>
    <n v="0"/>
    <n v="0"/>
    <n v="0"/>
    <n v="0"/>
    <n v="0"/>
    <n v="2"/>
    <n v="2"/>
    <x v="0"/>
    <x v="80"/>
    <d v="1899-12-30T19:00:00"/>
    <d v="1899-12-30T19:30:00"/>
  </r>
  <r>
    <d v="2024-10-02T00:00:00"/>
    <n v="924"/>
    <s v="S2S No Premium"/>
    <s v="N2m_Barrojo, Fede"/>
    <x v="80"/>
    <d v="1899-12-30T18:30:00"/>
    <s v="-"/>
    <d v="1899-12-30T19:00:00"/>
    <n v="919"/>
    <n v="30"/>
    <n v="0"/>
    <n v="21"/>
    <n v="0"/>
    <n v="0"/>
    <n v="0"/>
    <n v="3"/>
    <n v="0"/>
    <n v="0"/>
    <n v="0"/>
    <n v="0"/>
    <n v="0"/>
    <n v="0"/>
    <n v="0"/>
    <n v="0"/>
    <n v="0"/>
    <n v="0"/>
    <n v="0"/>
    <n v="4"/>
    <n v="2"/>
    <x v="0"/>
    <x v="80"/>
    <d v="1899-12-30T18:30:00"/>
    <d v="1899-12-30T19:00:00"/>
  </r>
  <r>
    <d v="2024-10-02T00:00:00"/>
    <n v="924"/>
    <s v="S2S No Premium"/>
    <s v="N2m_Barrojo, Fede"/>
    <x v="80"/>
    <d v="1899-12-30T18:00:00"/>
    <s v="-"/>
    <d v="1899-12-30T18:30:00"/>
    <n v="1277"/>
    <n v="38"/>
    <n v="0"/>
    <n v="34"/>
    <n v="0"/>
    <n v="0"/>
    <n v="0"/>
    <n v="47"/>
    <n v="0"/>
    <n v="0"/>
    <n v="0"/>
    <n v="0"/>
    <n v="0"/>
    <n v="0"/>
    <n v="0"/>
    <n v="0"/>
    <n v="0"/>
    <n v="0"/>
    <n v="0"/>
    <n v="8"/>
    <n v="5"/>
    <x v="0"/>
    <x v="80"/>
    <d v="1899-12-30T18:00:00"/>
    <d v="1899-12-30T18:30:00"/>
  </r>
  <r>
    <d v="2024-10-02T00:00:00"/>
    <n v="925"/>
    <s v="S2S Premium"/>
    <s v="Pm_Cervantes, Lou"/>
    <x v="81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1"/>
    <d v="1899-12-30T19:30:00"/>
    <d v="1899-12-30T20:00:00"/>
  </r>
  <r>
    <d v="2024-10-02T00:00:00"/>
    <n v="925"/>
    <s v="S2S Premium"/>
    <s v="Pm_Cervantes, Lou"/>
    <x v="81"/>
    <d v="1899-12-30T19:00:00"/>
    <s v="-"/>
    <d v="1899-12-30T19:30:00"/>
    <n v="447"/>
    <n v="39"/>
    <n v="0"/>
    <n v="4"/>
    <n v="0"/>
    <n v="0"/>
    <n v="0"/>
    <n v="495"/>
    <n v="0"/>
    <n v="0"/>
    <n v="0"/>
    <n v="0"/>
    <n v="0"/>
    <n v="0"/>
    <n v="0"/>
    <n v="0"/>
    <n v="0"/>
    <n v="0"/>
    <n v="0"/>
    <n v="2"/>
    <n v="2"/>
    <x v="1"/>
    <x v="81"/>
    <d v="1899-12-30T19:00:00"/>
    <d v="1899-12-30T19:30:00"/>
  </r>
  <r>
    <d v="2024-10-02T00:00:00"/>
    <n v="925"/>
    <s v="S2S Premium"/>
    <s v="Pm_Cervantes, Lou"/>
    <x v="81"/>
    <d v="1899-12-30T15:30:00"/>
    <s v="-"/>
    <d v="1899-12-30T16:00:00"/>
    <n v="569"/>
    <n v="0"/>
    <n v="0"/>
    <n v="12"/>
    <n v="0"/>
    <n v="0"/>
    <n v="0"/>
    <n v="45"/>
    <n v="0"/>
    <n v="0"/>
    <n v="0"/>
    <n v="0"/>
    <n v="0"/>
    <n v="0"/>
    <n v="0"/>
    <n v="0"/>
    <n v="0"/>
    <n v="0"/>
    <n v="0"/>
    <n v="4"/>
    <n v="2"/>
    <x v="1"/>
    <x v="81"/>
    <d v="1899-12-30T15:30:00"/>
    <d v="1899-12-30T16:00:00"/>
  </r>
  <r>
    <d v="2024-10-02T00:00:00"/>
    <n v="925"/>
    <s v="S2S Premium"/>
    <s v="Pm_Cervantes, Lou"/>
    <x v="81"/>
    <d v="1899-12-30T14:30:00"/>
    <s v="-"/>
    <d v="1899-12-30T15:00:00"/>
    <n v="584"/>
    <n v="0"/>
    <n v="0"/>
    <n v="13"/>
    <n v="0"/>
    <n v="0"/>
    <n v="0"/>
    <n v="55"/>
    <n v="0"/>
    <n v="0"/>
    <n v="0"/>
    <n v="0"/>
    <n v="0"/>
    <n v="0"/>
    <n v="0"/>
    <n v="0"/>
    <n v="0"/>
    <n v="0"/>
    <n v="0"/>
    <n v="3"/>
    <n v="0"/>
    <x v="1"/>
    <x v="81"/>
    <d v="1899-12-30T14:30:00"/>
    <d v="1899-12-30T15:00:00"/>
  </r>
  <r>
    <d v="2024-10-02T00:00:00"/>
    <n v="925"/>
    <s v="S2S Premium"/>
    <s v="Pm_Cervantes, Lou"/>
    <x v="81"/>
    <d v="1899-12-30T16:00:00"/>
    <s v="-"/>
    <d v="1899-12-30T16:30:00"/>
    <n v="597"/>
    <n v="0"/>
    <n v="0"/>
    <n v="19"/>
    <n v="0"/>
    <n v="0"/>
    <n v="0"/>
    <n v="2"/>
    <n v="0"/>
    <n v="0"/>
    <n v="0"/>
    <n v="0"/>
    <n v="0"/>
    <n v="0"/>
    <n v="0"/>
    <n v="0"/>
    <n v="0"/>
    <n v="0"/>
    <n v="0"/>
    <n v="4"/>
    <n v="2"/>
    <x v="1"/>
    <x v="81"/>
    <d v="1899-12-30T16:00:00"/>
    <d v="1899-12-30T16:30:00"/>
  </r>
  <r>
    <d v="2024-10-02T00:00:00"/>
    <n v="925"/>
    <s v="S2S Premium"/>
    <s v="Pm_Cervantes, Lou"/>
    <x v="81"/>
    <d v="1899-12-30T18:00:00"/>
    <s v="-"/>
    <d v="1899-12-30T18:30:00"/>
    <n v="605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81"/>
    <d v="1899-12-30T18:00:00"/>
    <d v="1899-12-30T18:30:00"/>
  </r>
  <r>
    <d v="2024-10-02T00:00:00"/>
    <n v="925"/>
    <s v="S2S Premium"/>
    <s v="Pm_Cervantes, Lou"/>
    <x v="81"/>
    <d v="1899-12-30T14:00:00"/>
    <s v="-"/>
    <d v="1899-12-30T14:30:00"/>
    <n v="714"/>
    <n v="0"/>
    <n v="0"/>
    <n v="26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81"/>
    <d v="1899-12-30T14:00:00"/>
    <d v="1899-12-30T14:30:00"/>
  </r>
  <r>
    <d v="2024-10-02T00:00:00"/>
    <n v="925"/>
    <s v="S2S Premium"/>
    <s v="Pm_Cervantes, Lou"/>
    <x v="81"/>
    <d v="1899-12-30T17:00:00"/>
    <s v="-"/>
    <d v="1899-12-30T17:30:00"/>
    <n v="852"/>
    <n v="0"/>
    <n v="0"/>
    <n v="16"/>
    <n v="0"/>
    <n v="0"/>
    <n v="0"/>
    <n v="230"/>
    <n v="0"/>
    <n v="0"/>
    <n v="0"/>
    <n v="0"/>
    <n v="0"/>
    <n v="0"/>
    <n v="0"/>
    <n v="0"/>
    <n v="0"/>
    <n v="0"/>
    <n v="0"/>
    <n v="4"/>
    <n v="3"/>
    <x v="1"/>
    <x v="81"/>
    <d v="1899-12-30T17:00:00"/>
    <d v="1899-12-30T17:30:00"/>
  </r>
  <r>
    <d v="2024-10-02T00:00:00"/>
    <n v="925"/>
    <s v="S2S Premium"/>
    <s v="Pm_Cervantes, Lou"/>
    <x v="81"/>
    <d v="1899-12-30T18:30:00"/>
    <s v="-"/>
    <d v="1899-12-30T19:00:00"/>
    <n v="915"/>
    <n v="0"/>
    <n v="0"/>
    <n v="15"/>
    <n v="0"/>
    <n v="0"/>
    <n v="0"/>
    <n v="2"/>
    <n v="0"/>
    <n v="0"/>
    <n v="0"/>
    <n v="0"/>
    <n v="0"/>
    <n v="0"/>
    <n v="0"/>
    <n v="0"/>
    <n v="0"/>
    <n v="0"/>
    <n v="0"/>
    <n v="4"/>
    <n v="3"/>
    <x v="1"/>
    <x v="81"/>
    <d v="1899-12-30T18:30:00"/>
    <d v="1899-12-30T19:00:00"/>
  </r>
  <r>
    <d v="2024-10-02T00:00:00"/>
    <n v="925"/>
    <s v="S2S Premium"/>
    <s v="Pm_Cervantes, Lou"/>
    <x v="81"/>
    <d v="1899-12-30T15:00:00"/>
    <s v="-"/>
    <d v="1899-12-30T15:30:00"/>
    <n v="922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4"/>
    <n v="3"/>
    <x v="1"/>
    <x v="81"/>
    <d v="1899-12-30T15:00:00"/>
    <d v="1899-12-30T15:30:00"/>
  </r>
  <r>
    <d v="2024-10-02T00:00:00"/>
    <n v="925"/>
    <s v="S2S Premium"/>
    <s v="Pm_Cervantes, Lou"/>
    <x v="81"/>
    <d v="1899-12-30T16:30:00"/>
    <s v="-"/>
    <d v="1899-12-30T17:00:00"/>
    <n v="963"/>
    <n v="0"/>
    <n v="0"/>
    <n v="28"/>
    <n v="0"/>
    <n v="0"/>
    <n v="0"/>
    <n v="162"/>
    <n v="0"/>
    <n v="0"/>
    <n v="0"/>
    <n v="0"/>
    <n v="0"/>
    <n v="0"/>
    <n v="0"/>
    <n v="0"/>
    <n v="0"/>
    <n v="0"/>
    <n v="0"/>
    <n v="7"/>
    <n v="5"/>
    <x v="1"/>
    <x v="81"/>
    <d v="1899-12-30T16:30:00"/>
    <d v="1899-12-30T17:00:00"/>
  </r>
  <r>
    <d v="2024-10-02T00:00:00"/>
    <n v="925"/>
    <s v="S2S Premium"/>
    <s v="Pm_Cervantes, Lou"/>
    <x v="81"/>
    <d v="1899-12-30T17:30:00"/>
    <s v="-"/>
    <d v="1899-12-30T18:00:00"/>
    <n v="1128"/>
    <n v="0"/>
    <n v="0"/>
    <n v="15"/>
    <n v="0"/>
    <n v="0"/>
    <n v="0"/>
    <n v="55"/>
    <n v="48"/>
    <n v="0"/>
    <n v="0"/>
    <n v="0"/>
    <n v="0"/>
    <n v="0"/>
    <n v="0"/>
    <n v="0"/>
    <n v="0"/>
    <n v="0"/>
    <n v="0"/>
    <n v="5"/>
    <n v="5"/>
    <x v="1"/>
    <x v="81"/>
    <d v="1899-12-30T17:30:00"/>
    <d v="1899-12-30T18:00:00"/>
  </r>
  <r>
    <d v="2024-10-02T00:00:00"/>
    <n v="924"/>
    <s v="S2S No Premium"/>
    <s v="N2m_Sotelo, Silva"/>
    <x v="82"/>
    <d v="1899-12-30T19:00:00"/>
    <s v="-"/>
    <d v="1899-12-30T19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82"/>
    <d v="1899-12-30T19:00:00"/>
    <d v="1899-12-30T19:30:00"/>
  </r>
  <r>
    <d v="2024-10-02T00:00:00"/>
    <n v="924"/>
    <s v="S2S No Premium"/>
    <s v="N2m_Sotelo, Silva"/>
    <x v="82"/>
    <d v="1899-12-30T19:30:00"/>
    <s v="-"/>
    <d v="1899-12-30T20:00:00"/>
    <n v="515"/>
    <n v="0"/>
    <n v="0"/>
    <n v="13"/>
    <n v="0"/>
    <n v="0"/>
    <n v="0"/>
    <n v="3"/>
    <n v="1"/>
    <n v="0"/>
    <n v="0"/>
    <n v="0"/>
    <n v="0"/>
    <n v="0"/>
    <n v="0"/>
    <n v="0"/>
    <n v="0"/>
    <n v="0"/>
    <n v="0"/>
    <n v="3"/>
    <n v="3"/>
    <x v="0"/>
    <x v="82"/>
    <d v="1899-12-30T19:30:00"/>
    <d v="1899-12-30T20:00:00"/>
  </r>
  <r>
    <d v="2024-10-02T00:00:00"/>
    <n v="924"/>
    <s v="S2S No Premium"/>
    <s v="N2m_Sotelo, Silva"/>
    <x v="82"/>
    <d v="1899-12-30T15:00:00"/>
    <s v="-"/>
    <d v="1899-12-30T15:30:00"/>
    <n v="649"/>
    <n v="0"/>
    <n v="0"/>
    <n v="10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82"/>
    <d v="1899-12-30T15:00:00"/>
    <d v="1899-12-30T15:30:00"/>
  </r>
  <r>
    <d v="2024-10-02T00:00:00"/>
    <n v="924"/>
    <s v="S2S No Premium"/>
    <s v="N2m_Sotelo, Silva"/>
    <x v="82"/>
    <d v="1899-12-30T15:30:00"/>
    <s v="-"/>
    <d v="1899-12-30T16:00:00"/>
    <n v="954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82"/>
    <d v="1899-12-30T15:30:00"/>
    <d v="1899-12-30T16:00:00"/>
  </r>
  <r>
    <d v="2024-10-02T00:00:00"/>
    <n v="924"/>
    <s v="S2S No Premium"/>
    <s v="N2m_Sotelo, Silva"/>
    <x v="82"/>
    <d v="1899-12-30T16:30:00"/>
    <s v="-"/>
    <d v="1899-12-30T17:00:00"/>
    <n v="1135"/>
    <n v="0"/>
    <n v="0"/>
    <n v="28"/>
    <n v="0"/>
    <n v="0"/>
    <n v="0"/>
    <n v="7"/>
    <n v="0"/>
    <n v="0"/>
    <n v="0"/>
    <n v="0"/>
    <n v="0"/>
    <n v="0"/>
    <n v="0"/>
    <n v="0"/>
    <n v="0"/>
    <n v="0"/>
    <n v="0"/>
    <n v="7"/>
    <n v="7"/>
    <x v="0"/>
    <x v="82"/>
    <d v="1899-12-30T16:30:00"/>
    <d v="1899-12-30T17:00:00"/>
  </r>
  <r>
    <d v="2024-10-02T00:00:00"/>
    <n v="924"/>
    <s v="S2S No Premium"/>
    <s v="N2m_Sotelo, Silva"/>
    <x v="82"/>
    <d v="1899-12-30T18:30:00"/>
    <s v="-"/>
    <d v="1899-12-30T19:00:00"/>
    <n v="1147"/>
    <n v="0"/>
    <n v="0"/>
    <n v="12"/>
    <n v="0"/>
    <n v="0"/>
    <n v="0"/>
    <n v="85"/>
    <n v="0"/>
    <n v="0"/>
    <n v="0"/>
    <n v="0"/>
    <n v="0"/>
    <n v="0"/>
    <n v="0"/>
    <n v="0"/>
    <n v="0"/>
    <n v="0"/>
    <n v="0"/>
    <n v="3"/>
    <n v="3"/>
    <x v="0"/>
    <x v="82"/>
    <d v="1899-12-30T18:30:00"/>
    <d v="1899-12-30T19:00:00"/>
  </r>
  <r>
    <d v="2024-10-02T00:00:00"/>
    <n v="924"/>
    <s v="S2S No Premium"/>
    <s v="N2m_Sotelo, Silva"/>
    <x v="82"/>
    <d v="1899-12-30T17:30:00"/>
    <s v="-"/>
    <d v="1899-12-30T18:00:00"/>
    <n v="1149"/>
    <n v="0"/>
    <n v="0"/>
    <n v="21"/>
    <n v="0"/>
    <n v="0"/>
    <n v="0"/>
    <n v="122"/>
    <n v="110"/>
    <n v="0"/>
    <n v="0"/>
    <n v="0"/>
    <n v="0"/>
    <n v="0"/>
    <n v="0"/>
    <n v="0"/>
    <n v="0"/>
    <n v="0"/>
    <n v="0"/>
    <n v="5"/>
    <n v="4"/>
    <x v="0"/>
    <x v="82"/>
    <d v="1899-12-30T17:30:00"/>
    <d v="1899-12-30T18:00:00"/>
  </r>
  <r>
    <d v="2024-10-02T00:00:00"/>
    <n v="924"/>
    <s v="S2S No Premium"/>
    <s v="N2m_Sotelo, Silva"/>
    <x v="82"/>
    <d v="1899-12-30T17:00:00"/>
    <s v="-"/>
    <d v="1899-12-30T17:30:00"/>
    <n v="1255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82"/>
    <d v="1899-12-30T17:00:00"/>
    <d v="1899-12-30T17:30:00"/>
  </r>
  <r>
    <d v="2024-10-02T00:00:00"/>
    <n v="924"/>
    <s v="S2S No Premium"/>
    <s v="N2m_Sotelo, Silva"/>
    <x v="82"/>
    <d v="1899-12-30T16:00:00"/>
    <s v="-"/>
    <d v="1899-12-30T16:30:00"/>
    <n v="1258"/>
    <n v="0"/>
    <n v="0"/>
    <n v="11"/>
    <n v="0"/>
    <n v="0"/>
    <n v="0"/>
    <n v="41"/>
    <n v="20"/>
    <n v="0"/>
    <n v="0"/>
    <n v="0"/>
    <n v="0"/>
    <n v="0"/>
    <n v="0"/>
    <n v="0"/>
    <n v="0"/>
    <n v="0"/>
    <n v="0"/>
    <n v="3"/>
    <n v="2"/>
    <x v="0"/>
    <x v="82"/>
    <d v="1899-12-30T16:00:00"/>
    <d v="1899-12-30T16:30:00"/>
  </r>
  <r>
    <d v="2024-10-02T00:00:00"/>
    <n v="924"/>
    <s v="S2S No Premium"/>
    <s v="N2m_Sotelo, Silva"/>
    <x v="82"/>
    <d v="1899-12-30T18:00:00"/>
    <s v="-"/>
    <d v="1899-12-30T18:30:00"/>
    <n v="1379"/>
    <n v="0"/>
    <n v="0"/>
    <n v="29"/>
    <n v="0"/>
    <n v="0"/>
    <n v="0"/>
    <n v="4"/>
    <n v="0"/>
    <n v="0"/>
    <n v="0"/>
    <n v="0"/>
    <n v="0"/>
    <n v="0"/>
    <n v="0"/>
    <n v="0"/>
    <n v="0"/>
    <n v="0"/>
    <n v="0"/>
    <n v="7"/>
    <n v="4"/>
    <x v="0"/>
    <x v="82"/>
    <d v="1899-12-30T18:00:00"/>
    <d v="1899-12-30T18:30:00"/>
  </r>
  <r>
    <d v="2024-10-02T00:00:00"/>
    <n v="924"/>
    <s v="S2S No Premium"/>
    <s v="N2m_Rolon Nancy"/>
    <x v="83"/>
    <d v="1899-12-30T14:30:00"/>
    <s v="-"/>
    <d v="1899-12-30T15:00:00"/>
    <n v="627"/>
    <n v="11"/>
    <n v="0"/>
    <n v="7"/>
    <n v="0"/>
    <n v="0"/>
    <n v="0"/>
    <n v="232"/>
    <n v="0"/>
    <n v="0"/>
    <n v="0"/>
    <n v="0"/>
    <n v="0"/>
    <n v="0"/>
    <n v="0"/>
    <n v="0"/>
    <n v="0"/>
    <n v="0"/>
    <n v="0"/>
    <n v="2"/>
    <n v="2"/>
    <x v="0"/>
    <x v="83"/>
    <d v="1899-12-30T14:30:00"/>
    <d v="1899-12-30T15:00:00"/>
  </r>
  <r>
    <d v="2024-10-02T00:00:00"/>
    <n v="924"/>
    <s v="S2S No Premium"/>
    <s v="N2m_Rolon Nancy"/>
    <x v="83"/>
    <d v="1899-12-30T14:00:00"/>
    <s v="-"/>
    <d v="1899-12-30T14:30:00"/>
    <n v="852"/>
    <n v="0"/>
    <n v="0"/>
    <n v="12"/>
    <n v="0"/>
    <n v="0"/>
    <n v="0"/>
    <n v="95"/>
    <n v="0"/>
    <n v="0"/>
    <n v="0"/>
    <n v="0"/>
    <n v="0"/>
    <n v="0"/>
    <n v="0"/>
    <n v="0"/>
    <n v="0"/>
    <n v="0"/>
    <n v="0"/>
    <n v="4"/>
    <n v="2"/>
    <x v="0"/>
    <x v="83"/>
    <d v="1899-12-30T14:00:00"/>
    <d v="1899-12-30T14:30:00"/>
  </r>
  <r>
    <d v="2024-10-02T00:00:00"/>
    <n v="924"/>
    <s v="S2S No Premium"/>
    <s v="N2m_Fragale Pablo"/>
    <x v="84"/>
    <d v="1899-12-30T14:00:00"/>
    <s v="-"/>
    <d v="1899-12-30T14:30:00"/>
    <n v="1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0"/>
    <x v="0"/>
    <x v="84"/>
    <d v="1899-12-30T14:00:00"/>
    <d v="1899-12-30T14:30:00"/>
  </r>
  <r>
    <d v="2024-10-02T00:00:00"/>
    <n v="924"/>
    <s v="S2S No Premium"/>
    <s v="N2m_Fragale Pablo"/>
    <x v="84"/>
    <d v="1899-12-30T14:30:00"/>
    <s v="-"/>
    <d v="1899-12-30T15:00:00"/>
    <n v="784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0"/>
    <x v="84"/>
    <d v="1899-12-30T14:30:00"/>
    <d v="1899-12-30T15:00:00"/>
  </r>
  <r>
    <d v="2024-10-02T00:00:00"/>
    <n v="924"/>
    <s v="S2S No Premium"/>
    <s v="N2m_Riquelme Lu"/>
    <x v="85"/>
    <d v="1899-12-30T15:00:00"/>
    <s v="-"/>
    <d v="1899-12-30T15:30:00"/>
    <n v="720"/>
    <n v="123"/>
    <n v="0"/>
    <n v="13"/>
    <n v="0"/>
    <n v="0"/>
    <n v="0"/>
    <n v="93"/>
    <n v="0"/>
    <n v="0"/>
    <n v="0"/>
    <n v="0"/>
    <n v="0"/>
    <n v="0"/>
    <n v="0"/>
    <n v="0"/>
    <n v="0"/>
    <n v="0"/>
    <n v="0"/>
    <n v="4"/>
    <n v="3"/>
    <x v="0"/>
    <x v="85"/>
    <d v="1899-12-30T15:00:00"/>
    <d v="1899-12-30T15:30:00"/>
  </r>
  <r>
    <d v="2024-10-02T00:00:00"/>
    <n v="924"/>
    <s v="S2S No Premium"/>
    <s v="N2m_Riquelme Lu"/>
    <x v="85"/>
    <d v="1899-12-30T14:30:00"/>
    <s v="-"/>
    <d v="1899-12-30T15:00:00"/>
    <n v="76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85"/>
    <d v="1899-12-30T14:30:00"/>
    <d v="1899-12-30T15:00:00"/>
  </r>
  <r>
    <d v="2024-10-02T00:00:00"/>
    <n v="924"/>
    <s v="S2S No Premium"/>
    <s v="N2m_Riquelme Lu"/>
    <x v="85"/>
    <d v="1899-12-30T15:30:00"/>
    <s v="-"/>
    <d v="1899-12-30T16:00:00"/>
    <n v="977"/>
    <n v="108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4"/>
    <x v="0"/>
    <x v="85"/>
    <d v="1899-12-30T15:30:00"/>
    <d v="1899-12-30T16:00:00"/>
  </r>
  <r>
    <d v="2024-10-02T00:00:00"/>
    <n v="924"/>
    <s v="S2S No Premium"/>
    <s v="N2m_Riquelme Lu"/>
    <x v="85"/>
    <d v="1899-12-30T14:00:00"/>
    <s v="-"/>
    <d v="1899-12-30T14:30:00"/>
    <n v="1067"/>
    <n v="236"/>
    <n v="0"/>
    <n v="12"/>
    <n v="0"/>
    <n v="0"/>
    <n v="0"/>
    <n v="41"/>
    <n v="0"/>
    <n v="0"/>
    <n v="0"/>
    <n v="0"/>
    <n v="0"/>
    <n v="0"/>
    <n v="0"/>
    <n v="0"/>
    <n v="0"/>
    <n v="0"/>
    <n v="0"/>
    <n v="4"/>
    <n v="4"/>
    <x v="0"/>
    <x v="85"/>
    <d v="1899-12-30T14:00:00"/>
    <d v="1899-12-30T14:30:00"/>
  </r>
  <r>
    <d v="2024-10-02T00:00:00"/>
    <n v="924"/>
    <s v="S2S No Premium"/>
    <s v="N2m_SosaBernaoMarti"/>
    <x v="86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6"/>
    <d v="1899-12-30T14:30:00"/>
    <d v="1899-12-30T15:00:00"/>
  </r>
  <r>
    <d v="2024-10-02T00:00:00"/>
    <n v="924"/>
    <s v="S2S No Premium"/>
    <s v="N2m_SosaBernaoMarti"/>
    <x v="86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86"/>
    <d v="1899-12-30T19:00:00"/>
    <d v="1899-12-30T19:30:00"/>
  </r>
  <r>
    <d v="2024-10-02T00:00:00"/>
    <n v="924"/>
    <s v="S2S No Premium"/>
    <s v="N2m_SosaBernaoMarti"/>
    <x v="86"/>
    <d v="1899-12-30T18:00:00"/>
    <s v="-"/>
    <d v="1899-12-30T18:30:00"/>
    <n v="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86"/>
    <d v="1899-12-30T18:00:00"/>
    <d v="1899-12-30T18:30:00"/>
  </r>
  <r>
    <d v="2024-10-02T00:00:00"/>
    <n v="924"/>
    <s v="S2S No Premium"/>
    <s v="N2m_SosaBernaoMarti"/>
    <x v="86"/>
    <d v="1899-12-30T19:30:00"/>
    <s v="-"/>
    <d v="1899-12-30T20:00:00"/>
    <n v="532"/>
    <n v="0"/>
    <n v="0"/>
    <n v="7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86"/>
    <d v="1899-12-30T19:30:00"/>
    <d v="1899-12-30T20:00:00"/>
  </r>
  <r>
    <d v="2024-10-02T00:00:00"/>
    <n v="924"/>
    <s v="S2S No Premium"/>
    <s v="N2m_SosaBernaoMarti"/>
    <x v="86"/>
    <d v="1899-12-30T18:30:00"/>
    <s v="-"/>
    <d v="1899-12-30T19:00:00"/>
    <n v="786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86"/>
    <d v="1899-12-30T18:30:00"/>
    <d v="1899-12-30T19:00:00"/>
  </r>
  <r>
    <d v="2024-10-02T00:00:00"/>
    <n v="924"/>
    <s v="S2S No Premium"/>
    <s v="N2m_SosaBernaoMarti"/>
    <x v="86"/>
    <d v="1899-12-30T15:00:00"/>
    <s v="-"/>
    <d v="1899-12-30T15:30:00"/>
    <n v="799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86"/>
    <d v="1899-12-30T15:00:00"/>
    <d v="1899-12-30T15:30:00"/>
  </r>
  <r>
    <d v="2024-10-02T00:00:00"/>
    <n v="924"/>
    <s v="S2S No Premium"/>
    <s v="N2m_SosaBernaoMarti"/>
    <x v="86"/>
    <d v="1899-12-30T15:30:00"/>
    <s v="-"/>
    <d v="1899-12-30T16:00:00"/>
    <n v="919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4"/>
    <x v="0"/>
    <x v="86"/>
    <d v="1899-12-30T15:30:00"/>
    <d v="1899-12-30T16:00:00"/>
  </r>
  <r>
    <d v="2024-10-02T00:00:00"/>
    <n v="924"/>
    <s v="S2S No Premium"/>
    <s v="N2m_SosaBernaoMarti"/>
    <x v="86"/>
    <d v="1899-12-30T17:00:00"/>
    <s v="-"/>
    <d v="1899-12-30T17:30:00"/>
    <n v="1145"/>
    <n v="0"/>
    <n v="0"/>
    <n v="29"/>
    <n v="0"/>
    <n v="0"/>
    <n v="0"/>
    <n v="4"/>
    <n v="0"/>
    <n v="0"/>
    <n v="0"/>
    <n v="0"/>
    <n v="0"/>
    <n v="0"/>
    <n v="0"/>
    <n v="0"/>
    <n v="0"/>
    <n v="0"/>
    <n v="0"/>
    <n v="7"/>
    <n v="4"/>
    <x v="0"/>
    <x v="86"/>
    <d v="1899-12-30T17:00:00"/>
    <d v="1899-12-30T17:30:00"/>
  </r>
  <r>
    <d v="2024-10-02T00:00:00"/>
    <n v="924"/>
    <s v="S2S No Premium"/>
    <s v="N2m_SosaBernaoMarti"/>
    <x v="86"/>
    <d v="1899-12-30T16:30:00"/>
    <s v="-"/>
    <d v="1899-12-30T17:00:00"/>
    <n v="1199"/>
    <n v="10"/>
    <n v="0"/>
    <n v="23"/>
    <n v="0"/>
    <n v="0"/>
    <n v="0"/>
    <n v="66"/>
    <n v="0"/>
    <n v="0"/>
    <n v="0"/>
    <n v="0"/>
    <n v="0"/>
    <n v="0"/>
    <n v="0"/>
    <n v="0"/>
    <n v="0"/>
    <n v="0"/>
    <n v="0"/>
    <n v="7"/>
    <n v="6"/>
    <x v="0"/>
    <x v="86"/>
    <d v="1899-12-30T16:30:00"/>
    <d v="1899-12-30T17:00:00"/>
  </r>
  <r>
    <d v="2024-10-02T00:00:00"/>
    <n v="924"/>
    <s v="S2S No Premium"/>
    <s v="N2m_SosaBernaoMarti"/>
    <x v="86"/>
    <d v="1899-12-30T16:00:00"/>
    <s v="-"/>
    <d v="1899-12-30T16:30:00"/>
    <n v="1391"/>
    <n v="115"/>
    <n v="0"/>
    <n v="13"/>
    <n v="0"/>
    <n v="0"/>
    <n v="0"/>
    <n v="3"/>
    <n v="59"/>
    <n v="0"/>
    <n v="0"/>
    <n v="0"/>
    <n v="0"/>
    <n v="0"/>
    <n v="0"/>
    <n v="0"/>
    <n v="0"/>
    <n v="0"/>
    <n v="0"/>
    <n v="3"/>
    <n v="3"/>
    <x v="0"/>
    <x v="86"/>
    <d v="1899-12-30T16:00:00"/>
    <d v="1899-12-30T16:30:00"/>
  </r>
  <r>
    <d v="2024-10-02T00:00:00"/>
    <n v="924"/>
    <s v="S2S No Premium"/>
    <s v="N2m_SosaBernaoMarti"/>
    <x v="86"/>
    <d v="1899-12-30T17:30:00"/>
    <s v="-"/>
    <d v="1899-12-30T18:00:00"/>
    <n v="1772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86"/>
    <d v="1899-12-30T17:30:00"/>
    <d v="1899-12-30T18:00:00"/>
  </r>
  <r>
    <d v="2024-10-02T00:00:00"/>
    <n v="925"/>
    <s v="S2S Premium"/>
    <s v="Pm_Sagrado Nico"/>
    <x v="87"/>
    <d v="1899-12-30T18:30:00"/>
    <s v="-"/>
    <d v="1899-12-30T19:00:00"/>
    <n v="5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87"/>
    <d v="1899-12-30T18:30:00"/>
    <d v="1899-12-30T19:00:00"/>
  </r>
  <r>
    <d v="2024-10-02T00:00:00"/>
    <n v="925"/>
    <s v="S2S Premium"/>
    <s v="Pm_Sagrado Nico"/>
    <x v="87"/>
    <d v="1899-12-30T15:00:00"/>
    <s v="-"/>
    <d v="1899-12-30T15:30:00"/>
    <n v="497"/>
    <n v="48"/>
    <n v="0"/>
    <n v="22"/>
    <n v="0"/>
    <n v="0"/>
    <n v="0"/>
    <n v="7"/>
    <n v="0"/>
    <n v="0"/>
    <n v="0"/>
    <n v="0"/>
    <n v="0"/>
    <n v="0"/>
    <n v="0"/>
    <n v="0"/>
    <n v="0"/>
    <n v="0"/>
    <n v="0"/>
    <n v="3"/>
    <n v="2"/>
    <x v="1"/>
    <x v="87"/>
    <d v="1899-12-30T15:00:00"/>
    <d v="1899-12-30T15:30:00"/>
  </r>
  <r>
    <d v="2024-10-02T00:00:00"/>
    <n v="925"/>
    <s v="S2S Premium"/>
    <s v="Pm_Sagrado Nico"/>
    <x v="87"/>
    <d v="1899-12-30T15:30:00"/>
    <s v="-"/>
    <d v="1899-12-30T16:00:00"/>
    <n v="518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4"/>
    <n v="0"/>
    <x v="1"/>
    <x v="87"/>
    <d v="1899-12-30T15:30:00"/>
    <d v="1899-12-30T16:00:00"/>
  </r>
  <r>
    <d v="2024-10-02T00:00:00"/>
    <n v="925"/>
    <s v="S2S Premium"/>
    <s v="Pm_Sagrado Nico"/>
    <x v="87"/>
    <d v="1899-12-30T17:00:00"/>
    <s v="-"/>
    <d v="1899-12-30T17:30:00"/>
    <n v="660"/>
    <n v="0"/>
    <n v="0"/>
    <n v="20"/>
    <n v="0"/>
    <n v="0"/>
    <n v="0"/>
    <n v="204"/>
    <n v="191"/>
    <n v="0"/>
    <n v="0"/>
    <n v="0"/>
    <n v="0"/>
    <n v="0"/>
    <n v="0"/>
    <n v="0"/>
    <n v="0"/>
    <n v="0"/>
    <n v="0"/>
    <n v="4"/>
    <n v="2"/>
    <x v="1"/>
    <x v="87"/>
    <d v="1899-12-30T17:00:00"/>
    <d v="1899-12-30T17:30:00"/>
  </r>
  <r>
    <d v="2024-10-02T00:00:00"/>
    <n v="925"/>
    <s v="S2S Premium"/>
    <s v="Pm_Sagrado Nico"/>
    <x v="87"/>
    <d v="1899-12-30T18:00:00"/>
    <s v="-"/>
    <d v="1899-12-30T18:30:00"/>
    <n v="845"/>
    <n v="28"/>
    <n v="0"/>
    <n v="14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87"/>
    <d v="1899-12-30T18:00:00"/>
    <d v="1899-12-30T18:30:00"/>
  </r>
  <r>
    <d v="2024-10-02T00:00:00"/>
    <n v="925"/>
    <s v="S2S Premium"/>
    <s v="Pm_Sagrado Nico"/>
    <x v="87"/>
    <d v="1899-12-30T17:30:00"/>
    <s v="-"/>
    <d v="1899-12-30T18:00:00"/>
    <n v="1033"/>
    <n v="62"/>
    <n v="0"/>
    <n v="17"/>
    <n v="0"/>
    <n v="0"/>
    <n v="0"/>
    <n v="117"/>
    <n v="0"/>
    <n v="0"/>
    <n v="0"/>
    <n v="0"/>
    <n v="0"/>
    <n v="0"/>
    <n v="0"/>
    <n v="0"/>
    <n v="0"/>
    <n v="0"/>
    <n v="0"/>
    <n v="3"/>
    <n v="1"/>
    <x v="1"/>
    <x v="87"/>
    <d v="1899-12-30T17:30:00"/>
    <d v="1899-12-30T18:00:00"/>
  </r>
  <r>
    <d v="2024-10-02T00:00:00"/>
    <n v="925"/>
    <s v="S2S Premium"/>
    <s v="Pm_Sagrado Nico"/>
    <x v="87"/>
    <d v="1899-12-30T16:00:00"/>
    <s v="-"/>
    <d v="1899-12-30T16:30:00"/>
    <n v="1081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87"/>
    <d v="1899-12-30T16:00:00"/>
    <d v="1899-12-30T16:30:00"/>
  </r>
  <r>
    <d v="2024-10-02T00:00:00"/>
    <n v="925"/>
    <s v="S2S Premium"/>
    <s v="Pm_Sagrado Nico"/>
    <x v="87"/>
    <d v="1899-12-30T19:00:00"/>
    <s v="-"/>
    <d v="1899-12-30T19:30:00"/>
    <n v="1194"/>
    <n v="0"/>
    <n v="0"/>
    <n v="16"/>
    <n v="0"/>
    <n v="0"/>
    <n v="0"/>
    <n v="55"/>
    <n v="0"/>
    <n v="0"/>
    <n v="0"/>
    <n v="0"/>
    <n v="0"/>
    <n v="0"/>
    <n v="0"/>
    <n v="0"/>
    <n v="0"/>
    <n v="0"/>
    <n v="0"/>
    <n v="5"/>
    <n v="3"/>
    <x v="1"/>
    <x v="87"/>
    <d v="1899-12-30T19:00:00"/>
    <d v="1899-12-30T19:30:00"/>
  </r>
  <r>
    <d v="2024-10-02T00:00:00"/>
    <n v="925"/>
    <s v="S2S Premium"/>
    <s v="Pm_Sagrado Nico"/>
    <x v="87"/>
    <d v="1899-12-30T19:30:00"/>
    <s v="-"/>
    <d v="1899-12-30T20:00:00"/>
    <n v="1308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87"/>
    <d v="1899-12-30T19:30:00"/>
    <d v="1899-12-30T20:00:00"/>
  </r>
  <r>
    <d v="2024-10-02T00:00:00"/>
    <n v="925"/>
    <s v="S2S Premium"/>
    <s v="Pm_Sagrado Nico"/>
    <x v="87"/>
    <d v="1899-12-30T16:30:00"/>
    <s v="-"/>
    <d v="1899-12-30T17:00:00"/>
    <n v="1316"/>
    <n v="62"/>
    <n v="0"/>
    <n v="16"/>
    <n v="0"/>
    <n v="0"/>
    <n v="0"/>
    <n v="75"/>
    <n v="63"/>
    <n v="0"/>
    <n v="0"/>
    <n v="0"/>
    <n v="0"/>
    <n v="0"/>
    <n v="0"/>
    <n v="0"/>
    <n v="0"/>
    <n v="0"/>
    <n v="0"/>
    <n v="4"/>
    <n v="3"/>
    <x v="1"/>
    <x v="87"/>
    <d v="1899-12-30T16:30:00"/>
    <d v="1899-12-30T17:00:00"/>
  </r>
  <r>
    <d v="2024-10-02T00:00:00"/>
    <n v="925"/>
    <s v="S2S Premium"/>
    <s v="Pm_Coria, Candela"/>
    <x v="88"/>
    <d v="1899-12-30T19:00:00"/>
    <s v="-"/>
    <d v="1899-12-30T19:30:00"/>
    <n v="231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88"/>
    <d v="1899-12-30T19:00:00"/>
    <d v="1899-12-30T19:30:00"/>
  </r>
  <r>
    <d v="2024-10-02T00:00:00"/>
    <n v="925"/>
    <s v="S2S Premium"/>
    <s v="Pm_Coria, Candela"/>
    <x v="88"/>
    <d v="1899-12-30T15:30:00"/>
    <s v="-"/>
    <d v="1899-12-30T16:00:00"/>
    <n v="649"/>
    <n v="0"/>
    <n v="0"/>
    <n v="16"/>
    <n v="0"/>
    <n v="0"/>
    <n v="0"/>
    <n v="53"/>
    <n v="0"/>
    <n v="0"/>
    <n v="0"/>
    <n v="0"/>
    <n v="0"/>
    <n v="0"/>
    <n v="0"/>
    <n v="0"/>
    <n v="0"/>
    <n v="0"/>
    <n v="0"/>
    <n v="4"/>
    <n v="4"/>
    <x v="1"/>
    <x v="88"/>
    <d v="1899-12-30T15:30:00"/>
    <d v="1899-12-30T16:00:00"/>
  </r>
  <r>
    <d v="2024-10-02T00:00:00"/>
    <n v="925"/>
    <s v="S2S Premium"/>
    <s v="Pm_Coria, Candela"/>
    <x v="88"/>
    <d v="1899-12-30T14:00:00"/>
    <s v="-"/>
    <d v="1899-12-30T14:30:00"/>
    <n v="676"/>
    <n v="0"/>
    <n v="0"/>
    <n v="17"/>
    <n v="0"/>
    <n v="0"/>
    <n v="0"/>
    <n v="229"/>
    <n v="162"/>
    <n v="0"/>
    <n v="0"/>
    <n v="0"/>
    <n v="0"/>
    <n v="0"/>
    <n v="0"/>
    <n v="0"/>
    <n v="0"/>
    <n v="0"/>
    <n v="0"/>
    <n v="3"/>
    <n v="2"/>
    <x v="1"/>
    <x v="88"/>
    <d v="1899-12-30T14:00:00"/>
    <d v="1899-12-30T14:30:00"/>
  </r>
  <r>
    <d v="2024-10-02T00:00:00"/>
    <n v="925"/>
    <s v="S2S Premium"/>
    <s v="Pm_Coria, Candela"/>
    <x v="88"/>
    <d v="1899-12-30T14:30:00"/>
    <s v="-"/>
    <d v="1899-12-30T15:00:00"/>
    <n v="681"/>
    <n v="0"/>
    <n v="0"/>
    <n v="19"/>
    <n v="0"/>
    <n v="0"/>
    <n v="0"/>
    <n v="102"/>
    <n v="0"/>
    <n v="0"/>
    <n v="0"/>
    <n v="0"/>
    <n v="0"/>
    <n v="0"/>
    <n v="0"/>
    <n v="0"/>
    <n v="0"/>
    <n v="0"/>
    <n v="0"/>
    <n v="3"/>
    <n v="2"/>
    <x v="1"/>
    <x v="88"/>
    <d v="1899-12-30T14:30:00"/>
    <d v="1899-12-30T15:00:00"/>
  </r>
  <r>
    <d v="2024-10-02T00:00:00"/>
    <n v="925"/>
    <s v="S2S Premium"/>
    <s v="Pm_Coria, Candela"/>
    <x v="88"/>
    <d v="1899-12-30T16:00:00"/>
    <s v="-"/>
    <d v="1899-12-30T16:30:00"/>
    <n v="760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88"/>
    <d v="1899-12-30T16:00:00"/>
    <d v="1899-12-30T16:30:00"/>
  </r>
  <r>
    <d v="2024-10-02T00:00:00"/>
    <n v="925"/>
    <s v="S2S Premium"/>
    <s v="Pm_Coria, Candela"/>
    <x v="88"/>
    <d v="1899-12-30T19:30:00"/>
    <s v="-"/>
    <d v="1899-12-30T20:00:00"/>
    <n v="870"/>
    <n v="0"/>
    <n v="0"/>
    <n v="14"/>
    <n v="0"/>
    <n v="0"/>
    <n v="0"/>
    <n v="64"/>
    <n v="0"/>
    <n v="0"/>
    <n v="0"/>
    <n v="0"/>
    <n v="0"/>
    <n v="0"/>
    <n v="0"/>
    <n v="0"/>
    <n v="0"/>
    <n v="0"/>
    <n v="0"/>
    <n v="3"/>
    <n v="2"/>
    <x v="1"/>
    <x v="88"/>
    <d v="1899-12-30T19:30:00"/>
    <d v="1899-12-30T20:00:00"/>
  </r>
  <r>
    <d v="2024-10-02T00:00:00"/>
    <n v="925"/>
    <s v="S2S Premium"/>
    <s v="Pm_Coria, Candela"/>
    <x v="88"/>
    <d v="1899-12-30T18:00:00"/>
    <s v="-"/>
    <d v="1899-12-30T18:30:00"/>
    <n v="1011"/>
    <n v="228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88"/>
    <d v="1899-12-30T18:00:00"/>
    <d v="1899-12-30T18:30:00"/>
  </r>
  <r>
    <d v="2024-10-02T00:00:00"/>
    <n v="925"/>
    <s v="S2S Premium"/>
    <s v="Pm_Coria, Candela"/>
    <x v="88"/>
    <d v="1899-12-30T18:30:00"/>
    <s v="-"/>
    <d v="1899-12-30T19:00:00"/>
    <n v="1052"/>
    <n v="0"/>
    <n v="0"/>
    <n v="14"/>
    <n v="0"/>
    <n v="0"/>
    <n v="0"/>
    <n v="149"/>
    <n v="0"/>
    <n v="0"/>
    <n v="0"/>
    <n v="0"/>
    <n v="0"/>
    <n v="0"/>
    <n v="0"/>
    <n v="0"/>
    <n v="0"/>
    <n v="0"/>
    <n v="0"/>
    <n v="4"/>
    <n v="4"/>
    <x v="1"/>
    <x v="88"/>
    <d v="1899-12-30T18:30:00"/>
    <d v="1899-12-30T19:00:00"/>
  </r>
  <r>
    <d v="2024-10-02T00:00:00"/>
    <n v="925"/>
    <s v="S2S Premium"/>
    <s v="Pm_Coria, Candela"/>
    <x v="88"/>
    <d v="1899-12-30T15:00:00"/>
    <s v="-"/>
    <d v="1899-12-30T15:30:00"/>
    <n v="1089"/>
    <n v="0"/>
    <n v="0"/>
    <n v="13"/>
    <n v="0"/>
    <n v="0"/>
    <n v="0"/>
    <n v="78"/>
    <n v="0"/>
    <n v="0"/>
    <n v="0"/>
    <n v="0"/>
    <n v="0"/>
    <n v="0"/>
    <n v="0"/>
    <n v="0"/>
    <n v="0"/>
    <n v="0"/>
    <n v="0"/>
    <n v="3"/>
    <n v="3"/>
    <x v="1"/>
    <x v="88"/>
    <d v="1899-12-30T15:00:00"/>
    <d v="1899-12-30T15:30:00"/>
  </r>
  <r>
    <d v="2024-10-02T00:00:00"/>
    <n v="925"/>
    <s v="S2S Premium"/>
    <s v="Pm_Coria, Candela"/>
    <x v="88"/>
    <d v="1899-12-30T17:30:00"/>
    <s v="-"/>
    <d v="1899-12-30T18:00:00"/>
    <n v="1168"/>
    <n v="0"/>
    <n v="0"/>
    <n v="21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88"/>
    <d v="1899-12-30T17:30:00"/>
    <d v="1899-12-30T18:00:00"/>
  </r>
  <r>
    <d v="2024-10-02T00:00:00"/>
    <n v="925"/>
    <s v="S2S Premium"/>
    <s v="Pm_Coria, Candela"/>
    <x v="88"/>
    <d v="1899-12-30T16:30:00"/>
    <s v="-"/>
    <d v="1899-12-30T17:00:00"/>
    <n v="1222"/>
    <n v="0"/>
    <n v="0"/>
    <n v="16"/>
    <n v="0"/>
    <n v="0"/>
    <n v="0"/>
    <n v="235"/>
    <n v="97"/>
    <n v="0"/>
    <n v="0"/>
    <n v="0"/>
    <n v="0"/>
    <n v="0"/>
    <n v="0"/>
    <n v="0"/>
    <n v="0"/>
    <n v="0"/>
    <n v="0"/>
    <n v="4"/>
    <n v="3"/>
    <x v="1"/>
    <x v="88"/>
    <d v="1899-12-30T16:30:00"/>
    <d v="1899-12-30T17:00:00"/>
  </r>
  <r>
    <d v="2024-10-02T00:00:00"/>
    <n v="925"/>
    <s v="S2S Premium"/>
    <s v="Pm_Coria, Candela"/>
    <x v="88"/>
    <d v="1899-12-30T17:00:00"/>
    <s v="-"/>
    <d v="1899-12-30T17:30:00"/>
    <n v="1279"/>
    <n v="169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88"/>
    <d v="1899-12-30T17:00:00"/>
    <d v="1899-12-30T17:30:00"/>
  </r>
  <r>
    <d v="2024-10-02T00:00:00"/>
    <n v="925"/>
    <s v="S2S Premium"/>
    <s v="Pm_Salles, Matias"/>
    <x v="89"/>
    <d v="1899-12-30T14:00:00"/>
    <s v="-"/>
    <d v="1899-12-30T14:30:00"/>
    <n v="7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89"/>
    <d v="1899-12-30T14:00:00"/>
    <d v="1899-12-30T14:30:00"/>
  </r>
  <r>
    <d v="2024-10-02T00:00:00"/>
    <n v="924"/>
    <s v="S2S No Premium"/>
    <s v="N2m_Colmenares, Emi"/>
    <x v="90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0"/>
    <d v="1899-12-30T15:30:00"/>
    <d v="1899-12-30T16:00:00"/>
  </r>
  <r>
    <d v="2024-10-02T00:00:00"/>
    <n v="924"/>
    <s v="S2S No Premium"/>
    <s v="N2m_Colmenares, Emi"/>
    <x v="90"/>
    <d v="1899-12-30T19:00:00"/>
    <s v="-"/>
    <d v="1899-12-30T19:30:00"/>
    <n v="546"/>
    <n v="0"/>
    <n v="0"/>
    <n v="12"/>
    <n v="0"/>
    <n v="0"/>
    <n v="0"/>
    <n v="116"/>
    <n v="85"/>
    <n v="0"/>
    <n v="0"/>
    <n v="0"/>
    <n v="0"/>
    <n v="0"/>
    <n v="0"/>
    <n v="0"/>
    <n v="0"/>
    <n v="0"/>
    <n v="0"/>
    <n v="4"/>
    <n v="2"/>
    <x v="0"/>
    <x v="90"/>
    <d v="1899-12-30T19:00:00"/>
    <d v="1899-12-30T19:30:00"/>
  </r>
  <r>
    <d v="2024-10-02T00:00:00"/>
    <n v="924"/>
    <s v="S2S No Premium"/>
    <s v="N2m_Colmenares, Emi"/>
    <x v="90"/>
    <d v="1899-12-30T19:30:00"/>
    <s v="-"/>
    <d v="1899-12-30T20:00:00"/>
    <n v="620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2"/>
    <x v="0"/>
    <x v="90"/>
    <d v="1899-12-30T19:30:00"/>
    <d v="1899-12-30T20:00:00"/>
  </r>
  <r>
    <d v="2024-10-02T00:00:00"/>
    <n v="924"/>
    <s v="S2S No Premium"/>
    <s v="N2m_Colmenares, Emi"/>
    <x v="90"/>
    <d v="1899-12-30T17:30:00"/>
    <s v="-"/>
    <d v="1899-12-30T18:00:00"/>
    <n v="1129"/>
    <n v="0"/>
    <n v="0"/>
    <n v="20"/>
    <n v="0"/>
    <n v="0"/>
    <n v="0"/>
    <n v="268"/>
    <n v="0"/>
    <n v="0"/>
    <n v="0"/>
    <n v="0"/>
    <n v="0"/>
    <n v="0"/>
    <n v="0"/>
    <n v="0"/>
    <n v="0"/>
    <n v="0"/>
    <n v="0"/>
    <n v="5"/>
    <n v="5"/>
    <x v="0"/>
    <x v="90"/>
    <d v="1899-12-30T17:30:00"/>
    <d v="1899-12-30T18:00:00"/>
  </r>
  <r>
    <d v="2024-10-02T00:00:00"/>
    <n v="924"/>
    <s v="S2S No Premium"/>
    <s v="N2m_Colmenares, Emi"/>
    <x v="90"/>
    <d v="1899-12-30T16:00:00"/>
    <s v="-"/>
    <d v="1899-12-30T16:30:00"/>
    <n v="1152"/>
    <n v="57"/>
    <n v="0"/>
    <n v="30"/>
    <n v="0"/>
    <n v="0"/>
    <n v="0"/>
    <n v="7"/>
    <n v="0"/>
    <n v="0"/>
    <n v="0"/>
    <n v="0"/>
    <n v="0"/>
    <n v="0"/>
    <n v="0"/>
    <n v="0"/>
    <n v="0"/>
    <n v="0"/>
    <n v="0"/>
    <n v="6"/>
    <n v="3"/>
    <x v="0"/>
    <x v="90"/>
    <d v="1899-12-30T16:00:00"/>
    <d v="1899-12-30T16:30:00"/>
  </r>
  <r>
    <d v="2024-10-02T00:00:00"/>
    <n v="924"/>
    <s v="S2S No Premium"/>
    <s v="N2m_Colmenares, Emi"/>
    <x v="90"/>
    <d v="1899-12-30T17:00:00"/>
    <s v="-"/>
    <d v="1899-12-30T17:30:00"/>
    <n v="1208"/>
    <n v="0"/>
    <n v="0"/>
    <n v="12"/>
    <n v="0"/>
    <n v="0"/>
    <n v="0"/>
    <n v="74"/>
    <n v="0"/>
    <n v="0"/>
    <n v="0"/>
    <n v="0"/>
    <n v="0"/>
    <n v="0"/>
    <n v="0"/>
    <n v="0"/>
    <n v="0"/>
    <n v="0"/>
    <n v="0"/>
    <n v="3"/>
    <n v="2"/>
    <x v="0"/>
    <x v="90"/>
    <d v="1899-12-30T17:00:00"/>
    <d v="1899-12-30T17:30:00"/>
  </r>
  <r>
    <d v="2024-10-02T00:00:00"/>
    <n v="924"/>
    <s v="S2S No Premium"/>
    <s v="N2m_Colmenares, Emi"/>
    <x v="90"/>
    <d v="1899-12-30T18:00:00"/>
    <s v="-"/>
    <d v="1899-12-30T18:30:00"/>
    <n v="1249"/>
    <n v="35"/>
    <n v="0"/>
    <n v="16"/>
    <n v="0"/>
    <n v="0"/>
    <n v="0"/>
    <n v="197"/>
    <n v="0"/>
    <n v="0"/>
    <n v="0"/>
    <n v="0"/>
    <n v="0"/>
    <n v="0"/>
    <n v="0"/>
    <n v="0"/>
    <n v="0"/>
    <n v="0"/>
    <n v="0"/>
    <n v="5"/>
    <n v="3"/>
    <x v="0"/>
    <x v="90"/>
    <d v="1899-12-30T18:00:00"/>
    <d v="1899-12-30T18:30:00"/>
  </r>
  <r>
    <d v="2024-10-02T00:00:00"/>
    <n v="924"/>
    <s v="S2S No Premium"/>
    <s v="N2m_Colmenares, Emi"/>
    <x v="90"/>
    <d v="1899-12-30T18:30:00"/>
    <s v="-"/>
    <d v="1899-12-30T19:00:00"/>
    <n v="1318"/>
    <n v="58"/>
    <n v="0"/>
    <n v="12"/>
    <n v="0"/>
    <n v="0"/>
    <n v="0"/>
    <n v="41"/>
    <n v="0"/>
    <n v="0"/>
    <n v="0"/>
    <n v="0"/>
    <n v="0"/>
    <n v="0"/>
    <n v="0"/>
    <n v="0"/>
    <n v="0"/>
    <n v="0"/>
    <n v="0"/>
    <n v="2"/>
    <n v="2"/>
    <x v="0"/>
    <x v="90"/>
    <d v="1899-12-30T18:30:00"/>
    <d v="1899-12-30T19:00:00"/>
  </r>
  <r>
    <d v="2024-10-02T00:00:00"/>
    <n v="924"/>
    <s v="S2S No Premium"/>
    <s v="N2m_Colmenares, Emi"/>
    <x v="90"/>
    <d v="1899-12-30T16:30:00"/>
    <s v="-"/>
    <d v="1899-12-30T17:00:00"/>
    <n v="1531"/>
    <n v="0"/>
    <n v="0"/>
    <n v="12"/>
    <n v="0"/>
    <n v="0"/>
    <n v="0"/>
    <n v="12"/>
    <n v="0"/>
    <n v="0"/>
    <n v="0"/>
    <n v="0"/>
    <n v="0"/>
    <n v="0"/>
    <n v="0"/>
    <n v="0"/>
    <n v="0"/>
    <n v="0"/>
    <n v="0"/>
    <n v="3"/>
    <n v="3"/>
    <x v="0"/>
    <x v="90"/>
    <d v="1899-12-30T16:30:00"/>
    <d v="1899-12-30T17:00:00"/>
  </r>
  <r>
    <d v="2024-10-02T00:00:00"/>
    <n v="925"/>
    <s v="S2S Premium"/>
    <s v="Pm_Sanchez, Juan"/>
    <x v="91"/>
    <d v="1899-12-30T19:30:00"/>
    <s v="-"/>
    <d v="1899-12-30T20:00:00"/>
    <n v="46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1"/>
    <d v="1899-12-30T19:30:00"/>
    <d v="1899-12-30T20:00:00"/>
  </r>
  <r>
    <d v="2024-10-02T00:00:00"/>
    <n v="925"/>
    <s v="S2S Premium"/>
    <s v="Pm_Sanchez, Juan"/>
    <x v="91"/>
    <d v="1899-12-30T18:00:00"/>
    <s v="-"/>
    <d v="1899-12-30T18:30:00"/>
    <n v="860"/>
    <n v="0"/>
    <n v="0"/>
    <n v="19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1"/>
    <d v="1899-12-30T18:00:00"/>
    <d v="1899-12-30T18:30:00"/>
  </r>
  <r>
    <d v="2024-10-02T00:00:00"/>
    <n v="925"/>
    <s v="S2S Premium"/>
    <s v="Pm_Sanchez, Juan"/>
    <x v="91"/>
    <d v="1899-12-30T18:30:00"/>
    <s v="-"/>
    <d v="1899-12-30T19:00:00"/>
    <n v="1008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1"/>
    <d v="1899-12-30T18:30:00"/>
    <d v="1899-12-30T19:00:00"/>
  </r>
  <r>
    <d v="2024-10-02T00:00:00"/>
    <n v="925"/>
    <s v="S2S Premium"/>
    <s v="Pm_Sanchez, Juan"/>
    <x v="91"/>
    <d v="1899-12-30T19:00:00"/>
    <s v="-"/>
    <d v="1899-12-30T19:30:00"/>
    <n v="1088"/>
    <n v="112"/>
    <n v="0"/>
    <n v="29"/>
    <n v="0"/>
    <n v="0"/>
    <n v="0"/>
    <n v="110"/>
    <n v="77"/>
    <n v="0"/>
    <n v="0"/>
    <n v="0"/>
    <n v="0"/>
    <n v="0"/>
    <n v="0"/>
    <n v="0"/>
    <n v="0"/>
    <n v="0"/>
    <n v="0"/>
    <n v="7"/>
    <n v="6"/>
    <x v="1"/>
    <x v="91"/>
    <d v="1899-12-30T19:00:00"/>
    <d v="1899-12-30T19:30:00"/>
  </r>
  <r>
    <d v="2024-10-02T00:00:00"/>
    <n v="924"/>
    <s v="S2S No Premium"/>
    <s v="N2m_Andrzeyevski Ca"/>
    <x v="92"/>
    <d v="1899-12-30T14:30:00"/>
    <s v="-"/>
    <d v="1899-12-30T15:00:00"/>
    <n v="582"/>
    <n v="4"/>
    <n v="0"/>
    <n v="12"/>
    <n v="0"/>
    <n v="0"/>
    <n v="0"/>
    <n v="61"/>
    <n v="0"/>
    <n v="0"/>
    <n v="0"/>
    <n v="0"/>
    <n v="0"/>
    <n v="0"/>
    <n v="0"/>
    <n v="0"/>
    <n v="0"/>
    <n v="0"/>
    <n v="0"/>
    <n v="3"/>
    <n v="1"/>
    <x v="0"/>
    <x v="92"/>
    <d v="1899-12-30T14:30:00"/>
    <d v="1899-12-30T15:00:00"/>
  </r>
  <r>
    <d v="2024-10-02T00:00:00"/>
    <n v="924"/>
    <s v="S2S No Premium"/>
    <s v="N2m_Andrzeyevski Ca"/>
    <x v="92"/>
    <d v="1899-12-30T14:00:00"/>
    <s v="-"/>
    <d v="1899-12-30T14:30:00"/>
    <n v="918"/>
    <n v="0"/>
    <n v="0"/>
    <n v="17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2"/>
    <d v="1899-12-30T14:00:00"/>
    <d v="1899-12-30T14:30:00"/>
  </r>
  <r>
    <d v="2024-10-02T00:00:00"/>
    <n v="925"/>
    <s v="S2S Premium"/>
    <s v="PCC_Zalazar Brian"/>
    <x v="93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3"/>
    <d v="1899-12-30T15:00:00"/>
    <d v="1899-12-30T15:30:00"/>
  </r>
  <r>
    <d v="2024-10-02T00:00:00"/>
    <n v="925"/>
    <s v="S2S Premium"/>
    <s v="PCC_Zalazar Brian"/>
    <x v="93"/>
    <d v="1899-12-30T14:30:00"/>
    <s v="-"/>
    <d v="1899-12-30T15:00:00"/>
    <n v="477"/>
    <n v="0"/>
    <n v="0"/>
    <n v="14"/>
    <n v="0"/>
    <n v="0"/>
    <n v="0"/>
    <n v="130"/>
    <n v="0"/>
    <n v="0"/>
    <n v="0"/>
    <n v="0"/>
    <n v="0"/>
    <n v="0"/>
    <n v="0"/>
    <n v="0"/>
    <n v="0"/>
    <n v="0"/>
    <n v="0"/>
    <n v="3"/>
    <n v="3"/>
    <x v="1"/>
    <x v="93"/>
    <d v="1899-12-30T14:30:00"/>
    <d v="1899-12-30T15:00:00"/>
  </r>
  <r>
    <d v="2024-10-02T00:00:00"/>
    <n v="925"/>
    <s v="S2S Premium"/>
    <s v="PCC_Zalazar Brian"/>
    <x v="93"/>
    <d v="1899-12-30T14:00:00"/>
    <s v="-"/>
    <d v="1899-12-30T14:30:00"/>
    <n v="969"/>
    <n v="0"/>
    <n v="0"/>
    <n v="14"/>
    <n v="0"/>
    <n v="0"/>
    <n v="0"/>
    <n v="60"/>
    <n v="0"/>
    <n v="0"/>
    <n v="0"/>
    <n v="0"/>
    <n v="0"/>
    <n v="0"/>
    <n v="0"/>
    <n v="0"/>
    <n v="0"/>
    <n v="0"/>
    <n v="0"/>
    <n v="5"/>
    <n v="5"/>
    <x v="1"/>
    <x v="93"/>
    <d v="1899-12-30T14:00:00"/>
    <d v="1899-12-30T14:30:00"/>
  </r>
  <r>
    <d v="2024-10-02T00:00:00"/>
    <n v="924"/>
    <s v="S2S No Premium"/>
    <s v="P_ Ledesma Maxi"/>
    <x v="94"/>
    <d v="1899-12-30T16:00:00"/>
    <s v="-"/>
    <d v="1899-12-30T16:30:00"/>
    <n v="16"/>
    <n v="2"/>
    <n v="0"/>
    <n v="0"/>
    <n v="0"/>
    <n v="0"/>
    <n v="0"/>
    <n v="58"/>
    <n v="1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P_ Ledesma Maxi"/>
    <x v="94"/>
    <d v="1899-12-30T15:00:00"/>
    <s v="-"/>
    <d v="1899-12-30T15:30:00"/>
    <n v="498"/>
    <n v="0"/>
    <n v="0"/>
    <n v="16"/>
    <n v="0"/>
    <n v="0"/>
    <n v="0"/>
    <n v="69"/>
    <n v="0"/>
    <n v="0"/>
    <n v="0"/>
    <n v="0"/>
    <n v="0"/>
    <n v="0"/>
    <n v="0"/>
    <n v="0"/>
    <n v="0"/>
    <n v="0"/>
    <n v="0"/>
    <n v="5"/>
    <n v="1"/>
    <x v="0"/>
    <x v="94"/>
    <d v="1899-12-30T15:00:00"/>
    <d v="1899-12-30T15:30:00"/>
  </r>
  <r>
    <d v="2024-10-02T00:00:00"/>
    <n v="924"/>
    <s v="S2S No Premium"/>
    <s v="P_ Ledesma Maxi"/>
    <x v="94"/>
    <d v="1899-12-30T14:00:00"/>
    <s v="-"/>
    <d v="1899-12-30T14:30:00"/>
    <n v="641"/>
    <n v="0"/>
    <n v="0"/>
    <n v="9"/>
    <n v="0"/>
    <n v="0"/>
    <n v="0"/>
    <n v="450"/>
    <n v="0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P_ Ledesma Maxi"/>
    <x v="94"/>
    <d v="1899-12-30T15:30:00"/>
    <s v="-"/>
    <d v="1899-12-30T16:00:00"/>
    <n v="837"/>
    <n v="0"/>
    <n v="0"/>
    <n v="19"/>
    <n v="0"/>
    <n v="0"/>
    <n v="0"/>
    <n v="153"/>
    <n v="0"/>
    <n v="0"/>
    <n v="0"/>
    <n v="0"/>
    <n v="0"/>
    <n v="0"/>
    <n v="0"/>
    <n v="0"/>
    <n v="0"/>
    <n v="0"/>
    <n v="0"/>
    <n v="4"/>
    <n v="2"/>
    <x v="0"/>
    <x v="94"/>
    <d v="1899-12-30T15:30:00"/>
    <d v="1899-12-30T16:00:00"/>
  </r>
  <r>
    <d v="2024-10-02T00:00:00"/>
    <n v="924"/>
    <s v="S2S No Premium"/>
    <s v="P_ Ledesma Maxi"/>
    <x v="94"/>
    <d v="1899-12-30T14:30:00"/>
    <s v="-"/>
    <d v="1899-12-30T15:00:00"/>
    <n v="853"/>
    <n v="0"/>
    <n v="0"/>
    <n v="8"/>
    <n v="0"/>
    <n v="0"/>
    <n v="0"/>
    <n v="212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4"/>
    <s v="S2S No Premium"/>
    <s v="XN2_Buffa Ivan Eman"/>
    <x v="95"/>
    <d v="1899-12-30T18:30:00"/>
    <s v="-"/>
    <d v="1899-12-30T19:00:00"/>
    <n v="11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XN2_Buffa Ivan Eman"/>
    <x v="95"/>
    <d v="1899-12-30T19:00:00"/>
    <s v="-"/>
    <d v="1899-12-30T19:30:00"/>
    <n v="227"/>
    <n v="0"/>
    <n v="0"/>
    <n v="8"/>
    <n v="0"/>
    <n v="0"/>
    <n v="0"/>
    <n v="0"/>
    <n v="203"/>
    <n v="0"/>
    <n v="0"/>
    <n v="0"/>
    <n v="0"/>
    <n v="0"/>
    <n v="0"/>
    <n v="0"/>
    <n v="0"/>
    <n v="0"/>
    <n v="0"/>
    <n v="1"/>
    <n v="0"/>
    <x v="0"/>
    <x v="94"/>
    <d v="1899-12-30T19:00:00"/>
    <d v="1899-12-30T19:30:00"/>
  </r>
  <r>
    <d v="2024-10-02T00:00:00"/>
    <n v="924"/>
    <s v="S2S No Premium"/>
    <s v="XN2_Buffa Ivan Eman"/>
    <x v="95"/>
    <d v="1899-12-30T14:00:00"/>
    <s v="-"/>
    <d v="1899-12-30T14:30:00"/>
    <n v="559"/>
    <n v="0"/>
    <n v="0"/>
    <n v="12"/>
    <n v="0"/>
    <n v="0"/>
    <n v="0"/>
    <n v="68"/>
    <n v="2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XN2_Buffa Ivan Eman"/>
    <x v="95"/>
    <d v="1899-12-30T15:00:00"/>
    <s v="-"/>
    <d v="1899-12-30T15:30:00"/>
    <n v="912"/>
    <n v="0"/>
    <n v="0"/>
    <n v="12"/>
    <n v="0"/>
    <n v="0"/>
    <n v="0"/>
    <n v="55"/>
    <n v="0"/>
    <n v="0"/>
    <n v="0"/>
    <n v="0"/>
    <n v="0"/>
    <n v="0"/>
    <n v="0"/>
    <n v="0"/>
    <n v="0"/>
    <n v="0"/>
    <n v="0"/>
    <n v="3"/>
    <n v="1"/>
    <x v="0"/>
    <x v="94"/>
    <d v="1899-12-30T15:00:00"/>
    <d v="1899-12-30T15:30:00"/>
  </r>
  <r>
    <d v="2024-10-02T00:00:00"/>
    <n v="924"/>
    <s v="S2S No Premium"/>
    <s v="XN2_Buffa Ivan Eman"/>
    <x v="95"/>
    <d v="1899-12-30T15:30:00"/>
    <s v="-"/>
    <d v="1899-12-30T16:00:00"/>
    <n v="1008"/>
    <n v="0"/>
    <n v="0"/>
    <n v="16"/>
    <n v="0"/>
    <n v="0"/>
    <n v="0"/>
    <n v="96"/>
    <n v="0"/>
    <n v="0"/>
    <n v="0"/>
    <n v="0"/>
    <n v="0"/>
    <n v="0"/>
    <n v="0"/>
    <n v="0"/>
    <n v="0"/>
    <n v="0"/>
    <n v="0"/>
    <n v="4"/>
    <n v="1"/>
    <x v="0"/>
    <x v="94"/>
    <d v="1899-12-30T15:30:00"/>
    <d v="1899-12-30T16:00:00"/>
  </r>
  <r>
    <d v="2024-10-02T00:00:00"/>
    <n v="924"/>
    <s v="S2S No Premium"/>
    <s v="XN2_Buffa Ivan Eman"/>
    <x v="95"/>
    <d v="1899-12-30T19:30:00"/>
    <s v="-"/>
    <d v="1899-12-30T20:00:00"/>
    <n v="1024"/>
    <n v="0"/>
    <n v="0"/>
    <n v="8"/>
    <n v="0"/>
    <n v="0"/>
    <n v="0"/>
    <n v="776"/>
    <n v="1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XN2_Buffa Ivan Eman"/>
    <x v="95"/>
    <d v="1899-12-30T14:30:00"/>
    <s v="-"/>
    <d v="1899-12-30T15:00:00"/>
    <n v="1097"/>
    <n v="0"/>
    <n v="0"/>
    <n v="11"/>
    <n v="0"/>
    <n v="0"/>
    <n v="0"/>
    <n v="87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XN2_Buffa Ivan Eman"/>
    <x v="95"/>
    <d v="1899-12-30T17:30:00"/>
    <s v="-"/>
    <d v="1899-12-30T18:00:00"/>
    <n v="1126"/>
    <n v="14"/>
    <n v="0"/>
    <n v="16"/>
    <n v="0"/>
    <n v="0"/>
    <n v="0"/>
    <n v="234"/>
    <n v="0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XN2_Buffa Ivan Eman"/>
    <x v="95"/>
    <d v="1899-12-30T18:00:00"/>
    <s v="-"/>
    <d v="1899-12-30T18:30:00"/>
    <n v="1204"/>
    <n v="52"/>
    <n v="0"/>
    <n v="22"/>
    <n v="0"/>
    <n v="0"/>
    <n v="0"/>
    <n v="518"/>
    <n v="2"/>
    <n v="0"/>
    <n v="0"/>
    <n v="0"/>
    <n v="0"/>
    <n v="0"/>
    <n v="0"/>
    <n v="0"/>
    <n v="0"/>
    <n v="0"/>
    <n v="0"/>
    <n v="6"/>
    <n v="6"/>
    <x v="0"/>
    <x v="94"/>
    <d v="1899-12-30T18:00:00"/>
    <d v="1899-12-30T18:30:00"/>
  </r>
  <r>
    <d v="2024-10-02T00:00:00"/>
    <n v="924"/>
    <s v="S2S No Premium"/>
    <s v="XN2_Buffa Ivan Eman"/>
    <x v="95"/>
    <d v="1899-12-30T17:00:00"/>
    <s v="-"/>
    <d v="1899-12-30T17:30:00"/>
    <n v="1286"/>
    <n v="3"/>
    <n v="0"/>
    <n v="12"/>
    <n v="0"/>
    <n v="0"/>
    <n v="0"/>
    <n v="181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4"/>
    <s v="S2S No Premium"/>
    <s v="XN2_Buffa Ivan Eman"/>
    <x v="95"/>
    <d v="1899-12-30T16:00:00"/>
    <s v="-"/>
    <d v="1899-12-30T16:30:00"/>
    <n v="1335"/>
    <n v="0"/>
    <n v="0"/>
    <n v="16"/>
    <n v="0"/>
    <n v="0"/>
    <n v="0"/>
    <n v="195"/>
    <n v="0"/>
    <n v="0"/>
    <n v="0"/>
    <n v="0"/>
    <n v="0"/>
    <n v="0"/>
    <n v="0"/>
    <n v="0"/>
    <n v="0"/>
    <n v="0"/>
    <n v="0"/>
    <n v="4"/>
    <n v="2"/>
    <x v="0"/>
    <x v="94"/>
    <d v="1899-12-30T16:00:00"/>
    <d v="1899-12-30T16:30:00"/>
  </r>
  <r>
    <d v="2024-10-02T00:00:00"/>
    <n v="924"/>
    <s v="S2S No Premium"/>
    <s v="XN2_Buffa Ivan Eman"/>
    <x v="95"/>
    <d v="1899-12-30T16:30:00"/>
    <s v="-"/>
    <d v="1899-12-30T17:00:00"/>
    <n v="1483"/>
    <n v="0"/>
    <n v="0"/>
    <n v="7"/>
    <n v="0"/>
    <n v="0"/>
    <n v="0"/>
    <n v="80"/>
    <n v="2"/>
    <n v="0"/>
    <n v="0"/>
    <n v="0"/>
    <n v="0"/>
    <n v="0"/>
    <n v="0"/>
    <n v="0"/>
    <n v="0"/>
    <n v="0"/>
    <n v="0"/>
    <n v="2"/>
    <n v="2"/>
    <x v="0"/>
    <x v="94"/>
    <d v="1899-12-30T16:30:00"/>
    <d v="1899-12-30T17:00:00"/>
  </r>
  <r>
    <d v="2024-10-02T00:00:00"/>
    <n v="925"/>
    <s v="S2S Premium"/>
    <s v="N1_Carmona Jaquelin"/>
    <x v="96"/>
    <d v="1899-12-30T14:00:00"/>
    <s v="-"/>
    <d v="1899-12-30T14:30:0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N1_Carmona Jaquelin"/>
    <x v="96"/>
    <d v="1899-12-30T16:00:00"/>
    <s v="-"/>
    <d v="1899-12-30T16:30:00"/>
    <n v="5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6:00:00"/>
    <d v="1899-12-30T16:30:00"/>
  </r>
  <r>
    <d v="2024-10-02T00:00:00"/>
    <n v="925"/>
    <s v="S2S Premium"/>
    <s v="N1_Carmona Jaquelin"/>
    <x v="96"/>
    <d v="1899-12-30T14:30:00"/>
    <s v="-"/>
    <d v="1899-12-30T15:00:00"/>
    <n v="606"/>
    <n v="0"/>
    <n v="0"/>
    <n v="8"/>
    <n v="0"/>
    <n v="0"/>
    <n v="0"/>
    <n v="41"/>
    <n v="0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N1_Carmona Jaquelin"/>
    <x v="96"/>
    <d v="1899-12-30T15:00:00"/>
    <s v="-"/>
    <d v="1899-12-30T15:30:00"/>
    <n v="642"/>
    <n v="0"/>
    <n v="0"/>
    <n v="8"/>
    <n v="0"/>
    <n v="0"/>
    <n v="0"/>
    <n v="322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N1_Carmona Jaquelin"/>
    <x v="96"/>
    <d v="1899-12-30T15:30:00"/>
    <s v="-"/>
    <d v="1899-12-30T16:00:00"/>
    <n v="1332"/>
    <n v="0"/>
    <n v="0"/>
    <n v="8"/>
    <n v="0"/>
    <n v="0"/>
    <n v="0"/>
    <n v="101"/>
    <n v="0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4"/>
    <s v="S2S No Premium"/>
    <s v="N2_Martinez Agostina"/>
    <x v="97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4"/>
    <s v="S2S No Premium"/>
    <s v="N2_Martinez Agostina"/>
    <x v="97"/>
    <d v="1899-12-30T14:00:00"/>
    <s v="-"/>
    <d v="1899-12-30T14:30:00"/>
    <n v="658"/>
    <n v="0"/>
    <n v="0"/>
    <n v="16"/>
    <n v="0"/>
    <n v="0"/>
    <n v="0"/>
    <n v="1"/>
    <n v="1"/>
    <n v="0"/>
    <n v="0"/>
    <n v="0"/>
    <n v="0"/>
    <n v="0"/>
    <n v="0"/>
    <n v="0"/>
    <n v="0"/>
    <n v="0"/>
    <n v="0"/>
    <n v="4"/>
    <n v="3"/>
    <x v="0"/>
    <x v="94"/>
    <d v="1899-12-30T14:00:00"/>
    <d v="1899-12-30T14:30:00"/>
  </r>
  <r>
    <d v="2024-10-02T00:00:00"/>
    <n v="924"/>
    <s v="S2S No Premium"/>
    <s v="N2_Martinez Agostina"/>
    <x v="97"/>
    <d v="1899-12-30T14:30:00"/>
    <s v="-"/>
    <d v="1899-12-30T15:00:00"/>
    <n v="702"/>
    <n v="0"/>
    <n v="0"/>
    <n v="12"/>
    <n v="0"/>
    <n v="0"/>
    <n v="0"/>
    <n v="72"/>
    <n v="2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N2_Martinez Agostina"/>
    <x v="97"/>
    <d v="1899-12-30T15:00:00"/>
    <s v="-"/>
    <d v="1899-12-30T15:30:00"/>
    <n v="702"/>
    <n v="0"/>
    <n v="0"/>
    <n v="11"/>
    <n v="0"/>
    <n v="0"/>
    <n v="0"/>
    <n v="334"/>
    <n v="88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N2_Martinez Agostina"/>
    <x v="97"/>
    <d v="1899-12-30T18:30:00"/>
    <s v="-"/>
    <d v="1899-12-30T19:00:00"/>
    <n v="721"/>
    <n v="0"/>
    <n v="0"/>
    <n v="3"/>
    <n v="0"/>
    <n v="0"/>
    <n v="0"/>
    <n v="214"/>
    <n v="345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2_Martinez Agostina"/>
    <x v="97"/>
    <d v="1899-12-30T19:00:00"/>
    <s v="-"/>
    <d v="1899-12-30T19:30:00"/>
    <n v="995"/>
    <n v="0"/>
    <n v="0"/>
    <n v="12"/>
    <n v="0"/>
    <n v="0"/>
    <n v="0"/>
    <n v="918"/>
    <n v="92"/>
    <n v="0"/>
    <n v="0"/>
    <n v="0"/>
    <n v="0"/>
    <n v="0"/>
    <n v="0"/>
    <n v="0"/>
    <n v="0"/>
    <n v="0"/>
    <n v="0"/>
    <n v="4"/>
    <n v="3"/>
    <x v="0"/>
    <x v="94"/>
    <d v="1899-12-30T19:00:00"/>
    <d v="1899-12-30T19:30:00"/>
  </r>
  <r>
    <d v="2024-10-02T00:00:00"/>
    <n v="924"/>
    <s v="S2S No Premium"/>
    <s v="N2_Martinez Agostina"/>
    <x v="97"/>
    <d v="1899-12-30T16:00:00"/>
    <s v="-"/>
    <d v="1899-12-30T16:30:00"/>
    <n v="1045"/>
    <n v="0"/>
    <n v="0"/>
    <n v="16"/>
    <n v="0"/>
    <n v="0"/>
    <n v="0"/>
    <n v="282"/>
    <n v="17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4"/>
    <s v="S2S No Premium"/>
    <s v="N2_Martinez Agostina"/>
    <x v="97"/>
    <d v="1899-12-30T15:30:00"/>
    <s v="-"/>
    <d v="1899-12-30T16:00:00"/>
    <n v="1085"/>
    <n v="0"/>
    <n v="0"/>
    <n v="12"/>
    <n v="0"/>
    <n v="0"/>
    <n v="0"/>
    <n v="343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N2_Martinez Agostina"/>
    <x v="97"/>
    <d v="1899-12-30T17:00:00"/>
    <s v="-"/>
    <d v="1899-12-30T17:30:00"/>
    <n v="1238"/>
    <n v="0"/>
    <n v="0"/>
    <n v="16"/>
    <n v="0"/>
    <n v="0"/>
    <n v="0"/>
    <n v="2"/>
    <n v="2"/>
    <n v="0"/>
    <n v="0"/>
    <n v="0"/>
    <n v="0"/>
    <n v="0"/>
    <n v="0"/>
    <n v="0"/>
    <n v="0"/>
    <n v="0"/>
    <n v="0"/>
    <n v="5"/>
    <n v="4"/>
    <x v="0"/>
    <x v="94"/>
    <d v="1899-12-30T17:00:00"/>
    <d v="1899-12-30T17:30:00"/>
  </r>
  <r>
    <d v="2024-10-02T00:00:00"/>
    <n v="924"/>
    <s v="S2S No Premium"/>
    <s v="N2_Martinez Agostina"/>
    <x v="97"/>
    <d v="1899-12-30T18:00:00"/>
    <s v="-"/>
    <d v="1899-12-30T18:30:00"/>
    <n v="1274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4"/>
    <n v="3"/>
    <x v="0"/>
    <x v="94"/>
    <d v="1899-12-30T18:00:00"/>
    <d v="1899-12-30T18:30:00"/>
  </r>
  <r>
    <d v="2024-10-02T00:00:00"/>
    <n v="924"/>
    <s v="S2S No Premium"/>
    <s v="N2_Martinez Agostina"/>
    <x v="97"/>
    <d v="1899-12-30T16:30:00"/>
    <s v="-"/>
    <d v="1899-12-30T17:00:00"/>
    <n v="1392"/>
    <n v="0"/>
    <n v="0"/>
    <n v="23"/>
    <n v="0"/>
    <n v="0"/>
    <n v="0"/>
    <n v="60"/>
    <n v="0"/>
    <n v="0"/>
    <n v="0"/>
    <n v="0"/>
    <n v="0"/>
    <n v="0"/>
    <n v="0"/>
    <n v="0"/>
    <n v="0"/>
    <n v="0"/>
    <n v="0"/>
    <n v="5"/>
    <n v="4"/>
    <x v="0"/>
    <x v="94"/>
    <d v="1899-12-30T16:30:00"/>
    <d v="1899-12-30T17:00:00"/>
  </r>
  <r>
    <d v="2024-10-02T00:00:00"/>
    <n v="924"/>
    <s v="S2S No Premium"/>
    <s v="N2_Martinez Agostina"/>
    <x v="97"/>
    <d v="1899-12-30T17:30:00"/>
    <s v="-"/>
    <d v="1899-12-30T18:00:00"/>
    <n v="1410"/>
    <n v="0"/>
    <n v="0"/>
    <n v="27"/>
    <n v="0"/>
    <n v="0"/>
    <n v="0"/>
    <n v="2"/>
    <n v="2"/>
    <n v="0"/>
    <n v="0"/>
    <n v="0"/>
    <n v="0"/>
    <n v="0"/>
    <n v="0"/>
    <n v="0"/>
    <n v="0"/>
    <n v="0"/>
    <n v="0"/>
    <n v="6"/>
    <n v="4"/>
    <x v="0"/>
    <x v="94"/>
    <d v="1899-12-30T17:30:00"/>
    <d v="1899-12-30T18:00:00"/>
  </r>
  <r>
    <d v="2024-10-02T00:00:00"/>
    <n v="924"/>
    <s v="S2S No Premium"/>
    <s v="*N1_Gomez Gisela"/>
    <x v="98"/>
    <d v="1899-12-30T15:00:00"/>
    <s v="-"/>
    <d v="1899-12-30T15:30:00"/>
    <n v="3"/>
    <n v="5"/>
    <n v="0"/>
    <n v="0"/>
    <n v="0"/>
    <n v="0"/>
    <n v="0"/>
    <n v="101"/>
    <n v="1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1_Gomez Gisela"/>
    <x v="98"/>
    <d v="1899-12-30T14:00:00"/>
    <s v="-"/>
    <d v="1899-12-30T14:30:00"/>
    <n v="829"/>
    <n v="0"/>
    <n v="0"/>
    <n v="16"/>
    <n v="0"/>
    <n v="0"/>
    <n v="0"/>
    <n v="60"/>
    <n v="0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*N1_Gomez Gisela"/>
    <x v="98"/>
    <d v="1899-12-30T14:30:00"/>
    <s v="-"/>
    <d v="1899-12-30T15:00:00"/>
    <n v="990"/>
    <n v="0"/>
    <n v="0"/>
    <n v="9"/>
    <n v="0"/>
    <n v="0"/>
    <n v="0"/>
    <n v="152"/>
    <n v="0"/>
    <n v="0"/>
    <n v="0"/>
    <n v="0"/>
    <n v="0"/>
    <n v="0"/>
    <n v="0"/>
    <n v="0"/>
    <n v="0"/>
    <n v="0"/>
    <n v="0"/>
    <n v="2"/>
    <n v="1"/>
    <x v="0"/>
    <x v="94"/>
    <d v="1899-12-30T14:30:00"/>
    <d v="1899-12-30T15:00:00"/>
  </r>
  <r>
    <d v="2024-10-02T00:00:00"/>
    <n v="924"/>
    <s v="S2S No Premium"/>
    <s v="P_Duran Oriana"/>
    <x v="99"/>
    <d v="1899-12-30T15:00:00"/>
    <s v="-"/>
    <d v="1899-12-30T15:30:00"/>
    <n v="424"/>
    <n v="0"/>
    <n v="0"/>
    <n v="0"/>
    <n v="0"/>
    <n v="0"/>
    <n v="0"/>
    <n v="388"/>
    <n v="1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P_Duran Oriana"/>
    <x v="99"/>
    <d v="1899-12-30T14:30:00"/>
    <s v="-"/>
    <d v="1899-12-30T15:00:00"/>
    <n v="800"/>
    <n v="0"/>
    <n v="0"/>
    <n v="16"/>
    <n v="0"/>
    <n v="0"/>
    <n v="0"/>
    <n v="1"/>
    <n v="1"/>
    <n v="0"/>
    <n v="0"/>
    <n v="0"/>
    <n v="0"/>
    <n v="0"/>
    <n v="0"/>
    <n v="0"/>
    <n v="0"/>
    <n v="0"/>
    <n v="0"/>
    <n v="4"/>
    <n v="4"/>
    <x v="0"/>
    <x v="94"/>
    <d v="1899-12-30T14:30:00"/>
    <d v="1899-12-30T15:00:00"/>
  </r>
  <r>
    <d v="2024-10-02T00:00:00"/>
    <n v="924"/>
    <s v="S2S No Premium"/>
    <s v="P_Duran Oriana"/>
    <x v="99"/>
    <d v="1899-12-30T14:00:00"/>
    <s v="-"/>
    <d v="1899-12-30T14:30:00"/>
    <n v="1277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N2e_Frias Miguel Ang"/>
    <x v="100"/>
    <d v="1899-12-30T16:00:00"/>
    <s v="-"/>
    <d v="1899-12-30T16:30:00"/>
    <n v="119"/>
    <n v="3"/>
    <n v="0"/>
    <n v="2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N2e_Frias Miguel Ang"/>
    <x v="100"/>
    <d v="1899-12-30T15:30:00"/>
    <s v="-"/>
    <d v="1899-12-30T16:00:00"/>
    <n v="834"/>
    <n v="0"/>
    <n v="0"/>
    <n v="22"/>
    <n v="0"/>
    <n v="0"/>
    <n v="0"/>
    <n v="2"/>
    <n v="2"/>
    <n v="0"/>
    <n v="0"/>
    <n v="0"/>
    <n v="0"/>
    <n v="0"/>
    <n v="0"/>
    <n v="0"/>
    <n v="0"/>
    <n v="0"/>
    <n v="0"/>
    <n v="5"/>
    <n v="5"/>
    <x v="0"/>
    <x v="94"/>
    <d v="1899-12-30T15:30:00"/>
    <d v="1899-12-30T16:00:00"/>
  </r>
  <r>
    <d v="2024-10-02T00:00:00"/>
    <n v="924"/>
    <s v="S2S No Premium"/>
    <s v="N2e_Frias Miguel Ang"/>
    <x v="100"/>
    <d v="1899-12-30T15:00:00"/>
    <s v="-"/>
    <d v="1899-12-30T15:30:00"/>
    <n v="926"/>
    <n v="0"/>
    <n v="0"/>
    <n v="12"/>
    <n v="0"/>
    <n v="0"/>
    <n v="0"/>
    <n v="67"/>
    <n v="65"/>
    <n v="0"/>
    <n v="0"/>
    <n v="0"/>
    <n v="0"/>
    <n v="0"/>
    <n v="0"/>
    <n v="0"/>
    <n v="0"/>
    <n v="0"/>
    <n v="0"/>
    <n v="4"/>
    <n v="4"/>
    <x v="0"/>
    <x v="94"/>
    <d v="1899-12-30T15:00:00"/>
    <d v="1899-12-30T15:30:00"/>
  </r>
  <r>
    <d v="2024-10-02T00:00:00"/>
    <n v="924"/>
    <s v="S2S No Premium"/>
    <s v="N2e_Frias Miguel Ang"/>
    <x v="100"/>
    <d v="1899-12-30T14:30:00"/>
    <s v="-"/>
    <d v="1899-12-30T15:00:00"/>
    <n v="1015"/>
    <n v="535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2e_Frias Miguel Ang"/>
    <x v="100"/>
    <d v="1899-12-30T14:00:00"/>
    <s v="-"/>
    <d v="1899-12-30T14:30:00"/>
    <n v="1250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N1m_Meza Malena E"/>
    <x v="101"/>
    <d v="1899-12-30T18:30:00"/>
    <s v="-"/>
    <d v="1899-12-30T19:00:00"/>
    <n v="10"/>
    <n v="122"/>
    <n v="0"/>
    <n v="0"/>
    <n v="0"/>
    <n v="0"/>
    <n v="0"/>
    <n v="114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1m_Meza Malena E"/>
    <x v="101"/>
    <d v="1899-12-30T19:00:00"/>
    <s v="-"/>
    <d v="1899-12-30T19:30:00"/>
    <n v="537"/>
    <n v="0"/>
    <n v="0"/>
    <n v="12"/>
    <n v="0"/>
    <n v="0"/>
    <n v="0"/>
    <n v="182"/>
    <n v="138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1m_Meza Malena E"/>
    <x v="101"/>
    <d v="1899-12-30T14:00:00"/>
    <s v="-"/>
    <d v="1899-12-30T14:30:00"/>
    <n v="621"/>
    <n v="0"/>
    <n v="0"/>
    <n v="12"/>
    <n v="0"/>
    <n v="0"/>
    <n v="0"/>
    <n v="0"/>
    <n v="42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N1m_Meza Malena E"/>
    <x v="101"/>
    <d v="1899-12-30T14:30:00"/>
    <s v="-"/>
    <d v="1899-12-30T15:00:00"/>
    <n v="803"/>
    <n v="0"/>
    <n v="0"/>
    <n v="8"/>
    <n v="0"/>
    <n v="0"/>
    <n v="0"/>
    <n v="280"/>
    <n v="148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N1m_Meza Malena E"/>
    <x v="101"/>
    <d v="1899-12-30T16:00:00"/>
    <s v="-"/>
    <d v="1899-12-30T16:30:00"/>
    <n v="1007"/>
    <n v="0"/>
    <n v="0"/>
    <n v="4"/>
    <n v="0"/>
    <n v="0"/>
    <n v="0"/>
    <n v="625"/>
    <n v="1"/>
    <n v="0"/>
    <n v="0"/>
    <n v="0"/>
    <n v="0"/>
    <n v="0"/>
    <n v="0"/>
    <n v="0"/>
    <n v="0"/>
    <n v="0"/>
    <n v="0"/>
    <n v="2"/>
    <n v="2"/>
    <x v="0"/>
    <x v="94"/>
    <d v="1899-12-30T16:00:00"/>
    <d v="1899-12-30T16:30:00"/>
  </r>
  <r>
    <d v="2024-10-02T00:00:00"/>
    <n v="924"/>
    <s v="S2S No Premium"/>
    <s v="N1m_Meza Malena E"/>
    <x v="101"/>
    <d v="1899-12-30T19:30:00"/>
    <s v="-"/>
    <d v="1899-12-30T20:00:00"/>
    <n v="1013"/>
    <n v="0"/>
    <n v="0"/>
    <n v="4"/>
    <n v="0"/>
    <n v="0"/>
    <n v="0"/>
    <n v="228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4"/>
    <s v="S2S No Premium"/>
    <s v="N1m_Meza Malena E"/>
    <x v="101"/>
    <d v="1899-12-30T17:30:00"/>
    <s v="-"/>
    <d v="1899-12-30T18:00:00"/>
    <n v="1172"/>
    <n v="0"/>
    <n v="0"/>
    <n v="0"/>
    <n v="0"/>
    <n v="0"/>
    <n v="0"/>
    <n v="545"/>
    <n v="399"/>
    <n v="0"/>
    <n v="0"/>
    <n v="0"/>
    <n v="0"/>
    <n v="0"/>
    <n v="0"/>
    <n v="0"/>
    <n v="0"/>
    <n v="0"/>
    <n v="0"/>
    <n v="1"/>
    <n v="1"/>
    <x v="0"/>
    <x v="94"/>
    <d v="1899-12-30T17:30:00"/>
    <d v="1899-12-30T18:00:00"/>
  </r>
  <r>
    <d v="2024-10-02T00:00:00"/>
    <n v="924"/>
    <s v="S2S No Premium"/>
    <s v="N1m_Meza Malena E"/>
    <x v="101"/>
    <d v="1899-12-30T15:00:00"/>
    <s v="-"/>
    <d v="1899-12-30T15:30:00"/>
    <n v="1176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00:00"/>
    <d v="1899-12-30T15:30:00"/>
  </r>
  <r>
    <d v="2024-10-02T00:00:00"/>
    <n v="924"/>
    <s v="S2S No Premium"/>
    <s v="N1m_Meza Malena E"/>
    <x v="101"/>
    <d v="1899-12-30T18:00:00"/>
    <s v="-"/>
    <d v="1899-12-30T18:30:00"/>
    <n v="1200"/>
    <n v="34"/>
    <n v="0"/>
    <n v="15"/>
    <n v="0"/>
    <n v="0"/>
    <n v="0"/>
    <n v="0"/>
    <n v="0"/>
    <n v="0"/>
    <n v="0"/>
    <n v="0"/>
    <n v="0"/>
    <n v="0"/>
    <n v="0"/>
    <n v="0"/>
    <n v="0"/>
    <n v="0"/>
    <n v="0"/>
    <n v="3"/>
    <n v="3"/>
    <x v="0"/>
    <x v="94"/>
    <d v="1899-12-30T18:00:00"/>
    <d v="1899-12-30T18:30:00"/>
  </r>
  <r>
    <d v="2024-10-02T00:00:00"/>
    <n v="924"/>
    <s v="S2S No Premium"/>
    <s v="N1m_Meza Malena E"/>
    <x v="101"/>
    <d v="1899-12-30T16:30:00"/>
    <s v="-"/>
    <d v="1899-12-30T17:00:00"/>
    <n v="1229"/>
    <n v="0"/>
    <n v="0"/>
    <n v="17"/>
    <n v="0"/>
    <n v="0"/>
    <n v="0"/>
    <n v="169"/>
    <n v="0"/>
    <n v="0"/>
    <n v="0"/>
    <n v="0"/>
    <n v="0"/>
    <n v="0"/>
    <n v="0"/>
    <n v="0"/>
    <n v="0"/>
    <n v="0"/>
    <n v="0"/>
    <n v="4"/>
    <n v="2"/>
    <x v="0"/>
    <x v="94"/>
    <d v="1899-12-30T16:30:00"/>
    <d v="1899-12-30T17:00:00"/>
  </r>
  <r>
    <d v="2024-10-02T00:00:00"/>
    <n v="924"/>
    <s v="S2S No Premium"/>
    <s v="N1m_Meza Malena E"/>
    <x v="101"/>
    <d v="1899-12-30T17:00:00"/>
    <s v="-"/>
    <d v="1899-12-30T17:30:00"/>
    <n v="1306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4"/>
    <n v="4"/>
    <x v="0"/>
    <x v="94"/>
    <d v="1899-12-30T17:00:00"/>
    <d v="1899-12-30T17:30:00"/>
  </r>
  <r>
    <d v="2024-10-02T00:00:00"/>
    <n v="924"/>
    <s v="S2S No Premium"/>
    <s v="N1m_Meza Malena E"/>
    <x v="101"/>
    <d v="1899-12-30T15:30:00"/>
    <s v="-"/>
    <d v="1899-12-30T16:00:00"/>
    <n v="1514"/>
    <n v="0"/>
    <n v="0"/>
    <n v="0"/>
    <n v="0"/>
    <n v="0"/>
    <n v="0"/>
    <n v="0"/>
    <n v="265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N2e _Avalle Cyntia"/>
    <x v="102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N2e _Avalle Cyntia"/>
    <x v="102"/>
    <d v="1899-12-30T14:00:00"/>
    <s v="-"/>
    <d v="1899-12-30T14:30:00"/>
    <n v="695"/>
    <n v="0"/>
    <n v="0"/>
    <n v="4"/>
    <n v="0"/>
    <n v="0"/>
    <n v="0"/>
    <n v="304"/>
    <n v="0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N2e _Avalle Cyntia"/>
    <x v="102"/>
    <d v="1899-12-30T14:30:00"/>
    <s v="-"/>
    <d v="1899-12-30T15:00:00"/>
    <n v="1113"/>
    <n v="0"/>
    <n v="0"/>
    <n v="11"/>
    <n v="0"/>
    <n v="0"/>
    <n v="0"/>
    <n v="131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1_Ponce Marcela"/>
    <x v="103"/>
    <d v="1899-12-30T15:00:00"/>
    <s v="-"/>
    <d v="1899-12-30T15:30:00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Ponce Marcela"/>
    <x v="103"/>
    <d v="1899-12-30T14:30:00"/>
    <s v="-"/>
    <d v="1899-12-30T15:00:00"/>
    <n v="1244"/>
    <n v="0"/>
    <n v="0"/>
    <n v="8"/>
    <n v="0"/>
    <n v="0"/>
    <n v="0"/>
    <n v="1"/>
    <n v="1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1_Ponce Marcela"/>
    <x v="103"/>
    <d v="1899-12-30T14:00:00"/>
    <s v="-"/>
    <d v="1899-12-30T14:30:00"/>
    <n v="1522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N1_Talavera Raquel"/>
    <x v="104"/>
    <d v="1899-12-30T15:00:00"/>
    <s v="-"/>
    <d v="1899-12-30T15:30:00"/>
    <n v="190"/>
    <n v="42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Talavera Raquel"/>
    <x v="104"/>
    <d v="1899-12-30T14:00:00"/>
    <s v="-"/>
    <d v="1899-12-30T14:30:00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N1_Talavera Raquel"/>
    <x v="104"/>
    <d v="1899-12-30T14:30:00"/>
    <s v="-"/>
    <d v="1899-12-30T15:00:00"/>
    <n v="694"/>
    <n v="26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N1_Rivero B Shaira"/>
    <x v="105"/>
    <d v="1899-12-30T18:00:00"/>
    <s v="-"/>
    <d v="1899-12-30T18:30:00"/>
    <n v="483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3"/>
    <n v="2"/>
    <x v="0"/>
    <x v="94"/>
    <d v="1899-12-30T18:00:00"/>
    <d v="1899-12-30T18:30:00"/>
  </r>
  <r>
    <d v="2024-10-02T00:00:00"/>
    <n v="924"/>
    <s v="S2S No Premium"/>
    <s v="N1_Rivero B Shaira"/>
    <x v="105"/>
    <d v="1899-12-30T18:30:00"/>
    <s v="-"/>
    <d v="1899-12-30T19:00:00"/>
    <n v="527"/>
    <n v="0"/>
    <n v="0"/>
    <n v="8"/>
    <n v="0"/>
    <n v="0"/>
    <n v="0"/>
    <n v="143"/>
    <n v="1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N1_Rivero B Shaira"/>
    <x v="105"/>
    <d v="1899-12-30T19:30:00"/>
    <s v="-"/>
    <d v="1899-12-30T20:00:00"/>
    <n v="632"/>
    <n v="0"/>
    <n v="0"/>
    <n v="8"/>
    <n v="0"/>
    <n v="0"/>
    <n v="0"/>
    <n v="207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N1_Rivero B Shaira"/>
    <x v="105"/>
    <d v="1899-12-30T17:00:00"/>
    <s v="-"/>
    <d v="1899-12-30T17:30:00"/>
    <n v="670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2"/>
    <n v="2"/>
    <x v="0"/>
    <x v="94"/>
    <d v="1899-12-30T17:00:00"/>
    <d v="1899-12-30T17:30:00"/>
  </r>
  <r>
    <d v="2024-10-02T00:00:00"/>
    <n v="924"/>
    <s v="S2S No Premium"/>
    <s v="N1_Rivero B Shaira"/>
    <x v="105"/>
    <d v="1899-12-30T19:00:00"/>
    <s v="-"/>
    <d v="1899-12-30T19:30:00"/>
    <n v="734"/>
    <n v="0"/>
    <n v="0"/>
    <n v="20"/>
    <n v="0"/>
    <n v="0"/>
    <n v="0"/>
    <n v="238"/>
    <n v="0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4"/>
    <s v="S2S No Premium"/>
    <s v="N1_Rivero B Shaira"/>
    <x v="105"/>
    <d v="1899-12-30T17:30:00"/>
    <s v="-"/>
    <d v="1899-12-30T18:00:00"/>
    <n v="1183"/>
    <n v="0"/>
    <n v="0"/>
    <n v="20"/>
    <n v="0"/>
    <n v="0"/>
    <n v="0"/>
    <n v="386"/>
    <n v="16"/>
    <n v="0"/>
    <n v="0"/>
    <n v="0"/>
    <n v="0"/>
    <n v="0"/>
    <n v="0"/>
    <n v="0"/>
    <n v="0"/>
    <n v="0"/>
    <n v="0"/>
    <n v="5"/>
    <n v="2"/>
    <x v="0"/>
    <x v="94"/>
    <d v="1899-12-30T17:30:00"/>
    <d v="1899-12-30T18:00:00"/>
  </r>
  <r>
    <d v="2024-10-02T00:00:00"/>
    <n v="924"/>
    <s v="S2S No Premium"/>
    <s v="N1_Di Benedetto Yam"/>
    <x v="106"/>
    <d v="1899-12-30T18:00:00"/>
    <s v="-"/>
    <d v="1899-12-30T18:30:00"/>
    <n v="227"/>
    <n v="0"/>
    <n v="0"/>
    <n v="4"/>
    <n v="0"/>
    <n v="0"/>
    <n v="0"/>
    <n v="68"/>
    <n v="0"/>
    <n v="0"/>
    <n v="0"/>
    <n v="0"/>
    <n v="0"/>
    <n v="0"/>
    <n v="0"/>
    <n v="0"/>
    <n v="0"/>
    <n v="0"/>
    <n v="0"/>
    <n v="2"/>
    <n v="1"/>
    <x v="0"/>
    <x v="94"/>
    <d v="1899-12-30T18:00:00"/>
    <d v="1899-12-30T18:30:00"/>
  </r>
  <r>
    <d v="2024-10-02T00:00:00"/>
    <n v="924"/>
    <s v="S2S No Premium"/>
    <s v="N1_Di Benedetto Yam"/>
    <x v="106"/>
    <d v="1899-12-30T15:00:00"/>
    <s v="-"/>
    <d v="1899-12-30T15:30:00"/>
    <n v="41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Di Benedetto Yam"/>
    <x v="106"/>
    <d v="1899-12-30T16:00:00"/>
    <s v="-"/>
    <d v="1899-12-30T16:30:00"/>
    <n v="631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N1_Di Benedetto Yam"/>
    <x v="106"/>
    <d v="1899-12-30T17:00:00"/>
    <s v="-"/>
    <d v="1899-12-30T17:30:00"/>
    <n v="858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2"/>
    <x v="0"/>
    <x v="94"/>
    <d v="1899-12-30T17:00:00"/>
    <d v="1899-12-30T17:30:00"/>
  </r>
  <r>
    <d v="2024-10-02T00:00:00"/>
    <n v="924"/>
    <s v="S2S No Premium"/>
    <s v="N1_Di Benedetto Yam"/>
    <x v="106"/>
    <d v="1899-12-30T14:30:00"/>
    <s v="-"/>
    <d v="1899-12-30T15:00:00"/>
    <n v="865"/>
    <n v="0"/>
    <n v="0"/>
    <n v="11"/>
    <n v="0"/>
    <n v="0"/>
    <n v="0"/>
    <n v="53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N1_Di Benedetto Yam"/>
    <x v="106"/>
    <d v="1899-12-30T14:00:00"/>
    <s v="-"/>
    <d v="1899-12-30T14:30:00"/>
    <n v="960"/>
    <n v="0"/>
    <n v="0"/>
    <n v="9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N1_Di Benedetto Yam"/>
    <x v="106"/>
    <d v="1899-12-30T16:30:00"/>
    <s v="-"/>
    <d v="1899-12-30T17:00:00"/>
    <n v="1053"/>
    <n v="0"/>
    <n v="0"/>
    <n v="20"/>
    <n v="0"/>
    <n v="0"/>
    <n v="0"/>
    <n v="2"/>
    <n v="1"/>
    <n v="0"/>
    <n v="0"/>
    <n v="0"/>
    <n v="0"/>
    <n v="0"/>
    <n v="0"/>
    <n v="0"/>
    <n v="0"/>
    <n v="0"/>
    <n v="0"/>
    <n v="4"/>
    <n v="3"/>
    <x v="0"/>
    <x v="94"/>
    <d v="1899-12-30T16:30:00"/>
    <d v="1899-12-30T17:00:00"/>
  </r>
  <r>
    <d v="2024-10-02T00:00:00"/>
    <n v="924"/>
    <s v="S2S No Premium"/>
    <s v="N1_Di Benedetto Yam"/>
    <x v="106"/>
    <d v="1899-12-30T17:30:00"/>
    <s v="-"/>
    <d v="1899-12-30T18:00:00"/>
    <n v="1279"/>
    <n v="0"/>
    <n v="0"/>
    <n v="8"/>
    <n v="0"/>
    <n v="0"/>
    <n v="0"/>
    <n v="75"/>
    <n v="0"/>
    <n v="0"/>
    <n v="0"/>
    <n v="0"/>
    <n v="0"/>
    <n v="0"/>
    <n v="0"/>
    <n v="0"/>
    <n v="0"/>
    <n v="0"/>
    <n v="0"/>
    <n v="2"/>
    <n v="2"/>
    <x v="0"/>
    <x v="94"/>
    <d v="1899-12-30T17:30:00"/>
    <d v="1899-12-30T18:00:00"/>
  </r>
  <r>
    <d v="2024-10-02T00:00:00"/>
    <n v="924"/>
    <s v="S2S No Premium"/>
    <s v="*N1_Stori Marianela"/>
    <x v="107"/>
    <d v="1899-12-30T18:00:00"/>
    <s v="-"/>
    <d v="1899-12-30T18:30:00"/>
    <n v="203"/>
    <n v="0"/>
    <n v="0"/>
    <n v="0"/>
    <n v="0"/>
    <n v="0"/>
    <n v="0"/>
    <n v="464"/>
    <n v="27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*N1_Stori Marianela"/>
    <x v="107"/>
    <d v="1899-12-30T15:00:00"/>
    <s v="-"/>
    <d v="1899-12-30T15:30:00"/>
    <n v="555"/>
    <n v="0"/>
    <n v="0"/>
    <n v="8"/>
    <n v="0"/>
    <n v="0"/>
    <n v="0"/>
    <n v="86"/>
    <n v="82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*N1_Stori Marianela"/>
    <x v="107"/>
    <d v="1899-12-30T19:30:00"/>
    <s v="-"/>
    <d v="1899-12-30T20:00:00"/>
    <n v="933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*N1_Stori Marianela"/>
    <x v="107"/>
    <d v="1899-12-30T16:30:00"/>
    <s v="-"/>
    <d v="1899-12-30T17:00:00"/>
    <n v="974"/>
    <n v="0"/>
    <n v="0"/>
    <n v="8"/>
    <n v="0"/>
    <n v="0"/>
    <n v="0"/>
    <n v="266"/>
    <n v="243"/>
    <n v="0"/>
    <n v="0"/>
    <n v="0"/>
    <n v="0"/>
    <n v="0"/>
    <n v="0"/>
    <n v="0"/>
    <n v="0"/>
    <n v="0"/>
    <n v="0"/>
    <n v="2"/>
    <n v="2"/>
    <x v="0"/>
    <x v="94"/>
    <d v="1899-12-30T16:30:00"/>
    <d v="1899-12-30T17:00:00"/>
  </r>
  <r>
    <d v="2024-10-02T00:00:00"/>
    <n v="924"/>
    <s v="S2S No Premium"/>
    <s v="*N1_Stori Marianela"/>
    <x v="107"/>
    <d v="1899-12-30T15:30:00"/>
    <s v="-"/>
    <d v="1899-12-30T16:00:00"/>
    <n v="1027"/>
    <n v="0"/>
    <n v="0"/>
    <n v="12"/>
    <n v="0"/>
    <n v="0"/>
    <n v="0"/>
    <n v="11"/>
    <n v="196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*N1_Stori Marianela"/>
    <x v="107"/>
    <d v="1899-12-30T19:00:00"/>
    <s v="-"/>
    <d v="1899-12-30T19:30:00"/>
    <n v="1096"/>
    <n v="0"/>
    <n v="0"/>
    <n v="8"/>
    <n v="0"/>
    <n v="0"/>
    <n v="0"/>
    <n v="130"/>
    <n v="0"/>
    <n v="0"/>
    <n v="0"/>
    <n v="0"/>
    <n v="0"/>
    <n v="0"/>
    <n v="0"/>
    <n v="0"/>
    <n v="0"/>
    <n v="0"/>
    <n v="0"/>
    <n v="3"/>
    <n v="2"/>
    <x v="0"/>
    <x v="94"/>
    <d v="1899-12-30T19:00:00"/>
    <d v="1899-12-30T19:30:00"/>
  </r>
  <r>
    <d v="2024-10-02T00:00:00"/>
    <n v="924"/>
    <s v="S2S No Premium"/>
    <s v="*N1_Stori Marianela"/>
    <x v="107"/>
    <d v="1899-12-30T17:30:00"/>
    <s v="-"/>
    <d v="1899-12-30T18:00:00"/>
    <n v="1136"/>
    <n v="0"/>
    <n v="0"/>
    <n v="16"/>
    <n v="0"/>
    <n v="0"/>
    <n v="0"/>
    <n v="0"/>
    <n v="366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*N1_Stori Marianela"/>
    <x v="107"/>
    <d v="1899-12-30T17:00:00"/>
    <s v="-"/>
    <d v="1899-12-30T17:30:00"/>
    <n v="1237"/>
    <n v="0"/>
    <n v="0"/>
    <n v="16"/>
    <n v="0"/>
    <n v="0"/>
    <n v="0"/>
    <n v="332"/>
    <n v="190"/>
    <n v="0"/>
    <n v="0"/>
    <n v="0"/>
    <n v="0"/>
    <n v="0"/>
    <n v="0"/>
    <n v="0"/>
    <n v="0"/>
    <n v="0"/>
    <n v="0"/>
    <n v="4"/>
    <n v="4"/>
    <x v="0"/>
    <x v="94"/>
    <d v="1899-12-30T17:00:00"/>
    <d v="1899-12-30T17:30:00"/>
  </r>
  <r>
    <d v="2024-10-02T00:00:00"/>
    <n v="924"/>
    <s v="S2S No Premium"/>
    <s v="*N1_Stori Marianela"/>
    <x v="107"/>
    <d v="1899-12-30T18:30:00"/>
    <s v="-"/>
    <d v="1899-12-30T19:00:00"/>
    <n v="1296"/>
    <n v="0"/>
    <n v="0"/>
    <n v="7"/>
    <n v="0"/>
    <n v="0"/>
    <n v="0"/>
    <n v="70"/>
    <n v="15"/>
    <n v="0"/>
    <n v="0"/>
    <n v="0"/>
    <n v="0"/>
    <n v="0"/>
    <n v="0"/>
    <n v="0"/>
    <n v="0"/>
    <n v="0"/>
    <n v="0"/>
    <n v="1"/>
    <n v="0"/>
    <x v="0"/>
    <x v="94"/>
    <d v="1899-12-30T18:30:00"/>
    <d v="1899-12-30T19:00:00"/>
  </r>
  <r>
    <d v="2024-10-02T00:00:00"/>
    <n v="924"/>
    <s v="S2S No Premium"/>
    <s v="*N1_Stori Marianela"/>
    <x v="107"/>
    <d v="1899-12-30T16:00:00"/>
    <s v="-"/>
    <d v="1899-12-30T16:30:00"/>
    <n v="1337"/>
    <n v="0"/>
    <n v="0"/>
    <n v="20"/>
    <n v="0"/>
    <n v="0"/>
    <n v="0"/>
    <n v="373"/>
    <n v="4"/>
    <n v="0"/>
    <n v="0"/>
    <n v="0"/>
    <n v="0"/>
    <n v="0"/>
    <n v="0"/>
    <n v="0"/>
    <n v="0"/>
    <n v="0"/>
    <n v="0"/>
    <n v="5"/>
    <n v="5"/>
    <x v="0"/>
    <x v="94"/>
    <d v="1899-12-30T16:00:00"/>
    <d v="1899-12-30T16:30:00"/>
  </r>
  <r>
    <d v="2024-10-02T00:00:00"/>
    <n v="924"/>
    <s v="S2S No Premium"/>
    <s v="N1r_Cerdan Lucia Bel"/>
    <x v="108"/>
    <d v="1899-12-30T15:00:00"/>
    <s v="-"/>
    <d v="1899-12-30T15:30:00"/>
    <n v="75"/>
    <n v="2"/>
    <n v="0"/>
    <n v="0"/>
    <n v="0"/>
    <n v="0"/>
    <n v="0"/>
    <n v="10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r_Cerdan Lucia Bel"/>
    <x v="108"/>
    <d v="1899-12-30T14:00:00"/>
    <s v="-"/>
    <d v="1899-12-30T14:30:00"/>
    <n v="930"/>
    <n v="0"/>
    <n v="0"/>
    <n v="8"/>
    <n v="0"/>
    <n v="0"/>
    <n v="0"/>
    <n v="197"/>
    <n v="158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N1r_Cerdan Lucia Bel"/>
    <x v="108"/>
    <d v="1899-12-30T14:30:00"/>
    <s v="-"/>
    <d v="1899-12-30T15:00:00"/>
    <n v="1339"/>
    <n v="0"/>
    <n v="0"/>
    <n v="8"/>
    <n v="0"/>
    <n v="0"/>
    <n v="0"/>
    <n v="0"/>
    <n v="91"/>
    <n v="0"/>
    <n v="0"/>
    <n v="0"/>
    <n v="0"/>
    <n v="0"/>
    <n v="0"/>
    <n v="0"/>
    <n v="0"/>
    <n v="0"/>
    <n v="0"/>
    <n v="1"/>
    <n v="0"/>
    <x v="0"/>
    <x v="94"/>
    <d v="1899-12-30T14:30:00"/>
    <d v="1899-12-30T15:00:00"/>
  </r>
  <r>
    <d v="2024-10-02T00:00:00"/>
    <n v="924"/>
    <s v="S2S No Premium"/>
    <s v="N2e_ Ojeda Liliana"/>
    <x v="109"/>
    <d v="1899-12-30T15:00:00"/>
    <s v="-"/>
    <d v="1899-12-30T15:30:00"/>
    <n v="235"/>
    <n v="2"/>
    <n v="0"/>
    <n v="0"/>
    <n v="0"/>
    <n v="0"/>
    <n v="0"/>
    <n v="743"/>
    <n v="98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2e_ Ojeda Liliana"/>
    <x v="109"/>
    <d v="1899-12-30T14:00:00"/>
    <s v="-"/>
    <d v="1899-12-30T14:30:00"/>
    <n v="836"/>
    <n v="0"/>
    <n v="0"/>
    <n v="12"/>
    <n v="0"/>
    <n v="0"/>
    <n v="0"/>
    <n v="479"/>
    <n v="191"/>
    <n v="0"/>
    <n v="0"/>
    <n v="0"/>
    <n v="0"/>
    <n v="0"/>
    <n v="0"/>
    <n v="0"/>
    <n v="0"/>
    <n v="0"/>
    <n v="0"/>
    <n v="3"/>
    <n v="1"/>
    <x v="0"/>
    <x v="94"/>
    <d v="1899-12-30T14:00:00"/>
    <d v="1899-12-30T14:30:00"/>
  </r>
  <r>
    <d v="2024-10-02T00:00:00"/>
    <n v="924"/>
    <s v="S2S No Premium"/>
    <s v="N2e_ Ojeda Liliana"/>
    <x v="109"/>
    <d v="1899-12-30T14:30:00"/>
    <s v="-"/>
    <d v="1899-12-30T15:00:00"/>
    <n v="1029"/>
    <n v="0"/>
    <n v="0"/>
    <n v="9"/>
    <n v="0"/>
    <n v="0"/>
    <n v="0"/>
    <n v="64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*N1_Aquino Evelin Ma"/>
    <x v="110"/>
    <d v="1899-12-30T15:00:00"/>
    <s v="-"/>
    <d v="1899-12-30T15:30:00"/>
    <n v="276"/>
    <n v="1"/>
    <n v="0"/>
    <n v="0"/>
    <n v="0"/>
    <n v="0"/>
    <n v="0"/>
    <n v="100"/>
    <n v="2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1_Aquino Evelin Ma"/>
    <x v="110"/>
    <d v="1899-12-30T14:00:00"/>
    <s v="-"/>
    <d v="1899-12-30T14:30:00"/>
    <n v="515"/>
    <n v="0"/>
    <n v="0"/>
    <n v="8"/>
    <n v="0"/>
    <n v="0"/>
    <n v="0"/>
    <n v="194"/>
    <n v="41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*N1_Aquino Evelin Ma"/>
    <x v="110"/>
    <d v="1899-12-30T14:30:00"/>
    <s v="-"/>
    <d v="1899-12-30T15:00:00"/>
    <n v="826"/>
    <n v="0"/>
    <n v="0"/>
    <n v="16"/>
    <n v="0"/>
    <n v="0"/>
    <n v="0"/>
    <n v="97"/>
    <n v="0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PCC_Sanchez Maximil"/>
    <x v="111"/>
    <d v="1899-12-30T16:00:00"/>
    <s v="-"/>
    <d v="1899-12-30T16:30:00"/>
    <n v="0"/>
    <n v="2"/>
    <n v="0"/>
    <n v="0"/>
    <n v="0"/>
    <n v="0"/>
    <n v="0"/>
    <n v="525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PCC_Sanchez Maximil"/>
    <x v="111"/>
    <d v="1899-12-30T15:30:00"/>
    <s v="-"/>
    <d v="1899-12-30T16:00:00"/>
    <n v="518"/>
    <n v="649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PCC_Sanchez Maximil"/>
    <x v="111"/>
    <d v="1899-12-30T14:30:00"/>
    <s v="-"/>
    <d v="1899-12-30T15:00:00"/>
    <n v="582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PCC_Sanchez Maximil"/>
    <x v="111"/>
    <d v="1899-12-30T15:00:00"/>
    <s v="-"/>
    <d v="1899-12-30T15:30:00"/>
    <n v="967"/>
    <n v="33"/>
    <n v="0"/>
    <n v="4"/>
    <n v="0"/>
    <n v="0"/>
    <n v="0"/>
    <n v="328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PCC_Sanchez Maximil"/>
    <x v="111"/>
    <d v="1899-12-30T14:00:00"/>
    <s v="-"/>
    <d v="1899-12-30T14:30:00"/>
    <n v="1127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PCC_ Monje Rodrigo"/>
    <x v="112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PCC_ Monje Rodrigo"/>
    <x v="112"/>
    <d v="1899-12-30T17:00:00"/>
    <s v="-"/>
    <d v="1899-12-30T17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7:00:00"/>
    <d v="1899-12-30T17:30:00"/>
  </r>
  <r>
    <d v="2024-10-02T00:00:00"/>
    <n v="924"/>
    <s v="S2S No Premium"/>
    <s v="PCC_ Monje Rodrigo"/>
    <x v="112"/>
    <d v="1899-12-30T15:00:00"/>
    <s v="-"/>
    <d v="1899-12-30T15:30:00"/>
    <n v="824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4"/>
    <n v="1"/>
    <x v="0"/>
    <x v="94"/>
    <d v="1899-12-30T15:00:00"/>
    <d v="1899-12-30T15:30:00"/>
  </r>
  <r>
    <d v="2024-10-02T00:00:00"/>
    <n v="924"/>
    <s v="S2S No Premium"/>
    <s v="PCC_ Monje Rodrigo"/>
    <x v="112"/>
    <d v="1899-12-30T14:00:00"/>
    <s v="-"/>
    <d v="1899-12-30T14:30:00"/>
    <n v="915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94"/>
    <d v="1899-12-30T14:00:00"/>
    <d v="1899-12-30T14:30:00"/>
  </r>
  <r>
    <d v="2024-10-02T00:00:00"/>
    <n v="924"/>
    <s v="S2S No Premium"/>
    <s v="PCC_ Monje Rodrigo"/>
    <x v="112"/>
    <d v="1899-12-30T16:30:00"/>
    <s v="-"/>
    <d v="1899-12-30T17:00:00"/>
    <n v="997"/>
    <n v="0"/>
    <n v="0"/>
    <n v="12"/>
    <n v="0"/>
    <n v="0"/>
    <n v="0"/>
    <n v="87"/>
    <n v="41"/>
    <n v="0"/>
    <n v="0"/>
    <n v="0"/>
    <n v="0"/>
    <n v="0"/>
    <n v="0"/>
    <n v="0"/>
    <n v="0"/>
    <n v="0"/>
    <n v="0"/>
    <n v="4"/>
    <n v="1"/>
    <x v="0"/>
    <x v="94"/>
    <d v="1899-12-30T16:30:00"/>
    <d v="1899-12-30T17:00:00"/>
  </r>
  <r>
    <d v="2024-10-02T00:00:00"/>
    <n v="924"/>
    <s v="S2S No Premium"/>
    <s v="PCC_ Monje Rodrigo"/>
    <x v="112"/>
    <d v="1899-12-30T14:30:00"/>
    <s v="-"/>
    <d v="1899-12-30T15:00:00"/>
    <n v="1034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3"/>
    <n v="1"/>
    <x v="0"/>
    <x v="94"/>
    <d v="1899-12-30T14:30:00"/>
    <d v="1899-12-30T15:00:00"/>
  </r>
  <r>
    <d v="2024-10-02T00:00:00"/>
    <n v="924"/>
    <s v="S2S No Premium"/>
    <s v="PCC_ Monje Rodrigo"/>
    <x v="112"/>
    <d v="1899-12-30T16:00:00"/>
    <s v="-"/>
    <d v="1899-12-30T16:30:00"/>
    <n v="1302"/>
    <n v="0"/>
    <n v="0"/>
    <n v="23"/>
    <n v="0"/>
    <n v="0"/>
    <n v="0"/>
    <n v="3"/>
    <n v="0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5"/>
    <s v="S2S Premium"/>
    <s v="P_Salina Maria E"/>
    <x v="113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P_Salina Maria E"/>
    <x v="113"/>
    <d v="1899-12-30T14:00:00"/>
    <s v="-"/>
    <d v="1899-12-30T14:30:00"/>
    <n v="735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5"/>
    <s v="S2S Premium"/>
    <s v="P_Salina Maria E"/>
    <x v="113"/>
    <d v="1899-12-30T14:30:00"/>
    <s v="-"/>
    <d v="1899-12-30T15:00:00"/>
    <n v="933"/>
    <n v="4"/>
    <n v="0"/>
    <n v="12"/>
    <n v="0"/>
    <n v="0"/>
    <n v="0"/>
    <n v="59"/>
    <n v="0"/>
    <n v="0"/>
    <n v="0"/>
    <n v="0"/>
    <n v="0"/>
    <n v="0"/>
    <n v="0"/>
    <n v="0"/>
    <n v="0"/>
    <n v="0"/>
    <n v="0"/>
    <n v="4"/>
    <n v="3"/>
    <x v="1"/>
    <x v="94"/>
    <d v="1899-12-30T14:30:00"/>
    <d v="1899-12-30T15:00:00"/>
  </r>
  <r>
    <d v="2024-10-02T00:00:00"/>
    <n v="924"/>
    <s v="S2S No Premium"/>
    <s v="N1_Cedro Pamela"/>
    <x v="114"/>
    <d v="1899-12-30T15:00:00"/>
    <s v="-"/>
    <d v="1899-12-30T15:30:00"/>
    <n v="16"/>
    <n v="24"/>
    <n v="0"/>
    <n v="0"/>
    <n v="0"/>
    <n v="0"/>
    <n v="0"/>
    <n v="179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N1_Cedro Pamela"/>
    <x v="114"/>
    <d v="1899-12-30T14:00:00"/>
    <s v="-"/>
    <d v="1899-12-30T14:30:00"/>
    <n v="828"/>
    <n v="0"/>
    <n v="0"/>
    <n v="18"/>
    <n v="0"/>
    <n v="0"/>
    <n v="0"/>
    <n v="6"/>
    <n v="0"/>
    <n v="0"/>
    <n v="0"/>
    <n v="0"/>
    <n v="0"/>
    <n v="0"/>
    <n v="0"/>
    <n v="0"/>
    <n v="0"/>
    <n v="0"/>
    <n v="0"/>
    <n v="4"/>
    <n v="2"/>
    <x v="0"/>
    <x v="94"/>
    <d v="1899-12-30T14:00:00"/>
    <d v="1899-12-30T14:30:00"/>
  </r>
  <r>
    <d v="2024-10-02T00:00:00"/>
    <n v="924"/>
    <s v="S2S No Premium"/>
    <s v="N1_Cedro Pamela"/>
    <x v="114"/>
    <d v="1899-12-30T14:30:00"/>
    <s v="-"/>
    <d v="1899-12-30T15:00:00"/>
    <n v="842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4"/>
    <s v="S2S No Premium"/>
    <s v="*N1_Mino Walter Man"/>
    <x v="115"/>
    <d v="1899-12-30T19:30:00"/>
    <s v="-"/>
    <d v="1899-12-30T20:00:00"/>
    <n v="608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4"/>
    <s v="S2S No Premium"/>
    <s v="*N1_Mino Walter Man"/>
    <x v="115"/>
    <d v="1899-12-30T19:00:00"/>
    <s v="-"/>
    <d v="1899-12-30T19:30:00"/>
    <n v="939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4"/>
    <s v="S2S No Premium"/>
    <s v="*N1_Mino Walter Man"/>
    <x v="115"/>
    <d v="1899-12-30T15:30:00"/>
    <s v="-"/>
    <d v="1899-12-30T16:00:00"/>
    <n v="969"/>
    <n v="0"/>
    <n v="0"/>
    <n v="16"/>
    <n v="0"/>
    <n v="0"/>
    <n v="0"/>
    <n v="67"/>
    <n v="50"/>
    <n v="0"/>
    <n v="0"/>
    <n v="0"/>
    <n v="0"/>
    <n v="0"/>
    <n v="0"/>
    <n v="0"/>
    <n v="0"/>
    <n v="0"/>
    <n v="0"/>
    <n v="4"/>
    <n v="4"/>
    <x v="0"/>
    <x v="94"/>
    <d v="1899-12-30T15:30:00"/>
    <d v="1899-12-30T16:00:00"/>
  </r>
  <r>
    <d v="2024-10-02T00:00:00"/>
    <n v="924"/>
    <s v="S2S No Premium"/>
    <s v="*N1_Mino Walter Man"/>
    <x v="115"/>
    <d v="1899-12-30T15:00:00"/>
    <s v="-"/>
    <d v="1899-12-30T15:30:00"/>
    <n v="1002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*N1_Mino Walter Man"/>
    <x v="115"/>
    <d v="1899-12-30T18:30:00"/>
    <s v="-"/>
    <d v="1899-12-30T19:00:00"/>
    <n v="112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8:30:00"/>
    <d v="1899-12-30T19:00:00"/>
  </r>
  <r>
    <d v="2024-10-02T00:00:00"/>
    <n v="924"/>
    <s v="S2S No Premium"/>
    <s v="*N1_Mino Walter Man"/>
    <x v="115"/>
    <d v="1899-12-30T16:00:00"/>
    <s v="-"/>
    <d v="1899-12-30T16:30:00"/>
    <n v="1270"/>
    <n v="0"/>
    <n v="0"/>
    <n v="12"/>
    <n v="0"/>
    <n v="0"/>
    <n v="0"/>
    <n v="182"/>
    <n v="0"/>
    <n v="0"/>
    <n v="0"/>
    <n v="0"/>
    <n v="0"/>
    <n v="0"/>
    <n v="0"/>
    <n v="0"/>
    <n v="0"/>
    <n v="0"/>
    <n v="0"/>
    <n v="3"/>
    <n v="3"/>
    <x v="0"/>
    <x v="94"/>
    <d v="1899-12-30T16:00:00"/>
    <d v="1899-12-30T16:30:00"/>
  </r>
  <r>
    <d v="2024-10-02T00:00:00"/>
    <n v="924"/>
    <s v="S2S No Premium"/>
    <s v="*N1_Mino Walter Man"/>
    <x v="115"/>
    <d v="1899-12-30T17:30:00"/>
    <s v="-"/>
    <d v="1899-12-30T18:00:00"/>
    <n v="1302"/>
    <n v="0"/>
    <n v="0"/>
    <n v="16"/>
    <n v="0"/>
    <n v="0"/>
    <n v="0"/>
    <n v="102"/>
    <n v="94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*N1_Mino Walter Man"/>
    <x v="115"/>
    <d v="1899-12-30T16:30:00"/>
    <s v="-"/>
    <d v="1899-12-30T17:00:00"/>
    <n v="1417"/>
    <n v="0"/>
    <n v="0"/>
    <n v="17"/>
    <n v="0"/>
    <n v="0"/>
    <n v="0"/>
    <n v="3"/>
    <n v="0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*N1_Mino Walter Man"/>
    <x v="115"/>
    <d v="1899-12-30T18:00:00"/>
    <s v="-"/>
    <d v="1899-12-30T18:30:00"/>
    <n v="1535"/>
    <n v="0"/>
    <n v="0"/>
    <n v="21"/>
    <n v="0"/>
    <n v="0"/>
    <n v="0"/>
    <n v="254"/>
    <n v="0"/>
    <n v="0"/>
    <n v="0"/>
    <n v="0"/>
    <n v="0"/>
    <n v="0"/>
    <n v="0"/>
    <n v="0"/>
    <n v="0"/>
    <n v="0"/>
    <n v="0"/>
    <n v="5"/>
    <n v="5"/>
    <x v="0"/>
    <x v="94"/>
    <d v="1899-12-30T18:00:00"/>
    <d v="1899-12-30T18:30:00"/>
  </r>
  <r>
    <d v="2024-10-02T00:00:00"/>
    <n v="924"/>
    <s v="S2S No Premium"/>
    <s v="*N1_Mino Walter Man"/>
    <x v="115"/>
    <d v="1899-12-30T17:00:00"/>
    <s v="-"/>
    <d v="1899-12-30T17:30:00"/>
    <n v="1553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3"/>
    <x v="0"/>
    <x v="94"/>
    <d v="1899-12-30T17:00:00"/>
    <d v="1899-12-30T17:30:00"/>
  </r>
  <r>
    <d v="2024-10-02T00:00:00"/>
    <n v="924"/>
    <s v="S2S No Premium"/>
    <s v="*XN2_Fernandez Rolan"/>
    <x v="116"/>
    <d v="1899-12-30T14:30:00"/>
    <s v="-"/>
    <d v="1899-12-30T15:0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4"/>
    <s v="S2S No Premium"/>
    <s v="*XN2_Fernandez Rolan"/>
    <x v="116"/>
    <d v="1899-12-30T16:00:00"/>
    <s v="-"/>
    <d v="1899-12-30T16:30:00"/>
    <n v="86"/>
    <n v="2"/>
    <n v="0"/>
    <n v="0"/>
    <n v="0"/>
    <n v="0"/>
    <n v="0"/>
    <n v="95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*XN2_Fernandez Rolan"/>
    <x v="116"/>
    <d v="1899-12-30T14:00:00"/>
    <s v="-"/>
    <d v="1899-12-30T14:30:00"/>
    <n v="291"/>
    <n v="1201"/>
    <n v="0"/>
    <n v="8"/>
    <n v="0"/>
    <n v="0"/>
    <n v="0"/>
    <n v="520"/>
    <n v="1"/>
    <n v="0"/>
    <n v="0"/>
    <n v="0"/>
    <n v="0"/>
    <n v="0"/>
    <n v="0"/>
    <n v="0"/>
    <n v="0"/>
    <n v="0"/>
    <n v="0"/>
    <n v="2"/>
    <n v="1"/>
    <x v="0"/>
    <x v="94"/>
    <d v="1899-12-30T14:00:00"/>
    <d v="1899-12-30T14:30:00"/>
  </r>
  <r>
    <d v="2024-10-02T00:00:00"/>
    <n v="924"/>
    <s v="S2S No Premium"/>
    <s v="*XN2_Fernandez Rolan"/>
    <x v="116"/>
    <d v="1899-12-30T15:00:00"/>
    <s v="-"/>
    <d v="1899-12-30T15:30:00"/>
    <n v="565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XN2_Fernandez Rolan"/>
    <x v="116"/>
    <d v="1899-12-30T15:30:00"/>
    <s v="-"/>
    <d v="1899-12-30T16:00:00"/>
    <n v="849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5:30:00"/>
    <d v="1899-12-30T16:00:00"/>
  </r>
  <r>
    <d v="2024-10-02T00:00:00"/>
    <n v="925"/>
    <s v="S2S Premium"/>
    <s v="N1m_Sanchez Carlina"/>
    <x v="117"/>
    <d v="1899-12-30T18:00:00"/>
    <s v="-"/>
    <d v="1899-12-30T18:30:00"/>
    <n v="95"/>
    <n v="3"/>
    <n v="0"/>
    <n v="0"/>
    <n v="0"/>
    <n v="0"/>
    <n v="0"/>
    <n v="59"/>
    <n v="1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N1m_Sanchez Carlina"/>
    <x v="117"/>
    <d v="1899-12-30T15:00:00"/>
    <s v="-"/>
    <d v="1899-12-30T15:30:00"/>
    <n v="2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N1m_Sanchez Carlina"/>
    <x v="117"/>
    <d v="1899-12-30T16:30:00"/>
    <s v="-"/>
    <d v="1899-12-30T17:00:00"/>
    <n v="581"/>
    <n v="0"/>
    <n v="0"/>
    <n v="13"/>
    <n v="0"/>
    <n v="0"/>
    <n v="0"/>
    <n v="161"/>
    <n v="149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N1m_Sanchez Carlina"/>
    <x v="117"/>
    <d v="1899-12-30T17:00:00"/>
    <s v="-"/>
    <d v="1899-12-30T17:30:00"/>
    <n v="672"/>
    <n v="0"/>
    <n v="0"/>
    <n v="12"/>
    <n v="0"/>
    <n v="0"/>
    <n v="0"/>
    <n v="876"/>
    <n v="586"/>
    <n v="0"/>
    <n v="0"/>
    <n v="0"/>
    <n v="0"/>
    <n v="0"/>
    <n v="0"/>
    <n v="0"/>
    <n v="0"/>
    <n v="0"/>
    <n v="0"/>
    <n v="3"/>
    <n v="1"/>
    <x v="1"/>
    <x v="94"/>
    <d v="1899-12-30T17:00:00"/>
    <d v="1899-12-30T17:30:00"/>
  </r>
  <r>
    <d v="2024-10-02T00:00:00"/>
    <n v="925"/>
    <s v="S2S Premium"/>
    <s v="N1m_Sanchez Carlina"/>
    <x v="117"/>
    <d v="1899-12-30T15:30:00"/>
    <s v="-"/>
    <d v="1899-12-30T16:00:00"/>
    <n v="685"/>
    <n v="0"/>
    <n v="0"/>
    <n v="13"/>
    <n v="0"/>
    <n v="0"/>
    <n v="0"/>
    <n v="112"/>
    <n v="99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N1m_Sanchez Carlina"/>
    <x v="117"/>
    <d v="1899-12-30T14:30:00"/>
    <s v="-"/>
    <d v="1899-12-30T15:00:00"/>
    <n v="726"/>
    <n v="0"/>
    <n v="0"/>
    <n v="12"/>
    <n v="0"/>
    <n v="0"/>
    <n v="0"/>
    <n v="223"/>
    <n v="74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5"/>
    <s v="S2S Premium"/>
    <s v="N1m_Sanchez Carlina"/>
    <x v="117"/>
    <d v="1899-12-30T16:00:00"/>
    <s v="-"/>
    <d v="1899-12-30T16:30:00"/>
    <n v="953"/>
    <n v="0"/>
    <n v="0"/>
    <n v="12"/>
    <n v="0"/>
    <n v="0"/>
    <n v="0"/>
    <n v="34"/>
    <n v="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N1m_Sanchez Carlina"/>
    <x v="117"/>
    <d v="1899-12-30T14:00:00"/>
    <s v="-"/>
    <d v="1899-12-30T14:30:00"/>
    <n v="1095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5"/>
    <s v="S2S Premium"/>
    <s v="N1m_Sanchez Carlina"/>
    <x v="117"/>
    <d v="1899-12-30T17:30:00"/>
    <s v="-"/>
    <d v="1899-12-30T18:00:00"/>
    <n v="1125"/>
    <n v="0"/>
    <n v="0"/>
    <n v="16"/>
    <n v="0"/>
    <n v="0"/>
    <n v="0"/>
    <n v="1"/>
    <n v="1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4"/>
    <s v="S2S No Premium"/>
    <s v="N1_Pitra B Selene"/>
    <x v="118"/>
    <d v="1899-12-30T19:00:00"/>
    <s v="-"/>
    <d v="1899-12-30T19:30:00"/>
    <n v="0"/>
    <n v="23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9:00:00"/>
    <d v="1899-12-30T19:30:00"/>
  </r>
  <r>
    <d v="2024-10-02T00:00:00"/>
    <n v="924"/>
    <s v="S2S No Premium"/>
    <s v="N1_Pitra B Selene"/>
    <x v="118"/>
    <d v="1899-12-30T17:00:00"/>
    <s v="-"/>
    <d v="1899-12-30T17:30:00"/>
    <n v="277"/>
    <n v="0"/>
    <n v="0"/>
    <n v="0"/>
    <n v="0"/>
    <n v="0"/>
    <n v="0"/>
    <n v="84"/>
    <n v="1"/>
    <n v="0"/>
    <n v="0"/>
    <n v="0"/>
    <n v="0"/>
    <n v="0"/>
    <n v="0"/>
    <n v="0"/>
    <n v="0"/>
    <n v="0"/>
    <n v="0"/>
    <n v="1"/>
    <n v="1"/>
    <x v="0"/>
    <x v="94"/>
    <d v="1899-12-30T17:00:00"/>
    <d v="1899-12-30T17:30:00"/>
  </r>
  <r>
    <d v="2024-10-02T00:00:00"/>
    <n v="924"/>
    <s v="S2S No Premium"/>
    <s v="N1_Pitra B Selene"/>
    <x v="118"/>
    <d v="1899-12-30T17:30:00"/>
    <s v="-"/>
    <d v="1899-12-30T18:00:00"/>
    <n v="283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7:30:00"/>
    <d v="1899-12-30T18:00:00"/>
  </r>
  <r>
    <d v="2024-10-02T00:00:00"/>
    <n v="924"/>
    <s v="S2S No Premium"/>
    <s v="N1_Pitra B Selene"/>
    <x v="118"/>
    <d v="1899-12-30T14:30:00"/>
    <s v="-"/>
    <d v="1899-12-30T15:00:00"/>
    <n v="479"/>
    <n v="0"/>
    <n v="0"/>
    <n v="19"/>
    <n v="0"/>
    <n v="0"/>
    <n v="0"/>
    <n v="70"/>
    <n v="1"/>
    <n v="0"/>
    <n v="0"/>
    <n v="0"/>
    <n v="0"/>
    <n v="0"/>
    <n v="0"/>
    <n v="0"/>
    <n v="0"/>
    <n v="0"/>
    <n v="0"/>
    <n v="4"/>
    <n v="3"/>
    <x v="0"/>
    <x v="94"/>
    <d v="1899-12-30T14:30:00"/>
    <d v="1899-12-30T15:00:00"/>
  </r>
  <r>
    <d v="2024-10-02T00:00:00"/>
    <n v="924"/>
    <s v="S2S No Premium"/>
    <s v="N1_Pitra B Selene"/>
    <x v="118"/>
    <d v="1899-12-30T14:00:00"/>
    <s v="-"/>
    <d v="1899-12-30T14:30:00"/>
    <n v="570"/>
    <n v="0"/>
    <n v="0"/>
    <n v="16"/>
    <n v="0"/>
    <n v="0"/>
    <n v="0"/>
    <n v="88"/>
    <n v="1"/>
    <n v="0"/>
    <n v="0"/>
    <n v="0"/>
    <n v="0"/>
    <n v="0"/>
    <n v="0"/>
    <n v="0"/>
    <n v="0"/>
    <n v="0"/>
    <n v="0"/>
    <n v="4"/>
    <n v="4"/>
    <x v="0"/>
    <x v="94"/>
    <d v="1899-12-30T14:00:00"/>
    <d v="1899-12-30T14:30:00"/>
  </r>
  <r>
    <d v="2024-10-02T00:00:00"/>
    <n v="924"/>
    <s v="S2S No Premium"/>
    <s v="N1_Pitra B Selene"/>
    <x v="118"/>
    <d v="1899-12-30T15:00:00"/>
    <s v="-"/>
    <d v="1899-12-30T15:30:00"/>
    <n v="675"/>
    <n v="82"/>
    <n v="0"/>
    <n v="16"/>
    <n v="0"/>
    <n v="0"/>
    <n v="0"/>
    <n v="0"/>
    <n v="0"/>
    <n v="0"/>
    <n v="0"/>
    <n v="0"/>
    <n v="0"/>
    <n v="0"/>
    <n v="0"/>
    <n v="0"/>
    <n v="0"/>
    <n v="0"/>
    <n v="0"/>
    <n v="4"/>
    <n v="3"/>
    <x v="0"/>
    <x v="94"/>
    <d v="1899-12-30T15:00:00"/>
    <d v="1899-12-30T15:30:00"/>
  </r>
  <r>
    <d v="2024-10-02T00:00:00"/>
    <n v="924"/>
    <s v="S2S No Premium"/>
    <s v="N1_Pitra B Selene"/>
    <x v="118"/>
    <d v="1899-12-30T18:30:00"/>
    <s v="-"/>
    <d v="1899-12-30T19:00:00"/>
    <n v="687"/>
    <n v="28"/>
    <n v="0"/>
    <n v="18"/>
    <n v="0"/>
    <n v="0"/>
    <n v="0"/>
    <n v="350"/>
    <n v="1"/>
    <n v="0"/>
    <n v="0"/>
    <n v="0"/>
    <n v="0"/>
    <n v="0"/>
    <n v="0"/>
    <n v="0"/>
    <n v="0"/>
    <n v="0"/>
    <n v="0"/>
    <n v="4"/>
    <n v="4"/>
    <x v="0"/>
    <x v="94"/>
    <d v="1899-12-30T18:30:00"/>
    <d v="1899-12-30T19:00:00"/>
  </r>
  <r>
    <d v="2024-10-02T00:00:00"/>
    <n v="924"/>
    <s v="S2S No Premium"/>
    <s v="N1_Pitra B Selene"/>
    <x v="118"/>
    <d v="1899-12-30T18:00:00"/>
    <s v="-"/>
    <d v="1899-12-30T18:30:00"/>
    <n v="825"/>
    <n v="166"/>
    <n v="0"/>
    <n v="16"/>
    <n v="0"/>
    <n v="0"/>
    <n v="0"/>
    <n v="392"/>
    <n v="1"/>
    <n v="0"/>
    <n v="0"/>
    <n v="0"/>
    <n v="0"/>
    <n v="0"/>
    <n v="0"/>
    <n v="0"/>
    <n v="0"/>
    <n v="0"/>
    <n v="0"/>
    <n v="4"/>
    <n v="3"/>
    <x v="0"/>
    <x v="94"/>
    <d v="1899-12-30T18:00:00"/>
    <d v="1899-12-30T18:30:00"/>
  </r>
  <r>
    <d v="2024-10-02T00:00:00"/>
    <n v="924"/>
    <s v="S2S No Premium"/>
    <s v="N1_Pitra B Selene"/>
    <x v="118"/>
    <d v="1899-12-30T15:30:00"/>
    <s v="-"/>
    <d v="1899-12-30T16:00:00"/>
    <n v="828"/>
    <n v="0"/>
    <n v="0"/>
    <n v="22"/>
    <n v="0"/>
    <n v="0"/>
    <n v="0"/>
    <n v="169"/>
    <n v="0"/>
    <n v="0"/>
    <n v="0"/>
    <n v="0"/>
    <n v="0"/>
    <n v="0"/>
    <n v="0"/>
    <n v="0"/>
    <n v="0"/>
    <n v="0"/>
    <n v="0"/>
    <n v="4"/>
    <n v="4"/>
    <x v="0"/>
    <x v="94"/>
    <d v="1899-12-30T15:30:00"/>
    <d v="1899-12-30T16:00:00"/>
  </r>
  <r>
    <d v="2024-10-02T00:00:00"/>
    <n v="924"/>
    <s v="S2S No Premium"/>
    <s v="N1_Pitra B Selene"/>
    <x v="118"/>
    <d v="1899-12-30T16:00:00"/>
    <s v="-"/>
    <d v="1899-12-30T16:30:00"/>
    <n v="976"/>
    <n v="0"/>
    <n v="0"/>
    <n v="17"/>
    <n v="0"/>
    <n v="0"/>
    <n v="0"/>
    <n v="445"/>
    <n v="0"/>
    <n v="0"/>
    <n v="0"/>
    <n v="0"/>
    <n v="0"/>
    <n v="0"/>
    <n v="0"/>
    <n v="0"/>
    <n v="0"/>
    <n v="0"/>
    <n v="0"/>
    <n v="5"/>
    <n v="4"/>
    <x v="0"/>
    <x v="94"/>
    <d v="1899-12-30T16:00:00"/>
    <d v="1899-12-30T16:30:00"/>
  </r>
  <r>
    <d v="2024-10-02T00:00:00"/>
    <n v="924"/>
    <s v="S2S No Premium"/>
    <s v="N1_Pitra B Selene"/>
    <x v="118"/>
    <d v="1899-12-30T16:30:00"/>
    <s v="-"/>
    <d v="1899-12-30T17:00:00"/>
    <n v="1045"/>
    <n v="0"/>
    <n v="0"/>
    <n v="25"/>
    <n v="0"/>
    <n v="0"/>
    <n v="0"/>
    <n v="233"/>
    <n v="0"/>
    <n v="0"/>
    <n v="0"/>
    <n v="0"/>
    <n v="0"/>
    <n v="0"/>
    <n v="0"/>
    <n v="0"/>
    <n v="0"/>
    <n v="0"/>
    <n v="0"/>
    <n v="5"/>
    <n v="5"/>
    <x v="0"/>
    <x v="94"/>
    <d v="1899-12-30T16:30:00"/>
    <d v="1899-12-30T17:00:00"/>
  </r>
  <r>
    <d v="2024-10-02T00:00:00"/>
    <n v="924"/>
    <s v="S2S No Premium"/>
    <s v="N1_ Espinoza Adrian"/>
    <x v="119"/>
    <d v="1899-12-30T18:30:00"/>
    <s v="-"/>
    <d v="1899-12-30T19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30:00"/>
    <d v="1899-12-30T19:00:00"/>
  </r>
  <r>
    <d v="2024-10-02T00:00:00"/>
    <n v="924"/>
    <s v="S2S No Premium"/>
    <s v="N1_ Espinoza Adrian"/>
    <x v="119"/>
    <d v="1899-12-30T19:00:00"/>
    <s v="-"/>
    <d v="1899-12-30T19:30:00"/>
    <n v="626"/>
    <n v="161"/>
    <n v="0"/>
    <n v="11"/>
    <n v="0"/>
    <n v="0"/>
    <n v="0"/>
    <n v="395"/>
    <n v="166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1_ Espinoza Adrian"/>
    <x v="119"/>
    <d v="1899-12-30T14:00:00"/>
    <s v="-"/>
    <d v="1899-12-30T14:30:00"/>
    <n v="710"/>
    <n v="24"/>
    <n v="0"/>
    <n v="12"/>
    <n v="0"/>
    <n v="0"/>
    <n v="0"/>
    <n v="381"/>
    <n v="211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N1_ Espinoza Adrian"/>
    <x v="119"/>
    <d v="1899-12-30T19:30:00"/>
    <s v="-"/>
    <d v="1899-12-30T20:00:00"/>
    <n v="771"/>
    <n v="2"/>
    <n v="0"/>
    <n v="8"/>
    <n v="0"/>
    <n v="0"/>
    <n v="0"/>
    <n v="213"/>
    <n v="0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N1_ Espinoza Adrian"/>
    <x v="119"/>
    <d v="1899-12-30T18:00:00"/>
    <s v="-"/>
    <d v="1899-12-30T18:30:00"/>
    <n v="772"/>
    <n v="19"/>
    <n v="0"/>
    <n v="4"/>
    <n v="0"/>
    <n v="0"/>
    <n v="0"/>
    <n v="511"/>
    <n v="47"/>
    <n v="0"/>
    <n v="0"/>
    <n v="0"/>
    <n v="0"/>
    <n v="0"/>
    <n v="0"/>
    <n v="0"/>
    <n v="0"/>
    <n v="0"/>
    <n v="0"/>
    <n v="2"/>
    <n v="1"/>
    <x v="0"/>
    <x v="94"/>
    <d v="1899-12-30T18:00:00"/>
    <d v="1899-12-30T18:30:00"/>
  </r>
  <r>
    <d v="2024-10-02T00:00:00"/>
    <n v="924"/>
    <s v="S2S No Premium"/>
    <s v="N1_ Espinoza Adrian"/>
    <x v="119"/>
    <d v="1899-12-30T14:30:00"/>
    <s v="-"/>
    <d v="1899-12-30T15:00:00"/>
    <n v="848"/>
    <n v="31"/>
    <n v="0"/>
    <n v="8"/>
    <n v="0"/>
    <n v="0"/>
    <n v="0"/>
    <n v="172"/>
    <n v="1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N1_ Espinoza Adrian"/>
    <x v="119"/>
    <d v="1899-12-30T15:30:00"/>
    <s v="-"/>
    <d v="1899-12-30T16:00:00"/>
    <n v="1024"/>
    <n v="14"/>
    <n v="0"/>
    <n v="19"/>
    <n v="0"/>
    <n v="0"/>
    <n v="0"/>
    <n v="152"/>
    <n v="2"/>
    <n v="0"/>
    <n v="0"/>
    <n v="0"/>
    <n v="0"/>
    <n v="0"/>
    <n v="0"/>
    <n v="0"/>
    <n v="0"/>
    <n v="0"/>
    <n v="0"/>
    <n v="5"/>
    <n v="4"/>
    <x v="0"/>
    <x v="94"/>
    <d v="1899-12-30T15:30:00"/>
    <d v="1899-12-30T16:00:00"/>
  </r>
  <r>
    <d v="2024-10-02T00:00:00"/>
    <n v="924"/>
    <s v="S2S No Premium"/>
    <s v="N1_ Espinoza Adrian"/>
    <x v="119"/>
    <d v="1899-12-30T16:00:00"/>
    <s v="-"/>
    <d v="1899-12-30T16:30:00"/>
    <n v="1084"/>
    <n v="8"/>
    <n v="0"/>
    <n v="13"/>
    <n v="0"/>
    <n v="0"/>
    <n v="0"/>
    <n v="85"/>
    <n v="0"/>
    <n v="0"/>
    <n v="0"/>
    <n v="0"/>
    <n v="0"/>
    <n v="0"/>
    <n v="0"/>
    <n v="0"/>
    <n v="0"/>
    <n v="0"/>
    <n v="0"/>
    <n v="3"/>
    <n v="2"/>
    <x v="0"/>
    <x v="94"/>
    <d v="1899-12-30T16:00:00"/>
    <d v="1899-12-30T16:30:00"/>
  </r>
  <r>
    <d v="2024-10-02T00:00:00"/>
    <n v="924"/>
    <s v="S2S No Premium"/>
    <s v="N1_ Espinoza Adrian"/>
    <x v="119"/>
    <d v="1899-12-30T15:00:00"/>
    <s v="-"/>
    <d v="1899-12-30T15:30:00"/>
    <n v="1346"/>
    <n v="3"/>
    <n v="0"/>
    <n v="8"/>
    <n v="0"/>
    <n v="0"/>
    <n v="0"/>
    <n v="50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N1_ Espinoza Adrian"/>
    <x v="119"/>
    <d v="1899-12-30T16:30:00"/>
    <s v="-"/>
    <d v="1899-12-30T17:00:00"/>
    <n v="1375"/>
    <n v="0"/>
    <n v="0"/>
    <n v="19"/>
    <n v="0"/>
    <n v="0"/>
    <n v="0"/>
    <n v="2"/>
    <n v="1"/>
    <n v="0"/>
    <n v="0"/>
    <n v="0"/>
    <n v="0"/>
    <n v="0"/>
    <n v="0"/>
    <n v="0"/>
    <n v="0"/>
    <n v="0"/>
    <n v="0"/>
    <n v="5"/>
    <n v="5"/>
    <x v="0"/>
    <x v="94"/>
    <d v="1899-12-30T16:30:00"/>
    <d v="1899-12-30T17:00:00"/>
  </r>
  <r>
    <d v="2024-10-02T00:00:00"/>
    <n v="924"/>
    <s v="S2S No Premium"/>
    <s v="N1_ Espinoza Adrian"/>
    <x v="119"/>
    <d v="1899-12-30T17:30:00"/>
    <s v="-"/>
    <d v="1899-12-30T18:00:00"/>
    <n v="1423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3"/>
    <x v="0"/>
    <x v="94"/>
    <d v="1899-12-30T17:30:00"/>
    <d v="1899-12-30T18:00:00"/>
  </r>
  <r>
    <d v="2024-10-02T00:00:00"/>
    <n v="924"/>
    <s v="S2S No Premium"/>
    <s v="N1_ Espinoza Adrian"/>
    <x v="119"/>
    <d v="1899-12-30T17:00:00"/>
    <s v="-"/>
    <d v="1899-12-30T17:30:00"/>
    <n v="1537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4"/>
    <s v="S2S No Premium"/>
    <s v="N2_Vande Voorde Bru"/>
    <x v="120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00:00"/>
    <d v="1899-12-30T14:30:00"/>
  </r>
  <r>
    <d v="2024-10-02T00:00:00"/>
    <n v="924"/>
    <s v="S2S No Premium"/>
    <s v="N2_Vande Voorde Bru"/>
    <x v="120"/>
    <d v="1899-12-30T18:30:00"/>
    <s v="-"/>
    <d v="1899-12-30T19:00:00"/>
    <n v="9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2_Vande Voorde Bru"/>
    <x v="120"/>
    <d v="1899-12-30T19:00:00"/>
    <s v="-"/>
    <d v="1899-12-30T19:30:00"/>
    <n v="658"/>
    <n v="0"/>
    <n v="0"/>
    <n v="12"/>
    <n v="0"/>
    <n v="0"/>
    <n v="0"/>
    <n v="134"/>
    <n v="60"/>
    <n v="0"/>
    <n v="0"/>
    <n v="0"/>
    <n v="0"/>
    <n v="0"/>
    <n v="0"/>
    <n v="0"/>
    <n v="0"/>
    <n v="0"/>
    <n v="0"/>
    <n v="2"/>
    <n v="1"/>
    <x v="0"/>
    <x v="94"/>
    <d v="1899-12-30T19:00:00"/>
    <d v="1899-12-30T19:30:00"/>
  </r>
  <r>
    <d v="2024-10-02T00:00:00"/>
    <n v="924"/>
    <s v="S2S No Premium"/>
    <s v="N2_Vande Voorde Bru"/>
    <x v="120"/>
    <d v="1899-12-30T15:00:00"/>
    <s v="-"/>
    <d v="1899-12-30T15:30:00"/>
    <n v="879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5:00:00"/>
    <d v="1899-12-30T15:30:00"/>
  </r>
  <r>
    <d v="2024-10-02T00:00:00"/>
    <n v="924"/>
    <s v="S2S No Premium"/>
    <s v="N2_Vande Voorde Bru"/>
    <x v="120"/>
    <d v="1899-12-30T14:30:00"/>
    <s v="-"/>
    <d v="1899-12-30T15:00:00"/>
    <n v="1005"/>
    <n v="0"/>
    <n v="0"/>
    <n v="12"/>
    <n v="0"/>
    <n v="0"/>
    <n v="0"/>
    <n v="53"/>
    <n v="0"/>
    <n v="0"/>
    <n v="0"/>
    <n v="0"/>
    <n v="0"/>
    <n v="0"/>
    <n v="0"/>
    <n v="0"/>
    <n v="0"/>
    <n v="0"/>
    <n v="0"/>
    <n v="2"/>
    <n v="1"/>
    <x v="0"/>
    <x v="94"/>
    <d v="1899-12-30T14:30:00"/>
    <d v="1899-12-30T15:00:00"/>
  </r>
  <r>
    <d v="2024-10-02T00:00:00"/>
    <n v="924"/>
    <s v="S2S No Premium"/>
    <s v="N2_Vande Voorde Bru"/>
    <x v="120"/>
    <d v="1899-12-30T17:30:00"/>
    <s v="-"/>
    <d v="1899-12-30T18:00:00"/>
    <n v="1013"/>
    <n v="0"/>
    <n v="0"/>
    <n v="16"/>
    <n v="0"/>
    <n v="0"/>
    <n v="0"/>
    <n v="770"/>
    <n v="540"/>
    <n v="0"/>
    <n v="0"/>
    <n v="0"/>
    <n v="0"/>
    <n v="0"/>
    <n v="0"/>
    <n v="0"/>
    <n v="0"/>
    <n v="0"/>
    <n v="0"/>
    <n v="4"/>
    <n v="3"/>
    <x v="0"/>
    <x v="94"/>
    <d v="1899-12-30T17:30:00"/>
    <d v="1899-12-30T18:00:00"/>
  </r>
  <r>
    <d v="2024-10-02T00:00:00"/>
    <n v="924"/>
    <s v="S2S No Premium"/>
    <s v="N2_Vande Voorde Bru"/>
    <x v="120"/>
    <d v="1899-12-30T19:30:00"/>
    <s v="-"/>
    <d v="1899-12-30T20:00:00"/>
    <n v="1041"/>
    <n v="0"/>
    <n v="0"/>
    <n v="8"/>
    <n v="0"/>
    <n v="0"/>
    <n v="0"/>
    <n v="141"/>
    <n v="88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N2_Vande Voorde Bru"/>
    <x v="120"/>
    <d v="1899-12-30T15:30:00"/>
    <s v="-"/>
    <d v="1899-12-30T16:00:00"/>
    <n v="104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N2_Vande Voorde Bru"/>
    <x v="120"/>
    <d v="1899-12-30T17:00:00"/>
    <s v="-"/>
    <d v="1899-12-30T17:30:00"/>
    <n v="1255"/>
    <n v="0"/>
    <n v="0"/>
    <n v="16"/>
    <n v="0"/>
    <n v="0"/>
    <n v="0"/>
    <n v="3"/>
    <n v="77"/>
    <n v="0"/>
    <n v="0"/>
    <n v="0"/>
    <n v="0"/>
    <n v="0"/>
    <n v="0"/>
    <n v="0"/>
    <n v="0"/>
    <n v="0"/>
    <n v="0"/>
    <n v="4"/>
    <n v="2"/>
    <x v="0"/>
    <x v="94"/>
    <d v="1899-12-30T17:00:00"/>
    <d v="1899-12-30T17:30:00"/>
  </r>
  <r>
    <d v="2024-10-02T00:00:00"/>
    <n v="924"/>
    <s v="S2S No Premium"/>
    <s v="N2_Vande Voorde Bru"/>
    <x v="120"/>
    <d v="1899-12-30T16:00:00"/>
    <s v="-"/>
    <d v="1899-12-30T16:30:00"/>
    <n v="1280"/>
    <n v="0"/>
    <n v="0"/>
    <n v="12"/>
    <n v="0"/>
    <n v="0"/>
    <n v="0"/>
    <n v="91"/>
    <n v="0"/>
    <n v="0"/>
    <n v="0"/>
    <n v="0"/>
    <n v="0"/>
    <n v="0"/>
    <n v="0"/>
    <n v="0"/>
    <n v="0"/>
    <n v="0"/>
    <n v="0"/>
    <n v="3"/>
    <n v="2"/>
    <x v="0"/>
    <x v="94"/>
    <d v="1899-12-30T16:00:00"/>
    <d v="1899-12-30T16:30:00"/>
  </r>
  <r>
    <d v="2024-10-02T00:00:00"/>
    <n v="924"/>
    <s v="S2S No Premium"/>
    <s v="N2_Vande Voorde Bru"/>
    <x v="120"/>
    <d v="1899-12-30T16:30:00"/>
    <s v="-"/>
    <d v="1899-12-30T17:00:00"/>
    <n v="144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N2_Vande Voorde Bru"/>
    <x v="120"/>
    <d v="1899-12-30T18:00:00"/>
    <s v="-"/>
    <d v="1899-12-30T18:30:00"/>
    <n v="1616"/>
    <n v="51"/>
    <n v="0"/>
    <n v="16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8:00:00"/>
    <d v="1899-12-30T18:30:00"/>
  </r>
  <r>
    <d v="2024-10-02T00:00:00"/>
    <n v="925"/>
    <s v="S2S Premium"/>
    <s v="N2_Martinez Diego"/>
    <x v="121"/>
    <d v="1899-12-30T15:00:00"/>
    <s v="-"/>
    <d v="1899-12-30T15:30:00"/>
    <n v="44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N2_Martinez Diego"/>
    <x v="121"/>
    <d v="1899-12-30T15:30:00"/>
    <s v="-"/>
    <d v="1899-12-30T16:00:00"/>
    <n v="509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N2_Martinez Diego"/>
    <x v="121"/>
    <d v="1899-12-30T19:30:00"/>
    <s v="-"/>
    <d v="1899-12-30T20:00:00"/>
    <n v="62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30:00"/>
    <d v="1899-12-30T20:00:00"/>
  </r>
  <r>
    <d v="2024-10-02T00:00:00"/>
    <n v="925"/>
    <s v="S2S Premium"/>
    <s v="N2_Martinez Diego"/>
    <x v="121"/>
    <d v="1899-12-30T17:00:00"/>
    <s v="-"/>
    <d v="1899-12-30T17:30:00"/>
    <n v="768"/>
    <n v="0"/>
    <n v="0"/>
    <n v="12"/>
    <n v="0"/>
    <n v="0"/>
    <n v="0"/>
    <n v="368"/>
    <n v="0"/>
    <n v="0"/>
    <n v="0"/>
    <n v="0"/>
    <n v="0"/>
    <n v="0"/>
    <n v="0"/>
    <n v="0"/>
    <n v="0"/>
    <n v="0"/>
    <n v="0"/>
    <n v="3"/>
    <n v="2"/>
    <x v="1"/>
    <x v="94"/>
    <d v="1899-12-30T17:00:00"/>
    <d v="1899-12-30T17:30:00"/>
  </r>
  <r>
    <d v="2024-10-02T00:00:00"/>
    <n v="925"/>
    <s v="S2S Premium"/>
    <s v="N2_Martinez Diego"/>
    <x v="121"/>
    <d v="1899-12-30T18:00:00"/>
    <s v="-"/>
    <d v="1899-12-30T18:30:00"/>
    <n v="910"/>
    <n v="216"/>
    <n v="0"/>
    <n v="8"/>
    <n v="0"/>
    <n v="0"/>
    <n v="0"/>
    <n v="376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N2_Martinez Diego"/>
    <x v="121"/>
    <d v="1899-12-30T19:00:00"/>
    <s v="-"/>
    <d v="1899-12-30T19:30:00"/>
    <n v="937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9:00:00"/>
    <d v="1899-12-30T19:30:00"/>
  </r>
  <r>
    <d v="2024-10-02T00:00:00"/>
    <n v="925"/>
    <s v="S2S Premium"/>
    <s v="N2_Martinez Diego"/>
    <x v="121"/>
    <d v="1899-12-30T16:00:00"/>
    <s v="-"/>
    <d v="1899-12-30T16:30:00"/>
    <n v="1084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N2_Martinez Diego"/>
    <x v="121"/>
    <d v="1899-12-30T16:30:00"/>
    <s v="-"/>
    <d v="1899-12-30T17:00:00"/>
    <n v="1183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4"/>
    <n v="3"/>
    <x v="1"/>
    <x v="94"/>
    <d v="1899-12-30T16:30:00"/>
    <d v="1899-12-30T17:00:00"/>
  </r>
  <r>
    <d v="2024-10-02T00:00:00"/>
    <n v="925"/>
    <s v="S2S Premium"/>
    <s v="N2_Martinez Diego"/>
    <x v="121"/>
    <d v="1899-12-30T18:30:00"/>
    <s v="-"/>
    <d v="1899-12-30T19:00:00"/>
    <n v="1314"/>
    <n v="0"/>
    <n v="0"/>
    <n v="12"/>
    <n v="0"/>
    <n v="0"/>
    <n v="0"/>
    <n v="1"/>
    <n v="1"/>
    <n v="0"/>
    <n v="0"/>
    <n v="0"/>
    <n v="0"/>
    <n v="0"/>
    <n v="0"/>
    <n v="0"/>
    <n v="0"/>
    <n v="0"/>
    <n v="0"/>
    <n v="3"/>
    <n v="3"/>
    <x v="1"/>
    <x v="94"/>
    <d v="1899-12-30T18:30:00"/>
    <d v="1899-12-30T19:00:00"/>
  </r>
  <r>
    <d v="2024-10-02T00:00:00"/>
    <n v="925"/>
    <s v="S2S Premium"/>
    <s v="N2_Martinez Diego"/>
    <x v="121"/>
    <d v="1899-12-30T17:30:00"/>
    <s v="-"/>
    <d v="1899-12-30T18:00:00"/>
    <n v="1648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7:30:00"/>
    <d v="1899-12-30T18:00:00"/>
  </r>
  <r>
    <d v="2024-10-02T00:00:00"/>
    <n v="925"/>
    <s v="S2S Premium"/>
    <s v="N2_Gutierrez Lara"/>
    <x v="122"/>
    <d v="1899-12-30T19:30:00"/>
    <s v="-"/>
    <d v="1899-12-30T20:0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9:30:00"/>
    <d v="1899-12-30T20:00:00"/>
  </r>
  <r>
    <d v="2024-10-02T00:00:00"/>
    <n v="925"/>
    <s v="S2S Premium"/>
    <s v="N2_Gutierrez Lara"/>
    <x v="122"/>
    <d v="1899-12-30T16:00:00"/>
    <s v="-"/>
    <d v="1899-12-30T16:30:00"/>
    <n v="702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4"/>
    <x v="1"/>
    <x v="94"/>
    <d v="1899-12-30T16:00:00"/>
    <d v="1899-12-30T16:30:00"/>
  </r>
  <r>
    <d v="2024-10-02T00:00:00"/>
    <n v="925"/>
    <s v="S2S Premium"/>
    <s v="N2_Gutierrez Lara"/>
    <x v="122"/>
    <d v="1899-12-30T18:00:00"/>
    <s v="-"/>
    <d v="1899-12-30T18:30:00"/>
    <n v="746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2"/>
    <n v="1"/>
    <x v="1"/>
    <x v="94"/>
    <d v="1899-12-30T18:00:00"/>
    <d v="1899-12-30T18:30:00"/>
  </r>
  <r>
    <d v="2024-10-02T00:00:00"/>
    <n v="925"/>
    <s v="S2S Premium"/>
    <s v="N2_Gutierrez Lara"/>
    <x v="122"/>
    <d v="1899-12-30T15:00:00"/>
    <s v="-"/>
    <d v="1899-12-30T15:30:00"/>
    <n v="768"/>
    <n v="0"/>
    <n v="0"/>
    <n v="12"/>
    <n v="0"/>
    <n v="0"/>
    <n v="0"/>
    <n v="63"/>
    <n v="0"/>
    <n v="0"/>
    <n v="0"/>
    <n v="0"/>
    <n v="0"/>
    <n v="0"/>
    <n v="0"/>
    <n v="0"/>
    <n v="0"/>
    <n v="0"/>
    <n v="0"/>
    <n v="2"/>
    <n v="2"/>
    <x v="1"/>
    <x v="94"/>
    <d v="1899-12-30T15:00:00"/>
    <d v="1899-12-30T15:30:00"/>
  </r>
  <r>
    <d v="2024-10-02T00:00:00"/>
    <n v="925"/>
    <s v="S2S Premium"/>
    <s v="N2_Gutierrez Lara"/>
    <x v="122"/>
    <d v="1899-12-30T18:30:00"/>
    <s v="-"/>
    <d v="1899-12-30T19:00:00"/>
    <n v="979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6"/>
    <n v="3"/>
    <x v="1"/>
    <x v="94"/>
    <d v="1899-12-30T18:30:00"/>
    <d v="1899-12-30T19:00:00"/>
  </r>
  <r>
    <d v="2024-10-02T00:00:00"/>
    <n v="925"/>
    <s v="S2S Premium"/>
    <s v="N2_Gutierrez Lara"/>
    <x v="122"/>
    <d v="1899-12-30T15:30:00"/>
    <s v="-"/>
    <d v="1899-12-30T16:00:00"/>
    <n v="1108"/>
    <n v="0"/>
    <n v="0"/>
    <n v="8"/>
    <n v="0"/>
    <n v="0"/>
    <n v="0"/>
    <n v="71"/>
    <n v="0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N2_Gutierrez Lara"/>
    <x v="122"/>
    <d v="1899-12-30T17:00:00"/>
    <s v="-"/>
    <d v="1899-12-30T17:30:00"/>
    <n v="1128"/>
    <n v="0"/>
    <n v="0"/>
    <n v="12"/>
    <n v="0"/>
    <n v="0"/>
    <n v="0"/>
    <n v="427"/>
    <n v="0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N2_Gutierrez Lara"/>
    <x v="122"/>
    <d v="1899-12-30T17:30:00"/>
    <s v="-"/>
    <d v="1899-12-30T18:00:00"/>
    <n v="1129"/>
    <n v="0"/>
    <n v="0"/>
    <n v="24"/>
    <n v="0"/>
    <n v="0"/>
    <n v="0"/>
    <n v="66"/>
    <n v="0"/>
    <n v="0"/>
    <n v="0"/>
    <n v="0"/>
    <n v="0"/>
    <n v="0"/>
    <n v="0"/>
    <n v="0"/>
    <n v="0"/>
    <n v="0"/>
    <n v="0"/>
    <n v="6"/>
    <n v="4"/>
    <x v="1"/>
    <x v="94"/>
    <d v="1899-12-30T17:30:00"/>
    <d v="1899-12-30T18:00:00"/>
  </r>
  <r>
    <d v="2024-10-02T00:00:00"/>
    <n v="925"/>
    <s v="S2S Premium"/>
    <s v="N2_Gutierrez Lara"/>
    <x v="122"/>
    <d v="1899-12-30T16:30:00"/>
    <s v="-"/>
    <d v="1899-12-30T17:00:00"/>
    <n v="1226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6:30:00"/>
    <d v="1899-12-30T17:00:00"/>
  </r>
  <r>
    <d v="2024-10-02T00:00:00"/>
    <n v="925"/>
    <s v="S2S Premium"/>
    <s v="N2_Gutierrez Lara"/>
    <x v="122"/>
    <d v="1899-12-30T19:00:00"/>
    <s v="-"/>
    <d v="1899-12-30T19:30:00"/>
    <n v="1370"/>
    <n v="0"/>
    <n v="0"/>
    <n v="19"/>
    <n v="0"/>
    <n v="0"/>
    <n v="0"/>
    <n v="36"/>
    <n v="0"/>
    <n v="0"/>
    <n v="0"/>
    <n v="0"/>
    <n v="0"/>
    <n v="0"/>
    <n v="0"/>
    <n v="0"/>
    <n v="0"/>
    <n v="0"/>
    <n v="0"/>
    <n v="5"/>
    <n v="5"/>
    <x v="1"/>
    <x v="94"/>
    <d v="1899-12-30T19:00:00"/>
    <d v="1899-12-30T19:30:00"/>
  </r>
  <r>
    <d v="2024-10-02T00:00:00"/>
    <n v="924"/>
    <s v="S2S No Premium"/>
    <s v="PCC_Mattio Villa"/>
    <x v="123"/>
    <d v="1899-12-30T18:00:00"/>
    <s v="-"/>
    <d v="1899-12-30T18:30:00"/>
    <n v="125"/>
    <n v="0"/>
    <n v="0"/>
    <n v="4"/>
    <n v="0"/>
    <n v="0"/>
    <n v="0"/>
    <n v="0"/>
    <n v="92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PCC_Mattio Villa"/>
    <x v="123"/>
    <d v="1899-12-30T18:00:00"/>
    <s v="-"/>
    <d v="1899-12-30T18:30:00"/>
    <n v="163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4"/>
    <s v="S2S No Premium"/>
    <s v="PCC_Mattio Villa"/>
    <x v="123"/>
    <d v="1899-12-30T19:30:00"/>
    <s v="-"/>
    <d v="1899-12-30T20:00:00"/>
    <n v="269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9:30:00"/>
    <d v="1899-12-30T20:00:00"/>
  </r>
  <r>
    <d v="2024-10-02T00:00:00"/>
    <n v="925"/>
    <s v="S2S Premium"/>
    <s v="PCC_Mattio Villa"/>
    <x v="123"/>
    <d v="1899-12-30T16:00:00"/>
    <s v="-"/>
    <d v="1899-12-30T16:30:00"/>
    <n v="478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94"/>
    <d v="1899-12-30T16:00:00"/>
    <d v="1899-12-30T16:30:00"/>
  </r>
  <r>
    <d v="2024-10-02T00:00:00"/>
    <n v="925"/>
    <s v="S2S Premium"/>
    <s v="PCC_Mattio Villa"/>
    <x v="123"/>
    <d v="1899-12-30T17:00:00"/>
    <s v="-"/>
    <d v="1899-12-30T17:30:00"/>
    <n v="638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5"/>
    <s v="S2S Premium"/>
    <s v="PCC_Mattio Villa"/>
    <x v="123"/>
    <d v="1899-12-30T14:30:00"/>
    <s v="-"/>
    <d v="1899-12-30T15:00:00"/>
    <n v="670"/>
    <n v="0"/>
    <n v="0"/>
    <n v="12"/>
    <n v="0"/>
    <n v="0"/>
    <n v="0"/>
    <n v="181"/>
    <n v="162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PCC_Mattio Villa"/>
    <x v="123"/>
    <d v="1899-12-30T14:00:00"/>
    <s v="-"/>
    <d v="1899-12-30T14:30:00"/>
    <n v="674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4"/>
    <s v="S2S No Premium"/>
    <s v="PCC_Mattio Villa"/>
    <x v="123"/>
    <d v="1899-12-30T18:30:00"/>
    <s v="-"/>
    <d v="1899-12-30T19:00:00"/>
    <n v="802"/>
    <n v="0"/>
    <n v="0"/>
    <n v="20"/>
    <n v="0"/>
    <n v="0"/>
    <n v="0"/>
    <n v="126"/>
    <n v="9"/>
    <n v="0"/>
    <n v="0"/>
    <n v="0"/>
    <n v="0"/>
    <n v="0"/>
    <n v="0"/>
    <n v="0"/>
    <n v="0"/>
    <n v="0"/>
    <n v="0"/>
    <n v="5"/>
    <n v="4"/>
    <x v="0"/>
    <x v="94"/>
    <d v="1899-12-30T18:30:00"/>
    <d v="1899-12-30T19:00:00"/>
  </r>
  <r>
    <d v="2024-10-02T00:00:00"/>
    <n v="925"/>
    <s v="S2S Premium"/>
    <s v="PCC_Mattio Villa"/>
    <x v="123"/>
    <d v="1899-12-30T15:30:00"/>
    <s v="-"/>
    <d v="1899-12-30T16:00:00"/>
    <n v="861"/>
    <n v="0"/>
    <n v="0"/>
    <n v="12"/>
    <n v="0"/>
    <n v="0"/>
    <n v="0"/>
    <n v="5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PCC_Mattio Villa"/>
    <x v="123"/>
    <d v="1899-12-30T15:00:00"/>
    <s v="-"/>
    <d v="1899-12-30T15:30:00"/>
    <n v="917"/>
    <n v="0"/>
    <n v="0"/>
    <n v="16"/>
    <n v="0"/>
    <n v="0"/>
    <n v="0"/>
    <n v="122"/>
    <n v="108"/>
    <n v="0"/>
    <n v="0"/>
    <n v="0"/>
    <n v="0"/>
    <n v="0"/>
    <n v="0"/>
    <n v="0"/>
    <n v="0"/>
    <n v="0"/>
    <n v="0"/>
    <n v="3"/>
    <n v="3"/>
    <x v="1"/>
    <x v="94"/>
    <d v="1899-12-30T15:00:00"/>
    <d v="1899-12-30T15:30:00"/>
  </r>
  <r>
    <d v="2024-10-02T00:00:00"/>
    <n v="924"/>
    <s v="S2S No Premium"/>
    <s v="PCC_Mattio Villa"/>
    <x v="123"/>
    <d v="1899-12-30T19:00:00"/>
    <s v="-"/>
    <d v="1899-12-30T19:30:00"/>
    <n v="1005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5"/>
    <s v="S2S Premium"/>
    <s v="PCC_Mattio Villa"/>
    <x v="123"/>
    <d v="1899-12-30T16:30:00"/>
    <s v="-"/>
    <d v="1899-12-30T17:00:00"/>
    <n v="1222"/>
    <n v="0"/>
    <n v="0"/>
    <n v="12"/>
    <n v="0"/>
    <n v="0"/>
    <n v="0"/>
    <n v="288"/>
    <n v="255"/>
    <n v="0"/>
    <n v="0"/>
    <n v="0"/>
    <n v="0"/>
    <n v="0"/>
    <n v="0"/>
    <n v="0"/>
    <n v="0"/>
    <n v="0"/>
    <n v="0"/>
    <n v="2"/>
    <n v="1"/>
    <x v="1"/>
    <x v="94"/>
    <d v="1899-12-30T16:30:00"/>
    <d v="1899-12-30T17:00:00"/>
  </r>
  <r>
    <d v="2024-10-02T00:00:00"/>
    <n v="925"/>
    <s v="S2S Premium"/>
    <s v="PCC_Mattio Villa"/>
    <x v="123"/>
    <d v="1899-12-30T17:30:00"/>
    <s v="-"/>
    <d v="1899-12-30T18:00:00"/>
    <n v="1546"/>
    <n v="0"/>
    <n v="0"/>
    <n v="12"/>
    <n v="0"/>
    <n v="0"/>
    <n v="0"/>
    <n v="35"/>
    <n v="32"/>
    <n v="0"/>
    <n v="0"/>
    <n v="0"/>
    <n v="0"/>
    <n v="0"/>
    <n v="0"/>
    <n v="0"/>
    <n v="0"/>
    <n v="0"/>
    <n v="0"/>
    <n v="3"/>
    <n v="2"/>
    <x v="1"/>
    <x v="94"/>
    <d v="1899-12-30T17:30:00"/>
    <d v="1899-12-30T18:00:00"/>
  </r>
  <r>
    <d v="2024-10-02T00:00:00"/>
    <n v="924"/>
    <s v="S2S No Premium"/>
    <s v="XPCC_Bres,Andrea Ce"/>
    <x v="124"/>
    <d v="1899-12-30T15:00:00"/>
    <s v="-"/>
    <d v="1899-12-30T15:30:0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00:00"/>
    <d v="1899-12-30T15:30:00"/>
  </r>
  <r>
    <d v="2024-10-02T00:00:00"/>
    <n v="924"/>
    <s v="S2S No Premium"/>
    <s v="XPCC_Bres,Andrea Ce"/>
    <x v="124"/>
    <d v="1899-12-30T14:30:00"/>
    <s v="-"/>
    <d v="1899-12-30T15:00:00"/>
    <n v="203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4:30:00"/>
    <d v="1899-12-30T15:00:00"/>
  </r>
  <r>
    <d v="2024-10-02T00:00:00"/>
    <n v="924"/>
    <s v="S2S No Premium"/>
    <s v="XPCC_Bres,Andrea Ce"/>
    <x v="124"/>
    <d v="1899-12-30T14:00:00"/>
    <s v="-"/>
    <d v="1899-12-30T14:30:00"/>
    <n v="577"/>
    <n v="0"/>
    <n v="0"/>
    <n v="16"/>
    <n v="0"/>
    <n v="0"/>
    <n v="0"/>
    <n v="141"/>
    <n v="1"/>
    <n v="0"/>
    <n v="0"/>
    <n v="0"/>
    <n v="0"/>
    <n v="0"/>
    <n v="0"/>
    <n v="0"/>
    <n v="0"/>
    <n v="0"/>
    <n v="0"/>
    <n v="5"/>
    <n v="4"/>
    <x v="0"/>
    <x v="94"/>
    <d v="1899-12-30T14:00:00"/>
    <d v="1899-12-30T14:30:00"/>
  </r>
  <r>
    <d v="2024-10-02T00:00:00"/>
    <n v="925"/>
    <s v="S2S Premium"/>
    <s v="PCC_Acuna, Roxana"/>
    <x v="12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PCC_Acuna, Roxana"/>
    <x v="125"/>
    <d v="1899-12-30T14:30:00"/>
    <s v="-"/>
    <d v="1899-12-30T15:00:00"/>
    <n v="524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PCC_Acuna, Roxana"/>
    <x v="125"/>
    <d v="1899-12-30T14:00:00"/>
    <s v="-"/>
    <d v="1899-12-30T14:30:00"/>
    <n v="753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Pm_D'Autilio,Melisa"/>
    <x v="126"/>
    <d v="1899-12-30T14:00:00"/>
    <s v="-"/>
    <d v="1899-12-30T14:30:00"/>
    <n v="562"/>
    <n v="0"/>
    <n v="0"/>
    <n v="8"/>
    <n v="0"/>
    <n v="0"/>
    <n v="0"/>
    <n v="4"/>
    <n v="12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Pm_D'Autilio,Melisa"/>
    <x v="126"/>
    <d v="1899-12-30T15:00:00"/>
    <s v="-"/>
    <d v="1899-12-30T15:30:00"/>
    <n v="585"/>
    <n v="6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Pm_D'Autilio,Melisa"/>
    <x v="126"/>
    <d v="1899-12-30T14:30:00"/>
    <s v="-"/>
    <d v="1899-12-30T15:00:00"/>
    <n v="1209"/>
    <n v="0"/>
    <n v="0"/>
    <n v="8"/>
    <n v="0"/>
    <n v="0"/>
    <n v="0"/>
    <n v="180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4"/>
    <s v="S2S No Premium"/>
    <s v="*N2m_Barberan,Prisci"/>
    <x v="127"/>
    <d v="1899-12-30T15:30:00"/>
    <s v="-"/>
    <d v="1899-12-30T16:00:00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30:00"/>
    <d v="1899-12-30T16:00:00"/>
  </r>
  <r>
    <d v="2024-10-02T00:00:00"/>
    <n v="924"/>
    <s v="S2S No Premium"/>
    <s v="*N2m_Barberan,Prisci"/>
    <x v="127"/>
    <d v="1899-12-30T15:00:00"/>
    <s v="-"/>
    <d v="1899-12-30T15:30:00"/>
    <n v="348"/>
    <n v="0"/>
    <n v="0"/>
    <n v="12"/>
    <n v="0"/>
    <n v="0"/>
    <n v="0"/>
    <n v="270"/>
    <n v="256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Barberan,Prisci"/>
    <x v="127"/>
    <d v="1899-12-30T14:30:00"/>
    <s v="-"/>
    <d v="1899-12-30T15:00:00"/>
    <n v="810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*N2m_Barberan,Prisci"/>
    <x v="127"/>
    <d v="1899-12-30T14:00:00"/>
    <s v="-"/>
    <d v="1899-12-30T14:30:00"/>
    <n v="895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5"/>
    <s v="S2S Premium"/>
    <s v="*Pm_Bogarin,Santiag"/>
    <x v="128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m_Bogarin,Santiag"/>
    <x v="128"/>
    <d v="1899-12-30T14:30:00"/>
    <s v="-"/>
    <d v="1899-12-30T15:00:00"/>
    <n v="89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*Pm_Bogarin,Santiag"/>
    <x v="128"/>
    <d v="1899-12-30T14:00:00"/>
    <s v="-"/>
    <d v="1899-12-30T14:30:00"/>
    <n v="1029"/>
    <n v="0"/>
    <n v="0"/>
    <n v="16"/>
    <n v="0"/>
    <n v="0"/>
    <n v="0"/>
    <n v="6"/>
    <n v="0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4"/>
    <s v="S2S No Premium"/>
    <s v="*N2m_Gawlik, Luana"/>
    <x v="129"/>
    <d v="1899-12-30T15:30:00"/>
    <s v="-"/>
    <d v="1899-12-30T16:00:00"/>
    <n v="222"/>
    <n v="0"/>
    <n v="0"/>
    <n v="0"/>
    <n v="0"/>
    <n v="0"/>
    <n v="0"/>
    <n v="30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*N2m_Gawlik, Luana"/>
    <x v="129"/>
    <d v="1899-12-30T14:30:00"/>
    <s v="-"/>
    <d v="1899-12-30T15:00:00"/>
    <n v="690"/>
    <n v="0"/>
    <n v="0"/>
    <n v="16"/>
    <n v="0"/>
    <n v="0"/>
    <n v="0"/>
    <n v="200"/>
    <n v="0"/>
    <n v="0"/>
    <n v="0"/>
    <n v="0"/>
    <n v="0"/>
    <n v="0"/>
    <n v="0"/>
    <n v="0"/>
    <n v="0"/>
    <n v="0"/>
    <n v="0"/>
    <n v="4"/>
    <n v="4"/>
    <x v="0"/>
    <x v="94"/>
    <d v="1899-12-30T14:30:00"/>
    <d v="1899-12-30T15:00:00"/>
  </r>
  <r>
    <d v="2024-10-02T00:00:00"/>
    <n v="924"/>
    <s v="S2S No Premium"/>
    <s v="*N2m_Gawlik, Luana"/>
    <x v="129"/>
    <d v="1899-12-30T15:00:00"/>
    <s v="-"/>
    <d v="1899-12-30T15:30:00"/>
    <n v="765"/>
    <n v="0"/>
    <n v="0"/>
    <n v="12"/>
    <n v="0"/>
    <n v="0"/>
    <n v="0"/>
    <n v="102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Gawlik, Luana"/>
    <x v="129"/>
    <d v="1899-12-30T14:00:00"/>
    <s v="-"/>
    <d v="1899-12-30T14:30:00"/>
    <n v="1038"/>
    <n v="0"/>
    <n v="0"/>
    <n v="8"/>
    <n v="0"/>
    <n v="0"/>
    <n v="0"/>
    <n v="198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N2m_Encina, Johana"/>
    <x v="130"/>
    <d v="1899-12-30T15:30:00"/>
    <s v="-"/>
    <d v="1899-12-30T16:00:00"/>
    <n v="154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N2m_Encina, Johana"/>
    <x v="130"/>
    <d v="1899-12-30T15:00:00"/>
    <s v="-"/>
    <d v="1899-12-30T15:30:00"/>
    <n v="371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5"/>
    <s v="S2S Premium"/>
    <s v="*Pm_Fernandez,Adria"/>
    <x v="131"/>
    <d v="1899-12-30T16:30:00"/>
    <s v="-"/>
    <d v="1899-12-30T17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30:00"/>
    <d v="1899-12-30T17:00:00"/>
  </r>
  <r>
    <d v="2024-10-02T00:00:00"/>
    <n v="925"/>
    <s v="S2S Premium"/>
    <s v="*Pm_Fernandez,Adria"/>
    <x v="131"/>
    <d v="1899-12-30T15:00:00"/>
    <s v="-"/>
    <d v="1899-12-30T15:30:00"/>
    <n v="280"/>
    <n v="0"/>
    <n v="0"/>
    <n v="8"/>
    <n v="0"/>
    <n v="0"/>
    <n v="0"/>
    <n v="99"/>
    <n v="0"/>
    <n v="0"/>
    <n v="0"/>
    <n v="0"/>
    <n v="0"/>
    <n v="0"/>
    <n v="0"/>
    <n v="0"/>
    <n v="0"/>
    <n v="0"/>
    <n v="0"/>
    <n v="2"/>
    <n v="2"/>
    <x v="1"/>
    <x v="94"/>
    <d v="1899-12-30T15:00:00"/>
    <d v="1899-12-30T15:30:00"/>
  </r>
  <r>
    <d v="2024-10-02T00:00:00"/>
    <n v="925"/>
    <s v="S2S Premium"/>
    <s v="*Pm_Fernandez,Adria"/>
    <x v="131"/>
    <d v="1899-12-30T14:30:00"/>
    <s v="-"/>
    <d v="1899-12-30T15:00:00"/>
    <n v="534"/>
    <n v="0"/>
    <n v="0"/>
    <n v="15"/>
    <n v="0"/>
    <n v="0"/>
    <n v="0"/>
    <n v="1"/>
    <n v="0"/>
    <n v="0"/>
    <n v="0"/>
    <n v="0"/>
    <n v="0"/>
    <n v="0"/>
    <n v="0"/>
    <n v="0"/>
    <n v="0"/>
    <n v="0"/>
    <n v="0"/>
    <n v="3"/>
    <n v="1"/>
    <x v="1"/>
    <x v="94"/>
    <d v="1899-12-30T14:30:00"/>
    <d v="1899-12-30T15:00:00"/>
  </r>
  <r>
    <d v="2024-10-02T00:00:00"/>
    <n v="925"/>
    <s v="S2S Premium"/>
    <s v="*Pm_Fernandez,Adria"/>
    <x v="131"/>
    <d v="1899-12-30T14:00:00"/>
    <s v="-"/>
    <d v="1899-12-30T14:30:00"/>
    <n v="732"/>
    <n v="0"/>
    <n v="0"/>
    <n v="12"/>
    <n v="0"/>
    <n v="0"/>
    <n v="0"/>
    <n v="289"/>
    <n v="125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5"/>
    <s v="S2S Premium"/>
    <s v="*Pm_Fernandez,Adria"/>
    <x v="131"/>
    <d v="1899-12-30T16:00:00"/>
    <s v="-"/>
    <d v="1899-12-30T16:30:00"/>
    <n v="943"/>
    <n v="0"/>
    <n v="0"/>
    <n v="13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*Pm_Fernandez,Adria"/>
    <x v="131"/>
    <d v="1899-12-30T15:30:00"/>
    <s v="-"/>
    <d v="1899-12-30T16:00:00"/>
    <n v="1243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XPCC_Rivas,Maxi"/>
    <x v="132"/>
    <d v="1899-12-30T19:00:00"/>
    <s v="-"/>
    <d v="1899-12-30T19:30:00"/>
    <n v="488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94"/>
    <d v="1899-12-30T19:00:00"/>
    <d v="1899-12-30T19:30:00"/>
  </r>
  <r>
    <d v="2024-10-02T00:00:00"/>
    <n v="925"/>
    <s v="S2S Premium"/>
    <s v="XPCC_Rivas,Maxi"/>
    <x v="132"/>
    <d v="1899-12-30T15:00:00"/>
    <s v="-"/>
    <d v="1899-12-30T15:30:00"/>
    <n v="609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CC_Rivas,Maxi"/>
    <x v="132"/>
    <d v="1899-12-30T15:30:00"/>
    <s v="-"/>
    <d v="1899-12-30T16:00:00"/>
    <n v="616"/>
    <n v="0"/>
    <n v="0"/>
    <n v="11"/>
    <n v="0"/>
    <n v="0"/>
    <n v="0"/>
    <n v="3"/>
    <n v="133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PCC_Rivas,Maxi"/>
    <x v="132"/>
    <d v="1899-12-30T18:30:00"/>
    <s v="-"/>
    <d v="1899-12-30T19:00:00"/>
    <n v="635"/>
    <n v="0"/>
    <n v="0"/>
    <n v="16"/>
    <n v="0"/>
    <n v="0"/>
    <n v="0"/>
    <n v="115"/>
    <n v="29"/>
    <n v="0"/>
    <n v="0"/>
    <n v="0"/>
    <n v="0"/>
    <n v="0"/>
    <n v="0"/>
    <n v="0"/>
    <n v="0"/>
    <n v="0"/>
    <n v="0"/>
    <n v="4"/>
    <n v="3"/>
    <x v="1"/>
    <x v="94"/>
    <d v="1899-12-30T18:30:00"/>
    <d v="1899-12-30T19:00:00"/>
  </r>
  <r>
    <d v="2024-10-02T00:00:00"/>
    <n v="925"/>
    <s v="S2S Premium"/>
    <s v="XPCC_Rivas,Maxi"/>
    <x v="132"/>
    <d v="1899-12-30T17:00:00"/>
    <s v="-"/>
    <d v="1899-12-30T17:30:00"/>
    <n v="733"/>
    <n v="0"/>
    <n v="0"/>
    <n v="19"/>
    <n v="0"/>
    <n v="0"/>
    <n v="0"/>
    <n v="97"/>
    <n v="0"/>
    <n v="0"/>
    <n v="0"/>
    <n v="0"/>
    <n v="0"/>
    <n v="0"/>
    <n v="0"/>
    <n v="0"/>
    <n v="0"/>
    <n v="0"/>
    <n v="0"/>
    <n v="6"/>
    <n v="5"/>
    <x v="1"/>
    <x v="94"/>
    <d v="1899-12-30T17:00:00"/>
    <d v="1899-12-30T17:30:00"/>
  </r>
  <r>
    <d v="2024-10-02T00:00:00"/>
    <n v="925"/>
    <s v="S2S Premium"/>
    <s v="XPCC_Rivas,Maxi"/>
    <x v="132"/>
    <d v="1899-12-30T16:00:00"/>
    <s v="-"/>
    <d v="1899-12-30T16:30:00"/>
    <n v="743"/>
    <n v="0"/>
    <n v="0"/>
    <n v="12"/>
    <n v="0"/>
    <n v="0"/>
    <n v="0"/>
    <n v="451"/>
    <n v="42"/>
    <n v="0"/>
    <n v="0"/>
    <n v="0"/>
    <n v="0"/>
    <n v="0"/>
    <n v="0"/>
    <n v="0"/>
    <n v="0"/>
    <n v="0"/>
    <n v="0"/>
    <n v="3"/>
    <n v="2"/>
    <x v="1"/>
    <x v="94"/>
    <d v="1899-12-30T16:00:00"/>
    <d v="1899-12-30T16:30:00"/>
  </r>
  <r>
    <d v="2024-10-02T00:00:00"/>
    <n v="925"/>
    <s v="S2S Premium"/>
    <s v="XPCC_Rivas,Maxi"/>
    <x v="132"/>
    <d v="1899-12-30T18:00:00"/>
    <s v="-"/>
    <d v="1899-12-30T18:30:00"/>
    <n v="983"/>
    <n v="0"/>
    <n v="0"/>
    <n v="10"/>
    <n v="0"/>
    <n v="0"/>
    <n v="0"/>
    <n v="44"/>
    <n v="0"/>
    <n v="0"/>
    <n v="0"/>
    <n v="0"/>
    <n v="0"/>
    <n v="0"/>
    <n v="0"/>
    <n v="0"/>
    <n v="0"/>
    <n v="0"/>
    <n v="0"/>
    <n v="4"/>
    <n v="4"/>
    <x v="1"/>
    <x v="94"/>
    <d v="1899-12-30T18:00:00"/>
    <d v="1899-12-30T18:30:00"/>
  </r>
  <r>
    <d v="2024-10-02T00:00:00"/>
    <n v="925"/>
    <s v="S2S Premium"/>
    <s v="XPCC_Rivas,Maxi"/>
    <x v="132"/>
    <d v="1899-12-30T17:30:00"/>
    <s v="-"/>
    <d v="1899-12-30T18:00:00"/>
    <n v="1002"/>
    <n v="0"/>
    <n v="0"/>
    <n v="12"/>
    <n v="0"/>
    <n v="0"/>
    <n v="0"/>
    <n v="457"/>
    <n v="38"/>
    <n v="0"/>
    <n v="0"/>
    <n v="0"/>
    <n v="0"/>
    <n v="0"/>
    <n v="0"/>
    <n v="0"/>
    <n v="0"/>
    <n v="0"/>
    <n v="0"/>
    <n v="2"/>
    <n v="1"/>
    <x v="1"/>
    <x v="94"/>
    <d v="1899-12-30T17:30:00"/>
    <d v="1899-12-30T18:00:00"/>
  </r>
  <r>
    <d v="2024-10-02T00:00:00"/>
    <n v="925"/>
    <s v="S2S Premium"/>
    <s v="XPCC_Rivas,Maxi"/>
    <x v="132"/>
    <d v="1899-12-30T16:30:00"/>
    <s v="-"/>
    <d v="1899-12-30T17:00:00"/>
    <n v="1068"/>
    <n v="0"/>
    <n v="0"/>
    <n v="20"/>
    <n v="0"/>
    <n v="0"/>
    <n v="0"/>
    <n v="29"/>
    <n v="1"/>
    <n v="0"/>
    <n v="0"/>
    <n v="0"/>
    <n v="0"/>
    <n v="0"/>
    <n v="0"/>
    <n v="0"/>
    <n v="0"/>
    <n v="0"/>
    <n v="0"/>
    <n v="5"/>
    <n v="4"/>
    <x v="1"/>
    <x v="94"/>
    <d v="1899-12-30T16:30:00"/>
    <d v="1899-12-30T17:00:00"/>
  </r>
  <r>
    <d v="2024-10-02T00:00:00"/>
    <n v="925"/>
    <s v="S2S Premium"/>
    <s v="XPCC_Rivas,Maxi"/>
    <x v="132"/>
    <d v="1899-12-30T19:30:00"/>
    <s v="-"/>
    <d v="1899-12-30T20:00:00"/>
    <n v="1106"/>
    <n v="0"/>
    <n v="0"/>
    <n v="12"/>
    <n v="0"/>
    <n v="0"/>
    <n v="0"/>
    <n v="81"/>
    <n v="3"/>
    <n v="0"/>
    <n v="0"/>
    <n v="0"/>
    <n v="0"/>
    <n v="0"/>
    <n v="0"/>
    <n v="0"/>
    <n v="0"/>
    <n v="0"/>
    <n v="0"/>
    <n v="3"/>
    <n v="2"/>
    <x v="1"/>
    <x v="94"/>
    <d v="1899-12-30T19:30:00"/>
    <d v="1899-12-30T20:00:00"/>
  </r>
  <r>
    <d v="2024-10-02T00:00:00"/>
    <n v="925"/>
    <s v="S2S Premium"/>
    <s v="XPCC_Zarate,Damari"/>
    <x v="133"/>
    <d v="1899-12-30T14:00:00"/>
    <s v="-"/>
    <d v="1899-12-30T14:30:00"/>
    <n v="63"/>
    <n v="0"/>
    <n v="0"/>
    <n v="4"/>
    <n v="0"/>
    <n v="0"/>
    <n v="0"/>
    <n v="159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4"/>
    <s v="S2S No Premium"/>
    <s v="XPCC_Zarate,Damari"/>
    <x v="133"/>
    <d v="1899-12-30T18:00:00"/>
    <s v="-"/>
    <d v="1899-12-30T18:30:00"/>
    <n v="214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4"/>
    <s v="S2S No Premium"/>
    <s v="XPCC_Zarate,Damari"/>
    <x v="133"/>
    <d v="1899-12-30T19:00:00"/>
    <s v="-"/>
    <d v="1899-12-30T19:30:00"/>
    <n v="26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00:00"/>
    <d v="1899-12-30T19:30:00"/>
  </r>
  <r>
    <d v="2024-10-02T00:00:00"/>
    <n v="925"/>
    <s v="S2S Premium"/>
    <s v="XPCC_Zarate,Damari"/>
    <x v="133"/>
    <d v="1899-12-30T17:00:00"/>
    <s v="-"/>
    <d v="1899-12-30T17:30:00"/>
    <n v="294"/>
    <n v="0"/>
    <n v="0"/>
    <n v="8"/>
    <n v="0"/>
    <n v="0"/>
    <n v="0"/>
    <n v="95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4"/>
    <s v="S2S No Premium"/>
    <s v="XPCC_Zarate,Damari"/>
    <x v="133"/>
    <d v="1899-12-30T19:30:00"/>
    <s v="-"/>
    <d v="1899-12-30T20:00:00"/>
    <n v="444"/>
    <n v="0"/>
    <n v="0"/>
    <n v="8"/>
    <n v="0"/>
    <n v="0"/>
    <n v="0"/>
    <n v="273"/>
    <n v="84"/>
    <n v="0"/>
    <n v="0"/>
    <n v="0"/>
    <n v="0"/>
    <n v="0"/>
    <n v="0"/>
    <n v="0"/>
    <n v="0"/>
    <n v="0"/>
    <n v="0"/>
    <n v="3"/>
    <n v="2"/>
    <x v="0"/>
    <x v="94"/>
    <d v="1899-12-30T19:30:00"/>
    <d v="1899-12-30T20:00:00"/>
  </r>
  <r>
    <d v="2024-10-02T00:00:00"/>
    <n v="925"/>
    <s v="S2S Premium"/>
    <s v="XPCC_Zarate,Damari"/>
    <x v="133"/>
    <d v="1899-12-30T18:00:00"/>
    <s v="-"/>
    <d v="1899-12-30T18:30:00"/>
    <n v="758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3"/>
    <x v="1"/>
    <x v="94"/>
    <d v="1899-12-30T18:00:00"/>
    <d v="1899-12-30T18:30:00"/>
  </r>
  <r>
    <d v="2024-10-02T00:00:00"/>
    <n v="925"/>
    <s v="S2S Premium"/>
    <s v="XPCC_Zarate,Damari"/>
    <x v="133"/>
    <d v="1899-12-30T15:30:00"/>
    <s v="-"/>
    <d v="1899-12-30T16:00:00"/>
    <n v="813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PCC_Zarate,Damari"/>
    <x v="133"/>
    <d v="1899-12-30T16:00:00"/>
    <s v="-"/>
    <d v="1899-12-30T16:30:00"/>
    <n v="834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4"/>
    <s v="S2S No Premium"/>
    <s v="XPCC_Zarate,Damari"/>
    <x v="133"/>
    <d v="1899-12-30T18:30:00"/>
    <s v="-"/>
    <d v="1899-12-30T19:00:00"/>
    <n v="843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5"/>
    <s v="S2S Premium"/>
    <s v="XPCC_Zarate,Damari"/>
    <x v="133"/>
    <d v="1899-12-30T16:30:00"/>
    <s v="-"/>
    <d v="1899-12-30T17:00:00"/>
    <n v="852"/>
    <n v="0"/>
    <n v="0"/>
    <n v="21"/>
    <n v="0"/>
    <n v="0"/>
    <n v="0"/>
    <n v="205"/>
    <n v="75"/>
    <n v="0"/>
    <n v="0"/>
    <n v="0"/>
    <n v="0"/>
    <n v="0"/>
    <n v="0"/>
    <n v="0"/>
    <n v="0"/>
    <n v="0"/>
    <n v="0"/>
    <n v="5"/>
    <n v="4"/>
    <x v="1"/>
    <x v="94"/>
    <d v="1899-12-30T16:30:00"/>
    <d v="1899-12-30T17:00:00"/>
  </r>
  <r>
    <d v="2024-10-02T00:00:00"/>
    <n v="925"/>
    <s v="S2S Premium"/>
    <s v="XPCC_Zarate,Damari"/>
    <x v="133"/>
    <d v="1899-12-30T14:30:00"/>
    <s v="-"/>
    <d v="1899-12-30T15:00:00"/>
    <n v="1018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XPCC_Zarate,Damari"/>
    <x v="133"/>
    <d v="1899-12-30T17:30:00"/>
    <s v="-"/>
    <d v="1899-12-30T18:00:00"/>
    <n v="1046"/>
    <n v="0"/>
    <n v="0"/>
    <n v="16"/>
    <n v="0"/>
    <n v="0"/>
    <n v="0"/>
    <n v="46"/>
    <n v="0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5"/>
    <s v="S2S Premium"/>
    <s v="XPCC_Zarate,Damari"/>
    <x v="133"/>
    <d v="1899-12-30T15:00:00"/>
    <s v="-"/>
    <d v="1899-12-30T15:30:00"/>
    <n v="1098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5:00:00"/>
    <d v="1899-12-30T15:30:00"/>
  </r>
  <r>
    <d v="2024-10-02T00:00:00"/>
    <n v="925"/>
    <s v="S2S Premium"/>
    <s v="XPm_Yuri, Mila"/>
    <x v="134"/>
    <d v="1899-12-30T15:00:00"/>
    <s v="-"/>
    <d v="1899-12-30T15:30:0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m_Yuri, Mila"/>
    <x v="134"/>
    <d v="1899-12-30T14:30:00"/>
    <s v="-"/>
    <d v="1899-12-30T15:00:00"/>
    <n v="310"/>
    <n v="0"/>
    <n v="0"/>
    <n v="12"/>
    <n v="0"/>
    <n v="0"/>
    <n v="0"/>
    <n v="205"/>
    <n v="154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XPm_Yuri, Mila"/>
    <x v="134"/>
    <d v="1899-12-30T14:00:00"/>
    <s v="-"/>
    <d v="1899-12-30T14:30:00"/>
    <n v="446"/>
    <n v="0"/>
    <n v="0"/>
    <n v="4"/>
    <n v="0"/>
    <n v="0"/>
    <n v="0"/>
    <n v="525"/>
    <n v="1"/>
    <n v="0"/>
    <n v="0"/>
    <n v="0"/>
    <n v="0"/>
    <n v="0"/>
    <n v="0"/>
    <n v="0"/>
    <n v="0"/>
    <n v="0"/>
    <n v="0"/>
    <n v="2"/>
    <n v="0"/>
    <x v="1"/>
    <x v="94"/>
    <d v="1899-12-30T14:00:00"/>
    <d v="1899-12-30T14:30:00"/>
  </r>
  <r>
    <d v="2024-10-02T00:00:00"/>
    <n v="925"/>
    <s v="S2S Premium"/>
    <s v="*Pm_Olivera, Melisa"/>
    <x v="13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m_Olivera, Melisa"/>
    <x v="135"/>
    <d v="1899-12-30T14:30:00"/>
    <s v="-"/>
    <d v="1899-12-30T15:00:00"/>
    <n v="183"/>
    <n v="0"/>
    <n v="0"/>
    <n v="8"/>
    <n v="0"/>
    <n v="0"/>
    <n v="0"/>
    <n v="0"/>
    <n v="15"/>
    <n v="0"/>
    <n v="0"/>
    <n v="0"/>
    <n v="0"/>
    <n v="0"/>
    <n v="0"/>
    <n v="0"/>
    <n v="0"/>
    <n v="0"/>
    <n v="0"/>
    <n v="2"/>
    <n v="1"/>
    <x v="1"/>
    <x v="94"/>
    <d v="1899-12-30T14:30:00"/>
    <d v="1899-12-30T15:00:00"/>
  </r>
  <r>
    <d v="2024-10-02T00:00:00"/>
    <n v="925"/>
    <s v="S2S Premium"/>
    <s v="*Pm_Olivera, Melisa"/>
    <x v="135"/>
    <d v="1899-12-30T14:00:00"/>
    <s v="-"/>
    <d v="1899-12-30T14:30:00"/>
    <n v="931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4"/>
    <s v="S2S No Premium"/>
    <s v="*N2fm_Gonzalez,Micae"/>
    <x v="136"/>
    <d v="1899-12-30T14:00:00"/>
    <s v="-"/>
    <d v="1899-12-30T14:30:00"/>
    <n v="658"/>
    <n v="0"/>
    <n v="0"/>
    <n v="19"/>
    <n v="0"/>
    <n v="0"/>
    <n v="0"/>
    <n v="223"/>
    <n v="53"/>
    <n v="0"/>
    <n v="0"/>
    <n v="0"/>
    <n v="0"/>
    <n v="0"/>
    <n v="0"/>
    <n v="0"/>
    <n v="0"/>
    <n v="0"/>
    <n v="0"/>
    <n v="5"/>
    <n v="5"/>
    <x v="0"/>
    <x v="94"/>
    <d v="1899-12-30T14:00:00"/>
    <d v="1899-12-30T14:30:00"/>
  </r>
  <r>
    <d v="2024-10-02T00:00:00"/>
    <n v="924"/>
    <s v="S2S No Premium"/>
    <s v="*N2fm_Gonzalez,Micae"/>
    <x v="136"/>
    <d v="1899-12-30T15:00:00"/>
    <s v="-"/>
    <d v="1899-12-30T15:30:00"/>
    <n v="8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fm_Gonzalez,Micae"/>
    <x v="136"/>
    <d v="1899-12-30T14:30:00"/>
    <s v="-"/>
    <d v="1899-12-30T15:00:00"/>
    <n v="1030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5"/>
    <s v="S2S Premium"/>
    <s v="XPCC_Narvaez, Magali"/>
    <x v="13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PCC_Narvaez, Magali"/>
    <x v="137"/>
    <d v="1899-12-30T14:30:00"/>
    <s v="-"/>
    <d v="1899-12-30T15:00:00"/>
    <n v="703"/>
    <n v="0"/>
    <n v="0"/>
    <n v="16"/>
    <n v="0"/>
    <n v="0"/>
    <n v="0"/>
    <n v="53"/>
    <n v="1"/>
    <n v="0"/>
    <n v="0"/>
    <n v="0"/>
    <n v="0"/>
    <n v="0"/>
    <n v="0"/>
    <n v="0"/>
    <n v="0"/>
    <n v="0"/>
    <n v="0"/>
    <n v="5"/>
    <n v="3"/>
    <x v="1"/>
    <x v="94"/>
    <d v="1899-12-30T14:30:00"/>
    <d v="1899-12-30T15:00:00"/>
  </r>
  <r>
    <d v="2024-10-02T00:00:00"/>
    <n v="925"/>
    <s v="S2S Premium"/>
    <s v="XPCC_Narvaez, Magali"/>
    <x v="137"/>
    <d v="1899-12-30T14:00:00"/>
    <s v="-"/>
    <d v="1899-12-30T14:30:00"/>
    <n v="921"/>
    <n v="0"/>
    <n v="0"/>
    <n v="12"/>
    <n v="0"/>
    <n v="0"/>
    <n v="0"/>
    <n v="398"/>
    <n v="245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TXPm_Moreno R,Tobi"/>
    <x v="138"/>
    <d v="1899-12-30T15:00:00"/>
    <s v="-"/>
    <d v="1899-12-30T15:30:00"/>
    <n v="111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TXPm_Moreno R,Tobi"/>
    <x v="138"/>
    <d v="1899-12-30T18:00:00"/>
    <s v="-"/>
    <d v="1899-12-30T18:30:00"/>
    <n v="277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TXPm_Moreno R,Tobi"/>
    <x v="138"/>
    <d v="1899-12-30T17:00:00"/>
    <s v="-"/>
    <d v="1899-12-30T17:30:00"/>
    <n v="516"/>
    <n v="0"/>
    <n v="0"/>
    <n v="12"/>
    <n v="0"/>
    <n v="0"/>
    <n v="0"/>
    <n v="517"/>
    <n v="492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TXPm_Moreno R,Tobi"/>
    <x v="138"/>
    <d v="1899-12-30T19:30:00"/>
    <s v="-"/>
    <d v="1899-12-30T20:00:00"/>
    <n v="737"/>
    <n v="0"/>
    <n v="0"/>
    <n v="12"/>
    <n v="0"/>
    <n v="0"/>
    <n v="0"/>
    <n v="223"/>
    <n v="215"/>
    <n v="0"/>
    <n v="0"/>
    <n v="0"/>
    <n v="0"/>
    <n v="0"/>
    <n v="0"/>
    <n v="0"/>
    <n v="0"/>
    <n v="0"/>
    <n v="0"/>
    <n v="4"/>
    <n v="4"/>
    <x v="1"/>
    <x v="94"/>
    <d v="1899-12-30T19:30:00"/>
    <d v="1899-12-30T20:00:00"/>
  </r>
  <r>
    <d v="2024-10-02T00:00:00"/>
    <n v="925"/>
    <s v="S2S Premium"/>
    <s v="TXPm_Moreno R,Tobi"/>
    <x v="138"/>
    <d v="1899-12-30T15:30:00"/>
    <s v="-"/>
    <d v="1899-12-30T16:00:00"/>
    <n v="824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5"/>
    <s v="S2S Premium"/>
    <s v="TXPm_Moreno R,Tobi"/>
    <x v="138"/>
    <d v="1899-12-30T16:30:00"/>
    <s v="-"/>
    <d v="1899-12-30T17:00:00"/>
    <n v="844"/>
    <n v="0"/>
    <n v="0"/>
    <n v="12"/>
    <n v="0"/>
    <n v="0"/>
    <n v="0"/>
    <n v="362"/>
    <n v="359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TXPm_Moreno R,Tobi"/>
    <x v="138"/>
    <d v="1899-12-30T16:00:00"/>
    <s v="-"/>
    <d v="1899-12-30T16:30:00"/>
    <n v="881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TXPm_Moreno R,Tobi"/>
    <x v="138"/>
    <d v="1899-12-30T17:30:00"/>
    <s v="-"/>
    <d v="1899-12-30T18:00:00"/>
    <n v="975"/>
    <n v="0"/>
    <n v="0"/>
    <n v="19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94"/>
    <d v="1899-12-30T17:30:00"/>
    <d v="1899-12-30T18:00:00"/>
  </r>
  <r>
    <d v="2024-10-02T00:00:00"/>
    <n v="925"/>
    <s v="S2S Premium"/>
    <s v="TXPm_Moreno R,Tobi"/>
    <x v="138"/>
    <d v="1899-12-30T18:30:00"/>
    <s v="-"/>
    <d v="1899-12-30T19:00:00"/>
    <n v="982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4"/>
    <n v="3"/>
    <x v="1"/>
    <x v="94"/>
    <d v="1899-12-30T18:30:00"/>
    <d v="1899-12-30T19:00:00"/>
  </r>
  <r>
    <d v="2024-10-02T00:00:00"/>
    <n v="925"/>
    <s v="S2S Premium"/>
    <s v="TXPm_Moreno R,Tobi"/>
    <x v="138"/>
    <d v="1899-12-30T19:00:00"/>
    <s v="-"/>
    <d v="1899-12-30T19:30:00"/>
    <n v="1068"/>
    <n v="0"/>
    <n v="0"/>
    <n v="20"/>
    <n v="0"/>
    <n v="0"/>
    <n v="0"/>
    <n v="85"/>
    <n v="79"/>
    <n v="0"/>
    <n v="0"/>
    <n v="0"/>
    <n v="0"/>
    <n v="0"/>
    <n v="0"/>
    <n v="0"/>
    <n v="0"/>
    <n v="0"/>
    <n v="0"/>
    <n v="5"/>
    <n v="5"/>
    <x v="1"/>
    <x v="94"/>
    <d v="1899-12-30T19:00:00"/>
    <d v="1899-12-30T19:30:00"/>
  </r>
  <r>
    <d v="2024-10-02T00:00:00"/>
    <n v="924"/>
    <s v="S2S No Premium"/>
    <s v="*N2m_Ocampo,Christia"/>
    <x v="139"/>
    <d v="1899-12-30T14:00:00"/>
    <s v="-"/>
    <d v="1899-12-30T14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00:00"/>
    <d v="1899-12-30T14:30:00"/>
  </r>
  <r>
    <d v="2024-10-02T00:00:00"/>
    <n v="924"/>
    <s v="S2S No Premium"/>
    <s v="*N2m_Ocampo,Christia"/>
    <x v="139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30:00"/>
    <d v="1899-12-30T15:00:00"/>
  </r>
  <r>
    <d v="2024-10-02T00:00:00"/>
    <n v="924"/>
    <s v="S2S No Premium"/>
    <s v="*N2m_Ocampo,Christia"/>
    <x v="139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PCC_Recio, Noelia B"/>
    <x v="140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PCC_Recio, Noelia B"/>
    <x v="140"/>
    <d v="1899-12-30T14:00:00"/>
    <s v="-"/>
    <d v="1899-12-30T14:30:00"/>
    <n v="792"/>
    <n v="342"/>
    <n v="0"/>
    <n v="16"/>
    <n v="0"/>
    <n v="0"/>
    <n v="0"/>
    <n v="142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PCC_Recio, Noelia B"/>
    <x v="140"/>
    <d v="1899-12-30T14:30:00"/>
    <s v="-"/>
    <d v="1899-12-30T15:00:00"/>
    <n v="872"/>
    <n v="185"/>
    <n v="0"/>
    <n v="8"/>
    <n v="0"/>
    <n v="0"/>
    <n v="0"/>
    <n v="1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XN2m_Rojas, Lorena"/>
    <x v="141"/>
    <d v="1899-12-30T15:00:00"/>
    <s v="-"/>
    <d v="1899-12-30T15:30:00"/>
    <n v="53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XN2m_Rojas, Lorena"/>
    <x v="141"/>
    <d v="1899-12-30T16:00:00"/>
    <s v="-"/>
    <d v="1899-12-30T16:30:00"/>
    <n v="197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XN2m_Rojas, Lorena"/>
    <x v="141"/>
    <d v="1899-12-30T14:00:00"/>
    <s v="-"/>
    <d v="1899-12-30T14:30:00"/>
    <n v="953"/>
    <n v="0"/>
    <n v="0"/>
    <n v="8"/>
    <n v="0"/>
    <n v="0"/>
    <n v="0"/>
    <n v="577"/>
    <n v="153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XN2m_Rojas, Lorena"/>
    <x v="141"/>
    <d v="1899-12-30T14:30:00"/>
    <s v="-"/>
    <d v="1899-12-30T15:00:00"/>
    <n v="1029"/>
    <n v="0"/>
    <n v="0"/>
    <n v="8"/>
    <n v="0"/>
    <n v="0"/>
    <n v="0"/>
    <n v="270"/>
    <n v="0"/>
    <n v="0"/>
    <n v="0"/>
    <n v="0"/>
    <n v="0"/>
    <n v="0"/>
    <n v="0"/>
    <n v="0"/>
    <n v="0"/>
    <n v="0"/>
    <n v="0"/>
    <n v="1"/>
    <n v="0"/>
    <x v="0"/>
    <x v="94"/>
    <d v="1899-12-30T14:30:00"/>
    <d v="1899-12-30T15:00:00"/>
  </r>
  <r>
    <d v="2024-10-02T00:00:00"/>
    <n v="924"/>
    <s v="S2S No Premium"/>
    <s v="XN2m_Rojas, Lorena"/>
    <x v="141"/>
    <d v="1899-12-30T15:30:00"/>
    <s v="-"/>
    <d v="1899-12-30T16:00:00"/>
    <n v="1073"/>
    <n v="0"/>
    <n v="0"/>
    <n v="16"/>
    <n v="0"/>
    <n v="0"/>
    <n v="0"/>
    <n v="221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*N2m_Sosa,Maximilian"/>
    <x v="142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*N2m_Sosa,Maximilian"/>
    <x v="142"/>
    <d v="1899-12-30T14:00:00"/>
    <s v="-"/>
    <d v="1899-12-30T14:30:00"/>
    <n v="572"/>
    <n v="0"/>
    <n v="0"/>
    <n v="8"/>
    <n v="0"/>
    <n v="0"/>
    <n v="0"/>
    <n v="491"/>
    <n v="228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*N2m_Sosa,Maximilian"/>
    <x v="142"/>
    <d v="1899-12-30T14:30:00"/>
    <s v="-"/>
    <d v="1899-12-30T15:00:00"/>
    <n v="823"/>
    <n v="0"/>
    <n v="0"/>
    <n v="12"/>
    <n v="0"/>
    <n v="0"/>
    <n v="0"/>
    <n v="66"/>
    <n v="1"/>
    <n v="0"/>
    <n v="0"/>
    <n v="0"/>
    <n v="0"/>
    <n v="0"/>
    <n v="0"/>
    <n v="0"/>
    <n v="0"/>
    <n v="0"/>
    <n v="0"/>
    <n v="3"/>
    <n v="1"/>
    <x v="0"/>
    <x v="94"/>
    <d v="1899-12-30T14:30:00"/>
    <d v="1899-12-30T15:00:00"/>
  </r>
  <r>
    <d v="2024-10-02T00:00:00"/>
    <n v="925"/>
    <s v="S2S Premium"/>
    <s v="XDPCC_Sosa, Marina"/>
    <x v="143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30:00"/>
    <d v="1899-12-30T20:00:00"/>
  </r>
  <r>
    <d v="2024-10-02T00:00:00"/>
    <n v="925"/>
    <s v="S2S Premium"/>
    <s v="XDPCC_Sosa, Marina"/>
    <x v="143"/>
    <d v="1899-12-30T16:00:00"/>
    <s v="-"/>
    <d v="1899-12-30T16:30:00"/>
    <n v="462"/>
    <n v="0"/>
    <n v="0"/>
    <n v="11"/>
    <n v="0"/>
    <n v="0"/>
    <n v="0"/>
    <n v="227"/>
    <n v="224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XDPCC_Sosa, Marina"/>
    <x v="143"/>
    <d v="1899-12-30T17:30:00"/>
    <s v="-"/>
    <d v="1899-12-30T18:00:00"/>
    <n v="507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7:30:00"/>
    <d v="1899-12-30T18:00:00"/>
  </r>
  <r>
    <d v="2024-10-02T00:00:00"/>
    <n v="925"/>
    <s v="S2S Premium"/>
    <s v="XDPCC_Sosa, Marina"/>
    <x v="143"/>
    <d v="1899-12-30T15:00:00"/>
    <s v="-"/>
    <d v="1899-12-30T15:30:00"/>
    <n v="519"/>
    <n v="0"/>
    <n v="0"/>
    <n v="12"/>
    <n v="0"/>
    <n v="0"/>
    <n v="0"/>
    <n v="157"/>
    <n v="25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DPCC_Sosa, Marina"/>
    <x v="143"/>
    <d v="1899-12-30T15:30:00"/>
    <s v="-"/>
    <d v="1899-12-30T16:00:00"/>
    <n v="736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5:30:00"/>
    <d v="1899-12-30T16:00:00"/>
  </r>
  <r>
    <d v="2024-10-02T00:00:00"/>
    <n v="925"/>
    <s v="S2S Premium"/>
    <s v="XDPCC_Sosa, Marina"/>
    <x v="143"/>
    <d v="1899-12-30T18:00:00"/>
    <s v="-"/>
    <d v="1899-12-30T18:30:00"/>
    <n v="784"/>
    <n v="0"/>
    <n v="0"/>
    <n v="15"/>
    <n v="0"/>
    <n v="0"/>
    <n v="0"/>
    <n v="4"/>
    <n v="22"/>
    <n v="0"/>
    <n v="0"/>
    <n v="0"/>
    <n v="0"/>
    <n v="0"/>
    <n v="0"/>
    <n v="0"/>
    <n v="0"/>
    <n v="0"/>
    <n v="0"/>
    <n v="4"/>
    <n v="4"/>
    <x v="1"/>
    <x v="94"/>
    <d v="1899-12-30T18:00:00"/>
    <d v="1899-12-30T18:30:00"/>
  </r>
  <r>
    <d v="2024-10-02T00:00:00"/>
    <n v="925"/>
    <s v="S2S Premium"/>
    <s v="XDPCC_Sosa, Marina"/>
    <x v="143"/>
    <d v="1899-12-30T17:00:00"/>
    <s v="-"/>
    <d v="1899-12-30T17:30:00"/>
    <n v="948"/>
    <n v="0"/>
    <n v="0"/>
    <n v="8"/>
    <n v="0"/>
    <n v="0"/>
    <n v="0"/>
    <n v="61"/>
    <n v="0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DPCC_Sosa, Marina"/>
    <x v="143"/>
    <d v="1899-12-30T18:30:00"/>
    <s v="-"/>
    <d v="1899-12-30T19:00:00"/>
    <n v="949"/>
    <n v="0"/>
    <n v="0"/>
    <n v="15"/>
    <n v="0"/>
    <n v="0"/>
    <n v="0"/>
    <n v="207"/>
    <n v="174"/>
    <n v="0"/>
    <n v="0"/>
    <n v="0"/>
    <n v="0"/>
    <n v="0"/>
    <n v="0"/>
    <n v="0"/>
    <n v="0"/>
    <n v="0"/>
    <n v="0"/>
    <n v="4"/>
    <n v="4"/>
    <x v="1"/>
    <x v="94"/>
    <d v="1899-12-30T18:30:00"/>
    <d v="1899-12-30T19:00:00"/>
  </r>
  <r>
    <d v="2024-10-02T00:00:00"/>
    <n v="925"/>
    <s v="S2S Premium"/>
    <s v="XDPCC_Sosa, Marina"/>
    <x v="143"/>
    <d v="1899-12-30T16:30:00"/>
    <s v="-"/>
    <d v="1899-12-30T17:00:00"/>
    <n v="1022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5"/>
    <s v="S2S Premium"/>
    <s v="XDPCC_Sosa, Marina"/>
    <x v="143"/>
    <d v="1899-12-30T19:00:00"/>
    <s v="-"/>
    <d v="1899-12-30T19:30:00"/>
    <n v="1194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9:00:00"/>
    <d v="1899-12-30T19:30:00"/>
  </r>
  <r>
    <d v="2024-10-02T00:00:00"/>
    <n v="925"/>
    <s v="S2S Premium"/>
    <s v="*Pm_Barreto, Mauro"/>
    <x v="144"/>
    <d v="1899-12-30T14:00:00"/>
    <s v="-"/>
    <d v="1899-12-30T14:30:00"/>
    <n v="197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00:00"/>
    <d v="1899-12-30T14:30:00"/>
  </r>
  <r>
    <d v="2024-10-02T00:00:00"/>
    <n v="924"/>
    <s v="S2S No Premium"/>
    <s v="XDPCC_Moya Romina"/>
    <x v="145"/>
    <d v="1899-12-30T18:00:00"/>
    <s v="-"/>
    <d v="1899-12-30T18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XDPCC_Moya Romina"/>
    <x v="145"/>
    <d v="1899-12-30T18:30:00"/>
    <s v="-"/>
    <d v="1899-12-30T19:00:00"/>
    <n v="0"/>
    <n v="0"/>
    <n v="0"/>
    <n v="0"/>
    <n v="0"/>
    <n v="0"/>
    <n v="0"/>
    <n v="100"/>
    <n v="0"/>
    <n v="0"/>
    <n v="0"/>
    <n v="0"/>
    <n v="0"/>
    <n v="0"/>
    <n v="0"/>
    <n v="0"/>
    <n v="0"/>
    <n v="0"/>
    <n v="0"/>
    <n v="1"/>
    <n v="1"/>
    <x v="1"/>
    <x v="94"/>
    <d v="1899-12-30T18:30:00"/>
    <d v="1899-12-30T19:00:00"/>
  </r>
  <r>
    <d v="2024-10-02T00:00:00"/>
    <n v="924"/>
    <s v="S2S No Premium"/>
    <s v="XDPCC_Moya Romina"/>
    <x v="145"/>
    <d v="1899-12-30T19:30:00"/>
    <s v="-"/>
    <d v="1899-12-30T20:00:00"/>
    <n v="37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5"/>
    <s v="S2S Premium"/>
    <s v="XDPCC_Moya Romina"/>
    <x v="145"/>
    <d v="1899-12-30T16:00:00"/>
    <s v="-"/>
    <d v="1899-12-30T16:30:00"/>
    <n v="363"/>
    <n v="0"/>
    <n v="0"/>
    <n v="12"/>
    <n v="0"/>
    <n v="0"/>
    <n v="0"/>
    <n v="521"/>
    <n v="390"/>
    <n v="0"/>
    <n v="0"/>
    <n v="0"/>
    <n v="0"/>
    <n v="0"/>
    <n v="0"/>
    <n v="0"/>
    <n v="0"/>
    <n v="0"/>
    <n v="0"/>
    <n v="3"/>
    <n v="2"/>
    <x v="1"/>
    <x v="94"/>
    <d v="1899-12-30T16:00:00"/>
    <d v="1899-12-30T16:30:00"/>
  </r>
  <r>
    <d v="2024-10-02T00:00:00"/>
    <n v="925"/>
    <s v="S2S Premium"/>
    <s v="XDPCC_Moya Romina"/>
    <x v="145"/>
    <d v="1899-12-30T17:00:00"/>
    <s v="-"/>
    <d v="1899-12-30T17:30:00"/>
    <n v="37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DPCC_Moya Romina"/>
    <x v="145"/>
    <d v="1899-12-30T15:00:00"/>
    <s v="-"/>
    <d v="1899-12-30T15:30:00"/>
    <n v="552"/>
    <n v="56"/>
    <n v="0"/>
    <n v="8"/>
    <n v="0"/>
    <n v="0"/>
    <n v="0"/>
    <n v="102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DPCC_Moya Romina"/>
    <x v="145"/>
    <d v="1899-12-30T16:30:00"/>
    <s v="-"/>
    <d v="1899-12-30T17:00:00"/>
    <n v="556"/>
    <n v="50"/>
    <n v="0"/>
    <n v="12"/>
    <n v="0"/>
    <n v="0"/>
    <n v="0"/>
    <n v="293"/>
    <n v="0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4"/>
    <s v="S2S No Premium"/>
    <s v="XDPCC_Moya Romina"/>
    <x v="145"/>
    <d v="1899-12-30T18:30:00"/>
    <s v="-"/>
    <d v="1899-12-30T19:00:00"/>
    <n v="735"/>
    <n v="0"/>
    <n v="0"/>
    <n v="12"/>
    <n v="0"/>
    <n v="0"/>
    <n v="0"/>
    <n v="92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5"/>
    <s v="S2S Premium"/>
    <s v="XDPCC_Moya Romina"/>
    <x v="145"/>
    <d v="1899-12-30T18:00:00"/>
    <s v="-"/>
    <d v="1899-12-30T18:30:00"/>
    <n v="812"/>
    <n v="13"/>
    <n v="0"/>
    <n v="12"/>
    <n v="0"/>
    <n v="0"/>
    <n v="0"/>
    <n v="86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4"/>
    <s v="S2S No Premium"/>
    <s v="XDPCC_Moya Romina"/>
    <x v="145"/>
    <d v="1899-12-30T19:00:00"/>
    <s v="-"/>
    <d v="1899-12-30T19:30:00"/>
    <n v="877"/>
    <n v="0"/>
    <n v="0"/>
    <n v="11"/>
    <n v="0"/>
    <n v="0"/>
    <n v="0"/>
    <n v="233"/>
    <n v="65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5"/>
    <s v="S2S Premium"/>
    <s v="XDPCC_Moya Romina"/>
    <x v="145"/>
    <d v="1899-12-30T15:30:00"/>
    <s v="-"/>
    <d v="1899-12-30T16:00:00"/>
    <n v="941"/>
    <n v="0"/>
    <n v="0"/>
    <n v="8"/>
    <n v="0"/>
    <n v="0"/>
    <n v="0"/>
    <n v="167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DPCC_Moya Romina"/>
    <x v="145"/>
    <d v="1899-12-30T17:30:00"/>
    <s v="-"/>
    <d v="1899-12-30T18:00:00"/>
    <n v="953"/>
    <n v="7"/>
    <n v="0"/>
    <n v="8"/>
    <n v="0"/>
    <n v="0"/>
    <n v="0"/>
    <n v="650"/>
    <n v="74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4"/>
    <s v="S2S No Premium"/>
    <s v="XPm_Dellamea, Ingri"/>
    <x v="146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XPm_Dellamea, Ingri"/>
    <x v="146"/>
    <d v="1899-12-30T15:00:00"/>
    <s v="-"/>
    <d v="1899-12-30T15:30:00"/>
    <n v="696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5:00:00"/>
    <d v="1899-12-30T15:30:00"/>
  </r>
  <r>
    <d v="2024-10-02T00:00:00"/>
    <n v="924"/>
    <s v="S2S No Premium"/>
    <s v="XPm_Dellamea, Ingri"/>
    <x v="146"/>
    <d v="1899-12-30T14:00:00"/>
    <s v="-"/>
    <d v="1899-12-30T14:30:00"/>
    <n v="890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XPm_Dellamea, Ingri"/>
    <x v="146"/>
    <d v="1899-12-30T14:30:00"/>
    <s v="-"/>
    <d v="1899-12-30T15:00:00"/>
    <n v="1152"/>
    <n v="0"/>
    <n v="0"/>
    <n v="13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5"/>
    <s v="S2S Premium"/>
    <s v="XPm_Romero, Mari"/>
    <x v="147"/>
    <d v="1899-12-30T18:00:00"/>
    <s v="-"/>
    <d v="1899-12-30T18:30:00"/>
    <n v="461"/>
    <n v="0"/>
    <n v="0"/>
    <n v="4"/>
    <n v="0"/>
    <n v="0"/>
    <n v="0"/>
    <n v="280"/>
    <n v="266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XPm_Romero, Mari"/>
    <x v="147"/>
    <d v="1899-12-30T15:30:00"/>
    <s v="-"/>
    <d v="1899-12-30T16:00:00"/>
    <n v="631"/>
    <n v="0"/>
    <n v="0"/>
    <n v="8"/>
    <n v="0"/>
    <n v="0"/>
    <n v="0"/>
    <n v="185"/>
    <n v="1"/>
    <n v="0"/>
    <n v="0"/>
    <n v="0"/>
    <n v="0"/>
    <n v="0"/>
    <n v="0"/>
    <n v="0"/>
    <n v="0"/>
    <n v="0"/>
    <n v="0"/>
    <n v="2"/>
    <n v="0"/>
    <x v="1"/>
    <x v="94"/>
    <d v="1899-12-30T15:30:00"/>
    <d v="1899-12-30T16:00:00"/>
  </r>
  <r>
    <d v="2024-10-02T00:00:00"/>
    <n v="925"/>
    <s v="S2S Premium"/>
    <s v="XPm_Romero, Mari"/>
    <x v="147"/>
    <d v="1899-12-30T18:30:00"/>
    <s v="-"/>
    <d v="1899-12-30T19:00:00"/>
    <n v="654"/>
    <n v="0"/>
    <n v="0"/>
    <n v="24"/>
    <n v="0"/>
    <n v="0"/>
    <n v="0"/>
    <n v="72"/>
    <n v="43"/>
    <n v="0"/>
    <n v="0"/>
    <n v="0"/>
    <n v="0"/>
    <n v="0"/>
    <n v="0"/>
    <n v="0"/>
    <n v="0"/>
    <n v="0"/>
    <n v="0"/>
    <n v="5"/>
    <n v="5"/>
    <x v="1"/>
    <x v="94"/>
    <d v="1899-12-30T18:30:00"/>
    <d v="1899-12-30T19:00:00"/>
  </r>
  <r>
    <d v="2024-10-02T00:00:00"/>
    <n v="925"/>
    <s v="S2S Premium"/>
    <s v="XPm_Romero, Mari"/>
    <x v="147"/>
    <d v="1899-12-30T15:00:00"/>
    <s v="-"/>
    <d v="1899-12-30T15:30:00"/>
    <n v="698"/>
    <n v="0"/>
    <n v="0"/>
    <n v="12"/>
    <n v="0"/>
    <n v="0"/>
    <n v="0"/>
    <n v="129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m_Romero, Mari"/>
    <x v="147"/>
    <d v="1899-12-30T19:30:00"/>
    <s v="-"/>
    <d v="1899-12-30T20:00:00"/>
    <n v="725"/>
    <n v="0"/>
    <n v="0"/>
    <n v="11"/>
    <n v="0"/>
    <n v="0"/>
    <n v="0"/>
    <n v="119"/>
    <n v="48"/>
    <n v="0"/>
    <n v="0"/>
    <n v="0"/>
    <n v="0"/>
    <n v="0"/>
    <n v="0"/>
    <n v="0"/>
    <n v="0"/>
    <n v="0"/>
    <n v="0"/>
    <n v="4"/>
    <n v="4"/>
    <x v="1"/>
    <x v="94"/>
    <d v="1899-12-30T19:30:00"/>
    <d v="1899-12-30T20:00:00"/>
  </r>
  <r>
    <d v="2024-10-02T00:00:00"/>
    <n v="925"/>
    <s v="S2S Premium"/>
    <s v="XPm_Romero, Mari"/>
    <x v="147"/>
    <d v="1899-12-30T17:00:00"/>
    <s v="-"/>
    <d v="1899-12-30T17:30:00"/>
    <n v="749"/>
    <n v="0"/>
    <n v="0"/>
    <n v="16"/>
    <n v="0"/>
    <n v="0"/>
    <n v="0"/>
    <n v="229"/>
    <n v="0"/>
    <n v="0"/>
    <n v="0"/>
    <n v="0"/>
    <n v="0"/>
    <n v="0"/>
    <n v="0"/>
    <n v="0"/>
    <n v="0"/>
    <n v="0"/>
    <n v="0"/>
    <n v="3"/>
    <n v="2"/>
    <x v="1"/>
    <x v="94"/>
    <d v="1899-12-30T17:00:00"/>
    <d v="1899-12-30T17:30:00"/>
  </r>
  <r>
    <d v="2024-10-02T00:00:00"/>
    <n v="925"/>
    <s v="S2S Premium"/>
    <s v="XPm_Romero, Mari"/>
    <x v="147"/>
    <d v="1899-12-30T16:00:00"/>
    <s v="-"/>
    <d v="1899-12-30T16:30:00"/>
    <n v="87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Pm_Romero, Mari"/>
    <x v="147"/>
    <d v="1899-12-30T19:00:00"/>
    <s v="-"/>
    <d v="1899-12-30T19:30:00"/>
    <n v="924"/>
    <n v="0"/>
    <n v="0"/>
    <n v="12"/>
    <n v="0"/>
    <n v="0"/>
    <n v="0"/>
    <n v="461"/>
    <n v="113"/>
    <n v="0"/>
    <n v="0"/>
    <n v="0"/>
    <n v="0"/>
    <n v="0"/>
    <n v="0"/>
    <n v="0"/>
    <n v="0"/>
    <n v="0"/>
    <n v="0"/>
    <n v="3"/>
    <n v="3"/>
    <x v="1"/>
    <x v="94"/>
    <d v="1899-12-30T19:00:00"/>
    <d v="1899-12-30T19:30:00"/>
  </r>
  <r>
    <d v="2024-10-02T00:00:00"/>
    <n v="925"/>
    <s v="S2S Premium"/>
    <s v="XPm_Romero, Mari"/>
    <x v="147"/>
    <d v="1899-12-30T17:30:00"/>
    <s v="-"/>
    <d v="1899-12-30T18:00:00"/>
    <n v="1267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7:30:00"/>
    <d v="1899-12-30T18:00:00"/>
  </r>
  <r>
    <d v="2024-10-02T00:00:00"/>
    <n v="925"/>
    <s v="S2S Premium"/>
    <s v="XPm_Romero, Mari"/>
    <x v="147"/>
    <d v="1899-12-30T16:30:00"/>
    <s v="-"/>
    <d v="1899-12-30T17:00:00"/>
    <n v="1382"/>
    <n v="0"/>
    <n v="0"/>
    <n v="12"/>
    <n v="0"/>
    <n v="0"/>
    <n v="0"/>
    <n v="234"/>
    <n v="0"/>
    <n v="0"/>
    <n v="0"/>
    <n v="0"/>
    <n v="0"/>
    <n v="0"/>
    <n v="0"/>
    <n v="0"/>
    <n v="0"/>
    <n v="0"/>
    <n v="0"/>
    <n v="4"/>
    <n v="4"/>
    <x v="1"/>
    <x v="94"/>
    <d v="1899-12-30T16:30:00"/>
    <d v="1899-12-30T17:00:00"/>
  </r>
  <r>
    <d v="2024-10-02T00:00:00"/>
    <n v="925"/>
    <s v="S2S Premium"/>
    <s v="Pm_Aguirre, Jorge"/>
    <x v="148"/>
    <d v="1899-12-30T18:00:00"/>
    <s v="-"/>
    <d v="1899-12-30T18:30:00"/>
    <n v="16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Pm_Aguirre, Jorge"/>
    <x v="148"/>
    <d v="1899-12-30T15:00:00"/>
    <s v="-"/>
    <d v="1899-12-30T15:30:00"/>
    <n v="31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Pm_Aguirre, Jorge"/>
    <x v="148"/>
    <d v="1899-12-30T16:00:00"/>
    <s v="-"/>
    <d v="1899-12-30T16:30:00"/>
    <n v="116"/>
    <n v="0"/>
    <n v="0"/>
    <n v="4"/>
    <n v="0"/>
    <n v="0"/>
    <n v="0"/>
    <n v="37"/>
    <n v="0"/>
    <n v="0"/>
    <n v="0"/>
    <n v="0"/>
    <n v="0"/>
    <n v="0"/>
    <n v="0"/>
    <n v="0"/>
    <n v="0"/>
    <n v="0"/>
    <n v="0"/>
    <n v="1"/>
    <n v="1"/>
    <x v="1"/>
    <x v="94"/>
    <d v="1899-12-30T16:00:00"/>
    <d v="1899-12-30T16:30:00"/>
  </r>
  <r>
    <d v="2024-10-02T00:00:00"/>
    <n v="924"/>
    <s v="S2S No Premium"/>
    <s v="Pm_Aguirre, Jorge"/>
    <x v="148"/>
    <d v="1899-12-30T18:00:00"/>
    <s v="-"/>
    <d v="1899-12-30T18:30:00"/>
    <n v="12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8:00:00"/>
    <d v="1899-12-30T18:30:00"/>
  </r>
  <r>
    <d v="2024-10-02T00:00:00"/>
    <n v="924"/>
    <s v="S2S No Premium"/>
    <s v="Pm_Aguirre, Jorge"/>
    <x v="148"/>
    <d v="1899-12-30T19:30:00"/>
    <s v="-"/>
    <d v="1899-12-30T20:00:00"/>
    <n v="161"/>
    <n v="0"/>
    <n v="0"/>
    <n v="8"/>
    <n v="0"/>
    <n v="0"/>
    <n v="0"/>
    <n v="62"/>
    <n v="1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5"/>
    <s v="S2S Premium"/>
    <s v="Pm_Aguirre, Jorge"/>
    <x v="148"/>
    <d v="1899-12-30T15:30:00"/>
    <s v="-"/>
    <d v="1899-12-30T16:00:00"/>
    <n v="415"/>
    <n v="0"/>
    <n v="0"/>
    <n v="12"/>
    <n v="0"/>
    <n v="0"/>
    <n v="0"/>
    <n v="656"/>
    <n v="264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4"/>
    <s v="S2S No Premium"/>
    <s v="Pm_Aguirre, Jorge"/>
    <x v="148"/>
    <d v="1899-12-30T18:30:00"/>
    <s v="-"/>
    <d v="1899-12-30T19:00:00"/>
    <n v="629"/>
    <n v="0"/>
    <n v="0"/>
    <n v="8"/>
    <n v="0"/>
    <n v="0"/>
    <n v="0"/>
    <n v="218"/>
    <n v="101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5"/>
    <s v="S2S Premium"/>
    <s v="Pm_Aguirre, Jorge"/>
    <x v="148"/>
    <d v="1899-12-30T17:30:00"/>
    <s v="-"/>
    <d v="1899-12-30T18:00:00"/>
    <n v="726"/>
    <n v="0"/>
    <n v="0"/>
    <n v="20"/>
    <n v="0"/>
    <n v="0"/>
    <n v="0"/>
    <n v="217"/>
    <n v="69"/>
    <n v="0"/>
    <n v="0"/>
    <n v="0"/>
    <n v="0"/>
    <n v="0"/>
    <n v="0"/>
    <n v="0"/>
    <n v="0"/>
    <n v="0"/>
    <n v="0"/>
    <n v="5"/>
    <n v="3"/>
    <x v="1"/>
    <x v="94"/>
    <d v="1899-12-30T17:30:00"/>
    <d v="1899-12-30T18:00:00"/>
  </r>
  <r>
    <d v="2024-10-02T00:00:00"/>
    <n v="924"/>
    <s v="S2S No Premium"/>
    <s v="Pm_Aguirre, Jorge"/>
    <x v="148"/>
    <d v="1899-12-30T19:00:00"/>
    <s v="-"/>
    <d v="1899-12-30T19:30:00"/>
    <n v="787"/>
    <n v="0"/>
    <n v="0"/>
    <n v="21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9:00:00"/>
    <d v="1899-12-30T19:30:00"/>
  </r>
  <r>
    <d v="2024-10-02T00:00:00"/>
    <n v="925"/>
    <s v="S2S Premium"/>
    <s v="Pm_Aguirre, Jorge"/>
    <x v="148"/>
    <d v="1899-12-30T17:00:00"/>
    <s v="-"/>
    <d v="1899-12-30T17:30:00"/>
    <n v="858"/>
    <n v="0"/>
    <n v="0"/>
    <n v="20"/>
    <n v="0"/>
    <n v="0"/>
    <n v="0"/>
    <n v="23"/>
    <n v="0"/>
    <n v="0"/>
    <n v="0"/>
    <n v="0"/>
    <n v="0"/>
    <n v="0"/>
    <n v="0"/>
    <n v="0"/>
    <n v="0"/>
    <n v="0"/>
    <n v="0"/>
    <n v="5"/>
    <n v="4"/>
    <x v="1"/>
    <x v="94"/>
    <d v="1899-12-30T17:00:00"/>
    <d v="1899-12-30T17:30:00"/>
  </r>
  <r>
    <d v="2024-10-02T00:00:00"/>
    <n v="925"/>
    <s v="S2S Premium"/>
    <s v="Pm_Aguirre, Jorge"/>
    <x v="148"/>
    <d v="1899-12-30T16:30:00"/>
    <s v="-"/>
    <d v="1899-12-30T17:00:00"/>
    <n v="965"/>
    <n v="0"/>
    <n v="0"/>
    <n v="28"/>
    <n v="0"/>
    <n v="0"/>
    <n v="0"/>
    <n v="167"/>
    <n v="0"/>
    <n v="0"/>
    <n v="0"/>
    <n v="0"/>
    <n v="0"/>
    <n v="0"/>
    <n v="0"/>
    <n v="0"/>
    <n v="0"/>
    <n v="0"/>
    <n v="0"/>
    <n v="6"/>
    <n v="5"/>
    <x v="1"/>
    <x v="94"/>
    <d v="1899-12-30T16:30:00"/>
    <d v="1899-12-30T17:00:00"/>
  </r>
  <r>
    <d v="2024-10-02T00:00:00"/>
    <n v="924"/>
    <s v="S2S No Premium"/>
    <s v="N2m_Fernandez, Pa"/>
    <x v="149"/>
    <d v="1899-12-30T15:30:00"/>
    <s v="-"/>
    <d v="1899-12-30T16:00:00"/>
    <n v="219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N2m_Fernandez, Pa"/>
    <x v="149"/>
    <d v="1899-12-30T15:00:00"/>
    <s v="-"/>
    <d v="1899-12-30T15:30:00"/>
    <n v="654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5"/>
    <s v="S2S Premium"/>
    <s v="PCC_Garcia, Ludmila"/>
    <x v="150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PCC_Garcia, Ludmila"/>
    <x v="150"/>
    <d v="1899-12-30T14:00:00"/>
    <s v="-"/>
    <d v="1899-12-30T14:30:00"/>
    <n v="431"/>
    <n v="0"/>
    <n v="0"/>
    <n v="4"/>
    <n v="0"/>
    <n v="0"/>
    <n v="0"/>
    <n v="37"/>
    <n v="192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PCC_Garcia, Ludmila"/>
    <x v="150"/>
    <d v="1899-12-30T15:00:00"/>
    <s v="-"/>
    <d v="1899-12-30T15:30:00"/>
    <n v="455"/>
    <n v="0"/>
    <n v="0"/>
    <n v="20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94"/>
    <d v="1899-12-30T15:00:00"/>
    <d v="1899-12-30T15:30:00"/>
  </r>
  <r>
    <d v="2024-10-02T00:00:00"/>
    <n v="925"/>
    <s v="S2S Premium"/>
    <s v="PCC_Garcia, Ludmila"/>
    <x v="150"/>
    <d v="1899-12-30T14:30:00"/>
    <s v="-"/>
    <d v="1899-12-30T15:00:00"/>
    <n v="503"/>
    <n v="0"/>
    <n v="0"/>
    <n v="11"/>
    <n v="0"/>
    <n v="0"/>
    <n v="0"/>
    <n v="252"/>
    <n v="1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PCC_Garcia, Ludmila"/>
    <x v="150"/>
    <d v="1899-12-30T15:30:00"/>
    <s v="-"/>
    <d v="1899-12-30T16:00:00"/>
    <n v="807"/>
    <n v="0"/>
    <n v="0"/>
    <n v="11"/>
    <n v="0"/>
    <n v="0"/>
    <n v="0"/>
    <n v="129"/>
    <n v="104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4"/>
    <s v="S2S No Premium"/>
    <s v="*N2m_Ramirez Daiana"/>
    <x v="151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30:00"/>
    <d v="1899-12-30T15:00:00"/>
  </r>
  <r>
    <d v="2024-10-02T00:00:00"/>
    <n v="924"/>
    <s v="S2S No Premium"/>
    <s v="*N2m_Ramirez Daiana"/>
    <x v="151"/>
    <d v="1899-12-30T14:00:00"/>
    <s v="-"/>
    <d v="1899-12-30T14:30:00"/>
    <n v="115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*N2m_Ramirez Daiana"/>
    <x v="151"/>
    <d v="1899-12-30T15:00:00"/>
    <s v="-"/>
    <d v="1899-12-30T15:30:00"/>
    <n v="221"/>
    <n v="228"/>
    <n v="0"/>
    <n v="8"/>
    <n v="0"/>
    <n v="0"/>
    <n v="0"/>
    <n v="2"/>
    <n v="1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Ramirez Daiana"/>
    <x v="151"/>
    <d v="1899-12-30T18:30:00"/>
    <s v="-"/>
    <d v="1899-12-30T19:00:00"/>
    <n v="227"/>
    <n v="244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*N2m_Ramirez Daiana"/>
    <x v="151"/>
    <d v="1899-12-30T16:30:00"/>
    <s v="-"/>
    <d v="1899-12-30T17:00:00"/>
    <n v="467"/>
    <n v="623"/>
    <n v="0"/>
    <n v="15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6:30:00"/>
    <d v="1899-12-30T17:00:00"/>
  </r>
  <r>
    <d v="2024-10-02T00:00:00"/>
    <n v="924"/>
    <s v="S2S No Premium"/>
    <s v="*N2m_Ramirez Daiana"/>
    <x v="151"/>
    <d v="1899-12-30T16:00:00"/>
    <s v="-"/>
    <d v="1899-12-30T16:30:00"/>
    <n v="609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0"/>
    <x v="94"/>
    <d v="1899-12-30T16:00:00"/>
    <d v="1899-12-30T16:30:00"/>
  </r>
  <r>
    <d v="2024-10-02T00:00:00"/>
    <n v="924"/>
    <s v="S2S No Premium"/>
    <s v="*N2m_Ramirez Daiana"/>
    <x v="151"/>
    <d v="1899-12-30T17:30:00"/>
    <s v="-"/>
    <d v="1899-12-30T18:00:00"/>
    <n v="715"/>
    <n v="288"/>
    <n v="0"/>
    <n v="20"/>
    <n v="0"/>
    <n v="0"/>
    <n v="0"/>
    <n v="74"/>
    <n v="0"/>
    <n v="0"/>
    <n v="0"/>
    <n v="0"/>
    <n v="0"/>
    <n v="0"/>
    <n v="0"/>
    <n v="0"/>
    <n v="0"/>
    <n v="0"/>
    <n v="0"/>
    <n v="6"/>
    <n v="5"/>
    <x v="0"/>
    <x v="94"/>
    <d v="1899-12-30T17:30:00"/>
    <d v="1899-12-30T18:00:00"/>
  </r>
  <r>
    <d v="2024-10-02T00:00:00"/>
    <n v="924"/>
    <s v="S2S No Premium"/>
    <s v="*N2m_Ramirez Daiana"/>
    <x v="151"/>
    <d v="1899-12-30T17:00:00"/>
    <s v="-"/>
    <d v="1899-12-30T17:30:00"/>
    <n v="731"/>
    <n v="332"/>
    <n v="0"/>
    <n v="28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94"/>
    <d v="1899-12-30T17:00:00"/>
    <d v="1899-12-30T17:30:00"/>
  </r>
  <r>
    <d v="2024-10-02T00:00:00"/>
    <n v="924"/>
    <s v="S2S No Premium"/>
    <s v="*N2m_Ramirez Daiana"/>
    <x v="151"/>
    <d v="1899-12-30T15:30:00"/>
    <s v="-"/>
    <d v="1899-12-30T16:00:00"/>
    <n v="812"/>
    <n v="417"/>
    <n v="0"/>
    <n v="16"/>
    <n v="0"/>
    <n v="0"/>
    <n v="0"/>
    <n v="67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*N2m_Ramirez Daiana"/>
    <x v="151"/>
    <d v="1899-12-30T18:00:00"/>
    <s v="-"/>
    <d v="1899-12-30T18:30:00"/>
    <n v="1062"/>
    <n v="255"/>
    <n v="0"/>
    <n v="20"/>
    <n v="0"/>
    <n v="0"/>
    <n v="0"/>
    <n v="117"/>
    <n v="0"/>
    <n v="0"/>
    <n v="0"/>
    <n v="0"/>
    <n v="0"/>
    <n v="0"/>
    <n v="0"/>
    <n v="0"/>
    <n v="0"/>
    <n v="0"/>
    <n v="0"/>
    <n v="5"/>
    <n v="4"/>
    <x v="0"/>
    <x v="94"/>
    <d v="1899-12-30T18:00:00"/>
    <d v="1899-12-30T18:30:00"/>
  </r>
  <r>
    <d v="2024-10-02T00:00:00"/>
    <n v="924"/>
    <s v="S2S No Premium"/>
    <s v="N2mLedesma ,He"/>
    <x v="152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N2mLedesma ,He"/>
    <x v="152"/>
    <d v="1899-12-30T15:00:00"/>
    <s v="-"/>
    <d v="1899-12-30T15:30:00"/>
    <n v="19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N2m_Katona, Sabrina"/>
    <x v="153"/>
    <d v="1899-12-30T14:00:00"/>
    <s v="-"/>
    <d v="1899-12-30T14:30:00"/>
    <n v="287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*N2m_Katona, Sabrina"/>
    <x v="153"/>
    <d v="1899-12-30T15:00:00"/>
    <s v="-"/>
    <d v="1899-12-30T15:30:00"/>
    <n v="304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m_Katona, Sabrina"/>
    <x v="153"/>
    <d v="1899-12-30T14:30:00"/>
    <s v="-"/>
    <d v="1899-12-30T15:00:00"/>
    <n v="525"/>
    <n v="0"/>
    <n v="0"/>
    <n v="12"/>
    <n v="0"/>
    <n v="0"/>
    <n v="0"/>
    <n v="410"/>
    <n v="111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XPm_Maidana, Mila"/>
    <x v="154"/>
    <d v="1899-12-30T15:30:00"/>
    <s v="-"/>
    <d v="1899-12-30T16:00:00"/>
    <n v="215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XPm_Maidana, Mila"/>
    <x v="154"/>
    <d v="1899-12-30T14:30:00"/>
    <s v="-"/>
    <d v="1899-12-30T15:00:00"/>
    <n v="72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4:30:00"/>
    <d v="1899-12-30T15:00:00"/>
  </r>
  <r>
    <d v="2024-10-02T00:00:00"/>
    <n v="924"/>
    <s v="S2S No Premium"/>
    <s v="XPm_Maidana, Mila"/>
    <x v="154"/>
    <d v="1899-12-30T14:00:00"/>
    <s v="-"/>
    <d v="1899-12-30T14:30:00"/>
    <n v="952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XPm_Maidana, Mila"/>
    <x v="154"/>
    <d v="1899-12-30T15:00:00"/>
    <s v="-"/>
    <d v="1899-12-30T15:30:00"/>
    <n v="1282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5"/>
    <s v="S2S Premium"/>
    <s v="*Pm_Gutierrez, Laura"/>
    <x v="15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m_Gutierrez, Laura"/>
    <x v="155"/>
    <d v="1899-12-30T14:30:00"/>
    <s v="-"/>
    <d v="1899-12-30T15:00:00"/>
    <n v="473"/>
    <n v="0"/>
    <n v="0"/>
    <n v="12"/>
    <n v="0"/>
    <n v="0"/>
    <n v="0"/>
    <n v="235"/>
    <n v="104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*Pm_Gutierrez, Laura"/>
    <x v="155"/>
    <d v="1899-12-30T14:00:00"/>
    <s v="-"/>
    <d v="1899-12-30T14:30:00"/>
    <n v="780"/>
    <n v="0"/>
    <n v="0"/>
    <n v="16"/>
    <n v="0"/>
    <n v="0"/>
    <n v="0"/>
    <n v="48"/>
    <n v="0"/>
    <n v="0"/>
    <n v="0"/>
    <n v="0"/>
    <n v="0"/>
    <n v="0"/>
    <n v="0"/>
    <n v="0"/>
    <n v="0"/>
    <n v="0"/>
    <n v="0"/>
    <n v="4"/>
    <n v="4"/>
    <x v="1"/>
    <x v="94"/>
    <d v="1899-12-30T14:00:00"/>
    <d v="1899-12-30T14:30:00"/>
  </r>
  <r>
    <d v="2024-10-02T00:00:00"/>
    <n v="924"/>
    <s v="S2S No Premium"/>
    <s v="*N2m_Noguera Maria"/>
    <x v="156"/>
    <d v="1899-12-30T16:00:00"/>
    <s v="-"/>
    <d v="1899-12-30T16:30:00"/>
    <n v="134"/>
    <n v="0"/>
    <n v="0"/>
    <n v="0"/>
    <n v="0"/>
    <n v="0"/>
    <n v="0"/>
    <n v="383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*N2m_Noguera Maria"/>
    <x v="156"/>
    <d v="1899-12-30T14:30:00"/>
    <s v="-"/>
    <d v="1899-12-30T15:00:00"/>
    <n v="63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*N2m_Noguera Maria"/>
    <x v="156"/>
    <d v="1899-12-30T15:00:00"/>
    <s v="-"/>
    <d v="1899-12-30T15:30:00"/>
    <n v="643"/>
    <n v="0"/>
    <n v="0"/>
    <n v="7"/>
    <n v="0"/>
    <n v="0"/>
    <n v="0"/>
    <n v="498"/>
    <n v="496"/>
    <n v="0"/>
    <n v="0"/>
    <n v="0"/>
    <n v="0"/>
    <n v="0"/>
    <n v="0"/>
    <n v="0"/>
    <n v="0"/>
    <n v="0"/>
    <n v="0"/>
    <n v="2"/>
    <n v="1"/>
    <x v="0"/>
    <x v="94"/>
    <d v="1899-12-30T15:00:00"/>
    <d v="1899-12-30T15:30:00"/>
  </r>
  <r>
    <d v="2024-10-02T00:00:00"/>
    <n v="924"/>
    <s v="S2S No Premium"/>
    <s v="*N2m_Noguera Maria"/>
    <x v="156"/>
    <d v="1899-12-30T14:00:00"/>
    <s v="-"/>
    <d v="1899-12-30T14:30:00"/>
    <n v="943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*N2m_Noguera Maria"/>
    <x v="156"/>
    <d v="1899-12-30T15:30:00"/>
    <s v="-"/>
    <d v="1899-12-30T16:00:00"/>
    <n v="1095"/>
    <n v="0"/>
    <n v="0"/>
    <n v="7"/>
    <n v="0"/>
    <n v="0"/>
    <n v="0"/>
    <n v="2"/>
    <n v="38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*WN2m_Leguizamon,R"/>
    <x v="157"/>
    <d v="1899-12-30T19:30:00"/>
    <s v="-"/>
    <d v="1899-12-30T20:00:00"/>
    <n v="10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4"/>
    <s v="S2S No Premium"/>
    <s v="*WN2m_Leguizamon,R"/>
    <x v="157"/>
    <d v="1899-12-30T19:00:00"/>
    <s v="-"/>
    <d v="1899-12-30T19:30:00"/>
    <n v="393"/>
    <n v="0"/>
    <n v="0"/>
    <n v="12"/>
    <n v="0"/>
    <n v="0"/>
    <n v="0"/>
    <n v="111"/>
    <n v="104"/>
    <n v="0"/>
    <n v="0"/>
    <n v="0"/>
    <n v="0"/>
    <n v="0"/>
    <n v="0"/>
    <n v="0"/>
    <n v="0"/>
    <n v="0"/>
    <n v="0"/>
    <n v="3"/>
    <n v="3"/>
    <x v="0"/>
    <x v="94"/>
    <d v="1899-12-30T19:00:00"/>
    <d v="1899-12-30T19:30:00"/>
  </r>
  <r>
    <d v="2024-10-02T00:00:00"/>
    <n v="924"/>
    <s v="S2S No Premium"/>
    <s v="*WN2m_Leguizamon,R"/>
    <x v="157"/>
    <d v="1899-12-30T17:30:00"/>
    <s v="-"/>
    <d v="1899-12-30T18:00:00"/>
    <n v="696"/>
    <n v="0"/>
    <n v="0"/>
    <n v="0"/>
    <n v="0"/>
    <n v="0"/>
    <n v="0"/>
    <n v="184"/>
    <n v="67"/>
    <n v="0"/>
    <n v="0"/>
    <n v="0"/>
    <n v="0"/>
    <n v="0"/>
    <n v="0"/>
    <n v="0"/>
    <n v="0"/>
    <n v="0"/>
    <n v="0"/>
    <n v="1"/>
    <n v="1"/>
    <x v="0"/>
    <x v="94"/>
    <d v="1899-12-30T17:30:00"/>
    <d v="1899-12-30T18:00:00"/>
  </r>
  <r>
    <d v="2024-10-02T00:00:00"/>
    <n v="924"/>
    <s v="S2S No Premium"/>
    <s v="*WN2m_Leguizamon,R"/>
    <x v="157"/>
    <d v="1899-12-30T14:00:00"/>
    <s v="-"/>
    <d v="1899-12-30T14:30:00"/>
    <n v="859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4:00:00"/>
    <d v="1899-12-30T14:30:00"/>
  </r>
  <r>
    <d v="2024-10-02T00:00:00"/>
    <n v="924"/>
    <s v="S2S No Premium"/>
    <s v="*WN2m_Leguizamon,R"/>
    <x v="157"/>
    <d v="1899-12-30T18:30:00"/>
    <s v="-"/>
    <d v="1899-12-30T19:00:00"/>
    <n v="890"/>
    <n v="0"/>
    <n v="0"/>
    <n v="12"/>
    <n v="0"/>
    <n v="0"/>
    <n v="0"/>
    <n v="49"/>
    <n v="0"/>
    <n v="0"/>
    <n v="0"/>
    <n v="0"/>
    <n v="0"/>
    <n v="0"/>
    <n v="0"/>
    <n v="0"/>
    <n v="0"/>
    <n v="0"/>
    <n v="0"/>
    <n v="4"/>
    <n v="2"/>
    <x v="0"/>
    <x v="94"/>
    <d v="1899-12-30T18:30:00"/>
    <d v="1899-12-30T19:00:00"/>
  </r>
  <r>
    <d v="2024-10-02T00:00:00"/>
    <n v="924"/>
    <s v="S2S No Premium"/>
    <s v="*WN2m_Leguizamon,R"/>
    <x v="157"/>
    <d v="1899-12-30T15:00:00"/>
    <s v="-"/>
    <d v="1899-12-30T15:30:00"/>
    <n v="893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00:00"/>
    <d v="1899-12-30T15:30:00"/>
  </r>
  <r>
    <d v="2024-10-02T00:00:00"/>
    <n v="924"/>
    <s v="S2S No Premium"/>
    <s v="*WN2m_Leguizamon,R"/>
    <x v="157"/>
    <d v="1899-12-30T14:30:00"/>
    <s v="-"/>
    <d v="1899-12-30T15:00:00"/>
    <n v="906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4"/>
    <s v="S2S No Premium"/>
    <s v="*WN2m_Leguizamon,R"/>
    <x v="157"/>
    <d v="1899-12-30T18:00:00"/>
    <s v="-"/>
    <d v="1899-12-30T18:30:00"/>
    <n v="1048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8:00:00"/>
    <d v="1899-12-30T18:30:00"/>
  </r>
  <r>
    <d v="2024-10-02T00:00:00"/>
    <n v="924"/>
    <s v="S2S No Premium"/>
    <s v="*WN2m_Leguizamon,R"/>
    <x v="157"/>
    <d v="1899-12-30T16:30:00"/>
    <s v="-"/>
    <d v="1899-12-30T17:00:00"/>
    <n v="1127"/>
    <n v="0"/>
    <n v="0"/>
    <n v="16"/>
    <n v="0"/>
    <n v="0"/>
    <n v="0"/>
    <n v="236"/>
    <n v="51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*WN2m_Leguizamon,R"/>
    <x v="157"/>
    <d v="1899-12-30T15:30:00"/>
    <s v="-"/>
    <d v="1899-12-30T16:00:00"/>
    <n v="1172"/>
    <n v="0"/>
    <n v="0"/>
    <n v="20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5:30:00"/>
    <d v="1899-12-30T16:00:00"/>
  </r>
  <r>
    <d v="2024-10-02T00:00:00"/>
    <n v="924"/>
    <s v="S2S No Premium"/>
    <s v="*WN2m_Leguizamon,R"/>
    <x v="157"/>
    <d v="1899-12-30T16:00:00"/>
    <s v="-"/>
    <d v="1899-12-30T16:30:00"/>
    <n v="1285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4"/>
    <d v="1899-12-30T16:00:00"/>
    <d v="1899-12-30T16:30:00"/>
  </r>
  <r>
    <d v="2024-10-02T00:00:00"/>
    <n v="924"/>
    <s v="S2S No Premium"/>
    <s v="*WN2m_Leguizamon,R"/>
    <x v="157"/>
    <d v="1899-12-30T17:00:00"/>
    <s v="-"/>
    <d v="1899-12-30T17:30:00"/>
    <n v="1307"/>
    <n v="0"/>
    <n v="0"/>
    <n v="12"/>
    <n v="0"/>
    <n v="0"/>
    <n v="0"/>
    <n v="98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5"/>
    <s v="S2S Premium"/>
    <s v="XPm_Quiroz Aylen"/>
    <x v="158"/>
    <d v="1899-12-30T19:30:00"/>
    <s v="-"/>
    <d v="1899-12-30T20:00:00"/>
    <n v="174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9:30:00"/>
    <d v="1899-12-30T20:00:00"/>
  </r>
  <r>
    <d v="2024-10-02T00:00:00"/>
    <n v="925"/>
    <s v="S2S Premium"/>
    <s v="XPm_Quiroz Aylen"/>
    <x v="158"/>
    <d v="1899-12-30T15:00:00"/>
    <s v="-"/>
    <d v="1899-12-30T15:30:00"/>
    <n v="223"/>
    <n v="0"/>
    <n v="0"/>
    <n v="7"/>
    <n v="0"/>
    <n v="0"/>
    <n v="0"/>
    <n v="47"/>
    <n v="92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Pm_Quiroz Aylen"/>
    <x v="158"/>
    <d v="1899-12-30T17:30:00"/>
    <s v="-"/>
    <d v="1899-12-30T18:00:00"/>
    <n v="31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5"/>
    <s v="S2S Premium"/>
    <s v="XPm_Quiroz Aylen"/>
    <x v="158"/>
    <d v="1899-12-30T18:30:00"/>
    <s v="-"/>
    <d v="1899-12-30T19:00:00"/>
    <n v="392"/>
    <n v="0"/>
    <n v="0"/>
    <n v="12"/>
    <n v="0"/>
    <n v="0"/>
    <n v="0"/>
    <n v="356"/>
    <n v="61"/>
    <n v="0"/>
    <n v="0"/>
    <n v="0"/>
    <n v="0"/>
    <n v="0"/>
    <n v="0"/>
    <n v="0"/>
    <n v="0"/>
    <n v="0"/>
    <n v="0"/>
    <n v="2"/>
    <n v="1"/>
    <x v="1"/>
    <x v="94"/>
    <d v="1899-12-30T18:30:00"/>
    <d v="1899-12-30T19:00:00"/>
  </r>
  <r>
    <d v="2024-10-02T00:00:00"/>
    <n v="925"/>
    <s v="S2S Premium"/>
    <s v="XPm_Quiroz Aylen"/>
    <x v="158"/>
    <d v="1899-12-30T17:00:00"/>
    <s v="-"/>
    <d v="1899-12-30T17:30:00"/>
    <n v="483"/>
    <n v="0"/>
    <n v="0"/>
    <n v="8"/>
    <n v="0"/>
    <n v="0"/>
    <n v="0"/>
    <n v="134"/>
    <n v="0"/>
    <n v="0"/>
    <n v="0"/>
    <n v="0"/>
    <n v="0"/>
    <n v="0"/>
    <n v="0"/>
    <n v="0"/>
    <n v="0"/>
    <n v="0"/>
    <n v="0"/>
    <n v="3"/>
    <n v="2"/>
    <x v="1"/>
    <x v="94"/>
    <d v="1899-12-30T17:00:00"/>
    <d v="1899-12-30T17:30:00"/>
  </r>
  <r>
    <d v="2024-10-02T00:00:00"/>
    <n v="925"/>
    <s v="S2S Premium"/>
    <s v="XPm_Quiroz Aylen"/>
    <x v="158"/>
    <d v="1899-12-30T15:30:00"/>
    <s v="-"/>
    <d v="1899-12-30T16:00:00"/>
    <n v="551"/>
    <n v="0"/>
    <n v="0"/>
    <n v="8"/>
    <n v="0"/>
    <n v="0"/>
    <n v="0"/>
    <n v="451"/>
    <n v="345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XPm_Quiroz Aylen"/>
    <x v="158"/>
    <d v="1899-12-30T16:30:00"/>
    <s v="-"/>
    <d v="1899-12-30T17:00:00"/>
    <n v="1030"/>
    <n v="0"/>
    <n v="0"/>
    <n v="16"/>
    <n v="0"/>
    <n v="0"/>
    <n v="0"/>
    <n v="127"/>
    <n v="0"/>
    <n v="0"/>
    <n v="0"/>
    <n v="0"/>
    <n v="0"/>
    <n v="0"/>
    <n v="0"/>
    <n v="0"/>
    <n v="0"/>
    <n v="0"/>
    <n v="0"/>
    <n v="4"/>
    <n v="4"/>
    <x v="1"/>
    <x v="94"/>
    <d v="1899-12-30T16:30:00"/>
    <d v="1899-12-30T17:00:00"/>
  </r>
  <r>
    <d v="2024-10-02T00:00:00"/>
    <n v="925"/>
    <s v="S2S Premium"/>
    <s v="XPm_Quiroz Aylen"/>
    <x v="158"/>
    <d v="1899-12-30T19:00:00"/>
    <s v="-"/>
    <d v="1899-12-30T19:30:00"/>
    <n v="1085"/>
    <n v="0"/>
    <n v="0"/>
    <n v="16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4"/>
    <d v="1899-12-30T19:00:00"/>
    <d v="1899-12-30T19:30:00"/>
  </r>
  <r>
    <d v="2024-10-02T00:00:00"/>
    <n v="925"/>
    <s v="S2S Premium"/>
    <s v="XPm_Quiroz Aylen"/>
    <x v="158"/>
    <d v="1899-12-30T18:00:00"/>
    <s v="-"/>
    <d v="1899-12-30T18:30:00"/>
    <n v="1278"/>
    <n v="0"/>
    <n v="0"/>
    <n v="8"/>
    <n v="0"/>
    <n v="0"/>
    <n v="0"/>
    <n v="3"/>
    <n v="1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5"/>
    <s v="S2S Premium"/>
    <s v="XPm_Quiroz Aylen"/>
    <x v="158"/>
    <d v="1899-12-30T16:00:00"/>
    <s v="-"/>
    <d v="1899-12-30T16:30:00"/>
    <n v="1445"/>
    <n v="0"/>
    <n v="0"/>
    <n v="8"/>
    <n v="0"/>
    <n v="0"/>
    <n v="0"/>
    <n v="175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*PWm_SanchezAnt"/>
    <x v="159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*PWm_SanchezAnt"/>
    <x v="159"/>
    <d v="1899-12-30T14:00:00"/>
    <s v="-"/>
    <d v="1899-12-30T14:30:00"/>
    <n v="365"/>
    <n v="43"/>
    <n v="0"/>
    <n v="4"/>
    <n v="0"/>
    <n v="0"/>
    <n v="0"/>
    <n v="125"/>
    <n v="9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*PWm_SanchezAnt"/>
    <x v="159"/>
    <d v="1899-12-30T14:30:00"/>
    <s v="-"/>
    <d v="1899-12-30T15:00:00"/>
    <n v="916"/>
    <n v="131"/>
    <n v="0"/>
    <n v="11"/>
    <n v="0"/>
    <n v="0"/>
    <n v="0"/>
    <n v="71"/>
    <n v="2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5"/>
    <s v="S2S Premium"/>
    <s v="XPm_Longhi, Agust"/>
    <x v="16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4:30:00"/>
    <d v="1899-12-30T15:00:00"/>
  </r>
  <r>
    <d v="2024-10-02T00:00:00"/>
    <n v="924"/>
    <s v="S2S No Premium"/>
    <s v="XPm_Longhi, Agust"/>
    <x v="160"/>
    <d v="1899-12-30T18:00:00"/>
    <s v="-"/>
    <d v="1899-12-30T18:30:00"/>
    <n v="17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5"/>
    <s v="S2S Premium"/>
    <s v="XPm_Longhi, Agust"/>
    <x v="160"/>
    <d v="1899-12-30T15:00:00"/>
    <s v="-"/>
    <d v="1899-12-30T15:30:00"/>
    <n v="216"/>
    <n v="0"/>
    <n v="0"/>
    <n v="4"/>
    <n v="0"/>
    <n v="0"/>
    <n v="0"/>
    <n v="799"/>
    <n v="854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m_Longhi, Agust"/>
    <x v="160"/>
    <d v="1899-12-30T18:00:00"/>
    <s v="-"/>
    <d v="1899-12-30T18:30:00"/>
    <n v="259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XPm_Longhi, Agust"/>
    <x v="160"/>
    <d v="1899-12-30T17:00:00"/>
    <s v="-"/>
    <d v="1899-12-30T17:30:00"/>
    <n v="371"/>
    <n v="0"/>
    <n v="0"/>
    <n v="8"/>
    <n v="0"/>
    <n v="0"/>
    <n v="0"/>
    <n v="447"/>
    <n v="389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Pm_Longhi, Agust"/>
    <x v="160"/>
    <d v="1899-12-30T15:30:00"/>
    <s v="-"/>
    <d v="1899-12-30T16:00:00"/>
    <n v="514"/>
    <n v="0"/>
    <n v="0"/>
    <n v="8"/>
    <n v="0"/>
    <n v="0"/>
    <n v="0"/>
    <n v="425"/>
    <n v="396"/>
    <n v="0"/>
    <n v="0"/>
    <n v="0"/>
    <n v="0"/>
    <n v="0"/>
    <n v="0"/>
    <n v="0"/>
    <n v="0"/>
    <n v="0"/>
    <n v="0"/>
    <n v="2"/>
    <n v="2"/>
    <x v="1"/>
    <x v="94"/>
    <d v="1899-12-30T15:30:00"/>
    <d v="1899-12-30T16:00:00"/>
  </r>
  <r>
    <d v="2024-10-02T00:00:00"/>
    <n v="925"/>
    <s v="S2S Premium"/>
    <s v="XPm_Longhi, Agust"/>
    <x v="160"/>
    <d v="1899-12-30T17:30:00"/>
    <s v="-"/>
    <d v="1899-12-30T18:00:00"/>
    <n v="614"/>
    <n v="0"/>
    <n v="0"/>
    <n v="4"/>
    <n v="0"/>
    <n v="0"/>
    <n v="0"/>
    <n v="102"/>
    <n v="0"/>
    <n v="0"/>
    <n v="0"/>
    <n v="0"/>
    <n v="0"/>
    <n v="0"/>
    <n v="0"/>
    <n v="0"/>
    <n v="0"/>
    <n v="0"/>
    <n v="0"/>
    <n v="1"/>
    <n v="1"/>
    <x v="1"/>
    <x v="94"/>
    <d v="1899-12-30T17:30:00"/>
    <d v="1899-12-30T18:00:00"/>
  </r>
  <r>
    <d v="2024-10-02T00:00:00"/>
    <n v="924"/>
    <s v="S2S No Premium"/>
    <s v="XPm_Longhi, Agust"/>
    <x v="160"/>
    <d v="1899-12-30T19:00:00"/>
    <s v="-"/>
    <d v="1899-12-30T19:30:00"/>
    <n v="634"/>
    <n v="0"/>
    <n v="0"/>
    <n v="8"/>
    <n v="0"/>
    <n v="0"/>
    <n v="0"/>
    <n v="748"/>
    <n v="379"/>
    <n v="0"/>
    <n v="0"/>
    <n v="0"/>
    <n v="0"/>
    <n v="0"/>
    <n v="0"/>
    <n v="0"/>
    <n v="0"/>
    <n v="0"/>
    <n v="0"/>
    <n v="3"/>
    <n v="2"/>
    <x v="0"/>
    <x v="94"/>
    <d v="1899-12-30T19:00:00"/>
    <d v="1899-12-30T19:30:00"/>
  </r>
  <r>
    <d v="2024-10-02T00:00:00"/>
    <n v="924"/>
    <s v="S2S No Premium"/>
    <s v="XPm_Longhi, Agust"/>
    <x v="160"/>
    <d v="1899-12-30T18:30:00"/>
    <s v="-"/>
    <d v="1899-12-30T19:00:00"/>
    <n v="805"/>
    <n v="0"/>
    <n v="0"/>
    <n v="16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8:30:00"/>
    <d v="1899-12-30T19:00:00"/>
  </r>
  <r>
    <d v="2024-10-02T00:00:00"/>
    <n v="925"/>
    <s v="S2S Premium"/>
    <s v="XPm_Longhi, Agust"/>
    <x v="160"/>
    <d v="1899-12-30T16:00:00"/>
    <s v="-"/>
    <d v="1899-12-30T16:30:00"/>
    <n v="987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XPm_Longhi, Agust"/>
    <x v="160"/>
    <d v="1899-12-30T16:30:00"/>
    <s v="-"/>
    <d v="1899-12-30T17:00:00"/>
    <n v="1075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5"/>
    <n v="5"/>
    <x v="1"/>
    <x v="94"/>
    <d v="1899-12-30T16:30:00"/>
    <d v="1899-12-30T17:00:00"/>
  </r>
  <r>
    <d v="2024-10-02T00:00:00"/>
    <n v="924"/>
    <s v="S2S No Premium"/>
    <s v="XPm_Longhi, Agust"/>
    <x v="160"/>
    <d v="1899-12-30T19:30:00"/>
    <s v="-"/>
    <d v="1899-12-30T20:00:00"/>
    <n v="111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N2CCm_Chazarreta Ma"/>
    <x v="161"/>
    <d v="1899-12-30T15:00:00"/>
    <s v="-"/>
    <d v="1899-12-30T15:30:00"/>
    <n v="203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N2CCm_Chazarreta Ma"/>
    <x v="161"/>
    <d v="1899-12-30T19:30:00"/>
    <s v="-"/>
    <d v="1899-12-30T20:00:00"/>
    <n v="331"/>
    <n v="0"/>
    <n v="0"/>
    <n v="12"/>
    <n v="0"/>
    <n v="0"/>
    <n v="0"/>
    <n v="53"/>
    <n v="0"/>
    <n v="0"/>
    <n v="0"/>
    <n v="0"/>
    <n v="0"/>
    <n v="0"/>
    <n v="0"/>
    <n v="0"/>
    <n v="0"/>
    <n v="0"/>
    <n v="0"/>
    <n v="3"/>
    <n v="2"/>
    <x v="0"/>
    <x v="94"/>
    <d v="1899-12-30T19:30:00"/>
    <d v="1899-12-30T20:00:00"/>
  </r>
  <r>
    <d v="2024-10-02T00:00:00"/>
    <n v="924"/>
    <s v="S2S No Premium"/>
    <s v="N2CCm_Chazarreta Ma"/>
    <x v="161"/>
    <d v="1899-12-30T18:00:00"/>
    <s v="-"/>
    <d v="1899-12-30T18:30:00"/>
    <n v="630"/>
    <n v="0"/>
    <n v="0"/>
    <n v="16"/>
    <n v="0"/>
    <n v="0"/>
    <n v="0"/>
    <n v="57"/>
    <n v="0"/>
    <n v="0"/>
    <n v="0"/>
    <n v="0"/>
    <n v="0"/>
    <n v="0"/>
    <n v="0"/>
    <n v="0"/>
    <n v="0"/>
    <n v="0"/>
    <n v="0"/>
    <n v="4"/>
    <n v="4"/>
    <x v="0"/>
    <x v="94"/>
    <d v="1899-12-30T18:00:00"/>
    <d v="1899-12-30T18:30:00"/>
  </r>
  <r>
    <d v="2024-10-02T00:00:00"/>
    <n v="924"/>
    <s v="S2S No Premium"/>
    <s v="N2CCm_Chazarreta Ma"/>
    <x v="161"/>
    <d v="1899-12-30T16:00:00"/>
    <s v="-"/>
    <d v="1899-12-30T16:30:00"/>
    <n v="706"/>
    <n v="0"/>
    <n v="0"/>
    <n v="22"/>
    <n v="0"/>
    <n v="0"/>
    <n v="0"/>
    <n v="349"/>
    <n v="516"/>
    <n v="0"/>
    <n v="0"/>
    <n v="0"/>
    <n v="0"/>
    <n v="0"/>
    <n v="0"/>
    <n v="0"/>
    <n v="0"/>
    <n v="0"/>
    <n v="0"/>
    <n v="5"/>
    <n v="4"/>
    <x v="0"/>
    <x v="94"/>
    <d v="1899-12-30T16:00:00"/>
    <d v="1899-12-30T16:30:00"/>
  </r>
  <r>
    <d v="2024-10-02T00:00:00"/>
    <n v="924"/>
    <s v="S2S No Premium"/>
    <s v="N2CCm_Chazarreta Ma"/>
    <x v="161"/>
    <d v="1899-12-30T15:30:00"/>
    <s v="-"/>
    <d v="1899-12-30T16:00:00"/>
    <n v="733"/>
    <n v="0"/>
    <n v="0"/>
    <n v="16"/>
    <n v="0"/>
    <n v="0"/>
    <n v="0"/>
    <n v="243"/>
    <n v="0"/>
    <n v="0"/>
    <n v="0"/>
    <n v="0"/>
    <n v="0"/>
    <n v="0"/>
    <n v="0"/>
    <n v="0"/>
    <n v="0"/>
    <n v="0"/>
    <n v="0"/>
    <n v="5"/>
    <n v="4"/>
    <x v="0"/>
    <x v="94"/>
    <d v="1899-12-30T15:30:00"/>
    <d v="1899-12-30T16:00:00"/>
  </r>
  <r>
    <d v="2024-10-02T00:00:00"/>
    <n v="924"/>
    <s v="S2S No Premium"/>
    <s v="N2CCm_Chazarreta Ma"/>
    <x v="161"/>
    <d v="1899-12-30T19:00:00"/>
    <s v="-"/>
    <d v="1899-12-30T19:30:00"/>
    <n v="935"/>
    <n v="0"/>
    <n v="0"/>
    <n v="16"/>
    <n v="0"/>
    <n v="0"/>
    <n v="0"/>
    <n v="108"/>
    <n v="0"/>
    <n v="0"/>
    <n v="0"/>
    <n v="0"/>
    <n v="0"/>
    <n v="0"/>
    <n v="0"/>
    <n v="0"/>
    <n v="0"/>
    <n v="0"/>
    <n v="0"/>
    <n v="5"/>
    <n v="5"/>
    <x v="0"/>
    <x v="94"/>
    <d v="1899-12-30T19:00:00"/>
    <d v="1899-12-30T19:30:00"/>
  </r>
  <r>
    <d v="2024-10-02T00:00:00"/>
    <n v="924"/>
    <s v="S2S No Premium"/>
    <s v="N2CCm_Chazarreta Ma"/>
    <x v="161"/>
    <d v="1899-12-30T17:00:00"/>
    <s v="-"/>
    <d v="1899-12-30T17:30:00"/>
    <n v="978"/>
    <n v="0"/>
    <n v="0"/>
    <n v="24"/>
    <n v="0"/>
    <n v="0"/>
    <n v="0"/>
    <n v="143"/>
    <n v="0"/>
    <n v="0"/>
    <n v="0"/>
    <n v="0"/>
    <n v="0"/>
    <n v="0"/>
    <n v="0"/>
    <n v="0"/>
    <n v="0"/>
    <n v="0"/>
    <n v="0"/>
    <n v="5"/>
    <n v="4"/>
    <x v="0"/>
    <x v="94"/>
    <d v="1899-12-30T17:00:00"/>
    <d v="1899-12-30T17:30:00"/>
  </r>
  <r>
    <d v="2024-10-02T00:00:00"/>
    <n v="924"/>
    <s v="S2S No Premium"/>
    <s v="N2CCm_Chazarreta Ma"/>
    <x v="161"/>
    <d v="1899-12-30T17:30:00"/>
    <s v="-"/>
    <d v="1899-12-30T18:00:00"/>
    <n v="1001"/>
    <n v="0"/>
    <n v="0"/>
    <n v="24"/>
    <n v="0"/>
    <n v="0"/>
    <n v="0"/>
    <n v="265"/>
    <n v="0"/>
    <n v="0"/>
    <n v="0"/>
    <n v="0"/>
    <n v="0"/>
    <n v="0"/>
    <n v="0"/>
    <n v="0"/>
    <n v="0"/>
    <n v="0"/>
    <n v="0"/>
    <n v="6"/>
    <n v="5"/>
    <x v="0"/>
    <x v="94"/>
    <d v="1899-12-30T17:30:00"/>
    <d v="1899-12-30T18:00:00"/>
  </r>
  <r>
    <d v="2024-10-02T00:00:00"/>
    <n v="924"/>
    <s v="S2S No Premium"/>
    <s v="N2CCm_Chazarreta Ma"/>
    <x v="161"/>
    <d v="1899-12-30T16:30:00"/>
    <s v="-"/>
    <d v="1899-12-30T17:00:00"/>
    <n v="1222"/>
    <n v="0"/>
    <n v="0"/>
    <n v="16"/>
    <n v="0"/>
    <n v="0"/>
    <n v="0"/>
    <n v="433"/>
    <n v="104"/>
    <n v="0"/>
    <n v="0"/>
    <n v="0"/>
    <n v="0"/>
    <n v="0"/>
    <n v="0"/>
    <n v="0"/>
    <n v="0"/>
    <n v="0"/>
    <n v="0"/>
    <n v="5"/>
    <n v="4"/>
    <x v="0"/>
    <x v="94"/>
    <d v="1899-12-30T16:30:00"/>
    <d v="1899-12-30T17:00:00"/>
  </r>
  <r>
    <d v="2024-10-02T00:00:00"/>
    <n v="924"/>
    <s v="S2S No Premium"/>
    <s v="N2CCm_Chazarreta Ma"/>
    <x v="161"/>
    <d v="1899-12-30T18:30:00"/>
    <s v="-"/>
    <d v="1899-12-30T19:00:00"/>
    <n v="156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30:00"/>
    <d v="1899-12-30T19:00:00"/>
  </r>
  <r>
    <d v="2024-10-02T00:00:00"/>
    <n v="924"/>
    <s v="S2S No Premium"/>
    <s v="N2m_Maggio, Kevin"/>
    <x v="162"/>
    <d v="1899-12-30T18:30:00"/>
    <s v="-"/>
    <d v="1899-12-30T19:00:00"/>
    <n v="378"/>
    <n v="0"/>
    <n v="0"/>
    <n v="11"/>
    <n v="0"/>
    <n v="0"/>
    <n v="0"/>
    <n v="10"/>
    <n v="6"/>
    <n v="0"/>
    <n v="0"/>
    <n v="0"/>
    <n v="0"/>
    <n v="0"/>
    <n v="0"/>
    <n v="0"/>
    <n v="0"/>
    <n v="0"/>
    <n v="0"/>
    <n v="2"/>
    <n v="0"/>
    <x v="0"/>
    <x v="94"/>
    <d v="1899-12-30T18:30:00"/>
    <d v="1899-12-30T19:00:00"/>
  </r>
  <r>
    <d v="2024-10-02T00:00:00"/>
    <n v="924"/>
    <s v="S2S No Premium"/>
    <s v="N2m_Maggio, Kevin"/>
    <x v="162"/>
    <d v="1899-12-30T15:30:00"/>
    <s v="-"/>
    <d v="1899-12-30T16:00:00"/>
    <n v="605"/>
    <n v="0"/>
    <n v="0"/>
    <n v="12"/>
    <n v="0"/>
    <n v="0"/>
    <n v="0"/>
    <n v="32"/>
    <n v="10"/>
    <n v="0"/>
    <n v="0"/>
    <n v="0"/>
    <n v="0"/>
    <n v="0"/>
    <n v="0"/>
    <n v="0"/>
    <n v="0"/>
    <n v="0"/>
    <n v="0"/>
    <n v="2"/>
    <n v="0"/>
    <x v="0"/>
    <x v="94"/>
    <d v="1899-12-30T15:30:00"/>
    <d v="1899-12-30T16:00:00"/>
  </r>
  <r>
    <d v="2024-10-02T00:00:00"/>
    <n v="924"/>
    <s v="S2S No Premium"/>
    <s v="N2m_Maggio, Kevin"/>
    <x v="162"/>
    <d v="1899-12-30T16:00:00"/>
    <s v="-"/>
    <d v="1899-12-30T16:30:00"/>
    <n v="932"/>
    <n v="0"/>
    <n v="0"/>
    <n v="12"/>
    <n v="0"/>
    <n v="0"/>
    <n v="0"/>
    <n v="403"/>
    <n v="391"/>
    <n v="0"/>
    <n v="0"/>
    <n v="0"/>
    <n v="0"/>
    <n v="0"/>
    <n v="0"/>
    <n v="0"/>
    <n v="0"/>
    <n v="0"/>
    <n v="0"/>
    <n v="4"/>
    <n v="0"/>
    <x v="0"/>
    <x v="94"/>
    <d v="1899-12-30T16:00:00"/>
    <d v="1899-12-30T16:30:00"/>
  </r>
  <r>
    <d v="2024-10-02T00:00:00"/>
    <n v="924"/>
    <s v="S2S No Premium"/>
    <s v="N2m_Maggio, Kevin"/>
    <x v="162"/>
    <d v="1899-12-30T19:30:00"/>
    <s v="-"/>
    <d v="1899-12-30T20:00:00"/>
    <n v="944"/>
    <n v="0"/>
    <n v="0"/>
    <n v="8"/>
    <n v="0"/>
    <n v="0"/>
    <n v="0"/>
    <n v="13"/>
    <n v="4"/>
    <n v="0"/>
    <n v="0"/>
    <n v="0"/>
    <n v="0"/>
    <n v="0"/>
    <n v="0"/>
    <n v="0"/>
    <n v="0"/>
    <n v="0"/>
    <n v="0"/>
    <n v="3"/>
    <n v="0"/>
    <x v="0"/>
    <x v="94"/>
    <d v="1899-12-30T19:30:00"/>
    <d v="1899-12-30T20:00:00"/>
  </r>
  <r>
    <d v="2024-10-02T00:00:00"/>
    <n v="924"/>
    <s v="S2S No Premium"/>
    <s v="N2m_Maggio, Kevin"/>
    <x v="162"/>
    <d v="1899-12-30T19:00:00"/>
    <s v="-"/>
    <d v="1899-12-30T19:30:00"/>
    <n v="949"/>
    <n v="0"/>
    <n v="0"/>
    <n v="12"/>
    <n v="0"/>
    <n v="0"/>
    <n v="0"/>
    <n v="177"/>
    <n v="5"/>
    <n v="0"/>
    <n v="0"/>
    <n v="0"/>
    <n v="0"/>
    <n v="0"/>
    <n v="0"/>
    <n v="0"/>
    <n v="0"/>
    <n v="0"/>
    <n v="0"/>
    <n v="3"/>
    <n v="0"/>
    <x v="0"/>
    <x v="94"/>
    <d v="1899-12-30T19:00:00"/>
    <d v="1899-12-30T19:30:00"/>
  </r>
  <r>
    <d v="2024-10-02T00:00:00"/>
    <n v="924"/>
    <s v="S2S No Premium"/>
    <s v="N2m_Maggio, Kevin"/>
    <x v="162"/>
    <d v="1899-12-30T18:00:00"/>
    <s v="-"/>
    <d v="1899-12-30T18:30:00"/>
    <n v="957"/>
    <n v="0"/>
    <n v="0"/>
    <n v="16"/>
    <n v="0"/>
    <n v="0"/>
    <n v="0"/>
    <n v="425"/>
    <n v="7"/>
    <n v="0"/>
    <n v="0"/>
    <n v="0"/>
    <n v="0"/>
    <n v="0"/>
    <n v="0"/>
    <n v="0"/>
    <n v="0"/>
    <n v="0"/>
    <n v="0"/>
    <n v="5"/>
    <n v="0"/>
    <x v="0"/>
    <x v="94"/>
    <d v="1899-12-30T18:00:00"/>
    <d v="1899-12-30T18:30:00"/>
  </r>
  <r>
    <d v="2024-10-02T00:00:00"/>
    <n v="924"/>
    <s v="S2S No Premium"/>
    <s v="N2m_Maggio, Kevin"/>
    <x v="162"/>
    <d v="1899-12-30T16:30:00"/>
    <s v="-"/>
    <d v="1899-12-30T17:00:00"/>
    <n v="1291"/>
    <n v="0"/>
    <n v="0"/>
    <n v="20"/>
    <n v="0"/>
    <n v="0"/>
    <n v="0"/>
    <n v="35"/>
    <n v="12"/>
    <n v="0"/>
    <n v="0"/>
    <n v="0"/>
    <n v="0"/>
    <n v="0"/>
    <n v="0"/>
    <n v="0"/>
    <n v="0"/>
    <n v="0"/>
    <n v="0"/>
    <n v="4"/>
    <n v="0"/>
    <x v="0"/>
    <x v="94"/>
    <d v="1899-12-30T16:30:00"/>
    <d v="1899-12-30T17:00:00"/>
  </r>
  <r>
    <d v="2024-10-02T00:00:00"/>
    <n v="924"/>
    <s v="S2S No Premium"/>
    <s v="N2m_Maggio, Kevin"/>
    <x v="162"/>
    <d v="1899-12-30T17:30:00"/>
    <s v="-"/>
    <d v="1899-12-30T18:00:00"/>
    <n v="1304"/>
    <n v="0"/>
    <n v="0"/>
    <n v="20"/>
    <n v="0"/>
    <n v="0"/>
    <n v="0"/>
    <n v="162"/>
    <n v="78"/>
    <n v="0"/>
    <n v="0"/>
    <n v="0"/>
    <n v="0"/>
    <n v="0"/>
    <n v="0"/>
    <n v="0"/>
    <n v="0"/>
    <n v="0"/>
    <n v="0"/>
    <n v="5"/>
    <n v="1"/>
    <x v="0"/>
    <x v="94"/>
    <d v="1899-12-30T17:30:00"/>
    <d v="1899-12-30T18:00:00"/>
  </r>
  <r>
    <d v="2024-10-02T00:00:00"/>
    <n v="924"/>
    <s v="S2S No Premium"/>
    <s v="N2m_Maggio, Kevin"/>
    <x v="162"/>
    <d v="1899-12-30T17:00:00"/>
    <s v="-"/>
    <d v="1899-12-30T17:30:00"/>
    <n v="1433"/>
    <n v="0"/>
    <n v="0"/>
    <n v="16"/>
    <n v="0"/>
    <n v="0"/>
    <n v="0"/>
    <n v="25"/>
    <n v="12"/>
    <n v="0"/>
    <n v="0"/>
    <n v="0"/>
    <n v="0"/>
    <n v="0"/>
    <n v="0"/>
    <n v="0"/>
    <n v="0"/>
    <n v="0"/>
    <n v="0"/>
    <n v="4"/>
    <n v="0"/>
    <x v="0"/>
    <x v="94"/>
    <d v="1899-12-30T17:00:00"/>
    <d v="1899-12-30T17:30:00"/>
  </r>
  <r>
    <d v="2024-10-02T00:00:00"/>
    <n v="924"/>
    <s v="S2S No Premium"/>
    <s v="*N2m_Retamozo SofíaM"/>
    <x v="163"/>
    <d v="1899-12-30T15:00:00"/>
    <s v="-"/>
    <d v="1899-12-30T15:30:00"/>
    <n v="484"/>
    <n v="0"/>
    <n v="0"/>
    <n v="0"/>
    <n v="0"/>
    <n v="0"/>
    <n v="0"/>
    <n v="216"/>
    <n v="171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m_Retamozo SofíaM"/>
    <x v="163"/>
    <d v="1899-12-30T14:00:00"/>
    <s v="-"/>
    <d v="1899-12-30T14:30:00"/>
    <n v="909"/>
    <n v="0"/>
    <n v="0"/>
    <n v="12"/>
    <n v="0"/>
    <n v="0"/>
    <n v="0"/>
    <n v="139"/>
    <n v="126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*N2m_Retamozo SofíaM"/>
    <x v="163"/>
    <d v="1899-12-30T14:30:00"/>
    <s v="-"/>
    <d v="1899-12-30T15:00:00"/>
    <n v="98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*N2m_Uria Febe"/>
    <x v="164"/>
    <d v="1899-12-30T17:30:00"/>
    <s v="-"/>
    <d v="1899-12-30T18:00:00"/>
    <n v="335"/>
    <n v="0"/>
    <n v="0"/>
    <n v="8"/>
    <n v="0"/>
    <n v="0"/>
    <n v="0"/>
    <n v="288"/>
    <n v="272"/>
    <n v="0"/>
    <n v="0"/>
    <n v="0"/>
    <n v="0"/>
    <n v="0"/>
    <n v="0"/>
    <n v="0"/>
    <n v="0"/>
    <n v="0"/>
    <n v="0"/>
    <n v="2"/>
    <n v="2"/>
    <x v="0"/>
    <x v="94"/>
    <d v="1899-12-30T17:30:00"/>
    <d v="1899-12-30T18:00:00"/>
  </r>
  <r>
    <d v="2024-10-02T00:00:00"/>
    <n v="924"/>
    <s v="S2S No Premium"/>
    <s v="*N2m_Uria Febe"/>
    <x v="164"/>
    <d v="1899-12-30T16:30:00"/>
    <s v="-"/>
    <d v="1899-12-30T17:00:00"/>
    <n v="347"/>
    <n v="0"/>
    <n v="0"/>
    <n v="8"/>
    <n v="0"/>
    <n v="0"/>
    <n v="0"/>
    <n v="1132"/>
    <n v="996"/>
    <n v="0"/>
    <n v="0"/>
    <n v="0"/>
    <n v="0"/>
    <n v="0"/>
    <n v="0"/>
    <n v="0"/>
    <n v="0"/>
    <n v="0"/>
    <n v="0"/>
    <n v="3"/>
    <n v="1"/>
    <x v="0"/>
    <x v="94"/>
    <d v="1899-12-30T16:30:00"/>
    <d v="1899-12-30T17:00:00"/>
  </r>
  <r>
    <d v="2024-10-02T00:00:00"/>
    <n v="924"/>
    <s v="S2S No Premium"/>
    <s v="*N2m_Uria Febe"/>
    <x v="164"/>
    <d v="1899-12-30T19:00:00"/>
    <s v="-"/>
    <d v="1899-12-30T19:30:00"/>
    <n v="509"/>
    <n v="0"/>
    <n v="0"/>
    <n v="8"/>
    <n v="0"/>
    <n v="0"/>
    <n v="0"/>
    <n v="1"/>
    <n v="39"/>
    <n v="0"/>
    <n v="0"/>
    <n v="0"/>
    <n v="0"/>
    <n v="0"/>
    <n v="0"/>
    <n v="0"/>
    <n v="0"/>
    <n v="0"/>
    <n v="0"/>
    <n v="1"/>
    <n v="1"/>
    <x v="0"/>
    <x v="94"/>
    <d v="1899-12-30T19:00:00"/>
    <d v="1899-12-30T19:30:00"/>
  </r>
  <r>
    <d v="2024-10-02T00:00:00"/>
    <n v="924"/>
    <s v="S2S No Premium"/>
    <s v="*N2m_Uria Febe"/>
    <x v="164"/>
    <d v="1899-12-30T18:30:00"/>
    <s v="-"/>
    <d v="1899-12-30T19:00:00"/>
    <n v="607"/>
    <n v="0"/>
    <n v="0"/>
    <n v="19"/>
    <n v="0"/>
    <n v="0"/>
    <n v="0"/>
    <n v="4"/>
    <n v="0"/>
    <n v="0"/>
    <n v="0"/>
    <n v="0"/>
    <n v="0"/>
    <n v="0"/>
    <n v="0"/>
    <n v="0"/>
    <n v="0"/>
    <n v="0"/>
    <n v="0"/>
    <n v="5"/>
    <n v="4"/>
    <x v="0"/>
    <x v="94"/>
    <d v="1899-12-30T18:30:00"/>
    <d v="1899-12-30T19:00:00"/>
  </r>
  <r>
    <d v="2024-10-02T00:00:00"/>
    <n v="924"/>
    <s v="S2S No Premium"/>
    <s v="*N2m_Uria Febe"/>
    <x v="164"/>
    <d v="1899-12-30T15:00:00"/>
    <s v="-"/>
    <d v="1899-12-30T15:30:00"/>
    <n v="839"/>
    <n v="0"/>
    <n v="0"/>
    <n v="11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5:00:00"/>
    <d v="1899-12-30T15:30:00"/>
  </r>
  <r>
    <d v="2024-10-02T00:00:00"/>
    <n v="924"/>
    <s v="S2S No Premium"/>
    <s v="*N2m_Uria Febe"/>
    <x v="164"/>
    <d v="1899-12-30T15:30:00"/>
    <s v="-"/>
    <d v="1899-12-30T16:00:00"/>
    <n v="876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*N2m_Uria Febe"/>
    <x v="164"/>
    <d v="1899-12-30T19:30:00"/>
    <s v="-"/>
    <d v="1899-12-30T20:00:00"/>
    <n v="1134"/>
    <n v="0"/>
    <n v="0"/>
    <n v="8"/>
    <n v="0"/>
    <n v="0"/>
    <n v="0"/>
    <n v="45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*N2m_Uria Febe"/>
    <x v="164"/>
    <d v="1899-12-30T16:00:00"/>
    <s v="-"/>
    <d v="1899-12-30T16:30:00"/>
    <n v="1172"/>
    <n v="0"/>
    <n v="0"/>
    <n v="12"/>
    <n v="0"/>
    <n v="0"/>
    <n v="0"/>
    <n v="263"/>
    <n v="333"/>
    <n v="0"/>
    <n v="0"/>
    <n v="0"/>
    <n v="0"/>
    <n v="0"/>
    <n v="0"/>
    <n v="0"/>
    <n v="0"/>
    <n v="0"/>
    <n v="0"/>
    <n v="2"/>
    <n v="2"/>
    <x v="0"/>
    <x v="94"/>
    <d v="1899-12-30T16:00:00"/>
    <d v="1899-12-30T16:30:00"/>
  </r>
  <r>
    <d v="2024-10-02T00:00:00"/>
    <n v="924"/>
    <s v="S2S No Premium"/>
    <s v="*N2m_Uria Febe"/>
    <x v="164"/>
    <d v="1899-12-30T17:00:00"/>
    <s v="-"/>
    <d v="1899-12-30T17:30:00"/>
    <n v="1468"/>
    <n v="0"/>
    <n v="0"/>
    <n v="15"/>
    <n v="0"/>
    <n v="0"/>
    <n v="0"/>
    <n v="91"/>
    <n v="0"/>
    <n v="0"/>
    <n v="0"/>
    <n v="0"/>
    <n v="0"/>
    <n v="0"/>
    <n v="0"/>
    <n v="0"/>
    <n v="0"/>
    <n v="0"/>
    <n v="0"/>
    <n v="3"/>
    <n v="2"/>
    <x v="0"/>
    <x v="94"/>
    <d v="1899-12-30T17:00:00"/>
    <d v="1899-12-30T17:30:00"/>
  </r>
  <r>
    <d v="2024-10-02T00:00:00"/>
    <n v="924"/>
    <s v="S2S No Premium"/>
    <s v="*N2m_Uria Febe"/>
    <x v="164"/>
    <d v="1899-12-30T18:00:00"/>
    <s v="-"/>
    <d v="1899-12-30T18:30:00"/>
    <n v="1596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8:00:00"/>
    <d v="1899-12-30T18:30:00"/>
  </r>
  <r>
    <d v="2024-10-02T00:00:00"/>
    <n v="924"/>
    <s v="S2S No Premium"/>
    <s v="N2m_Vlachoff Rocio"/>
    <x v="165"/>
    <d v="1899-12-30T15:00:00"/>
    <s v="-"/>
    <d v="1899-12-30T15:30:00"/>
    <n v="393"/>
    <n v="0"/>
    <n v="0"/>
    <n v="16"/>
    <n v="0"/>
    <n v="0"/>
    <n v="0"/>
    <n v="3"/>
    <n v="1"/>
    <n v="0"/>
    <n v="0"/>
    <n v="0"/>
    <n v="0"/>
    <n v="0"/>
    <n v="0"/>
    <n v="0"/>
    <n v="0"/>
    <n v="0"/>
    <n v="0"/>
    <n v="3"/>
    <n v="3"/>
    <x v="0"/>
    <x v="94"/>
    <d v="1899-12-30T15:00:00"/>
    <d v="1899-12-30T15:30:00"/>
  </r>
  <r>
    <d v="2024-10-02T00:00:00"/>
    <n v="924"/>
    <s v="S2S No Premium"/>
    <s v="N2m_Vlachoff Rocio"/>
    <x v="165"/>
    <d v="1899-12-30T18:30:00"/>
    <s v="-"/>
    <d v="1899-12-30T19:00:00"/>
    <n v="507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3"/>
    <n v="1"/>
    <x v="0"/>
    <x v="94"/>
    <d v="1899-12-30T18:30:00"/>
    <d v="1899-12-30T19:00:00"/>
  </r>
  <r>
    <d v="2024-10-02T00:00:00"/>
    <n v="924"/>
    <s v="S2S No Premium"/>
    <s v="N2m_Vlachoff Rocio"/>
    <x v="165"/>
    <d v="1899-12-30T15:30:00"/>
    <s v="-"/>
    <d v="1899-12-30T16:00:00"/>
    <n v="669"/>
    <n v="0"/>
    <n v="0"/>
    <n v="8"/>
    <n v="0"/>
    <n v="0"/>
    <n v="0"/>
    <n v="421"/>
    <n v="375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N2m_Vlachoff Rocio"/>
    <x v="165"/>
    <d v="1899-12-30T18:00:00"/>
    <s v="-"/>
    <d v="1899-12-30T18:30:00"/>
    <n v="669"/>
    <n v="0"/>
    <n v="0"/>
    <n v="8"/>
    <n v="0"/>
    <n v="0"/>
    <n v="0"/>
    <n v="400"/>
    <n v="0"/>
    <n v="0"/>
    <n v="0"/>
    <n v="0"/>
    <n v="0"/>
    <n v="0"/>
    <n v="0"/>
    <n v="0"/>
    <n v="0"/>
    <n v="0"/>
    <n v="0"/>
    <n v="3"/>
    <n v="1"/>
    <x v="0"/>
    <x v="94"/>
    <d v="1899-12-30T18:00:00"/>
    <d v="1899-12-30T18:30:00"/>
  </r>
  <r>
    <d v="2024-10-02T00:00:00"/>
    <n v="924"/>
    <s v="S2S No Premium"/>
    <s v="N2m_Vlachoff Rocio"/>
    <x v="165"/>
    <d v="1899-12-30T19:30:00"/>
    <s v="-"/>
    <d v="1899-12-30T20:00:00"/>
    <n v="949"/>
    <n v="0"/>
    <n v="0"/>
    <n v="8"/>
    <n v="0"/>
    <n v="0"/>
    <n v="0"/>
    <n v="124"/>
    <n v="62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N2m_Vlachoff Rocio"/>
    <x v="165"/>
    <d v="1899-12-30T17:30:00"/>
    <s v="-"/>
    <d v="1899-12-30T18:00:00"/>
    <n v="1146"/>
    <n v="0"/>
    <n v="0"/>
    <n v="20"/>
    <n v="0"/>
    <n v="0"/>
    <n v="0"/>
    <n v="53"/>
    <n v="44"/>
    <n v="0"/>
    <n v="0"/>
    <n v="0"/>
    <n v="0"/>
    <n v="0"/>
    <n v="0"/>
    <n v="0"/>
    <n v="0"/>
    <n v="0"/>
    <n v="0"/>
    <n v="5"/>
    <n v="4"/>
    <x v="0"/>
    <x v="94"/>
    <d v="1899-12-30T17:30:00"/>
    <d v="1899-12-30T18:00:00"/>
  </r>
  <r>
    <d v="2024-10-02T00:00:00"/>
    <n v="924"/>
    <s v="S2S No Premium"/>
    <s v="N2m_Vlachoff Rocio"/>
    <x v="165"/>
    <d v="1899-12-30T19:00:00"/>
    <s v="-"/>
    <d v="1899-12-30T19:30:00"/>
    <n v="1211"/>
    <n v="0"/>
    <n v="0"/>
    <n v="8"/>
    <n v="0"/>
    <n v="0"/>
    <n v="0"/>
    <n v="191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2m_Vlachoff Rocio"/>
    <x v="165"/>
    <d v="1899-12-30T16:00:00"/>
    <s v="-"/>
    <d v="1899-12-30T16:30:00"/>
    <n v="1252"/>
    <n v="0"/>
    <n v="0"/>
    <n v="12"/>
    <n v="0"/>
    <n v="0"/>
    <n v="0"/>
    <n v="174"/>
    <n v="149"/>
    <n v="0"/>
    <n v="0"/>
    <n v="0"/>
    <n v="0"/>
    <n v="0"/>
    <n v="0"/>
    <n v="0"/>
    <n v="0"/>
    <n v="0"/>
    <n v="0"/>
    <n v="2"/>
    <n v="1"/>
    <x v="0"/>
    <x v="94"/>
    <d v="1899-12-30T16:00:00"/>
    <d v="1899-12-30T16:30:00"/>
  </r>
  <r>
    <d v="2024-10-02T00:00:00"/>
    <n v="924"/>
    <s v="S2S No Premium"/>
    <s v="N2m_Vlachoff Rocio"/>
    <x v="165"/>
    <d v="1899-12-30T16:30:00"/>
    <s v="-"/>
    <d v="1899-12-30T17:00:00"/>
    <n v="1284"/>
    <n v="0"/>
    <n v="0"/>
    <n v="20"/>
    <n v="0"/>
    <n v="0"/>
    <n v="0"/>
    <n v="5"/>
    <n v="0"/>
    <n v="0"/>
    <n v="0"/>
    <n v="0"/>
    <n v="0"/>
    <n v="0"/>
    <n v="0"/>
    <n v="0"/>
    <n v="0"/>
    <n v="0"/>
    <n v="0"/>
    <n v="5"/>
    <n v="5"/>
    <x v="0"/>
    <x v="94"/>
    <d v="1899-12-30T16:30:00"/>
    <d v="1899-12-30T17:00:00"/>
  </r>
  <r>
    <d v="2024-10-02T00:00:00"/>
    <n v="924"/>
    <s v="S2S No Premium"/>
    <s v="N2m_Vlachoff Rocio"/>
    <x v="165"/>
    <d v="1899-12-30T17:00:00"/>
    <s v="-"/>
    <d v="1899-12-30T17:30:00"/>
    <n v="1424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7:00:00"/>
    <d v="1899-12-30T17:30:00"/>
  </r>
  <r>
    <d v="2024-10-02T00:00:00"/>
    <n v="925"/>
    <s v="S2S Premium"/>
    <s v="Pm_Lencinas, Lucio"/>
    <x v="166"/>
    <d v="1899-12-30T15:00:00"/>
    <s v="-"/>
    <d v="1899-12-30T15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Pm_Lencinas, Lucio"/>
    <x v="166"/>
    <d v="1899-12-30T14:00:00"/>
    <s v="-"/>
    <d v="1899-12-30T14:30:00"/>
    <n v="655"/>
    <n v="14"/>
    <n v="0"/>
    <n v="20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94"/>
    <d v="1899-12-30T14:00:00"/>
    <d v="1899-12-30T14:30:00"/>
  </r>
  <r>
    <d v="2024-10-02T00:00:00"/>
    <n v="925"/>
    <s v="S2S Premium"/>
    <s v="Pm_Lencinas, Lucio"/>
    <x v="166"/>
    <d v="1899-12-30T14:30:00"/>
    <s v="-"/>
    <d v="1899-12-30T15:00:00"/>
    <n v="872"/>
    <n v="65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4"/>
    <s v="S2S No Premium"/>
    <s v="XN2m_Rodriguez, Bar"/>
    <x v="16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XN2m_Rodriguez, Bar"/>
    <x v="167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4"/>
    <s v="S2S No Premium"/>
    <s v="XN2m_Rodriguez, Bar"/>
    <x v="167"/>
    <d v="1899-12-30T18:30:00"/>
    <s v="-"/>
    <d v="1899-12-30T19:00:00"/>
    <n v="479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4"/>
    <s v="S2S No Premium"/>
    <s v="XN2m_Rodriguez, Bar"/>
    <x v="167"/>
    <d v="1899-12-30T17:30:00"/>
    <s v="-"/>
    <d v="1899-12-30T18:00:00"/>
    <n v="578"/>
    <n v="0"/>
    <n v="0"/>
    <n v="4"/>
    <n v="0"/>
    <n v="0"/>
    <n v="0"/>
    <n v="124"/>
    <n v="49"/>
    <n v="0"/>
    <n v="0"/>
    <n v="0"/>
    <n v="0"/>
    <n v="0"/>
    <n v="0"/>
    <n v="0"/>
    <n v="0"/>
    <n v="0"/>
    <n v="0"/>
    <n v="1"/>
    <n v="1"/>
    <x v="0"/>
    <x v="94"/>
    <d v="1899-12-30T17:30:00"/>
    <d v="1899-12-30T18:00:00"/>
  </r>
  <r>
    <d v="2024-10-02T00:00:00"/>
    <n v="924"/>
    <s v="S2S No Premium"/>
    <s v="XN2m_Rodriguez, Bar"/>
    <x v="167"/>
    <d v="1899-12-30T19:00:00"/>
    <s v="-"/>
    <d v="1899-12-30T19:30:00"/>
    <n v="584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94"/>
    <d v="1899-12-30T19:00:00"/>
    <d v="1899-12-30T19:30:00"/>
  </r>
  <r>
    <d v="2024-10-02T00:00:00"/>
    <n v="924"/>
    <s v="S2S No Premium"/>
    <s v="XN2m_Rodriguez, Bar"/>
    <x v="167"/>
    <d v="1899-12-30T15:30:00"/>
    <s v="-"/>
    <d v="1899-12-30T16:00:00"/>
    <n v="741"/>
    <n v="0"/>
    <n v="0"/>
    <n v="12"/>
    <n v="0"/>
    <n v="0"/>
    <n v="0"/>
    <n v="2"/>
    <n v="106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XN2m_Rodriguez, Bar"/>
    <x v="167"/>
    <d v="1899-12-30T16:00:00"/>
    <s v="-"/>
    <d v="1899-12-30T16:30:00"/>
    <n v="774"/>
    <n v="0"/>
    <n v="0"/>
    <n v="8"/>
    <n v="0"/>
    <n v="0"/>
    <n v="0"/>
    <n v="511"/>
    <n v="269"/>
    <n v="0"/>
    <n v="0"/>
    <n v="0"/>
    <n v="0"/>
    <n v="0"/>
    <n v="0"/>
    <n v="0"/>
    <n v="0"/>
    <n v="0"/>
    <n v="0"/>
    <n v="2"/>
    <n v="2"/>
    <x v="0"/>
    <x v="94"/>
    <d v="1899-12-30T16:00:00"/>
    <d v="1899-12-30T16:30:00"/>
  </r>
  <r>
    <d v="2024-10-02T00:00:00"/>
    <n v="924"/>
    <s v="S2S No Premium"/>
    <s v="XN2m_Rodriguez, Bar"/>
    <x v="167"/>
    <d v="1899-12-30T17:00:00"/>
    <s v="-"/>
    <d v="1899-12-30T17:30:00"/>
    <n v="856"/>
    <n v="0"/>
    <n v="0"/>
    <n v="4"/>
    <n v="0"/>
    <n v="0"/>
    <n v="0"/>
    <n v="502"/>
    <n v="474"/>
    <n v="0"/>
    <n v="0"/>
    <n v="0"/>
    <n v="0"/>
    <n v="0"/>
    <n v="0"/>
    <n v="0"/>
    <n v="0"/>
    <n v="0"/>
    <n v="0"/>
    <n v="1"/>
    <n v="1"/>
    <x v="0"/>
    <x v="94"/>
    <d v="1899-12-30T17:00:00"/>
    <d v="1899-12-30T17:30:00"/>
  </r>
  <r>
    <d v="2024-10-02T00:00:00"/>
    <n v="924"/>
    <s v="S2S No Premium"/>
    <s v="XN2m_Rodriguez, Bar"/>
    <x v="167"/>
    <d v="1899-12-30T16:30:00"/>
    <s v="-"/>
    <d v="1899-12-30T17:00:00"/>
    <n v="1181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94"/>
    <d v="1899-12-30T16:30:00"/>
    <d v="1899-12-30T17:00:00"/>
  </r>
  <r>
    <d v="2024-10-02T00:00:00"/>
    <n v="924"/>
    <s v="S2S No Premium"/>
    <s v="XN2m_Rodriguez, Bar"/>
    <x v="167"/>
    <d v="1899-12-30T18:00:00"/>
    <s v="-"/>
    <d v="1899-12-30T18:30:00"/>
    <n v="1542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4"/>
    <n v="2"/>
    <x v="0"/>
    <x v="94"/>
    <d v="1899-12-30T18:00:00"/>
    <d v="1899-12-30T18:30:00"/>
  </r>
  <r>
    <d v="2024-10-02T00:00:00"/>
    <n v="925"/>
    <s v="S2S Premium"/>
    <s v="XPCC_Palavecino, F."/>
    <x v="168"/>
    <d v="1899-12-30T15:00:00"/>
    <s v="-"/>
    <d v="1899-12-30T15:30:00"/>
    <n v="178"/>
    <n v="0"/>
    <n v="0"/>
    <n v="8"/>
    <n v="0"/>
    <n v="0"/>
    <n v="0"/>
    <n v="719"/>
    <n v="738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CC_Palavecino, F."/>
    <x v="168"/>
    <d v="1899-12-30T19:30:00"/>
    <s v="-"/>
    <d v="1899-12-30T20:00:00"/>
    <n v="223"/>
    <n v="0"/>
    <n v="0"/>
    <n v="8"/>
    <n v="0"/>
    <n v="0"/>
    <n v="0"/>
    <n v="39"/>
    <n v="0"/>
    <n v="0"/>
    <n v="0"/>
    <n v="0"/>
    <n v="0"/>
    <n v="0"/>
    <n v="0"/>
    <n v="0"/>
    <n v="0"/>
    <n v="0"/>
    <n v="0"/>
    <n v="1"/>
    <n v="1"/>
    <x v="1"/>
    <x v="94"/>
    <d v="1899-12-30T19:30:00"/>
    <d v="1899-12-30T20:00:00"/>
  </r>
  <r>
    <d v="2024-10-02T00:00:00"/>
    <n v="925"/>
    <s v="S2S Premium"/>
    <s v="XPCC_Palavecino, F."/>
    <x v="168"/>
    <d v="1899-12-30T17:30:00"/>
    <s v="-"/>
    <d v="1899-12-30T18:00:00"/>
    <n v="348"/>
    <n v="0"/>
    <n v="0"/>
    <n v="8"/>
    <n v="0"/>
    <n v="0"/>
    <n v="0"/>
    <n v="16"/>
    <n v="0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5"/>
    <s v="S2S Premium"/>
    <s v="XPCC_Palavecino, F."/>
    <x v="168"/>
    <d v="1899-12-30T16:00:00"/>
    <s v="-"/>
    <d v="1899-12-30T16:30:00"/>
    <n v="588"/>
    <n v="0"/>
    <n v="0"/>
    <n v="20"/>
    <n v="0"/>
    <n v="0"/>
    <n v="0"/>
    <n v="33"/>
    <n v="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XPCC_Palavecino, F."/>
    <x v="168"/>
    <d v="1899-12-30T15:30:00"/>
    <s v="-"/>
    <d v="1899-12-30T16:00:00"/>
    <n v="653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4"/>
    <n v="4"/>
    <x v="1"/>
    <x v="94"/>
    <d v="1899-12-30T15:30:00"/>
    <d v="1899-12-30T16:00:00"/>
  </r>
  <r>
    <d v="2024-10-02T00:00:00"/>
    <n v="925"/>
    <s v="S2S Premium"/>
    <s v="XPCC_Palavecino, F."/>
    <x v="168"/>
    <d v="1899-12-30T17:00:00"/>
    <s v="-"/>
    <d v="1899-12-30T17:30:00"/>
    <n v="783"/>
    <n v="0"/>
    <n v="0"/>
    <n v="8"/>
    <n v="0"/>
    <n v="0"/>
    <n v="0"/>
    <n v="740"/>
    <n v="529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PCC_Palavecino, F."/>
    <x v="168"/>
    <d v="1899-12-30T18:30:00"/>
    <s v="-"/>
    <d v="1899-12-30T19:00:00"/>
    <n v="899"/>
    <n v="0"/>
    <n v="0"/>
    <n v="17"/>
    <n v="0"/>
    <n v="0"/>
    <n v="0"/>
    <n v="196"/>
    <n v="1"/>
    <n v="0"/>
    <n v="0"/>
    <n v="0"/>
    <n v="0"/>
    <n v="0"/>
    <n v="0"/>
    <n v="0"/>
    <n v="0"/>
    <n v="0"/>
    <n v="0"/>
    <n v="4"/>
    <n v="4"/>
    <x v="1"/>
    <x v="94"/>
    <d v="1899-12-30T18:30:00"/>
    <d v="1899-12-30T19:00:00"/>
  </r>
  <r>
    <d v="2024-10-02T00:00:00"/>
    <n v="925"/>
    <s v="S2S Premium"/>
    <s v="XPCC_Palavecino, F."/>
    <x v="168"/>
    <d v="1899-12-30T18:00:00"/>
    <s v="-"/>
    <d v="1899-12-30T18:30:00"/>
    <n v="939"/>
    <n v="0"/>
    <n v="0"/>
    <n v="16"/>
    <n v="0"/>
    <n v="0"/>
    <n v="0"/>
    <n v="45"/>
    <n v="0"/>
    <n v="0"/>
    <n v="0"/>
    <n v="0"/>
    <n v="0"/>
    <n v="0"/>
    <n v="0"/>
    <n v="0"/>
    <n v="0"/>
    <n v="0"/>
    <n v="0"/>
    <n v="4"/>
    <n v="3"/>
    <x v="1"/>
    <x v="94"/>
    <d v="1899-12-30T18:00:00"/>
    <d v="1899-12-30T18:30:00"/>
  </r>
  <r>
    <d v="2024-10-02T00:00:00"/>
    <n v="925"/>
    <s v="S2S Premium"/>
    <s v="XPCC_Palavecino, F."/>
    <x v="168"/>
    <d v="1899-12-30T19:00:00"/>
    <s v="-"/>
    <d v="1899-12-30T19:30:00"/>
    <n v="1049"/>
    <n v="0"/>
    <n v="0"/>
    <n v="15"/>
    <n v="0"/>
    <n v="0"/>
    <n v="0"/>
    <n v="181"/>
    <n v="0"/>
    <n v="0"/>
    <n v="0"/>
    <n v="0"/>
    <n v="0"/>
    <n v="0"/>
    <n v="0"/>
    <n v="0"/>
    <n v="0"/>
    <n v="0"/>
    <n v="0"/>
    <n v="4"/>
    <n v="3"/>
    <x v="1"/>
    <x v="94"/>
    <d v="1899-12-30T19:00:00"/>
    <d v="1899-12-30T19:30:00"/>
  </r>
  <r>
    <d v="2024-10-02T00:00:00"/>
    <n v="925"/>
    <s v="S2S Premium"/>
    <s v="XPCC_Palavecino, F."/>
    <x v="168"/>
    <d v="1899-12-30T16:30:00"/>
    <s v="-"/>
    <d v="1899-12-30T17:00:00"/>
    <n v="1150"/>
    <n v="0"/>
    <n v="0"/>
    <n v="16"/>
    <n v="0"/>
    <n v="0"/>
    <n v="0"/>
    <n v="90"/>
    <n v="83"/>
    <n v="0"/>
    <n v="0"/>
    <n v="0"/>
    <n v="0"/>
    <n v="0"/>
    <n v="0"/>
    <n v="0"/>
    <n v="0"/>
    <n v="0"/>
    <n v="0"/>
    <n v="4"/>
    <n v="3"/>
    <x v="1"/>
    <x v="94"/>
    <d v="1899-12-30T16:30:00"/>
    <d v="1899-12-30T17:00:00"/>
  </r>
  <r>
    <d v="2024-10-02T00:00:00"/>
    <n v="925"/>
    <s v="S2S Premium"/>
    <s v="XPCC_Sayas, Sara"/>
    <x v="169"/>
    <d v="1899-12-30T18:00:00"/>
    <s v="-"/>
    <d v="1899-12-30T18:30:00"/>
    <n v="121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4"/>
    <s v="S2S No Premium"/>
    <s v="XPCC_Sayas, Sara"/>
    <x v="169"/>
    <d v="1899-12-30T18:00:00"/>
    <s v="-"/>
    <d v="1899-12-30T18:30:00"/>
    <n v="202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XPCC_Sayas, Sara"/>
    <x v="169"/>
    <d v="1899-12-30T15:00:00"/>
    <s v="-"/>
    <d v="1899-12-30T15:30:00"/>
    <n v="22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PCC_Sayas, Sara"/>
    <x v="169"/>
    <d v="1899-12-30T15:30:00"/>
    <s v="-"/>
    <d v="1899-12-30T16:00:00"/>
    <n v="522"/>
    <n v="0"/>
    <n v="0"/>
    <n v="13"/>
    <n v="0"/>
    <n v="0"/>
    <n v="0"/>
    <n v="173"/>
    <n v="0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4"/>
    <s v="S2S No Premium"/>
    <s v="XPCC_Sayas, Sara"/>
    <x v="169"/>
    <d v="1899-12-30T19:00:00"/>
    <s v="-"/>
    <d v="1899-12-30T19:30:00"/>
    <n v="597"/>
    <n v="0"/>
    <n v="0"/>
    <n v="13"/>
    <n v="0"/>
    <n v="0"/>
    <n v="0"/>
    <n v="1"/>
    <n v="0"/>
    <n v="0"/>
    <n v="0"/>
    <n v="0"/>
    <n v="0"/>
    <n v="0"/>
    <n v="0"/>
    <n v="0"/>
    <n v="0"/>
    <n v="0"/>
    <n v="0"/>
    <n v="3"/>
    <n v="2"/>
    <x v="0"/>
    <x v="94"/>
    <d v="1899-12-30T19:00:00"/>
    <d v="1899-12-30T19:30:00"/>
  </r>
  <r>
    <d v="2024-10-02T00:00:00"/>
    <n v="924"/>
    <s v="S2S No Premium"/>
    <s v="XPCC_Sayas, Sara"/>
    <x v="169"/>
    <d v="1899-12-30T19:30:00"/>
    <s v="-"/>
    <d v="1899-12-30T20:00:00"/>
    <n v="818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5"/>
    <s v="S2S Premium"/>
    <s v="XPCC_Sayas, Sara"/>
    <x v="169"/>
    <d v="1899-12-30T16:00:00"/>
    <s v="-"/>
    <d v="1899-12-30T16:30:00"/>
    <n v="877"/>
    <n v="0"/>
    <n v="0"/>
    <n v="12"/>
    <n v="0"/>
    <n v="0"/>
    <n v="0"/>
    <n v="3"/>
    <n v="1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4"/>
    <s v="S2S No Premium"/>
    <s v="XPCC_Sayas, Sara"/>
    <x v="169"/>
    <d v="1899-12-30T18:30:00"/>
    <s v="-"/>
    <d v="1899-12-30T19:00:00"/>
    <n v="926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0"/>
    <x v="94"/>
    <d v="1899-12-30T18:30:00"/>
    <d v="1899-12-30T19:00:00"/>
  </r>
  <r>
    <d v="2024-10-02T00:00:00"/>
    <n v="925"/>
    <s v="S2S Premium"/>
    <s v="XPCC_Sayas, Sara"/>
    <x v="169"/>
    <d v="1899-12-30T17:00:00"/>
    <s v="-"/>
    <d v="1899-12-30T17:30:00"/>
    <n v="1099"/>
    <n v="0"/>
    <n v="0"/>
    <n v="17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PCC_Sayas, Sara"/>
    <x v="169"/>
    <d v="1899-12-30T17:30:00"/>
    <s v="-"/>
    <d v="1899-12-30T18:00:00"/>
    <n v="1124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7:30:00"/>
    <d v="1899-12-30T18:00:00"/>
  </r>
  <r>
    <d v="2024-10-02T00:00:00"/>
    <n v="925"/>
    <s v="S2S Premium"/>
    <s v="XPCC_Sayas, Sara"/>
    <x v="169"/>
    <d v="1899-12-30T16:30:00"/>
    <s v="-"/>
    <d v="1899-12-30T17:00:00"/>
    <n v="1204"/>
    <n v="0"/>
    <n v="0"/>
    <n v="20"/>
    <n v="0"/>
    <n v="0"/>
    <n v="0"/>
    <n v="2"/>
    <n v="0"/>
    <n v="0"/>
    <n v="0"/>
    <n v="0"/>
    <n v="0"/>
    <n v="0"/>
    <n v="0"/>
    <n v="0"/>
    <n v="0"/>
    <n v="0"/>
    <n v="0"/>
    <n v="6"/>
    <n v="3"/>
    <x v="1"/>
    <x v="94"/>
    <d v="1899-12-30T16:30:00"/>
    <d v="1899-12-30T17:00:00"/>
  </r>
  <r>
    <d v="2024-10-02T00:00:00"/>
    <n v="925"/>
    <s v="S2S Premium"/>
    <s v="*Pm_Barrios,Facundo"/>
    <x v="170"/>
    <d v="1899-12-30T15:00:00"/>
    <s v="-"/>
    <d v="1899-12-30T15:30:00"/>
    <n v="224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*Pm_Barrios,Facundo"/>
    <x v="170"/>
    <d v="1899-12-30T14:30:00"/>
    <s v="-"/>
    <d v="1899-12-30T15:00:00"/>
    <n v="444"/>
    <n v="0"/>
    <n v="0"/>
    <n v="8"/>
    <n v="0"/>
    <n v="0"/>
    <n v="0"/>
    <n v="109"/>
    <n v="15"/>
    <n v="0"/>
    <n v="0"/>
    <n v="0"/>
    <n v="0"/>
    <n v="0"/>
    <n v="0"/>
    <n v="0"/>
    <n v="0"/>
    <n v="0"/>
    <n v="0"/>
    <n v="1"/>
    <n v="1"/>
    <x v="1"/>
    <x v="94"/>
    <d v="1899-12-30T14:30:00"/>
    <d v="1899-12-30T15:00:00"/>
  </r>
  <r>
    <d v="2024-10-02T00:00:00"/>
    <n v="925"/>
    <s v="S2S Premium"/>
    <s v="*Pm_Barrios,Facundo"/>
    <x v="170"/>
    <d v="1899-12-30T14:00:00"/>
    <s v="-"/>
    <d v="1899-12-30T14:30:00"/>
    <n v="1363"/>
    <n v="0"/>
    <n v="0"/>
    <n v="9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PEm_Alfonso, Matias"/>
    <x v="171"/>
    <d v="1899-12-30T18:00:00"/>
    <s v="-"/>
    <d v="1899-12-30T18:30:00"/>
    <n v="124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4"/>
    <s v="S2S No Premium"/>
    <s v="T*N2m_Alarcon, Maria"/>
    <x v="172"/>
    <d v="1899-12-30T15:30:00"/>
    <s v="-"/>
    <d v="1899-12-30T16:00:00"/>
    <n v="1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5:30:00"/>
    <d v="1899-12-30T16:00:00"/>
  </r>
  <r>
    <d v="2024-10-02T00:00:00"/>
    <n v="924"/>
    <s v="S2S No Premium"/>
    <s v="T*N2m_Alarcon, Maria"/>
    <x v="172"/>
    <d v="1899-12-30T14:00:00"/>
    <s v="-"/>
    <d v="1899-12-30T14:30:00"/>
    <n v="172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0"/>
    <x v="0"/>
    <x v="94"/>
    <d v="1899-12-30T14:00:00"/>
    <d v="1899-12-30T14:30:00"/>
  </r>
  <r>
    <d v="2024-10-02T00:00:00"/>
    <n v="924"/>
    <s v="S2S No Premium"/>
    <s v="T*N2m_Alarcon, Maria"/>
    <x v="172"/>
    <d v="1899-12-30T15:00:00"/>
    <s v="-"/>
    <d v="1899-12-30T15:30:00"/>
    <n v="360"/>
    <n v="0"/>
    <n v="0"/>
    <n v="4"/>
    <n v="0"/>
    <n v="0"/>
    <n v="0"/>
    <n v="360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T*N2m_Alarcon, Maria"/>
    <x v="172"/>
    <d v="1899-12-30T14:30:00"/>
    <s v="-"/>
    <d v="1899-12-30T15:00:00"/>
    <n v="881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30:00"/>
    <d v="1899-12-30T15:00:00"/>
  </r>
  <r>
    <d v="2024-10-02T00:00:00"/>
    <n v="925"/>
    <s v="S2S Premium"/>
    <s v="XPm_Monteporc"/>
    <x v="173"/>
    <d v="1899-12-30T15:00:00"/>
    <s v="-"/>
    <d v="1899-12-30T15:30:00"/>
    <n v="57"/>
    <n v="0"/>
    <n v="0"/>
    <n v="4"/>
    <n v="0"/>
    <n v="0"/>
    <n v="0"/>
    <n v="1"/>
    <n v="1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4"/>
    <s v="S2S No Premium"/>
    <s v="XPm_Gutierrez,Veron"/>
    <x v="174"/>
    <d v="1899-12-30T15:30:00"/>
    <s v="-"/>
    <d v="1899-12-30T16:00:0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5:30:00"/>
    <d v="1899-12-30T16:00:00"/>
  </r>
  <r>
    <d v="2024-10-02T00:00:00"/>
    <n v="924"/>
    <s v="S2S No Premium"/>
    <s v="XPm_Gutierrez,Veron"/>
    <x v="174"/>
    <d v="1899-12-30T15:00:00"/>
    <s v="-"/>
    <d v="1899-12-30T15:30:00"/>
    <n v="117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5"/>
    <s v="S2S Premium"/>
    <s v="*Pm_Alvarez Franco"/>
    <x v="175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4"/>
    <s v="S2S No Premium"/>
    <s v="*Pm_Alvarez Franco"/>
    <x v="175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00:00"/>
    <d v="1899-12-30T19:30:00"/>
  </r>
  <r>
    <d v="2024-10-02T00:00:00"/>
    <n v="925"/>
    <s v="S2S Premium"/>
    <s v="*Pm_Alvarez Franco"/>
    <x v="175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4"/>
    <s v="S2S No Premium"/>
    <s v="*Pm_Alvarez Franco"/>
    <x v="175"/>
    <d v="1899-12-30T19:30:00"/>
    <s v="-"/>
    <d v="1899-12-30T20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9:30:00"/>
    <d v="1899-12-30T20:00:00"/>
  </r>
  <r>
    <d v="2024-10-02T00:00:00"/>
    <n v="925"/>
    <s v="S2S Premium"/>
    <s v="*Pm_Alvarez Franco"/>
    <x v="175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30:00"/>
    <d v="1899-12-30T16:00:00"/>
  </r>
  <r>
    <d v="2024-10-02T00:00:00"/>
    <n v="925"/>
    <s v="S2S Premium"/>
    <s v="*Pm_Alvarez Franco"/>
    <x v="175"/>
    <d v="1899-12-30T17:00:00"/>
    <s v="-"/>
    <d v="1899-12-30T17:30:00"/>
    <n v="103"/>
    <n v="0"/>
    <n v="0"/>
    <n v="4"/>
    <n v="0"/>
    <n v="0"/>
    <n v="0"/>
    <n v="460"/>
    <n v="0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4"/>
    <s v="S2S No Premium"/>
    <s v="*Pm_Alvarez Franco"/>
    <x v="175"/>
    <d v="1899-12-30T18:30:00"/>
    <s v="-"/>
    <d v="1899-12-30T19:00:00"/>
    <n v="155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*Pm_Alvarez Franco"/>
    <x v="175"/>
    <d v="1899-12-30T18:00:00"/>
    <s v="-"/>
    <d v="1899-12-30T18:30:00"/>
    <n v="19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*Pm_Alvarez Franco"/>
    <x v="175"/>
    <d v="1899-12-30T17:30:00"/>
    <s v="-"/>
    <d v="1899-12-30T18:00:00"/>
    <n v="285"/>
    <n v="0"/>
    <n v="0"/>
    <n v="12"/>
    <n v="0"/>
    <n v="0"/>
    <n v="0"/>
    <n v="96"/>
    <n v="0"/>
    <n v="0"/>
    <n v="0"/>
    <n v="0"/>
    <n v="0"/>
    <n v="0"/>
    <n v="0"/>
    <n v="0"/>
    <n v="0"/>
    <n v="0"/>
    <n v="0"/>
    <n v="2"/>
    <n v="2"/>
    <x v="1"/>
    <x v="94"/>
    <d v="1899-12-30T17:30:00"/>
    <d v="1899-12-30T18:00:00"/>
  </r>
  <r>
    <d v="2024-10-02T00:00:00"/>
    <n v="925"/>
    <s v="S2S Premium"/>
    <s v="*Pm_Alvarez Franco"/>
    <x v="175"/>
    <d v="1899-12-30T18:00:00"/>
    <s v="-"/>
    <d v="1899-12-30T18:30:00"/>
    <n v="492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*Pm_Alvarez Franco"/>
    <x v="175"/>
    <d v="1899-12-30T16:30:00"/>
    <s v="-"/>
    <d v="1899-12-30T17:00:00"/>
    <n v="553"/>
    <n v="0"/>
    <n v="0"/>
    <n v="8"/>
    <n v="0"/>
    <n v="0"/>
    <n v="0"/>
    <n v="126"/>
    <n v="0"/>
    <n v="0"/>
    <n v="0"/>
    <n v="0"/>
    <n v="0"/>
    <n v="0"/>
    <n v="0"/>
    <n v="0"/>
    <n v="0"/>
    <n v="0"/>
    <n v="0"/>
    <n v="1"/>
    <n v="1"/>
    <x v="1"/>
    <x v="94"/>
    <d v="1899-12-30T16:30:00"/>
    <d v="1899-12-30T17:00:00"/>
  </r>
  <r>
    <d v="2024-10-02T00:00:00"/>
    <n v="925"/>
    <s v="S2S Premium"/>
    <s v="XPm_Riquelme Ale"/>
    <x v="176"/>
    <d v="1899-12-30T17:30:00"/>
    <s v="-"/>
    <d v="1899-12-30T18:00:00"/>
    <n v="497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7:30:00"/>
    <d v="1899-12-30T18:00:00"/>
  </r>
  <r>
    <d v="2024-10-02T00:00:00"/>
    <n v="925"/>
    <s v="S2S Premium"/>
    <s v="XPm_Riquelme Ale"/>
    <x v="176"/>
    <d v="1899-12-30T16:30:00"/>
    <s v="-"/>
    <d v="1899-12-30T17:00:00"/>
    <n v="504"/>
    <n v="0"/>
    <n v="0"/>
    <n v="12"/>
    <n v="0"/>
    <n v="0"/>
    <n v="0"/>
    <n v="395"/>
    <n v="0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XPm_Riquelme Ale"/>
    <x v="176"/>
    <d v="1899-12-30T18:00:00"/>
    <s v="-"/>
    <d v="1899-12-30T18:30:00"/>
    <n v="580"/>
    <n v="0"/>
    <n v="0"/>
    <n v="16"/>
    <n v="0"/>
    <n v="0"/>
    <n v="0"/>
    <n v="56"/>
    <n v="0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5"/>
    <s v="S2S Premium"/>
    <s v="XPm_Riquelme Ale"/>
    <x v="176"/>
    <d v="1899-12-30T19:30:00"/>
    <s v="-"/>
    <d v="1899-12-30T20:00:00"/>
    <n v="602"/>
    <n v="0"/>
    <n v="0"/>
    <n v="12"/>
    <n v="0"/>
    <n v="0"/>
    <n v="0"/>
    <n v="61"/>
    <n v="0"/>
    <n v="0"/>
    <n v="0"/>
    <n v="0"/>
    <n v="0"/>
    <n v="0"/>
    <n v="0"/>
    <n v="0"/>
    <n v="0"/>
    <n v="0"/>
    <n v="0"/>
    <n v="3"/>
    <n v="3"/>
    <x v="1"/>
    <x v="94"/>
    <d v="1899-12-30T19:30:00"/>
    <d v="1899-12-30T20:00:00"/>
  </r>
  <r>
    <d v="2024-10-02T00:00:00"/>
    <n v="925"/>
    <s v="S2S Premium"/>
    <s v="XPm_Riquelme Ale"/>
    <x v="176"/>
    <d v="1899-12-30T15:30:00"/>
    <s v="-"/>
    <d v="1899-12-30T16:00:00"/>
    <n v="609"/>
    <n v="0"/>
    <n v="0"/>
    <n v="15"/>
    <n v="0"/>
    <n v="0"/>
    <n v="0"/>
    <n v="223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XPm_Riquelme Ale"/>
    <x v="176"/>
    <d v="1899-12-30T16:00:00"/>
    <s v="-"/>
    <d v="1899-12-30T16:30:00"/>
    <n v="627"/>
    <n v="0"/>
    <n v="0"/>
    <n v="16"/>
    <n v="0"/>
    <n v="0"/>
    <n v="0"/>
    <n v="5"/>
    <n v="0"/>
    <n v="0"/>
    <n v="0"/>
    <n v="0"/>
    <n v="0"/>
    <n v="0"/>
    <n v="0"/>
    <n v="0"/>
    <n v="0"/>
    <n v="0"/>
    <n v="0"/>
    <n v="5"/>
    <n v="5"/>
    <x v="1"/>
    <x v="94"/>
    <d v="1899-12-30T16:00:00"/>
    <d v="1899-12-30T16:30:00"/>
  </r>
  <r>
    <d v="2024-10-02T00:00:00"/>
    <n v="925"/>
    <s v="S2S Premium"/>
    <s v="XPm_Riquelme Ale"/>
    <x v="176"/>
    <d v="1899-12-30T15:00:00"/>
    <s v="-"/>
    <d v="1899-12-30T15:30:00"/>
    <n v="646"/>
    <n v="0"/>
    <n v="0"/>
    <n v="16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5:00:00"/>
    <d v="1899-12-30T15:30:00"/>
  </r>
  <r>
    <d v="2024-10-02T00:00:00"/>
    <n v="925"/>
    <s v="S2S Premium"/>
    <s v="XPm_Riquelme Ale"/>
    <x v="176"/>
    <d v="1899-12-30T18:30:00"/>
    <s v="-"/>
    <d v="1899-12-30T19:00:00"/>
    <n v="808"/>
    <n v="0"/>
    <n v="0"/>
    <n v="8"/>
    <n v="0"/>
    <n v="0"/>
    <n v="0"/>
    <n v="64"/>
    <n v="0"/>
    <n v="0"/>
    <n v="0"/>
    <n v="0"/>
    <n v="0"/>
    <n v="0"/>
    <n v="0"/>
    <n v="0"/>
    <n v="0"/>
    <n v="0"/>
    <n v="0"/>
    <n v="3"/>
    <n v="2"/>
    <x v="1"/>
    <x v="94"/>
    <d v="1899-12-30T18:30:00"/>
    <d v="1899-12-30T19:00:00"/>
  </r>
  <r>
    <d v="2024-10-02T00:00:00"/>
    <n v="925"/>
    <s v="S2S Premium"/>
    <s v="XPm_Riquelme Ale"/>
    <x v="176"/>
    <d v="1899-12-30T17:00:00"/>
    <s v="-"/>
    <d v="1899-12-30T17:30:00"/>
    <n v="929"/>
    <n v="0"/>
    <n v="0"/>
    <n v="15"/>
    <n v="0"/>
    <n v="0"/>
    <n v="0"/>
    <n v="36"/>
    <n v="0"/>
    <n v="0"/>
    <n v="0"/>
    <n v="0"/>
    <n v="0"/>
    <n v="0"/>
    <n v="0"/>
    <n v="0"/>
    <n v="0"/>
    <n v="0"/>
    <n v="0"/>
    <n v="4"/>
    <n v="4"/>
    <x v="1"/>
    <x v="94"/>
    <d v="1899-12-30T17:00:00"/>
    <d v="1899-12-30T17:30:00"/>
  </r>
  <r>
    <d v="2024-10-02T00:00:00"/>
    <n v="925"/>
    <s v="S2S Premium"/>
    <s v="XPm_Riquelme Ale"/>
    <x v="176"/>
    <d v="1899-12-30T19:00:00"/>
    <s v="-"/>
    <d v="1899-12-30T19:30:00"/>
    <n v="1144"/>
    <n v="0"/>
    <n v="0"/>
    <n v="20"/>
    <n v="0"/>
    <n v="0"/>
    <n v="0"/>
    <n v="6"/>
    <n v="1"/>
    <n v="0"/>
    <n v="0"/>
    <n v="0"/>
    <n v="0"/>
    <n v="0"/>
    <n v="0"/>
    <n v="0"/>
    <n v="0"/>
    <n v="0"/>
    <n v="0"/>
    <n v="5"/>
    <n v="4"/>
    <x v="1"/>
    <x v="94"/>
    <d v="1899-12-30T19:00:00"/>
    <d v="1899-12-30T19:30:00"/>
  </r>
  <r>
    <d v="2024-10-02T00:00:00"/>
    <n v="924"/>
    <s v="S2S No Premium"/>
    <s v="N2rm_Butnariuk Erick"/>
    <x v="177"/>
    <d v="1899-12-30T17:00:00"/>
    <s v="-"/>
    <d v="1899-12-30T17:30:00"/>
    <n v="378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7:00:00"/>
    <d v="1899-12-30T17:30:00"/>
  </r>
  <r>
    <d v="2024-10-02T00:00:00"/>
    <n v="924"/>
    <s v="S2S No Premium"/>
    <s v="N2rm_Butnariuk Erick"/>
    <x v="177"/>
    <d v="1899-12-30T19:00:00"/>
    <s v="-"/>
    <d v="1899-12-30T19:30:00"/>
    <n v="552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4"/>
    <s v="S2S No Premium"/>
    <s v="N2rm_Butnariuk Erick"/>
    <x v="177"/>
    <d v="1899-12-30T15:30:00"/>
    <s v="-"/>
    <d v="1899-12-30T16:00:00"/>
    <n v="65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5:30:00"/>
    <d v="1899-12-30T16:00:00"/>
  </r>
  <r>
    <d v="2024-10-02T00:00:00"/>
    <n v="924"/>
    <s v="S2S No Premium"/>
    <s v="N2rm_Butnariuk Erick"/>
    <x v="177"/>
    <d v="1899-12-30T19:30:00"/>
    <s v="-"/>
    <d v="1899-12-30T20:00:00"/>
    <n v="912"/>
    <n v="0"/>
    <n v="0"/>
    <n v="12"/>
    <n v="0"/>
    <n v="0"/>
    <n v="0"/>
    <n v="28"/>
    <n v="0"/>
    <n v="0"/>
    <n v="0"/>
    <n v="0"/>
    <n v="0"/>
    <n v="0"/>
    <n v="0"/>
    <n v="0"/>
    <n v="0"/>
    <n v="0"/>
    <n v="0"/>
    <n v="3"/>
    <n v="3"/>
    <x v="0"/>
    <x v="94"/>
    <d v="1899-12-30T19:30:00"/>
    <d v="1899-12-30T20:00:00"/>
  </r>
  <r>
    <d v="2024-10-02T00:00:00"/>
    <n v="924"/>
    <s v="S2S No Premium"/>
    <s v="N2rm_Butnariuk Erick"/>
    <x v="177"/>
    <d v="1899-12-30T18:30:00"/>
    <s v="-"/>
    <d v="1899-12-30T19:00:00"/>
    <n v="977"/>
    <n v="0"/>
    <n v="0"/>
    <n v="13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8:30:00"/>
    <d v="1899-12-30T19:00:00"/>
  </r>
  <r>
    <d v="2024-10-02T00:00:00"/>
    <n v="924"/>
    <s v="S2S No Premium"/>
    <s v="N2rm_Butnariuk Erick"/>
    <x v="177"/>
    <d v="1899-12-30T16:30:00"/>
    <s v="-"/>
    <d v="1899-12-30T17:00:00"/>
    <n v="1123"/>
    <n v="0"/>
    <n v="0"/>
    <n v="16"/>
    <n v="0"/>
    <n v="0"/>
    <n v="0"/>
    <n v="178"/>
    <n v="0"/>
    <n v="0"/>
    <n v="0"/>
    <n v="0"/>
    <n v="0"/>
    <n v="0"/>
    <n v="0"/>
    <n v="0"/>
    <n v="0"/>
    <n v="0"/>
    <n v="0"/>
    <n v="4"/>
    <n v="4"/>
    <x v="0"/>
    <x v="94"/>
    <d v="1899-12-30T16:30:00"/>
    <d v="1899-12-30T17:00:00"/>
  </r>
  <r>
    <d v="2024-10-02T00:00:00"/>
    <n v="924"/>
    <s v="S2S No Premium"/>
    <s v="N2rm_Butnariuk Erick"/>
    <x v="177"/>
    <d v="1899-12-30T16:00:00"/>
    <s v="-"/>
    <d v="1899-12-30T16:30:00"/>
    <n v="1135"/>
    <n v="0"/>
    <n v="0"/>
    <n v="19"/>
    <n v="0"/>
    <n v="0"/>
    <n v="0"/>
    <n v="106"/>
    <n v="0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4"/>
    <s v="S2S No Premium"/>
    <s v="N2rm_Butnariuk Erick"/>
    <x v="177"/>
    <d v="1899-12-30T17:30:00"/>
    <s v="-"/>
    <d v="1899-12-30T18:00:00"/>
    <n v="1354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7:30:00"/>
    <d v="1899-12-30T18:00:00"/>
  </r>
  <r>
    <d v="2024-10-02T00:00:00"/>
    <n v="924"/>
    <s v="S2S No Premium"/>
    <s v="N2rm_Butnariuk Erick"/>
    <x v="177"/>
    <d v="1899-12-30T18:00:00"/>
    <s v="-"/>
    <d v="1899-12-30T18:30:00"/>
    <n v="1373"/>
    <n v="0"/>
    <n v="0"/>
    <n v="16"/>
    <n v="0"/>
    <n v="0"/>
    <n v="0"/>
    <n v="34"/>
    <n v="0"/>
    <n v="0"/>
    <n v="0"/>
    <n v="0"/>
    <n v="0"/>
    <n v="0"/>
    <n v="0"/>
    <n v="0"/>
    <n v="0"/>
    <n v="0"/>
    <n v="0"/>
    <n v="4"/>
    <n v="4"/>
    <x v="0"/>
    <x v="94"/>
    <d v="1899-12-30T18:00:00"/>
    <d v="1899-12-30T18:30:00"/>
  </r>
  <r>
    <d v="2024-10-02T00:00:00"/>
    <n v="924"/>
    <s v="S2S No Premium"/>
    <s v="XPm_Coceres,Tan"/>
    <x v="178"/>
    <d v="1899-12-30T15:30:00"/>
    <s v="-"/>
    <d v="1899-12-30T16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30:00"/>
    <d v="1899-12-30T16:00:00"/>
  </r>
  <r>
    <d v="2024-10-02T00:00:00"/>
    <n v="924"/>
    <s v="S2S No Premium"/>
    <s v="XPm_Coceres,Tan"/>
    <x v="178"/>
    <d v="1899-12-30T15:00:00"/>
    <s v="-"/>
    <d v="1899-12-30T15:30:00"/>
    <n v="25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XPm_Chamorro,Rocio"/>
    <x v="179"/>
    <d v="1899-12-30T18:00:00"/>
    <s v="-"/>
    <d v="1899-12-30T18:30:00"/>
    <n v="170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5"/>
    <s v="S2S Premium"/>
    <s v="XPm_Chamorro,Rocio"/>
    <x v="179"/>
    <d v="1899-12-30T18:00:00"/>
    <s v="-"/>
    <d v="1899-12-30T18:30:00"/>
    <n v="246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8:00:00"/>
    <d v="1899-12-30T18:30:00"/>
  </r>
  <r>
    <d v="2024-10-02T00:00:00"/>
    <n v="925"/>
    <s v="S2S Premium"/>
    <s v="XPm_Chamorro,Rocio"/>
    <x v="179"/>
    <d v="1899-12-30T15:00:00"/>
    <s v="-"/>
    <d v="1899-12-30T15:30:00"/>
    <n v="389"/>
    <n v="0"/>
    <n v="0"/>
    <n v="17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m_Chamorro,Rocio"/>
    <x v="179"/>
    <d v="1899-12-30T15:30:00"/>
    <s v="-"/>
    <d v="1899-12-30T16:00:00"/>
    <n v="448"/>
    <n v="0"/>
    <n v="0"/>
    <n v="12"/>
    <n v="0"/>
    <n v="0"/>
    <n v="0"/>
    <n v="4"/>
    <n v="0"/>
    <n v="0"/>
    <n v="0"/>
    <n v="0"/>
    <n v="0"/>
    <n v="0"/>
    <n v="0"/>
    <n v="0"/>
    <n v="0"/>
    <n v="0"/>
    <n v="0"/>
    <n v="4"/>
    <n v="4"/>
    <x v="1"/>
    <x v="94"/>
    <d v="1899-12-30T15:30:00"/>
    <d v="1899-12-30T16:00:00"/>
  </r>
  <r>
    <d v="2024-10-02T00:00:00"/>
    <n v="924"/>
    <s v="S2S No Premium"/>
    <s v="XPm_Chamorro,Rocio"/>
    <x v="179"/>
    <d v="1899-12-30T19:30:00"/>
    <s v="-"/>
    <d v="1899-12-30T20:00:00"/>
    <n v="554"/>
    <n v="0"/>
    <n v="0"/>
    <n v="12"/>
    <n v="0"/>
    <n v="0"/>
    <n v="0"/>
    <n v="85"/>
    <n v="0"/>
    <n v="0"/>
    <n v="0"/>
    <n v="0"/>
    <n v="0"/>
    <n v="0"/>
    <n v="0"/>
    <n v="0"/>
    <n v="0"/>
    <n v="0"/>
    <n v="0"/>
    <n v="4"/>
    <n v="4"/>
    <x v="0"/>
    <x v="94"/>
    <d v="1899-12-30T19:30:00"/>
    <d v="1899-12-30T20:00:00"/>
  </r>
  <r>
    <d v="2024-10-02T00:00:00"/>
    <n v="925"/>
    <s v="S2S Premium"/>
    <s v="XPm_Chamorro,Rocio"/>
    <x v="179"/>
    <d v="1899-12-30T17:00:00"/>
    <s v="-"/>
    <d v="1899-12-30T17:30:00"/>
    <n v="759"/>
    <n v="0"/>
    <n v="0"/>
    <n v="16"/>
    <n v="0"/>
    <n v="0"/>
    <n v="0"/>
    <n v="25"/>
    <n v="169"/>
    <n v="0"/>
    <n v="0"/>
    <n v="0"/>
    <n v="0"/>
    <n v="0"/>
    <n v="0"/>
    <n v="0"/>
    <n v="0"/>
    <n v="0"/>
    <n v="0"/>
    <n v="4"/>
    <n v="3"/>
    <x v="1"/>
    <x v="94"/>
    <d v="1899-12-30T17:00:00"/>
    <d v="1899-12-30T17:30:00"/>
  </r>
  <r>
    <d v="2024-10-02T00:00:00"/>
    <n v="925"/>
    <s v="S2S Premium"/>
    <s v="XPm_Chamorro,Rocio"/>
    <x v="179"/>
    <d v="1899-12-30T16:00:00"/>
    <s v="-"/>
    <d v="1899-12-30T16:30:00"/>
    <n v="789"/>
    <n v="0"/>
    <n v="0"/>
    <n v="20"/>
    <n v="0"/>
    <n v="0"/>
    <n v="0"/>
    <n v="3"/>
    <n v="140"/>
    <n v="0"/>
    <n v="0"/>
    <n v="0"/>
    <n v="0"/>
    <n v="0"/>
    <n v="0"/>
    <n v="0"/>
    <n v="0"/>
    <n v="0"/>
    <n v="0"/>
    <n v="4"/>
    <n v="4"/>
    <x v="1"/>
    <x v="94"/>
    <d v="1899-12-30T16:00:00"/>
    <d v="1899-12-30T16:30:00"/>
  </r>
  <r>
    <d v="2024-10-02T00:00:00"/>
    <n v="925"/>
    <s v="S2S Premium"/>
    <s v="XPm_Chamorro,Rocio"/>
    <x v="179"/>
    <d v="1899-12-30T17:30:00"/>
    <s v="-"/>
    <d v="1899-12-30T18:00:00"/>
    <n v="867"/>
    <n v="0"/>
    <n v="0"/>
    <n v="20"/>
    <n v="0"/>
    <n v="0"/>
    <n v="0"/>
    <n v="323"/>
    <n v="129"/>
    <n v="0"/>
    <n v="0"/>
    <n v="0"/>
    <n v="0"/>
    <n v="0"/>
    <n v="0"/>
    <n v="0"/>
    <n v="0"/>
    <n v="0"/>
    <n v="0"/>
    <n v="5"/>
    <n v="4"/>
    <x v="1"/>
    <x v="94"/>
    <d v="1899-12-30T17:30:00"/>
    <d v="1899-12-30T18:00:00"/>
  </r>
  <r>
    <d v="2024-10-02T00:00:00"/>
    <n v="924"/>
    <s v="S2S No Premium"/>
    <s v="XPm_Chamorro,Rocio"/>
    <x v="179"/>
    <d v="1899-12-30T18:30:00"/>
    <s v="-"/>
    <d v="1899-12-30T19:00:00"/>
    <n v="1000"/>
    <n v="0"/>
    <n v="0"/>
    <n v="16"/>
    <n v="0"/>
    <n v="0"/>
    <n v="0"/>
    <n v="213"/>
    <n v="147"/>
    <n v="0"/>
    <n v="0"/>
    <n v="0"/>
    <n v="0"/>
    <n v="0"/>
    <n v="0"/>
    <n v="0"/>
    <n v="0"/>
    <n v="0"/>
    <n v="0"/>
    <n v="4"/>
    <n v="4"/>
    <x v="0"/>
    <x v="94"/>
    <d v="1899-12-30T18:30:00"/>
    <d v="1899-12-30T19:00:00"/>
  </r>
  <r>
    <d v="2024-10-02T00:00:00"/>
    <n v="925"/>
    <s v="S2S Premium"/>
    <s v="XPm_Chamorro,Rocio"/>
    <x v="179"/>
    <d v="1899-12-30T16:30:00"/>
    <s v="-"/>
    <d v="1899-12-30T17:00:00"/>
    <n v="1034"/>
    <n v="0"/>
    <n v="0"/>
    <n v="24"/>
    <n v="0"/>
    <n v="0"/>
    <n v="0"/>
    <n v="341"/>
    <n v="132"/>
    <n v="0"/>
    <n v="0"/>
    <n v="0"/>
    <n v="0"/>
    <n v="0"/>
    <n v="0"/>
    <n v="0"/>
    <n v="0"/>
    <n v="0"/>
    <n v="0"/>
    <n v="6"/>
    <n v="6"/>
    <x v="1"/>
    <x v="94"/>
    <d v="1899-12-30T16:30:00"/>
    <d v="1899-12-30T17:00:00"/>
  </r>
  <r>
    <d v="2024-10-02T00:00:00"/>
    <n v="924"/>
    <s v="S2S No Premium"/>
    <s v="XPm_Chamorro,Rocio"/>
    <x v="179"/>
    <d v="1899-12-30T19:00:00"/>
    <s v="-"/>
    <d v="1899-12-30T19:30:00"/>
    <n v="116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5"/>
    <s v="S2S Premium"/>
    <s v="PCC_Schubert Ingrid"/>
    <x v="180"/>
    <d v="1899-12-30T15:00:00"/>
    <s v="-"/>
    <d v="1899-12-30T15:30:00"/>
    <n v="4"/>
    <n v="0"/>
    <n v="0"/>
    <n v="0"/>
    <n v="0"/>
    <n v="0"/>
    <n v="0"/>
    <n v="52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PCC_Schubert Ingrid"/>
    <x v="180"/>
    <d v="1899-12-30T14:30:00"/>
    <s v="-"/>
    <d v="1899-12-30T15:00:00"/>
    <n v="95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4:30:00"/>
    <d v="1899-12-30T15:00:00"/>
  </r>
  <r>
    <d v="2024-10-02T00:00:00"/>
    <n v="925"/>
    <s v="S2S Premium"/>
    <s v="PCC_Schubert Ingrid"/>
    <x v="180"/>
    <d v="1899-12-30T14:00:00"/>
    <s v="-"/>
    <d v="1899-12-30T14:30:00"/>
    <n v="371"/>
    <n v="0"/>
    <n v="0"/>
    <n v="12"/>
    <n v="0"/>
    <n v="0"/>
    <n v="0"/>
    <n v="798"/>
    <n v="0"/>
    <n v="0"/>
    <n v="0"/>
    <n v="0"/>
    <n v="0"/>
    <n v="0"/>
    <n v="0"/>
    <n v="0"/>
    <n v="0"/>
    <n v="0"/>
    <n v="0"/>
    <n v="4"/>
    <n v="3"/>
    <x v="1"/>
    <x v="94"/>
    <d v="1899-12-30T14:00:00"/>
    <d v="1899-12-30T14:30:00"/>
  </r>
  <r>
    <d v="2024-10-02T00:00:00"/>
    <n v="924"/>
    <s v="S2S No Premium"/>
    <s v="XDPCC_Aguirre Leandr"/>
    <x v="181"/>
    <d v="1899-12-30T18:00:00"/>
    <s v="-"/>
    <d v="1899-12-30T18:30:00"/>
    <n v="154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XDPCC_Aguirre Leandr"/>
    <x v="181"/>
    <d v="1899-12-30T19:00:00"/>
    <s v="-"/>
    <d v="1899-12-30T19:30:00"/>
    <n v="306"/>
    <n v="0"/>
    <n v="0"/>
    <n v="4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00:00"/>
    <d v="1899-12-30T19:30:00"/>
  </r>
  <r>
    <d v="2024-10-02T00:00:00"/>
    <n v="925"/>
    <s v="S2S Premium"/>
    <s v="XDPCC_Aguirre Leandr"/>
    <x v="181"/>
    <d v="1899-12-30T14:00:00"/>
    <s v="-"/>
    <d v="1899-12-30T14:30:00"/>
    <n v="358"/>
    <n v="0"/>
    <n v="0"/>
    <n v="7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XDPCC_Aguirre Leandr"/>
    <x v="181"/>
    <d v="1899-12-30T17:00:00"/>
    <s v="-"/>
    <d v="1899-12-30T17:30:00"/>
    <n v="412"/>
    <n v="7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7:00:00"/>
    <d v="1899-12-30T17:30:00"/>
  </r>
  <r>
    <d v="2024-10-02T00:00:00"/>
    <n v="925"/>
    <s v="S2S Premium"/>
    <s v="XDPCC_Aguirre Leandr"/>
    <x v="181"/>
    <d v="1899-12-30T15:00:00"/>
    <s v="-"/>
    <d v="1899-12-30T15:30:00"/>
    <n v="419"/>
    <n v="2"/>
    <n v="0"/>
    <n v="8"/>
    <n v="0"/>
    <n v="0"/>
    <n v="0"/>
    <n v="1"/>
    <n v="0"/>
    <n v="0"/>
    <n v="0"/>
    <n v="0"/>
    <n v="0"/>
    <n v="0"/>
    <n v="0"/>
    <n v="0"/>
    <n v="0"/>
    <n v="0"/>
    <n v="0"/>
    <n v="2"/>
    <n v="1"/>
    <x v="1"/>
    <x v="94"/>
    <d v="1899-12-30T15:00:00"/>
    <d v="1899-12-30T15:30:00"/>
  </r>
  <r>
    <d v="2024-10-02T00:00:00"/>
    <n v="924"/>
    <s v="S2S No Premium"/>
    <s v="XDPCC_Aguirre Leandr"/>
    <x v="181"/>
    <d v="1899-12-30T19:30:00"/>
    <s v="-"/>
    <d v="1899-12-30T20:00:00"/>
    <n v="505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0"/>
    <x v="94"/>
    <d v="1899-12-30T19:30:00"/>
    <d v="1899-12-30T20:00:00"/>
  </r>
  <r>
    <d v="2024-10-02T00:00:00"/>
    <n v="924"/>
    <s v="S2S No Premium"/>
    <s v="XDPCC_Aguirre Leandr"/>
    <x v="181"/>
    <d v="1899-12-30T18:30:00"/>
    <s v="-"/>
    <d v="1899-12-30T19:00:00"/>
    <n v="557"/>
    <n v="0"/>
    <n v="0"/>
    <n v="20"/>
    <n v="0"/>
    <n v="0"/>
    <n v="0"/>
    <n v="2"/>
    <n v="1"/>
    <n v="0"/>
    <n v="0"/>
    <n v="0"/>
    <n v="0"/>
    <n v="0"/>
    <n v="0"/>
    <n v="0"/>
    <n v="0"/>
    <n v="0"/>
    <n v="0"/>
    <n v="5"/>
    <n v="2"/>
    <x v="0"/>
    <x v="94"/>
    <d v="1899-12-30T18:30:00"/>
    <d v="1899-12-30T19:00:00"/>
  </r>
  <r>
    <d v="2024-10-02T00:00:00"/>
    <n v="925"/>
    <s v="S2S Premium"/>
    <s v="XDPCC_Aguirre Leandr"/>
    <x v="181"/>
    <d v="1899-12-30T18:00:00"/>
    <s v="-"/>
    <d v="1899-12-30T18:30:00"/>
    <n v="573"/>
    <n v="0"/>
    <n v="0"/>
    <n v="16"/>
    <n v="0"/>
    <n v="0"/>
    <n v="0"/>
    <n v="130"/>
    <n v="0"/>
    <n v="0"/>
    <n v="0"/>
    <n v="0"/>
    <n v="0"/>
    <n v="0"/>
    <n v="0"/>
    <n v="0"/>
    <n v="0"/>
    <n v="0"/>
    <n v="0"/>
    <n v="5"/>
    <n v="4"/>
    <x v="1"/>
    <x v="94"/>
    <d v="1899-12-30T18:00:00"/>
    <d v="1899-12-30T18:30:00"/>
  </r>
  <r>
    <d v="2024-10-02T00:00:00"/>
    <n v="925"/>
    <s v="S2S Premium"/>
    <s v="XDPCC_Aguirre Leandr"/>
    <x v="181"/>
    <d v="1899-12-30T15:30:00"/>
    <s v="-"/>
    <d v="1899-12-30T16:00:00"/>
    <n v="696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4"/>
    <n v="3"/>
    <x v="1"/>
    <x v="94"/>
    <d v="1899-12-30T15:30:00"/>
    <d v="1899-12-30T16:00:00"/>
  </r>
  <r>
    <d v="2024-10-02T00:00:00"/>
    <n v="925"/>
    <s v="S2S Premium"/>
    <s v="XDPCC_Aguirre Leandr"/>
    <x v="181"/>
    <d v="1899-12-30T16:30:00"/>
    <s v="-"/>
    <d v="1899-12-30T17:00:00"/>
    <n v="752"/>
    <n v="4"/>
    <n v="0"/>
    <n v="12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XDPCC_Aguirre Leandr"/>
    <x v="181"/>
    <d v="1899-12-30T14:30:00"/>
    <s v="-"/>
    <d v="1899-12-30T15:00:00"/>
    <n v="792"/>
    <n v="0"/>
    <n v="0"/>
    <n v="16"/>
    <n v="0"/>
    <n v="0"/>
    <n v="0"/>
    <n v="48"/>
    <n v="37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XDPCC_Aguirre Leandr"/>
    <x v="181"/>
    <d v="1899-12-30T17:30:00"/>
    <s v="-"/>
    <d v="1899-12-30T18:00:00"/>
    <n v="1011"/>
    <n v="0"/>
    <n v="0"/>
    <n v="20"/>
    <n v="0"/>
    <n v="0"/>
    <n v="0"/>
    <n v="153"/>
    <n v="138"/>
    <n v="0"/>
    <n v="0"/>
    <n v="0"/>
    <n v="0"/>
    <n v="0"/>
    <n v="0"/>
    <n v="0"/>
    <n v="0"/>
    <n v="0"/>
    <n v="0"/>
    <n v="5"/>
    <n v="4"/>
    <x v="1"/>
    <x v="94"/>
    <d v="1899-12-30T17:30:00"/>
    <d v="1899-12-30T18:00:00"/>
  </r>
  <r>
    <d v="2024-10-02T00:00:00"/>
    <n v="925"/>
    <s v="S2S Premium"/>
    <s v="XDPCC_Aguirre Leandr"/>
    <x v="181"/>
    <d v="1899-12-30T16:00:00"/>
    <s v="-"/>
    <d v="1899-12-30T16:30:00"/>
    <n v="1385"/>
    <n v="0"/>
    <n v="0"/>
    <n v="7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DPCC_Pereyra,Tamar"/>
    <x v="182"/>
    <d v="1899-12-30T18:30:00"/>
    <s v="-"/>
    <d v="1899-12-30T19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8:30:00"/>
    <d v="1899-12-30T19:00:00"/>
  </r>
  <r>
    <d v="2024-10-02T00:00:00"/>
    <n v="925"/>
    <s v="S2S Premium"/>
    <s v="XDPCC_Pereyra,Tamar"/>
    <x v="182"/>
    <d v="1899-12-30T18:00:00"/>
    <s v="-"/>
    <d v="1899-12-30T18:30:00"/>
    <n v="236"/>
    <n v="0"/>
    <n v="0"/>
    <n v="9"/>
    <n v="0"/>
    <n v="0"/>
    <n v="0"/>
    <n v="213"/>
    <n v="125"/>
    <n v="0"/>
    <n v="0"/>
    <n v="0"/>
    <n v="0"/>
    <n v="0"/>
    <n v="0"/>
    <n v="0"/>
    <n v="0"/>
    <n v="0"/>
    <n v="0"/>
    <n v="2"/>
    <n v="2"/>
    <x v="1"/>
    <x v="94"/>
    <d v="1899-12-30T18:00:00"/>
    <d v="1899-12-30T18:30:00"/>
  </r>
  <r>
    <d v="2024-10-02T00:00:00"/>
    <n v="925"/>
    <s v="S2S Premium"/>
    <s v="XDPCC_Pereyra,Tamar"/>
    <x v="182"/>
    <d v="1899-12-30T17:00:00"/>
    <s v="-"/>
    <d v="1899-12-30T17:30:00"/>
    <n v="360"/>
    <n v="0"/>
    <n v="0"/>
    <n v="4"/>
    <n v="0"/>
    <n v="0"/>
    <n v="0"/>
    <n v="107"/>
    <n v="0"/>
    <n v="0"/>
    <n v="0"/>
    <n v="0"/>
    <n v="0"/>
    <n v="0"/>
    <n v="0"/>
    <n v="0"/>
    <n v="0"/>
    <n v="0"/>
    <n v="0"/>
    <n v="2"/>
    <n v="2"/>
    <x v="1"/>
    <x v="94"/>
    <d v="1899-12-30T17:00:00"/>
    <d v="1899-12-30T17:30:00"/>
  </r>
  <r>
    <d v="2024-10-02T00:00:00"/>
    <n v="925"/>
    <s v="S2S Premium"/>
    <s v="XDPCC_Pereyra,Tamar"/>
    <x v="182"/>
    <d v="1899-12-30T15:30:00"/>
    <s v="-"/>
    <d v="1899-12-30T16:00:00"/>
    <n v="51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30:00"/>
    <d v="1899-12-30T16:00:00"/>
  </r>
  <r>
    <d v="2024-10-02T00:00:00"/>
    <n v="925"/>
    <s v="S2S Premium"/>
    <s v="XDPCC_Pereyra,Tamar"/>
    <x v="182"/>
    <d v="1899-12-30T16:00:00"/>
    <s v="-"/>
    <d v="1899-12-30T16:30:00"/>
    <n v="856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n v="4"/>
    <n v="2"/>
    <x v="1"/>
    <x v="94"/>
    <d v="1899-12-30T16:00:00"/>
    <d v="1899-12-30T16:30:00"/>
  </r>
  <r>
    <d v="2024-10-02T00:00:00"/>
    <n v="925"/>
    <s v="S2S Premium"/>
    <s v="XDPCC_Pereyra,Tamar"/>
    <x v="182"/>
    <d v="1899-12-30T16:30:00"/>
    <s v="-"/>
    <d v="1899-12-30T17:00:00"/>
    <n v="895"/>
    <n v="0"/>
    <n v="0"/>
    <n v="24"/>
    <n v="0"/>
    <n v="0"/>
    <n v="0"/>
    <n v="224"/>
    <n v="166"/>
    <n v="0"/>
    <n v="0"/>
    <n v="0"/>
    <n v="0"/>
    <n v="0"/>
    <n v="0"/>
    <n v="0"/>
    <n v="0"/>
    <n v="0"/>
    <n v="0"/>
    <n v="5"/>
    <n v="3"/>
    <x v="1"/>
    <x v="94"/>
    <d v="1899-12-30T16:30:00"/>
    <d v="1899-12-30T17:00:00"/>
  </r>
  <r>
    <d v="2024-10-02T00:00:00"/>
    <n v="925"/>
    <s v="S2S Premium"/>
    <s v="XDPCC_Pereyra,Tamar"/>
    <x v="182"/>
    <d v="1899-12-30T17:30:00"/>
    <s v="-"/>
    <d v="1899-12-30T18:00:00"/>
    <n v="1099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n v="6"/>
    <n v="2"/>
    <x v="1"/>
    <x v="94"/>
    <d v="1899-12-30T17:30:00"/>
    <d v="1899-12-30T18:00:00"/>
  </r>
  <r>
    <d v="2024-10-02T00:00:00"/>
    <n v="925"/>
    <s v="S2S Premium"/>
    <s v="DPCC_Rocio Sanchez"/>
    <x v="183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DPCC_Rocio Sanchez"/>
    <x v="183"/>
    <d v="1899-12-30T14:00:00"/>
    <s v="-"/>
    <d v="1899-12-30T14:30:00"/>
    <n v="517"/>
    <n v="0"/>
    <n v="0"/>
    <n v="10"/>
    <n v="0"/>
    <n v="0"/>
    <n v="0"/>
    <n v="10"/>
    <n v="0"/>
    <n v="0"/>
    <n v="0"/>
    <n v="0"/>
    <n v="0"/>
    <n v="0"/>
    <n v="0"/>
    <n v="0"/>
    <n v="0"/>
    <n v="0"/>
    <n v="0"/>
    <n v="2"/>
    <n v="0"/>
    <x v="1"/>
    <x v="94"/>
    <d v="1899-12-30T14:00:00"/>
    <d v="1899-12-30T14:30:00"/>
  </r>
  <r>
    <d v="2024-10-02T00:00:00"/>
    <n v="925"/>
    <s v="S2S Premium"/>
    <s v="DPCC_Rocio Sanchez"/>
    <x v="183"/>
    <d v="1899-12-30T14:30:00"/>
    <s v="-"/>
    <d v="1899-12-30T15:00:00"/>
    <n v="1006"/>
    <n v="0"/>
    <n v="0"/>
    <n v="10"/>
    <n v="0"/>
    <n v="0"/>
    <n v="0"/>
    <n v="8"/>
    <n v="2"/>
    <n v="0"/>
    <n v="0"/>
    <n v="0"/>
    <n v="0"/>
    <n v="0"/>
    <n v="0"/>
    <n v="0"/>
    <n v="0"/>
    <n v="0"/>
    <n v="0"/>
    <n v="3"/>
    <n v="0"/>
    <x v="1"/>
    <x v="94"/>
    <d v="1899-12-30T14:30:00"/>
    <d v="1899-12-30T15:00:00"/>
  </r>
  <r>
    <d v="2024-10-02T00:00:00"/>
    <n v="925"/>
    <s v="S2S Premium"/>
    <s v="XDPCC_GutierrezEvely"/>
    <x v="184"/>
    <d v="1899-12-30T18:00:00"/>
    <s v="-"/>
    <d v="1899-12-30T18:30:00"/>
    <n v="154"/>
    <n v="7"/>
    <n v="0"/>
    <n v="4"/>
    <n v="0"/>
    <n v="0"/>
    <n v="0"/>
    <n v="48"/>
    <n v="43"/>
    <n v="0"/>
    <n v="0"/>
    <n v="0"/>
    <n v="0"/>
    <n v="0"/>
    <n v="0"/>
    <n v="0"/>
    <n v="0"/>
    <n v="0"/>
    <n v="0"/>
    <n v="1"/>
    <n v="1"/>
    <x v="1"/>
    <x v="94"/>
    <d v="1899-12-30T18:00:00"/>
    <d v="1899-12-30T18:30:00"/>
  </r>
  <r>
    <d v="2024-10-02T00:00:00"/>
    <n v="925"/>
    <s v="S2S Premium"/>
    <s v="XDPCC_GutierrezEvely"/>
    <x v="184"/>
    <d v="1899-12-30T15:00:00"/>
    <s v="-"/>
    <d v="1899-12-30T15:30:00"/>
    <n v="237"/>
    <n v="0"/>
    <n v="0"/>
    <n v="8"/>
    <n v="0"/>
    <n v="0"/>
    <n v="0"/>
    <n v="90"/>
    <n v="0"/>
    <n v="0"/>
    <n v="0"/>
    <n v="0"/>
    <n v="0"/>
    <n v="0"/>
    <n v="0"/>
    <n v="0"/>
    <n v="0"/>
    <n v="0"/>
    <n v="0"/>
    <n v="2"/>
    <n v="1"/>
    <x v="1"/>
    <x v="94"/>
    <d v="1899-12-30T15:00:00"/>
    <d v="1899-12-30T15:30:00"/>
  </r>
  <r>
    <d v="2024-10-02T00:00:00"/>
    <n v="925"/>
    <s v="S2S Premium"/>
    <s v="XDPCC_GutierrezEvely"/>
    <x v="184"/>
    <d v="1899-12-30T17:00:00"/>
    <s v="-"/>
    <d v="1899-12-30T17:30:00"/>
    <n v="459"/>
    <n v="0"/>
    <n v="0"/>
    <n v="12"/>
    <n v="0"/>
    <n v="0"/>
    <n v="0"/>
    <n v="3"/>
    <n v="343"/>
    <n v="0"/>
    <n v="0"/>
    <n v="0"/>
    <n v="0"/>
    <n v="0"/>
    <n v="0"/>
    <n v="0"/>
    <n v="0"/>
    <n v="0"/>
    <n v="0"/>
    <n v="2"/>
    <n v="1"/>
    <x v="1"/>
    <x v="94"/>
    <d v="1899-12-30T17:00:00"/>
    <d v="1899-12-30T17:30:00"/>
  </r>
  <r>
    <d v="2024-10-02T00:00:00"/>
    <n v="925"/>
    <s v="S2S Premium"/>
    <s v="XDPCC_GutierrezEvely"/>
    <x v="184"/>
    <d v="1899-12-30T16:00:00"/>
    <s v="-"/>
    <d v="1899-12-30T16:30:00"/>
    <n v="615"/>
    <n v="116"/>
    <n v="0"/>
    <n v="12"/>
    <n v="0"/>
    <n v="0"/>
    <n v="0"/>
    <n v="347"/>
    <n v="201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DPCC_GutierrezEvely"/>
    <x v="184"/>
    <d v="1899-12-30T15:30:00"/>
    <s v="-"/>
    <d v="1899-12-30T16:00:00"/>
    <n v="731"/>
    <n v="0"/>
    <n v="0"/>
    <n v="15"/>
    <n v="0"/>
    <n v="0"/>
    <n v="0"/>
    <n v="101"/>
    <n v="0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5"/>
    <s v="S2S Premium"/>
    <s v="XDPCC_GutierrezEvely"/>
    <x v="184"/>
    <d v="1899-12-30T19:30:00"/>
    <s v="-"/>
    <d v="1899-12-30T20:00:00"/>
    <n v="800"/>
    <n v="120"/>
    <n v="0"/>
    <n v="8"/>
    <n v="0"/>
    <n v="0"/>
    <n v="0"/>
    <n v="403"/>
    <n v="0"/>
    <n v="0"/>
    <n v="0"/>
    <n v="0"/>
    <n v="0"/>
    <n v="0"/>
    <n v="0"/>
    <n v="0"/>
    <n v="0"/>
    <n v="0"/>
    <n v="0"/>
    <n v="3"/>
    <n v="3"/>
    <x v="1"/>
    <x v="94"/>
    <d v="1899-12-30T19:30:00"/>
    <d v="1899-12-30T20:00:00"/>
  </r>
  <r>
    <d v="2024-10-02T00:00:00"/>
    <n v="925"/>
    <s v="S2S Premium"/>
    <s v="XDPCC_GutierrezEvely"/>
    <x v="184"/>
    <d v="1899-12-30T18:30:00"/>
    <s v="-"/>
    <d v="1899-12-30T19:00:00"/>
    <n v="801"/>
    <n v="0"/>
    <n v="0"/>
    <n v="12"/>
    <n v="0"/>
    <n v="0"/>
    <n v="0"/>
    <n v="130"/>
    <n v="251"/>
    <n v="0"/>
    <n v="0"/>
    <n v="0"/>
    <n v="0"/>
    <n v="0"/>
    <n v="0"/>
    <n v="0"/>
    <n v="0"/>
    <n v="0"/>
    <n v="0"/>
    <n v="2"/>
    <n v="1"/>
    <x v="1"/>
    <x v="94"/>
    <d v="1899-12-30T18:30:00"/>
    <d v="1899-12-30T19:00:00"/>
  </r>
  <r>
    <d v="2024-10-02T00:00:00"/>
    <n v="925"/>
    <s v="S2S Premium"/>
    <s v="XDPCC_GutierrezEvely"/>
    <x v="184"/>
    <d v="1899-12-30T16:30:00"/>
    <s v="-"/>
    <d v="1899-12-30T17:00:00"/>
    <n v="853"/>
    <n v="0"/>
    <n v="0"/>
    <n v="8"/>
    <n v="0"/>
    <n v="0"/>
    <n v="0"/>
    <n v="391"/>
    <n v="0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5"/>
    <s v="S2S Premium"/>
    <s v="XDPCC_GutierrezEvely"/>
    <x v="184"/>
    <d v="1899-12-30T19:00:00"/>
    <s v="-"/>
    <d v="1899-12-30T19:30:00"/>
    <n v="1005"/>
    <n v="150"/>
    <n v="0"/>
    <n v="20"/>
    <n v="0"/>
    <n v="0"/>
    <n v="0"/>
    <n v="455"/>
    <n v="0"/>
    <n v="0"/>
    <n v="0"/>
    <n v="0"/>
    <n v="0"/>
    <n v="0"/>
    <n v="0"/>
    <n v="0"/>
    <n v="0"/>
    <n v="0"/>
    <n v="0"/>
    <n v="5"/>
    <n v="4"/>
    <x v="1"/>
    <x v="94"/>
    <d v="1899-12-30T19:00:00"/>
    <d v="1899-12-30T19:30:00"/>
  </r>
  <r>
    <d v="2024-10-02T00:00:00"/>
    <n v="925"/>
    <s v="S2S Premium"/>
    <s v="XDPCC_GutierrezEvely"/>
    <x v="184"/>
    <d v="1899-12-30T17:30:00"/>
    <s v="-"/>
    <d v="1899-12-30T18:00:00"/>
    <n v="1041"/>
    <n v="0"/>
    <n v="0"/>
    <n v="20"/>
    <n v="0"/>
    <n v="0"/>
    <n v="0"/>
    <n v="652"/>
    <n v="0"/>
    <n v="0"/>
    <n v="0"/>
    <n v="0"/>
    <n v="0"/>
    <n v="0"/>
    <n v="0"/>
    <n v="0"/>
    <n v="0"/>
    <n v="0"/>
    <n v="0"/>
    <n v="6"/>
    <n v="6"/>
    <x v="1"/>
    <x v="94"/>
    <d v="1899-12-30T17:30:00"/>
    <d v="1899-12-30T18:00:00"/>
  </r>
  <r>
    <d v="2024-10-02T00:00:00"/>
    <n v="925"/>
    <s v="S2S Premium"/>
    <s v="DPCC_Paciello Irma"/>
    <x v="185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DPCC_Paciello Irma"/>
    <x v="185"/>
    <d v="1899-12-30T15:00:00"/>
    <s v="-"/>
    <d v="1899-12-30T15:30:00"/>
    <n v="446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DPCC_Paciello Irma"/>
    <x v="185"/>
    <d v="1899-12-30T15:30:00"/>
    <s v="-"/>
    <d v="1899-12-30T16:00:00"/>
    <n v="522"/>
    <n v="0"/>
    <n v="0"/>
    <n v="12"/>
    <n v="0"/>
    <n v="0"/>
    <n v="0"/>
    <n v="406"/>
    <n v="297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5"/>
    <s v="S2S Premium"/>
    <s v="DPCC_Paciello Irma"/>
    <x v="185"/>
    <d v="1899-12-30T14:30:00"/>
    <s v="-"/>
    <d v="1899-12-30T15:00:00"/>
    <n v="569"/>
    <n v="0"/>
    <n v="0"/>
    <n v="20"/>
    <n v="0"/>
    <n v="0"/>
    <n v="0"/>
    <n v="287"/>
    <n v="0"/>
    <n v="0"/>
    <n v="0"/>
    <n v="0"/>
    <n v="0"/>
    <n v="0"/>
    <n v="0"/>
    <n v="0"/>
    <n v="0"/>
    <n v="0"/>
    <n v="0"/>
    <n v="6"/>
    <n v="3"/>
    <x v="1"/>
    <x v="94"/>
    <d v="1899-12-30T14:30:00"/>
    <d v="1899-12-30T15:00:00"/>
  </r>
  <r>
    <d v="2024-10-02T00:00:00"/>
    <n v="925"/>
    <s v="S2S Premium"/>
    <s v="DPCC_Paciello Irma"/>
    <x v="185"/>
    <d v="1899-12-30T14:00:00"/>
    <s v="-"/>
    <d v="1899-12-30T14:30:00"/>
    <n v="782"/>
    <n v="0"/>
    <n v="0"/>
    <n v="8"/>
    <n v="0"/>
    <n v="0"/>
    <n v="0"/>
    <n v="57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XPCC_Silvia Iglesias"/>
    <x v="186"/>
    <d v="1899-12-30T15:00:00"/>
    <s v="-"/>
    <d v="1899-12-30T15:30:0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PCC_Silvia Iglesias"/>
    <x v="186"/>
    <d v="1899-12-30T14:30:00"/>
    <s v="-"/>
    <d v="1899-12-30T15:00:00"/>
    <n v="865"/>
    <n v="0"/>
    <n v="0"/>
    <n v="11"/>
    <n v="0"/>
    <n v="0"/>
    <n v="0"/>
    <n v="105"/>
    <n v="1"/>
    <n v="0"/>
    <n v="0"/>
    <n v="0"/>
    <n v="0"/>
    <n v="0"/>
    <n v="0"/>
    <n v="0"/>
    <n v="0"/>
    <n v="0"/>
    <n v="0"/>
    <n v="3"/>
    <n v="3"/>
    <x v="1"/>
    <x v="94"/>
    <d v="1899-12-30T14:30:00"/>
    <d v="1899-12-30T15:00:00"/>
  </r>
  <r>
    <d v="2024-10-02T00:00:00"/>
    <n v="925"/>
    <s v="S2S Premium"/>
    <s v="XPCC_Silvia Iglesias"/>
    <x v="186"/>
    <d v="1899-12-30T14:00:00"/>
    <s v="-"/>
    <d v="1899-12-30T14:30:00"/>
    <n v="1337"/>
    <n v="0"/>
    <n v="0"/>
    <n v="8"/>
    <n v="0"/>
    <n v="0"/>
    <n v="0"/>
    <n v="123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XPCC_Espindola,Malen"/>
    <x v="187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00:00"/>
    <d v="1899-12-30T19:30:00"/>
  </r>
  <r>
    <d v="2024-10-02T00:00:00"/>
    <n v="925"/>
    <s v="S2S Premium"/>
    <s v="XPCC_Espindola,Malen"/>
    <x v="187"/>
    <d v="1899-12-30T14:30:00"/>
    <s v="-"/>
    <d v="1899-12-30T15:00:00"/>
    <n v="419"/>
    <n v="0"/>
    <n v="0"/>
    <n v="16"/>
    <n v="0"/>
    <n v="0"/>
    <n v="0"/>
    <n v="230"/>
    <n v="224"/>
    <n v="0"/>
    <n v="0"/>
    <n v="0"/>
    <n v="0"/>
    <n v="0"/>
    <n v="0"/>
    <n v="0"/>
    <n v="0"/>
    <n v="0"/>
    <n v="0"/>
    <n v="4"/>
    <n v="4"/>
    <x v="1"/>
    <x v="94"/>
    <d v="1899-12-30T14:30:00"/>
    <d v="1899-12-30T15:00:00"/>
  </r>
  <r>
    <d v="2024-10-02T00:00:00"/>
    <n v="925"/>
    <s v="S2S Premium"/>
    <s v="XPCC_Espindola,Malen"/>
    <x v="187"/>
    <d v="1899-12-30T17:00:00"/>
    <s v="-"/>
    <d v="1899-12-30T17:30:00"/>
    <n v="455"/>
    <n v="0"/>
    <n v="0"/>
    <n v="8"/>
    <n v="0"/>
    <n v="0"/>
    <n v="0"/>
    <n v="171"/>
    <n v="0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PCC_Espindola,Malen"/>
    <x v="187"/>
    <d v="1899-12-30T15:00:00"/>
    <s v="-"/>
    <d v="1899-12-30T15:30:00"/>
    <n v="550"/>
    <n v="0"/>
    <n v="0"/>
    <n v="8"/>
    <n v="0"/>
    <n v="0"/>
    <n v="0"/>
    <n v="126"/>
    <n v="0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PCC_Espindola,Malen"/>
    <x v="187"/>
    <d v="1899-12-30T15:30:00"/>
    <s v="-"/>
    <d v="1899-12-30T16:00:00"/>
    <n v="664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30:00"/>
    <d v="1899-12-30T16:00:00"/>
  </r>
  <r>
    <d v="2024-10-02T00:00:00"/>
    <n v="925"/>
    <s v="S2S Premium"/>
    <s v="XPCC_Espindola,Malen"/>
    <x v="187"/>
    <d v="1899-12-30T16:30:00"/>
    <s v="-"/>
    <d v="1899-12-30T17:00:00"/>
    <n v="688"/>
    <n v="0"/>
    <n v="0"/>
    <n v="12"/>
    <n v="0"/>
    <n v="0"/>
    <n v="0"/>
    <n v="788"/>
    <n v="382"/>
    <n v="0"/>
    <n v="0"/>
    <n v="0"/>
    <n v="0"/>
    <n v="0"/>
    <n v="0"/>
    <n v="0"/>
    <n v="0"/>
    <n v="0"/>
    <n v="0"/>
    <n v="3"/>
    <n v="3"/>
    <x v="1"/>
    <x v="94"/>
    <d v="1899-12-30T16:30:00"/>
    <d v="1899-12-30T17:00:00"/>
  </r>
  <r>
    <d v="2024-10-02T00:00:00"/>
    <n v="925"/>
    <s v="S2S Premium"/>
    <s v="XPCC_Espindola,Malen"/>
    <x v="187"/>
    <d v="1899-12-30T18:00:00"/>
    <s v="-"/>
    <d v="1899-12-30T18:30:00"/>
    <n v="750"/>
    <n v="0"/>
    <n v="0"/>
    <n v="16"/>
    <n v="0"/>
    <n v="0"/>
    <n v="0"/>
    <n v="69"/>
    <n v="0"/>
    <n v="0"/>
    <n v="0"/>
    <n v="0"/>
    <n v="0"/>
    <n v="0"/>
    <n v="0"/>
    <n v="0"/>
    <n v="0"/>
    <n v="0"/>
    <n v="0"/>
    <n v="5"/>
    <n v="4"/>
    <x v="1"/>
    <x v="94"/>
    <d v="1899-12-30T18:00:00"/>
    <d v="1899-12-30T18:30:00"/>
  </r>
  <r>
    <d v="2024-10-02T00:00:00"/>
    <n v="925"/>
    <s v="S2S Premium"/>
    <s v="XPCC_Espindola,Malen"/>
    <x v="187"/>
    <d v="1899-12-30T16:00:00"/>
    <s v="-"/>
    <d v="1899-12-30T16:30:00"/>
    <n v="832"/>
    <n v="0"/>
    <n v="0"/>
    <n v="12"/>
    <n v="0"/>
    <n v="0"/>
    <n v="0"/>
    <n v="293"/>
    <n v="0"/>
    <n v="0"/>
    <n v="0"/>
    <n v="0"/>
    <n v="0"/>
    <n v="0"/>
    <n v="0"/>
    <n v="0"/>
    <n v="0"/>
    <n v="0"/>
    <n v="0"/>
    <n v="3"/>
    <n v="2"/>
    <x v="1"/>
    <x v="94"/>
    <d v="1899-12-30T16:00:00"/>
    <d v="1899-12-30T16:30:00"/>
  </r>
  <r>
    <d v="2024-10-02T00:00:00"/>
    <n v="925"/>
    <s v="S2S Premium"/>
    <s v="XPCC_Espindola,Malen"/>
    <x v="187"/>
    <d v="1899-12-30T18:30:00"/>
    <s v="-"/>
    <d v="1899-12-30T19:00:00"/>
    <n v="832"/>
    <n v="0"/>
    <n v="0"/>
    <n v="20"/>
    <n v="0"/>
    <n v="0"/>
    <n v="0"/>
    <n v="94"/>
    <n v="0"/>
    <n v="0"/>
    <n v="0"/>
    <n v="0"/>
    <n v="0"/>
    <n v="0"/>
    <n v="0"/>
    <n v="0"/>
    <n v="0"/>
    <n v="0"/>
    <n v="0"/>
    <n v="5"/>
    <n v="2"/>
    <x v="1"/>
    <x v="94"/>
    <d v="1899-12-30T18:30:00"/>
    <d v="1899-12-30T19:00:00"/>
  </r>
  <r>
    <d v="2024-10-02T00:00:00"/>
    <n v="925"/>
    <s v="S2S Premium"/>
    <s v="XPCC_Espindola,Malen"/>
    <x v="187"/>
    <d v="1899-12-30T14:00:00"/>
    <s v="-"/>
    <d v="1899-12-30T14:30:00"/>
    <n v="909"/>
    <n v="0"/>
    <n v="0"/>
    <n v="8"/>
    <n v="0"/>
    <n v="0"/>
    <n v="0"/>
    <n v="296"/>
    <n v="0"/>
    <n v="0"/>
    <n v="0"/>
    <n v="0"/>
    <n v="0"/>
    <n v="0"/>
    <n v="0"/>
    <n v="0"/>
    <n v="0"/>
    <n v="0"/>
    <n v="0"/>
    <n v="2"/>
    <n v="2"/>
    <x v="1"/>
    <x v="94"/>
    <d v="1899-12-30T14:00:00"/>
    <d v="1899-12-30T14:30:00"/>
  </r>
  <r>
    <d v="2024-10-02T00:00:00"/>
    <n v="925"/>
    <s v="S2S Premium"/>
    <s v="XPCC_Espindola,Malen"/>
    <x v="187"/>
    <d v="1899-12-30T17:30:00"/>
    <s v="-"/>
    <d v="1899-12-30T18:00:00"/>
    <n v="1191"/>
    <n v="0"/>
    <n v="0"/>
    <n v="20"/>
    <n v="0"/>
    <n v="0"/>
    <n v="0"/>
    <n v="24"/>
    <n v="0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5"/>
    <s v="S2S Premium"/>
    <s v="E*_Viviana Zardi"/>
    <x v="188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E*_Viviana Zardi"/>
    <x v="188"/>
    <d v="1899-12-30T15:30:00"/>
    <s v="-"/>
    <d v="1899-12-30T16:00:00"/>
    <n v="122"/>
    <n v="0"/>
    <n v="0"/>
    <n v="4"/>
    <n v="0"/>
    <n v="0"/>
    <n v="0"/>
    <n v="82"/>
    <n v="0"/>
    <n v="0"/>
    <n v="0"/>
    <n v="0"/>
    <n v="0"/>
    <n v="0"/>
    <n v="0"/>
    <n v="0"/>
    <n v="0"/>
    <n v="0"/>
    <n v="0"/>
    <n v="1"/>
    <n v="0"/>
    <x v="1"/>
    <x v="94"/>
    <d v="1899-12-30T15:30:00"/>
    <d v="1899-12-30T16:00:00"/>
  </r>
  <r>
    <d v="2024-10-02T00:00:00"/>
    <n v="925"/>
    <s v="S2S Premium"/>
    <s v="E*_Viviana Zardi"/>
    <x v="188"/>
    <d v="1899-12-30T15:00:00"/>
    <s v="-"/>
    <d v="1899-12-30T15:30:00"/>
    <n v="380"/>
    <n v="0"/>
    <n v="0"/>
    <n v="4"/>
    <n v="0"/>
    <n v="0"/>
    <n v="0"/>
    <n v="727"/>
    <n v="544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XDPCC_Bordon Debora"/>
    <x v="189"/>
    <d v="1899-12-30T18:30:00"/>
    <s v="-"/>
    <d v="1899-12-30T19:00:00"/>
    <n v="632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1"/>
    <x v="1"/>
    <x v="94"/>
    <d v="1899-12-30T18:30:00"/>
    <d v="1899-12-30T19:00:00"/>
  </r>
  <r>
    <d v="2024-10-02T00:00:00"/>
    <n v="925"/>
    <s v="S2S Premium"/>
    <s v="XDPCC_Bordon Debora"/>
    <x v="189"/>
    <d v="1899-12-30T19:00:00"/>
    <s v="-"/>
    <d v="1899-12-30T19:30:00"/>
    <n v="1014"/>
    <n v="59"/>
    <n v="0"/>
    <n v="20"/>
    <n v="0"/>
    <n v="0"/>
    <n v="0"/>
    <n v="278"/>
    <n v="0"/>
    <n v="0"/>
    <n v="0"/>
    <n v="0"/>
    <n v="0"/>
    <n v="0"/>
    <n v="0"/>
    <n v="0"/>
    <n v="0"/>
    <n v="0"/>
    <n v="0"/>
    <n v="4"/>
    <n v="3"/>
    <x v="1"/>
    <x v="94"/>
    <d v="1899-12-30T19:00:00"/>
    <d v="1899-12-30T19:30:00"/>
  </r>
  <r>
    <d v="2024-10-02T00:00:00"/>
    <n v="925"/>
    <s v="S2S Premium"/>
    <s v="XDPCC_Bordon Debora"/>
    <x v="189"/>
    <d v="1899-12-30T19:30:00"/>
    <s v="-"/>
    <d v="1899-12-30T20:00:00"/>
    <n v="1199"/>
    <n v="0"/>
    <n v="0"/>
    <n v="16"/>
    <n v="0"/>
    <n v="0"/>
    <n v="0"/>
    <n v="105"/>
    <n v="0"/>
    <n v="0"/>
    <n v="0"/>
    <n v="0"/>
    <n v="0"/>
    <n v="0"/>
    <n v="0"/>
    <n v="0"/>
    <n v="0"/>
    <n v="0"/>
    <n v="0"/>
    <n v="4"/>
    <n v="4"/>
    <x v="1"/>
    <x v="94"/>
    <d v="1899-12-30T19:30:00"/>
    <d v="1899-12-30T20:00:00"/>
  </r>
  <r>
    <d v="2024-10-02T00:00:00"/>
    <n v="924"/>
    <s v="S2S No Premium"/>
    <s v="*N2m_Avalos Diana"/>
    <x v="190"/>
    <d v="1899-12-30T16:00:00"/>
    <s v="-"/>
    <d v="1899-12-30T16:30:00"/>
    <n v="40"/>
    <n v="32"/>
    <n v="0"/>
    <n v="0"/>
    <n v="0"/>
    <n v="0"/>
    <n v="0"/>
    <n v="73"/>
    <n v="0"/>
    <n v="0"/>
    <n v="0"/>
    <n v="0"/>
    <n v="0"/>
    <n v="0"/>
    <n v="0"/>
    <n v="0"/>
    <n v="0"/>
    <n v="0"/>
    <n v="0"/>
    <n v="1"/>
    <n v="1"/>
    <x v="0"/>
    <x v="94"/>
    <d v="1899-12-30T16:00:00"/>
    <d v="1899-12-30T16:30:00"/>
  </r>
  <r>
    <d v="2024-10-02T00:00:00"/>
    <n v="924"/>
    <s v="S2S No Premium"/>
    <s v="*N2m_Avalos Diana"/>
    <x v="190"/>
    <d v="1899-12-30T15:00:00"/>
    <s v="-"/>
    <d v="1899-12-30T15:30:00"/>
    <n v="232"/>
    <n v="0"/>
    <n v="0"/>
    <n v="0"/>
    <n v="0"/>
    <n v="0"/>
    <n v="0"/>
    <n v="704"/>
    <n v="260"/>
    <n v="0"/>
    <n v="0"/>
    <n v="0"/>
    <n v="0"/>
    <n v="0"/>
    <n v="0"/>
    <n v="0"/>
    <n v="0"/>
    <n v="0"/>
    <n v="0"/>
    <n v="1"/>
    <n v="1"/>
    <x v="0"/>
    <x v="94"/>
    <d v="1899-12-30T15:00:00"/>
    <d v="1899-12-30T15:30:00"/>
  </r>
  <r>
    <d v="2024-10-02T00:00:00"/>
    <n v="924"/>
    <s v="S2S No Premium"/>
    <s v="*N2m_Avalos Diana"/>
    <x v="190"/>
    <d v="1899-12-30T14:00:00"/>
    <s v="-"/>
    <d v="1899-12-30T14:30:00"/>
    <n v="418"/>
    <n v="14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2"/>
    <x v="0"/>
    <x v="94"/>
    <d v="1899-12-30T14:00:00"/>
    <d v="1899-12-30T14:30:00"/>
  </r>
  <r>
    <d v="2024-10-02T00:00:00"/>
    <n v="924"/>
    <s v="S2S No Premium"/>
    <s v="*N2m_Avalos Diana"/>
    <x v="190"/>
    <d v="1899-12-30T15:30:00"/>
    <s v="-"/>
    <d v="1899-12-30T16:00:00"/>
    <n v="664"/>
    <n v="90"/>
    <n v="0"/>
    <n v="11"/>
    <n v="0"/>
    <n v="0"/>
    <n v="0"/>
    <n v="78"/>
    <n v="0"/>
    <n v="0"/>
    <n v="0"/>
    <n v="0"/>
    <n v="0"/>
    <n v="0"/>
    <n v="0"/>
    <n v="0"/>
    <n v="0"/>
    <n v="0"/>
    <n v="0"/>
    <n v="2"/>
    <n v="1"/>
    <x v="0"/>
    <x v="94"/>
    <d v="1899-12-30T15:30:00"/>
    <d v="1899-12-30T16:00:00"/>
  </r>
  <r>
    <d v="2024-10-02T00:00:00"/>
    <n v="924"/>
    <s v="S2S No Premium"/>
    <s v="*N2m_Avalos Diana"/>
    <x v="190"/>
    <d v="1899-12-30T14:30:00"/>
    <s v="-"/>
    <d v="1899-12-30T15:00:00"/>
    <n v="671"/>
    <n v="79"/>
    <n v="0"/>
    <n v="11"/>
    <n v="0"/>
    <n v="0"/>
    <n v="0"/>
    <n v="2"/>
    <n v="2"/>
    <n v="0"/>
    <n v="0"/>
    <n v="0"/>
    <n v="0"/>
    <n v="0"/>
    <n v="0"/>
    <n v="0"/>
    <n v="0"/>
    <n v="0"/>
    <n v="0"/>
    <n v="3"/>
    <n v="3"/>
    <x v="0"/>
    <x v="94"/>
    <d v="1899-12-30T14:30:00"/>
    <d v="1899-12-30T15:00:00"/>
  </r>
  <r>
    <d v="2024-10-02T00:00:00"/>
    <n v="925"/>
    <s v="S2S Premium"/>
    <s v="DPCC_Mateo Margarit"/>
    <x v="191"/>
    <d v="1899-12-30T15:00:00"/>
    <s v="-"/>
    <d v="1899-12-30T15:30:00"/>
    <n v="644"/>
    <n v="2"/>
    <n v="0"/>
    <n v="0"/>
    <n v="0"/>
    <n v="0"/>
    <n v="0"/>
    <n v="1"/>
    <n v="2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DPCC_Mateo Margarit"/>
    <x v="191"/>
    <d v="1899-12-30T14:00:00"/>
    <s v="-"/>
    <d v="1899-12-30T14:30:00"/>
    <n v="704"/>
    <n v="0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1"/>
    <x v="94"/>
    <d v="1899-12-30T14:00:00"/>
    <d v="1899-12-30T14:30:00"/>
  </r>
  <r>
    <d v="2024-10-02T00:00:00"/>
    <n v="925"/>
    <s v="S2S Premium"/>
    <s v="DPCC_Mateo Margarit"/>
    <x v="191"/>
    <d v="1899-12-30T14:30:00"/>
    <s v="-"/>
    <d v="1899-12-30T15:00:00"/>
    <n v="904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PCC_Escual Gabriela"/>
    <x v="192"/>
    <d v="1899-12-30T14:00:00"/>
    <s v="-"/>
    <d v="1899-12-30T14:30:00"/>
    <n v="7"/>
    <n v="10"/>
    <n v="0"/>
    <n v="0"/>
    <n v="0"/>
    <n v="0"/>
    <n v="0"/>
    <n v="11"/>
    <n v="0"/>
    <n v="0"/>
    <n v="0"/>
    <n v="0"/>
    <n v="0"/>
    <n v="0"/>
    <n v="0"/>
    <n v="0"/>
    <n v="0"/>
    <n v="0"/>
    <n v="0"/>
    <n v="1"/>
    <n v="0"/>
    <x v="1"/>
    <x v="94"/>
    <d v="1899-12-30T14:00:00"/>
    <d v="1899-12-30T14:30:00"/>
  </r>
  <r>
    <d v="2024-10-02T00:00:00"/>
    <n v="925"/>
    <s v="S2S Premium"/>
    <s v="XDE_BaezRieraFloren"/>
    <x v="193"/>
    <d v="1899-12-30T19:00:00"/>
    <s v="-"/>
    <d v="1899-12-30T19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9:00:00"/>
    <d v="1899-12-30T19:30:00"/>
  </r>
  <r>
    <d v="2024-10-02T00:00:00"/>
    <n v="925"/>
    <s v="S2S Premium"/>
    <s v="XDE_BaezRieraFloren"/>
    <x v="193"/>
    <d v="1899-12-30T16:00:00"/>
    <s v="-"/>
    <d v="1899-12-30T16:30:00"/>
    <n v="78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1"/>
    <n v="0"/>
    <x v="1"/>
    <x v="94"/>
    <d v="1899-12-30T16:00:00"/>
    <d v="1899-12-30T16:30:00"/>
  </r>
  <r>
    <d v="2024-10-02T00:00:00"/>
    <n v="925"/>
    <s v="S2S Premium"/>
    <s v="XDE_BaezRieraFloren"/>
    <x v="193"/>
    <d v="1899-12-30T17:30:00"/>
    <s v="-"/>
    <d v="1899-12-30T18:00:00"/>
    <n v="105"/>
    <n v="0"/>
    <n v="0"/>
    <n v="0"/>
    <n v="0"/>
    <n v="0"/>
    <n v="0"/>
    <n v="476"/>
    <n v="29"/>
    <n v="0"/>
    <n v="0"/>
    <n v="0"/>
    <n v="0"/>
    <n v="0"/>
    <n v="0"/>
    <n v="0"/>
    <n v="0"/>
    <n v="0"/>
    <n v="0"/>
    <n v="1"/>
    <n v="1"/>
    <x v="1"/>
    <x v="94"/>
    <d v="1899-12-30T17:30:00"/>
    <d v="1899-12-30T18:00:00"/>
  </r>
  <r>
    <d v="2024-10-02T00:00:00"/>
    <n v="925"/>
    <s v="S2S Premium"/>
    <s v="XDE_BaezRieraFloren"/>
    <x v="193"/>
    <d v="1899-12-30T16:30:00"/>
    <s v="-"/>
    <d v="1899-12-30T17:00:00"/>
    <n v="312"/>
    <n v="0"/>
    <n v="0"/>
    <n v="7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6:30:00"/>
    <d v="1899-12-30T17:00:00"/>
  </r>
  <r>
    <d v="2024-10-02T00:00:00"/>
    <n v="925"/>
    <s v="S2S Premium"/>
    <s v="XDE_BaezRieraFloren"/>
    <x v="193"/>
    <d v="1899-12-30T18:00:00"/>
    <s v="-"/>
    <d v="1899-12-30T18:30:00"/>
    <n v="440"/>
    <n v="0"/>
    <n v="0"/>
    <n v="12"/>
    <n v="0"/>
    <n v="0"/>
    <n v="0"/>
    <n v="3"/>
    <n v="0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5"/>
    <s v="S2S Premium"/>
    <s v="XDE_BaezRieraFloren"/>
    <x v="193"/>
    <d v="1899-12-30T19:30:00"/>
    <s v="-"/>
    <d v="1899-12-30T20:00:00"/>
    <n v="537"/>
    <n v="0"/>
    <n v="0"/>
    <n v="16"/>
    <n v="0"/>
    <n v="0"/>
    <n v="0"/>
    <n v="2"/>
    <n v="0"/>
    <n v="0"/>
    <n v="0"/>
    <n v="0"/>
    <n v="0"/>
    <n v="0"/>
    <n v="0"/>
    <n v="0"/>
    <n v="0"/>
    <n v="0"/>
    <n v="0"/>
    <n v="4"/>
    <n v="1"/>
    <x v="1"/>
    <x v="94"/>
    <d v="1899-12-30T19:30:00"/>
    <d v="1899-12-30T20:00:00"/>
  </r>
  <r>
    <d v="2024-10-02T00:00:00"/>
    <n v="925"/>
    <s v="S2S Premium"/>
    <s v="XDE_BaezRieraFloren"/>
    <x v="193"/>
    <d v="1899-12-30T18:30:00"/>
    <s v="-"/>
    <d v="1899-12-30T19:00:00"/>
    <n v="799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2"/>
    <n v="1"/>
    <x v="1"/>
    <x v="94"/>
    <d v="1899-12-30T18:30:00"/>
    <d v="1899-12-30T19:00:00"/>
  </r>
  <r>
    <d v="2024-10-02T00:00:00"/>
    <n v="925"/>
    <s v="S2S Premium"/>
    <s v="XDE_BaezRieraFloren"/>
    <x v="193"/>
    <d v="1899-12-30T14:30:00"/>
    <s v="-"/>
    <d v="1899-12-30T15:00:00"/>
    <n v="862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XDE_BaezRieraFloren"/>
    <x v="193"/>
    <d v="1899-12-30T17:00:00"/>
    <s v="-"/>
    <d v="1899-12-30T17:30:00"/>
    <n v="870"/>
    <n v="0"/>
    <n v="0"/>
    <n v="8"/>
    <n v="0"/>
    <n v="0"/>
    <n v="0"/>
    <n v="0"/>
    <n v="373"/>
    <n v="0"/>
    <n v="0"/>
    <n v="0"/>
    <n v="0"/>
    <n v="0"/>
    <n v="0"/>
    <n v="0"/>
    <n v="0"/>
    <n v="0"/>
    <n v="0"/>
    <n v="2"/>
    <n v="0"/>
    <x v="1"/>
    <x v="94"/>
    <d v="1899-12-30T17:00:00"/>
    <d v="1899-12-30T17:30:00"/>
  </r>
  <r>
    <d v="2024-10-02T00:00:00"/>
    <n v="925"/>
    <s v="S2S Premium"/>
    <s v="XDE_BaezRieraFloren"/>
    <x v="193"/>
    <d v="1899-12-30T15:00:00"/>
    <s v="-"/>
    <d v="1899-12-30T15:30:00"/>
    <n v="995"/>
    <n v="0"/>
    <n v="0"/>
    <n v="16"/>
    <n v="0"/>
    <n v="0"/>
    <n v="0"/>
    <n v="135"/>
    <n v="131"/>
    <n v="0"/>
    <n v="0"/>
    <n v="0"/>
    <n v="0"/>
    <n v="0"/>
    <n v="0"/>
    <n v="0"/>
    <n v="0"/>
    <n v="0"/>
    <n v="0"/>
    <n v="3"/>
    <n v="2"/>
    <x v="1"/>
    <x v="94"/>
    <d v="1899-12-30T15:00:00"/>
    <d v="1899-12-30T15:30:00"/>
  </r>
  <r>
    <d v="2024-10-02T00:00:00"/>
    <n v="925"/>
    <s v="S2S Premium"/>
    <s v="XDE_BaezRieraFloren"/>
    <x v="193"/>
    <d v="1899-12-30T15:30:00"/>
    <s v="-"/>
    <d v="1899-12-30T16:00:00"/>
    <n v="1096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5:30:00"/>
    <d v="1899-12-30T16:00:00"/>
  </r>
  <r>
    <d v="2024-10-02T00:00:00"/>
    <n v="925"/>
    <s v="S2S Premium"/>
    <s v="PCC_Bordón Melisa A"/>
    <x v="194"/>
    <d v="1899-12-30T19:00:00"/>
    <s v="-"/>
    <d v="1899-12-30T19:30:00"/>
    <n v="2"/>
    <n v="0"/>
    <n v="0"/>
    <n v="0"/>
    <n v="0"/>
    <n v="0"/>
    <n v="0"/>
    <n v="397"/>
    <n v="0"/>
    <n v="0"/>
    <n v="0"/>
    <n v="0"/>
    <n v="0"/>
    <n v="0"/>
    <n v="0"/>
    <n v="0"/>
    <n v="0"/>
    <n v="0"/>
    <n v="0"/>
    <n v="1"/>
    <n v="0"/>
    <x v="1"/>
    <x v="94"/>
    <d v="1899-12-30T19:00:00"/>
    <d v="1899-12-30T19:30:00"/>
  </r>
  <r>
    <d v="2024-10-02T00:00:00"/>
    <n v="925"/>
    <s v="S2S Premium"/>
    <s v="PCC_Bordón Melisa A"/>
    <x v="194"/>
    <d v="1899-12-30T17:00:00"/>
    <s v="-"/>
    <d v="1899-12-30T17:30:00"/>
    <n v="214"/>
    <n v="0"/>
    <n v="0"/>
    <n v="3"/>
    <n v="0"/>
    <n v="0"/>
    <n v="0"/>
    <n v="343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5"/>
    <s v="S2S Premium"/>
    <s v="PCC_Bordón Melisa A"/>
    <x v="194"/>
    <d v="1899-12-30T15:00:00"/>
    <s v="-"/>
    <d v="1899-12-30T15:30:00"/>
    <n v="215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PCC_Bordón Melisa A"/>
    <x v="194"/>
    <d v="1899-12-30T15:30:00"/>
    <s v="-"/>
    <d v="1899-12-30T16:00:00"/>
    <n v="612"/>
    <n v="0"/>
    <n v="0"/>
    <n v="16"/>
    <n v="0"/>
    <n v="0"/>
    <n v="0"/>
    <n v="0"/>
    <n v="15"/>
    <n v="0"/>
    <n v="0"/>
    <n v="0"/>
    <n v="0"/>
    <n v="0"/>
    <n v="0"/>
    <n v="0"/>
    <n v="0"/>
    <n v="0"/>
    <n v="0"/>
    <n v="4"/>
    <n v="2"/>
    <x v="1"/>
    <x v="94"/>
    <d v="1899-12-30T15:30:00"/>
    <d v="1899-12-30T16:00:00"/>
  </r>
  <r>
    <d v="2024-10-02T00:00:00"/>
    <n v="925"/>
    <s v="S2S Premium"/>
    <s v="PCC_Bordón Melisa A"/>
    <x v="194"/>
    <d v="1899-12-30T16:30:00"/>
    <s v="-"/>
    <d v="1899-12-30T17:00:00"/>
    <n v="703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2"/>
    <n v="2"/>
    <x v="1"/>
    <x v="94"/>
    <d v="1899-12-30T16:30:00"/>
    <d v="1899-12-30T17:00:00"/>
  </r>
  <r>
    <d v="2024-10-02T00:00:00"/>
    <n v="925"/>
    <s v="S2S Premium"/>
    <s v="PCC_Bordón Melisa A"/>
    <x v="194"/>
    <d v="1899-12-30T18:30:00"/>
    <s v="-"/>
    <d v="1899-12-30T19:00:00"/>
    <n v="779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n v="3"/>
    <n v="1"/>
    <x v="1"/>
    <x v="94"/>
    <d v="1899-12-30T18:30:00"/>
    <d v="1899-12-30T19:00:00"/>
  </r>
  <r>
    <d v="2024-10-02T00:00:00"/>
    <n v="925"/>
    <s v="S2S Premium"/>
    <s v="PCC_Bordón Melisa A"/>
    <x v="194"/>
    <d v="1899-12-30T18:00:00"/>
    <s v="-"/>
    <d v="1899-12-30T18:30:00"/>
    <n v="862"/>
    <n v="0"/>
    <n v="0"/>
    <n v="12"/>
    <n v="0"/>
    <n v="0"/>
    <n v="0"/>
    <n v="62"/>
    <n v="0"/>
    <n v="0"/>
    <n v="0"/>
    <n v="0"/>
    <n v="0"/>
    <n v="0"/>
    <n v="0"/>
    <n v="0"/>
    <n v="0"/>
    <n v="0"/>
    <n v="0"/>
    <n v="4"/>
    <n v="2"/>
    <x v="1"/>
    <x v="94"/>
    <d v="1899-12-30T18:00:00"/>
    <d v="1899-12-30T18:30:00"/>
  </r>
  <r>
    <d v="2024-10-02T00:00:00"/>
    <n v="925"/>
    <s v="S2S Premium"/>
    <s v="PCC_Bordón Melisa A"/>
    <x v="194"/>
    <d v="1899-12-30T17:30:00"/>
    <s v="-"/>
    <d v="1899-12-30T18:00:00"/>
    <n v="865"/>
    <n v="0"/>
    <n v="0"/>
    <n v="16"/>
    <n v="0"/>
    <n v="0"/>
    <n v="0"/>
    <n v="486"/>
    <n v="0"/>
    <n v="0"/>
    <n v="0"/>
    <n v="0"/>
    <n v="0"/>
    <n v="0"/>
    <n v="0"/>
    <n v="0"/>
    <n v="0"/>
    <n v="0"/>
    <n v="0"/>
    <n v="4"/>
    <n v="4"/>
    <x v="1"/>
    <x v="94"/>
    <d v="1899-12-30T17:30:00"/>
    <d v="1899-12-30T18:00:00"/>
  </r>
  <r>
    <d v="2024-10-02T00:00:00"/>
    <n v="925"/>
    <s v="S2S Premium"/>
    <s v="PCC_Bordón Melisa A"/>
    <x v="194"/>
    <d v="1899-12-30T16:00:00"/>
    <s v="-"/>
    <d v="1899-12-30T16:30:00"/>
    <n v="1295"/>
    <n v="0"/>
    <n v="0"/>
    <n v="7"/>
    <n v="0"/>
    <n v="0"/>
    <n v="0"/>
    <n v="91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PCC_GomezG Merce"/>
    <x v="195"/>
    <d v="1899-12-30T17:30:00"/>
    <s v="-"/>
    <d v="1899-12-30T18:00:00"/>
    <n v="112"/>
    <n v="0"/>
    <n v="0"/>
    <n v="4"/>
    <n v="0"/>
    <n v="0"/>
    <n v="0"/>
    <n v="424"/>
    <n v="82"/>
    <n v="0"/>
    <n v="0"/>
    <n v="0"/>
    <n v="0"/>
    <n v="0"/>
    <n v="0"/>
    <n v="0"/>
    <n v="0"/>
    <n v="0"/>
    <n v="0"/>
    <n v="2"/>
    <n v="1"/>
    <x v="1"/>
    <x v="94"/>
    <d v="1899-12-30T17:30:00"/>
    <d v="1899-12-30T18:00:00"/>
  </r>
  <r>
    <d v="2024-10-02T00:00:00"/>
    <n v="924"/>
    <s v="S2S No Premium"/>
    <s v="XPCC_GomezG Merce"/>
    <x v="195"/>
    <d v="1899-12-30T18:00:00"/>
    <s v="-"/>
    <d v="1899-12-30T18:30:00"/>
    <n v="200"/>
    <n v="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XPCC_GomezG Merce"/>
    <x v="195"/>
    <d v="1899-12-30T19:30:00"/>
    <s v="-"/>
    <d v="1899-12-30T20:00:00"/>
    <n v="496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5"/>
    <s v="S2S Premium"/>
    <s v="XPCC_GomezG Merce"/>
    <x v="195"/>
    <d v="1899-12-30T17:00:00"/>
    <s v="-"/>
    <d v="1899-12-30T17:30:00"/>
    <n v="662"/>
    <n v="0"/>
    <n v="0"/>
    <n v="16"/>
    <n v="0"/>
    <n v="0"/>
    <n v="0"/>
    <n v="41"/>
    <n v="339"/>
    <n v="0"/>
    <n v="0"/>
    <n v="0"/>
    <n v="0"/>
    <n v="0"/>
    <n v="0"/>
    <n v="0"/>
    <n v="0"/>
    <n v="0"/>
    <n v="0"/>
    <n v="3"/>
    <n v="3"/>
    <x v="1"/>
    <x v="94"/>
    <d v="1899-12-30T17:00:00"/>
    <d v="1899-12-30T17:30:00"/>
  </r>
  <r>
    <d v="2024-10-02T00:00:00"/>
    <n v="925"/>
    <s v="S2S Premium"/>
    <s v="XPCC_GomezG Merce"/>
    <x v="195"/>
    <d v="1899-12-30T18:00:00"/>
    <s v="-"/>
    <d v="1899-12-30T18:30:00"/>
    <n v="704"/>
    <n v="0"/>
    <n v="0"/>
    <n v="12"/>
    <n v="0"/>
    <n v="0"/>
    <n v="0"/>
    <n v="97"/>
    <n v="0"/>
    <n v="0"/>
    <n v="0"/>
    <n v="0"/>
    <n v="0"/>
    <n v="0"/>
    <n v="0"/>
    <n v="0"/>
    <n v="0"/>
    <n v="0"/>
    <n v="0"/>
    <n v="3"/>
    <n v="3"/>
    <x v="1"/>
    <x v="94"/>
    <d v="1899-12-30T18:00:00"/>
    <d v="1899-12-30T18:30:00"/>
  </r>
  <r>
    <d v="2024-10-02T00:00:00"/>
    <n v="924"/>
    <s v="S2S No Premium"/>
    <s v="XPCC_GomezG Merce"/>
    <x v="195"/>
    <d v="1899-12-30T18:30:00"/>
    <s v="-"/>
    <d v="1899-12-30T19:00:00"/>
    <n v="711"/>
    <n v="0"/>
    <n v="0"/>
    <n v="15"/>
    <n v="0"/>
    <n v="0"/>
    <n v="0"/>
    <n v="133"/>
    <n v="73"/>
    <n v="0"/>
    <n v="0"/>
    <n v="0"/>
    <n v="0"/>
    <n v="0"/>
    <n v="0"/>
    <n v="0"/>
    <n v="0"/>
    <n v="0"/>
    <n v="0"/>
    <n v="4"/>
    <n v="4"/>
    <x v="0"/>
    <x v="94"/>
    <d v="1899-12-30T18:30:00"/>
    <d v="1899-12-30T19:00:00"/>
  </r>
  <r>
    <d v="2024-10-02T00:00:00"/>
    <n v="925"/>
    <s v="S2S Premium"/>
    <s v="XPCC_GomezG Merce"/>
    <x v="195"/>
    <d v="1899-12-30T16:30:00"/>
    <s v="-"/>
    <d v="1899-12-30T17:00:00"/>
    <n v="770"/>
    <n v="0"/>
    <n v="0"/>
    <n v="24"/>
    <n v="0"/>
    <n v="0"/>
    <n v="0"/>
    <n v="255"/>
    <n v="243"/>
    <n v="0"/>
    <n v="0"/>
    <n v="0"/>
    <n v="0"/>
    <n v="0"/>
    <n v="0"/>
    <n v="0"/>
    <n v="0"/>
    <n v="0"/>
    <n v="0"/>
    <n v="6"/>
    <n v="5"/>
    <x v="1"/>
    <x v="94"/>
    <d v="1899-12-30T16:30:00"/>
    <d v="1899-12-30T17:00:00"/>
  </r>
  <r>
    <d v="2024-10-02T00:00:00"/>
    <n v="925"/>
    <s v="S2S Premium"/>
    <s v="XPCC_GomezG Merce"/>
    <x v="195"/>
    <d v="1899-12-30T15:00:00"/>
    <s v="-"/>
    <d v="1899-12-30T15:30:00"/>
    <n v="845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4"/>
    <s v="S2S No Premium"/>
    <s v="XPCC_GomezG Merce"/>
    <x v="195"/>
    <d v="1899-12-30T19:00:00"/>
    <s v="-"/>
    <d v="1899-12-30T19:30:00"/>
    <n v="878"/>
    <n v="0"/>
    <n v="0"/>
    <n v="16"/>
    <n v="0"/>
    <n v="0"/>
    <n v="0"/>
    <n v="108"/>
    <n v="102"/>
    <n v="0"/>
    <n v="0"/>
    <n v="0"/>
    <n v="0"/>
    <n v="0"/>
    <n v="0"/>
    <n v="0"/>
    <n v="0"/>
    <n v="0"/>
    <n v="0"/>
    <n v="4"/>
    <n v="4"/>
    <x v="0"/>
    <x v="94"/>
    <d v="1899-12-30T19:00:00"/>
    <d v="1899-12-30T19:30:00"/>
  </r>
  <r>
    <d v="2024-10-02T00:00:00"/>
    <n v="925"/>
    <s v="S2S Premium"/>
    <s v="XPCC_GomezG Merce"/>
    <x v="195"/>
    <d v="1899-12-30T15:30:00"/>
    <s v="-"/>
    <d v="1899-12-30T16:00:00"/>
    <n v="947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30:00"/>
    <d v="1899-12-30T16:00:00"/>
  </r>
  <r>
    <d v="2024-10-02T00:00:00"/>
    <n v="925"/>
    <s v="S2S Premium"/>
    <s v="XPCC_GomezG Merce"/>
    <x v="195"/>
    <d v="1899-12-30T16:00:00"/>
    <s v="-"/>
    <d v="1899-12-30T16:30:00"/>
    <n v="1066"/>
    <n v="0"/>
    <n v="0"/>
    <n v="4"/>
    <n v="0"/>
    <n v="0"/>
    <n v="0"/>
    <n v="953"/>
    <n v="0"/>
    <n v="0"/>
    <n v="0"/>
    <n v="0"/>
    <n v="0"/>
    <n v="0"/>
    <n v="0"/>
    <n v="0"/>
    <n v="0"/>
    <n v="0"/>
    <n v="0"/>
    <n v="2"/>
    <n v="2"/>
    <x v="1"/>
    <x v="94"/>
    <d v="1899-12-30T16:00:00"/>
    <d v="1899-12-30T16:30:00"/>
  </r>
  <r>
    <d v="2024-10-02T00:00:00"/>
    <n v="925"/>
    <s v="S2S Premium"/>
    <s v="XDPCC_Mino,Valeria"/>
    <x v="196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DPCC_Mino,Valeria"/>
    <x v="196"/>
    <d v="1899-12-30T14:30:00"/>
    <s v="-"/>
    <d v="1899-12-30T15:00:00"/>
    <n v="461"/>
    <n v="0"/>
    <n v="0"/>
    <n v="4"/>
    <n v="0"/>
    <n v="0"/>
    <n v="0"/>
    <n v="493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XDPCC_Mino,Valeria"/>
    <x v="196"/>
    <d v="1899-12-30T14:00:00"/>
    <s v="-"/>
    <d v="1899-12-30T14:30:00"/>
    <n v="974"/>
    <n v="0"/>
    <n v="0"/>
    <n v="12"/>
    <n v="0"/>
    <n v="0"/>
    <n v="0"/>
    <n v="87"/>
    <n v="1"/>
    <n v="0"/>
    <n v="0"/>
    <n v="0"/>
    <n v="0"/>
    <n v="0"/>
    <n v="0"/>
    <n v="0"/>
    <n v="0"/>
    <n v="0"/>
    <n v="0"/>
    <n v="3"/>
    <n v="0"/>
    <x v="1"/>
    <x v="94"/>
    <d v="1899-12-30T14:00:00"/>
    <d v="1899-12-30T14:30:00"/>
  </r>
  <r>
    <d v="2024-10-02T00:00:00"/>
    <n v="925"/>
    <s v="S2S Premium"/>
    <s v="XPCC_Aquino Pamela"/>
    <x v="197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PCC_Aquino Pamela"/>
    <x v="197"/>
    <d v="1899-12-30T14:00:00"/>
    <s v="-"/>
    <d v="1899-12-30T14:30:00"/>
    <n v="776"/>
    <n v="0"/>
    <n v="0"/>
    <n v="14"/>
    <n v="0"/>
    <n v="0"/>
    <n v="0"/>
    <n v="1"/>
    <n v="0"/>
    <n v="0"/>
    <n v="0"/>
    <n v="0"/>
    <n v="0"/>
    <n v="0"/>
    <n v="0"/>
    <n v="0"/>
    <n v="0"/>
    <n v="0"/>
    <n v="0"/>
    <n v="3"/>
    <n v="2"/>
    <x v="1"/>
    <x v="94"/>
    <d v="1899-12-30T14:00:00"/>
    <d v="1899-12-30T14:30:00"/>
  </r>
  <r>
    <d v="2024-10-02T00:00:00"/>
    <n v="925"/>
    <s v="S2S Premium"/>
    <s v="XPCC_Aquino Pamela"/>
    <x v="197"/>
    <d v="1899-12-30T14:30:00"/>
    <s v="-"/>
    <d v="1899-12-30T15:00:00"/>
    <n v="1224"/>
    <n v="0"/>
    <n v="0"/>
    <n v="8"/>
    <n v="0"/>
    <n v="0"/>
    <n v="0"/>
    <n v="3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4"/>
    <s v="S2S No Premium"/>
    <s v="PCC_Coronel,Isaías"/>
    <x v="198"/>
    <d v="1899-12-30T18:00:00"/>
    <s v="-"/>
    <d v="1899-12-30T18:30:00"/>
    <n v="21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8:00:00"/>
    <d v="1899-12-30T18:30:00"/>
  </r>
  <r>
    <d v="2024-10-02T00:00:00"/>
    <n v="925"/>
    <s v="S2S Premium"/>
    <s v="PCC_Coronel,Isaías"/>
    <x v="198"/>
    <d v="1899-12-30T17:30:00"/>
    <s v="-"/>
    <d v="1899-12-30T18:00:00"/>
    <n v="236"/>
    <n v="0"/>
    <n v="0"/>
    <n v="0"/>
    <n v="0"/>
    <n v="0"/>
    <n v="0"/>
    <n v="5"/>
    <n v="0"/>
    <n v="0"/>
    <n v="0"/>
    <n v="0"/>
    <n v="0"/>
    <n v="0"/>
    <n v="0"/>
    <n v="0"/>
    <n v="0"/>
    <n v="0"/>
    <n v="0"/>
    <n v="1"/>
    <n v="0"/>
    <x v="1"/>
    <x v="94"/>
    <d v="1899-12-30T17:30:00"/>
    <d v="1899-12-30T18:00:00"/>
  </r>
  <r>
    <d v="2024-10-02T00:00:00"/>
    <n v="925"/>
    <s v="S2S Premium"/>
    <s v="PCC_Coronel,Isaías"/>
    <x v="198"/>
    <d v="1899-12-30T15:00:00"/>
    <s v="-"/>
    <d v="1899-12-30T15:30:00"/>
    <n v="447"/>
    <n v="9"/>
    <n v="0"/>
    <n v="8"/>
    <n v="0"/>
    <n v="0"/>
    <n v="0"/>
    <n v="5"/>
    <n v="1"/>
    <n v="0"/>
    <n v="0"/>
    <n v="0"/>
    <n v="0"/>
    <n v="0"/>
    <n v="0"/>
    <n v="0"/>
    <n v="0"/>
    <n v="0"/>
    <n v="0"/>
    <n v="1"/>
    <n v="0"/>
    <x v="1"/>
    <x v="94"/>
    <d v="1899-12-30T15:00:00"/>
    <d v="1899-12-30T15:30:00"/>
  </r>
  <r>
    <d v="2024-10-02T00:00:00"/>
    <n v="925"/>
    <s v="S2S Premium"/>
    <s v="PCC_Coronel,Isaías"/>
    <x v="198"/>
    <d v="1899-12-30T17:00:00"/>
    <s v="-"/>
    <d v="1899-12-30T17:30:00"/>
    <n v="535"/>
    <n v="0"/>
    <n v="0"/>
    <n v="15"/>
    <n v="0"/>
    <n v="0"/>
    <n v="0"/>
    <n v="364"/>
    <n v="204"/>
    <n v="0"/>
    <n v="0"/>
    <n v="0"/>
    <n v="0"/>
    <n v="0"/>
    <n v="0"/>
    <n v="0"/>
    <n v="0"/>
    <n v="0"/>
    <n v="0"/>
    <n v="4"/>
    <n v="0"/>
    <x v="1"/>
    <x v="94"/>
    <d v="1899-12-30T17:00:00"/>
    <d v="1899-12-30T17:30:00"/>
  </r>
  <r>
    <d v="2024-10-02T00:00:00"/>
    <n v="925"/>
    <s v="S2S Premium"/>
    <s v="PCC_Coronel,Isaías"/>
    <x v="198"/>
    <d v="1899-12-30T18:00:00"/>
    <s v="-"/>
    <d v="1899-12-30T18:30:00"/>
    <n v="612"/>
    <n v="0"/>
    <n v="0"/>
    <n v="12"/>
    <n v="0"/>
    <n v="0"/>
    <n v="0"/>
    <n v="16"/>
    <n v="1"/>
    <n v="0"/>
    <n v="0"/>
    <n v="0"/>
    <n v="0"/>
    <n v="0"/>
    <n v="0"/>
    <n v="0"/>
    <n v="0"/>
    <n v="0"/>
    <n v="0"/>
    <n v="3"/>
    <n v="0"/>
    <x v="1"/>
    <x v="94"/>
    <d v="1899-12-30T18:00:00"/>
    <d v="1899-12-30T18:30:00"/>
  </r>
  <r>
    <d v="2024-10-02T00:00:00"/>
    <n v="925"/>
    <s v="S2S Premium"/>
    <s v="PCC_Coronel,Isaías"/>
    <x v="198"/>
    <d v="1899-12-30T16:00:00"/>
    <s v="-"/>
    <d v="1899-12-30T16:30:00"/>
    <n v="617"/>
    <n v="0"/>
    <n v="0"/>
    <n v="8"/>
    <n v="0"/>
    <n v="0"/>
    <n v="0"/>
    <n v="12"/>
    <n v="3"/>
    <n v="0"/>
    <n v="0"/>
    <n v="0"/>
    <n v="0"/>
    <n v="0"/>
    <n v="0"/>
    <n v="0"/>
    <n v="0"/>
    <n v="0"/>
    <n v="0"/>
    <n v="3"/>
    <n v="0"/>
    <x v="1"/>
    <x v="94"/>
    <d v="1899-12-30T16:00:00"/>
    <d v="1899-12-30T16:30:00"/>
  </r>
  <r>
    <d v="2024-10-02T00:00:00"/>
    <n v="925"/>
    <s v="S2S Premium"/>
    <s v="PCC_Coronel,Isaías"/>
    <x v="198"/>
    <d v="1899-12-30T15:30:00"/>
    <s v="-"/>
    <d v="1899-12-30T16:00:00"/>
    <n v="651"/>
    <n v="0"/>
    <n v="0"/>
    <n v="12"/>
    <n v="0"/>
    <n v="0"/>
    <n v="0"/>
    <n v="568"/>
    <n v="0"/>
    <n v="0"/>
    <n v="0"/>
    <n v="0"/>
    <n v="0"/>
    <n v="0"/>
    <n v="0"/>
    <n v="0"/>
    <n v="0"/>
    <n v="0"/>
    <n v="0"/>
    <n v="3"/>
    <n v="0"/>
    <x v="1"/>
    <x v="94"/>
    <d v="1899-12-30T15:30:00"/>
    <d v="1899-12-30T16:00:00"/>
  </r>
  <r>
    <d v="2024-10-02T00:00:00"/>
    <n v="925"/>
    <s v="S2S Premium"/>
    <s v="PCC_Coronel,Isaías"/>
    <x v="198"/>
    <d v="1899-12-30T16:30:00"/>
    <s v="-"/>
    <d v="1899-12-30T17:00:00"/>
    <n v="829"/>
    <n v="8"/>
    <n v="0"/>
    <n v="20"/>
    <n v="0"/>
    <n v="0"/>
    <n v="0"/>
    <n v="57"/>
    <n v="1"/>
    <n v="0"/>
    <n v="0"/>
    <n v="0"/>
    <n v="0"/>
    <n v="0"/>
    <n v="0"/>
    <n v="0"/>
    <n v="0"/>
    <n v="0"/>
    <n v="0"/>
    <n v="4"/>
    <n v="0"/>
    <x v="1"/>
    <x v="94"/>
    <d v="1899-12-30T16:30:00"/>
    <d v="1899-12-30T17:00:00"/>
  </r>
  <r>
    <d v="2024-10-02T00:00:00"/>
    <n v="924"/>
    <s v="S2S No Premium"/>
    <s v="PCC_Coronel,Isaías"/>
    <x v="198"/>
    <d v="1899-12-30T19:30:00"/>
    <s v="-"/>
    <d v="1899-12-30T20:00:00"/>
    <n v="863"/>
    <n v="0"/>
    <n v="0"/>
    <n v="8"/>
    <n v="0"/>
    <n v="0"/>
    <n v="0"/>
    <n v="298"/>
    <n v="85"/>
    <n v="0"/>
    <n v="0"/>
    <n v="0"/>
    <n v="0"/>
    <n v="0"/>
    <n v="0"/>
    <n v="0"/>
    <n v="0"/>
    <n v="0"/>
    <n v="0"/>
    <n v="2"/>
    <n v="0"/>
    <x v="0"/>
    <x v="94"/>
    <d v="1899-12-30T19:30:00"/>
    <d v="1899-12-30T20:00:00"/>
  </r>
  <r>
    <d v="2024-10-02T00:00:00"/>
    <n v="924"/>
    <s v="S2S No Premium"/>
    <s v="PCC_Coronel,Isaías"/>
    <x v="198"/>
    <d v="1899-12-30T18:30:00"/>
    <s v="-"/>
    <d v="1899-12-30T19:00:00"/>
    <n v="936"/>
    <n v="0"/>
    <n v="0"/>
    <n v="12"/>
    <n v="0"/>
    <n v="0"/>
    <n v="0"/>
    <n v="35"/>
    <n v="17"/>
    <n v="0"/>
    <n v="0"/>
    <n v="0"/>
    <n v="0"/>
    <n v="0"/>
    <n v="0"/>
    <n v="0"/>
    <n v="0"/>
    <n v="0"/>
    <n v="0"/>
    <n v="4"/>
    <n v="0"/>
    <x v="0"/>
    <x v="94"/>
    <d v="1899-12-30T18:30:00"/>
    <d v="1899-12-30T19:00:00"/>
  </r>
  <r>
    <d v="2024-10-02T00:00:00"/>
    <n v="924"/>
    <s v="S2S No Premium"/>
    <s v="PCC_Coronel,Isaías"/>
    <x v="198"/>
    <d v="1899-12-30T19:00:00"/>
    <s v="-"/>
    <d v="1899-12-30T19:30:00"/>
    <n v="1120"/>
    <n v="0"/>
    <n v="0"/>
    <n v="12"/>
    <n v="0"/>
    <n v="0"/>
    <n v="0"/>
    <n v="106"/>
    <n v="1"/>
    <n v="0"/>
    <n v="0"/>
    <n v="0"/>
    <n v="0"/>
    <n v="0"/>
    <n v="0"/>
    <n v="0"/>
    <n v="0"/>
    <n v="0"/>
    <n v="0"/>
    <n v="3"/>
    <n v="0"/>
    <x v="0"/>
    <x v="94"/>
    <d v="1899-12-30T19:00:00"/>
    <d v="1899-12-30T19:30:00"/>
  </r>
  <r>
    <d v="2024-10-02T00:00:00"/>
    <n v="925"/>
    <s v="S2S Premium"/>
    <s v="XDPCC_Alvarez,Ana"/>
    <x v="199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DPCC_Alvarez,Ana"/>
    <x v="199"/>
    <d v="1899-12-30T14:00:00"/>
    <s v="-"/>
    <d v="1899-12-30T14:30:00"/>
    <n v="563"/>
    <n v="0"/>
    <n v="0"/>
    <n v="12"/>
    <n v="0"/>
    <n v="0"/>
    <n v="0"/>
    <n v="457"/>
    <n v="99"/>
    <n v="0"/>
    <n v="0"/>
    <n v="0"/>
    <n v="0"/>
    <n v="0"/>
    <n v="0"/>
    <n v="0"/>
    <n v="0"/>
    <n v="0"/>
    <n v="0"/>
    <n v="3"/>
    <n v="3"/>
    <x v="1"/>
    <x v="94"/>
    <d v="1899-12-30T14:00:00"/>
    <d v="1899-12-30T14:30:00"/>
  </r>
  <r>
    <d v="2024-10-02T00:00:00"/>
    <n v="925"/>
    <s v="S2S Premium"/>
    <s v="XDPCC_Alvarez,Ana"/>
    <x v="199"/>
    <d v="1899-12-30T14:30:00"/>
    <s v="-"/>
    <d v="1899-12-30T15:00:00"/>
    <n v="982"/>
    <n v="0"/>
    <n v="0"/>
    <n v="7"/>
    <n v="0"/>
    <n v="0"/>
    <n v="0"/>
    <n v="203"/>
    <n v="0"/>
    <n v="0"/>
    <n v="0"/>
    <n v="0"/>
    <n v="0"/>
    <n v="0"/>
    <n v="0"/>
    <n v="0"/>
    <n v="0"/>
    <n v="0"/>
    <n v="0"/>
    <n v="3"/>
    <n v="1"/>
    <x v="1"/>
    <x v="94"/>
    <d v="1899-12-30T14:30:00"/>
    <d v="1899-12-30T15:00:00"/>
  </r>
  <r>
    <d v="2024-10-02T00:00:00"/>
    <n v="924"/>
    <s v="S2S No Premium"/>
    <s v="XN2m_SkarpHoracio"/>
    <x v="200"/>
    <d v="1899-12-30T14:30:00"/>
    <s v="-"/>
    <d v="1899-12-30T15:0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4:30:00"/>
    <d v="1899-12-30T15:00:00"/>
  </r>
  <r>
    <d v="2024-10-02T00:00:00"/>
    <n v="924"/>
    <s v="S2S No Premium"/>
    <s v="XN2m_SkarpHoracio"/>
    <x v="200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x v="94"/>
    <d v="1899-12-30T15:00:00"/>
    <d v="1899-12-30T15:30:00"/>
  </r>
  <r>
    <d v="2024-10-02T00:00:00"/>
    <n v="924"/>
    <s v="S2S No Premium"/>
    <s v="XN2m_SkarpHoracio"/>
    <x v="200"/>
    <d v="1899-12-30T14:00:00"/>
    <s v="-"/>
    <d v="1899-12-30T14:30:00"/>
    <n v="376"/>
    <n v="0"/>
    <n v="0"/>
    <n v="3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4:00:00"/>
    <d v="1899-12-30T14:30:00"/>
  </r>
  <r>
    <d v="2024-10-02T00:00:00"/>
    <n v="924"/>
    <s v="S2S No Premium"/>
    <s v="XPm_Benitez,Alejan"/>
    <x v="201"/>
    <d v="1899-12-30T18:00:00"/>
    <s v="-"/>
    <d v="1899-12-30T18:30:00"/>
    <n v="144"/>
    <n v="40"/>
    <n v="0"/>
    <n v="8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4"/>
    <d v="1899-12-30T18:00:00"/>
    <d v="1899-12-30T18:30:00"/>
  </r>
  <r>
    <d v="2024-10-02T00:00:00"/>
    <n v="924"/>
    <s v="S2S No Premium"/>
    <s v="XPm_Benitez,Alejan"/>
    <x v="201"/>
    <d v="1899-12-30T19:00:00"/>
    <s v="-"/>
    <d v="1899-12-30T19:30:00"/>
    <n v="399"/>
    <n v="146"/>
    <n v="0"/>
    <n v="12"/>
    <n v="0"/>
    <n v="0"/>
    <n v="0"/>
    <n v="1"/>
    <n v="0"/>
    <n v="0"/>
    <n v="0"/>
    <n v="0"/>
    <n v="0"/>
    <n v="0"/>
    <n v="0"/>
    <n v="0"/>
    <n v="0"/>
    <n v="0"/>
    <n v="0"/>
    <n v="3"/>
    <n v="1"/>
    <x v="0"/>
    <x v="94"/>
    <d v="1899-12-30T19:00:00"/>
    <d v="1899-12-30T19:30:00"/>
  </r>
  <r>
    <d v="2024-10-02T00:00:00"/>
    <n v="925"/>
    <s v="S2S Premium"/>
    <s v="XPm_Benitez,Alejan"/>
    <x v="201"/>
    <d v="1899-12-30T18:00:00"/>
    <s v="-"/>
    <d v="1899-12-30T18:30:00"/>
    <n v="703"/>
    <n v="64"/>
    <n v="0"/>
    <n v="8"/>
    <n v="0"/>
    <n v="0"/>
    <n v="0"/>
    <n v="303"/>
    <n v="0"/>
    <n v="0"/>
    <n v="0"/>
    <n v="0"/>
    <n v="0"/>
    <n v="0"/>
    <n v="0"/>
    <n v="0"/>
    <n v="0"/>
    <n v="0"/>
    <n v="0"/>
    <n v="3"/>
    <n v="2"/>
    <x v="1"/>
    <x v="94"/>
    <d v="1899-12-30T18:00:00"/>
    <d v="1899-12-30T18:30:00"/>
  </r>
  <r>
    <d v="2024-10-02T00:00:00"/>
    <n v="925"/>
    <s v="S2S Premium"/>
    <s v="XPm_Benitez,Alejan"/>
    <x v="201"/>
    <d v="1899-12-30T17:00:00"/>
    <s v="-"/>
    <d v="1899-12-30T17:30:00"/>
    <n v="825"/>
    <n v="75"/>
    <n v="0"/>
    <n v="7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4"/>
    <s v="S2S No Premium"/>
    <s v="XPm_Benitez,Alejan"/>
    <x v="201"/>
    <d v="1899-12-30T18:30:00"/>
    <s v="-"/>
    <d v="1899-12-30T19:00:00"/>
    <n v="937"/>
    <n v="26"/>
    <n v="0"/>
    <n v="16"/>
    <n v="0"/>
    <n v="0"/>
    <n v="0"/>
    <n v="72"/>
    <n v="0"/>
    <n v="0"/>
    <n v="0"/>
    <n v="0"/>
    <n v="0"/>
    <n v="0"/>
    <n v="0"/>
    <n v="0"/>
    <n v="0"/>
    <n v="0"/>
    <n v="0"/>
    <n v="4"/>
    <n v="3"/>
    <x v="0"/>
    <x v="94"/>
    <d v="1899-12-30T18:30:00"/>
    <d v="1899-12-30T19:00:00"/>
  </r>
  <r>
    <d v="2024-10-02T00:00:00"/>
    <n v="924"/>
    <s v="S2S No Premium"/>
    <s v="XPm_Benitez,Alejan"/>
    <x v="201"/>
    <d v="1899-12-30T19:30:00"/>
    <s v="-"/>
    <d v="1899-12-30T20:00:00"/>
    <n v="1210"/>
    <n v="0"/>
    <n v="0"/>
    <n v="3"/>
    <n v="0"/>
    <n v="0"/>
    <n v="0"/>
    <n v="182"/>
    <n v="127"/>
    <n v="0"/>
    <n v="0"/>
    <n v="0"/>
    <n v="0"/>
    <n v="0"/>
    <n v="0"/>
    <n v="0"/>
    <n v="0"/>
    <n v="0"/>
    <n v="0"/>
    <n v="1"/>
    <n v="1"/>
    <x v="0"/>
    <x v="94"/>
    <d v="1899-12-30T19:30:00"/>
    <d v="1899-12-30T20:00:00"/>
  </r>
  <r>
    <d v="2024-10-02T00:00:00"/>
    <n v="925"/>
    <s v="S2S Premium"/>
    <s v="XPm_Benitez,Alejan"/>
    <x v="201"/>
    <d v="1899-12-30T17:30:00"/>
    <s v="-"/>
    <d v="1899-12-30T18:00:00"/>
    <n v="1233"/>
    <n v="125"/>
    <n v="0"/>
    <n v="20"/>
    <n v="0"/>
    <n v="0"/>
    <n v="0"/>
    <n v="3"/>
    <n v="0"/>
    <n v="0"/>
    <n v="0"/>
    <n v="0"/>
    <n v="0"/>
    <n v="0"/>
    <n v="0"/>
    <n v="0"/>
    <n v="0"/>
    <n v="0"/>
    <n v="0"/>
    <n v="5"/>
    <n v="3"/>
    <x v="1"/>
    <x v="94"/>
    <d v="1899-12-30T17:30:00"/>
    <d v="1899-12-30T18:00:00"/>
  </r>
  <r>
    <d v="2024-10-02T00:00:00"/>
    <n v="925"/>
    <s v="S2S Premium"/>
    <s v="XPCC_Mitoire,Cecilia"/>
    <x v="202"/>
    <d v="1899-12-30T15:00:00"/>
    <s v="-"/>
    <d v="1899-12-30T15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5:00:00"/>
    <d v="1899-12-30T15:30:00"/>
  </r>
  <r>
    <d v="2024-10-02T00:00:00"/>
    <n v="925"/>
    <s v="S2S Premium"/>
    <s v="XPCC_Mitoire,Cecilia"/>
    <x v="202"/>
    <d v="1899-12-30T14:00:00"/>
    <s v="-"/>
    <d v="1899-12-30T14:30:00"/>
    <n v="3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4:00:00"/>
    <d v="1899-12-30T14:30:00"/>
  </r>
  <r>
    <d v="2024-10-02T00:00:00"/>
    <n v="925"/>
    <s v="S2S Premium"/>
    <s v="XPCC_Mitoire,Cecilia"/>
    <x v="202"/>
    <d v="1899-12-30T14:30:00"/>
    <s v="-"/>
    <d v="1899-12-30T15:00:00"/>
    <n v="1457"/>
    <n v="0"/>
    <n v="0"/>
    <n v="8"/>
    <n v="0"/>
    <n v="0"/>
    <n v="0"/>
    <n v="0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XDE_ZalazarAlejandra"/>
    <x v="203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XDE_ZalazarAlejandra"/>
    <x v="203"/>
    <d v="1899-12-30T14:00:00"/>
    <s v="-"/>
    <d v="1899-12-30T14:30:00"/>
    <n v="267"/>
    <n v="0"/>
    <n v="0"/>
    <n v="8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00:00"/>
    <d v="1899-12-30T14:30:00"/>
  </r>
  <r>
    <d v="2024-10-02T00:00:00"/>
    <n v="925"/>
    <s v="S2S Premium"/>
    <s v="XDE_ZalazarAlejandra"/>
    <x v="203"/>
    <d v="1899-12-30T15:00:00"/>
    <s v="-"/>
    <d v="1899-12-30T15:30:00"/>
    <n v="340"/>
    <n v="0"/>
    <n v="0"/>
    <n v="7"/>
    <n v="0"/>
    <n v="0"/>
    <n v="0"/>
    <n v="2"/>
    <n v="0"/>
    <n v="0"/>
    <n v="0"/>
    <n v="0"/>
    <n v="0"/>
    <n v="0"/>
    <n v="0"/>
    <n v="0"/>
    <n v="0"/>
    <n v="0"/>
    <n v="0"/>
    <n v="1"/>
    <n v="1"/>
    <x v="1"/>
    <x v="94"/>
    <d v="1899-12-30T15:00:00"/>
    <d v="1899-12-30T15:30:00"/>
  </r>
  <r>
    <d v="2024-10-02T00:00:00"/>
    <n v="925"/>
    <s v="S2S Premium"/>
    <s v="XDE_ZalazarAlejandra"/>
    <x v="203"/>
    <d v="1899-12-30T15:30:00"/>
    <s v="-"/>
    <d v="1899-12-30T16:00:00"/>
    <n v="684"/>
    <n v="0"/>
    <n v="0"/>
    <n v="13"/>
    <n v="0"/>
    <n v="0"/>
    <n v="0"/>
    <n v="6"/>
    <n v="0"/>
    <n v="0"/>
    <n v="0"/>
    <n v="0"/>
    <n v="0"/>
    <n v="0"/>
    <n v="0"/>
    <n v="0"/>
    <n v="0"/>
    <n v="0"/>
    <n v="0"/>
    <n v="4"/>
    <n v="3"/>
    <x v="1"/>
    <x v="94"/>
    <d v="1899-12-30T15:30:00"/>
    <d v="1899-12-30T16:00:00"/>
  </r>
  <r>
    <d v="2024-10-02T00:00:00"/>
    <n v="925"/>
    <s v="S2S Premium"/>
    <s v="XDE_ZalazarAlejandra"/>
    <x v="203"/>
    <d v="1899-12-30T14:30:00"/>
    <s v="-"/>
    <d v="1899-12-30T15:00:00"/>
    <n v="816"/>
    <n v="0"/>
    <n v="0"/>
    <n v="12"/>
    <n v="0"/>
    <n v="0"/>
    <n v="0"/>
    <n v="2"/>
    <n v="0"/>
    <n v="0"/>
    <n v="0"/>
    <n v="0"/>
    <n v="0"/>
    <n v="0"/>
    <n v="0"/>
    <n v="0"/>
    <n v="0"/>
    <n v="0"/>
    <n v="0"/>
    <n v="3"/>
    <n v="2"/>
    <x v="1"/>
    <x v="94"/>
    <d v="1899-12-30T14:30:00"/>
    <d v="1899-12-30T15:00:00"/>
  </r>
  <r>
    <d v="2024-10-02T00:00:00"/>
    <n v="925"/>
    <s v="S2S Premium"/>
    <s v="DPCC_Guex, Lara"/>
    <x v="204"/>
    <d v="1899-12-30T16:00:00"/>
    <s v="-"/>
    <d v="1899-12-30T16:30: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x v="94"/>
    <d v="1899-12-30T16:00:00"/>
    <d v="1899-12-30T16:30:00"/>
  </r>
  <r>
    <d v="2024-10-02T00:00:00"/>
    <n v="925"/>
    <s v="S2S Premium"/>
    <s v="DPCC_Guex, Lara"/>
    <x v="204"/>
    <d v="1899-12-30T15:30:00"/>
    <s v="-"/>
    <d v="1899-12-30T16:00:00"/>
    <n v="249"/>
    <n v="0"/>
    <n v="0"/>
    <n v="4"/>
    <n v="0"/>
    <n v="0"/>
    <n v="0"/>
    <n v="1"/>
    <n v="0"/>
    <n v="0"/>
    <n v="0"/>
    <n v="0"/>
    <n v="0"/>
    <n v="0"/>
    <n v="0"/>
    <n v="0"/>
    <n v="0"/>
    <n v="0"/>
    <n v="0"/>
    <n v="1"/>
    <n v="1"/>
    <x v="1"/>
    <x v="94"/>
    <d v="1899-12-30T15:30:00"/>
    <d v="1899-12-30T16:00:00"/>
  </r>
  <r>
    <d v="2024-10-02T00:00:00"/>
    <n v="925"/>
    <s v="S2S Premium"/>
    <s v="DPCC_Guex, Lara"/>
    <x v="204"/>
    <d v="1899-12-30T14:00:00"/>
    <s v="-"/>
    <d v="1899-12-30T14:30:00"/>
    <n v="459"/>
    <n v="0"/>
    <n v="0"/>
    <n v="8"/>
    <n v="0"/>
    <n v="0"/>
    <n v="0"/>
    <n v="164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DPCC_Guex, Lara"/>
    <x v="204"/>
    <d v="1899-12-30T14:30:00"/>
    <s v="-"/>
    <d v="1899-12-30T15:00:00"/>
    <n v="468"/>
    <n v="0"/>
    <n v="0"/>
    <n v="8"/>
    <n v="0"/>
    <n v="0"/>
    <n v="0"/>
    <n v="16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DPCC_Guex, Lara"/>
    <x v="204"/>
    <d v="1899-12-30T15:00:00"/>
    <s v="-"/>
    <d v="1899-12-30T15:30:00"/>
    <n v="499"/>
    <n v="2"/>
    <n v="0"/>
    <n v="4"/>
    <n v="0"/>
    <n v="0"/>
    <n v="0"/>
    <n v="398"/>
    <n v="0"/>
    <n v="0"/>
    <n v="0"/>
    <n v="0"/>
    <n v="0"/>
    <n v="0"/>
    <n v="0"/>
    <n v="0"/>
    <n v="0"/>
    <n v="0"/>
    <n v="0"/>
    <n v="2"/>
    <n v="2"/>
    <x v="1"/>
    <x v="94"/>
    <d v="1899-12-30T15:00:00"/>
    <d v="1899-12-30T15:30:00"/>
  </r>
  <r>
    <d v="2024-10-02T00:00:00"/>
    <n v="924"/>
    <s v="S2S No Premium"/>
    <s v="N2m_Amundarrey Jo"/>
    <x v="205"/>
    <d v="1899-12-30T15:00:00"/>
    <s v="-"/>
    <d v="1899-12-30T15:30:00"/>
    <n v="13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1"/>
    <n v="1"/>
    <x v="0"/>
    <x v="95"/>
    <d v="1899-12-30T15:00:00"/>
    <d v="1899-12-30T15:30:00"/>
  </r>
  <r>
    <d v="2024-10-02T00:00:00"/>
    <n v="924"/>
    <s v="S2S No Premium"/>
    <s v="N2m_Amundarrey Jo"/>
    <x v="205"/>
    <d v="1899-12-30T14:30:00"/>
    <s v="-"/>
    <d v="1899-12-30T15:00:00"/>
    <n v="696"/>
    <n v="0"/>
    <n v="0"/>
    <n v="28"/>
    <n v="0"/>
    <n v="0"/>
    <n v="0"/>
    <n v="4"/>
    <n v="0"/>
    <n v="0"/>
    <n v="0"/>
    <n v="0"/>
    <n v="0"/>
    <n v="0"/>
    <n v="0"/>
    <n v="0"/>
    <n v="0"/>
    <n v="0"/>
    <n v="0"/>
    <n v="4"/>
    <n v="4"/>
    <x v="0"/>
    <x v="95"/>
    <d v="1899-12-30T14:30:00"/>
    <d v="1899-12-30T15:00:00"/>
  </r>
  <r>
    <d v="2024-10-02T00:00:00"/>
    <n v="924"/>
    <s v="S2S No Premium"/>
    <s v="N2m_Amundarrey Jo"/>
    <x v="205"/>
    <d v="1899-12-30T14:00:00"/>
    <s v="-"/>
    <d v="1899-12-30T14:30:00"/>
    <n v="714"/>
    <n v="0"/>
    <n v="0"/>
    <n v="28"/>
    <n v="0"/>
    <n v="0"/>
    <n v="0"/>
    <n v="102"/>
    <n v="0"/>
    <n v="0"/>
    <n v="0"/>
    <n v="0"/>
    <n v="0"/>
    <n v="0"/>
    <n v="0"/>
    <n v="0"/>
    <n v="0"/>
    <n v="0"/>
    <n v="0"/>
    <n v="3"/>
    <n v="3"/>
    <x v="0"/>
    <x v="95"/>
    <d v="1899-12-30T14:00:00"/>
    <d v="1899-12-30T14:30:00"/>
  </r>
  <r>
    <d v="2024-10-02T00:00:00"/>
    <n v="925"/>
    <s v="S2S Premium"/>
    <s v="S2_Rodriguez Susana"/>
    <x v="206"/>
    <d v="1899-12-30T14:00:00"/>
    <s v="-"/>
    <d v="1899-12-30T14:30:00"/>
    <n v="57"/>
    <n v="0"/>
    <n v="0"/>
    <n v="0"/>
    <n v="0"/>
    <n v="0"/>
    <n v="0"/>
    <n v="463"/>
    <n v="0"/>
    <n v="0"/>
    <n v="0"/>
    <n v="0"/>
    <n v="0"/>
    <n v="0"/>
    <n v="0"/>
    <n v="0"/>
    <n v="0"/>
    <n v="0"/>
    <n v="0"/>
    <n v="1"/>
    <n v="1"/>
    <x v="1"/>
    <x v="94"/>
    <d v="1899-12-30T14:00:00"/>
    <d v="1899-12-30T14:30:00"/>
  </r>
  <r>
    <d v="2024-10-02T00:00:00"/>
    <n v="925"/>
    <s v="S2S Premium"/>
    <s v="S2_Rodriguez Susana"/>
    <x v="206"/>
    <d v="1899-12-30T17:00:00"/>
    <s v="-"/>
    <d v="1899-12-30T17:30:00"/>
    <n v="453"/>
    <n v="2"/>
    <n v="0"/>
    <n v="0"/>
    <n v="0"/>
    <n v="0"/>
    <n v="0"/>
    <n v="104"/>
    <n v="0"/>
    <n v="0"/>
    <n v="0"/>
    <n v="0"/>
    <n v="0"/>
    <n v="0"/>
    <n v="0"/>
    <n v="0"/>
    <n v="0"/>
    <n v="0"/>
    <n v="0"/>
    <n v="1"/>
    <n v="1"/>
    <x v="1"/>
    <x v="94"/>
    <d v="1899-12-30T17:00:00"/>
    <d v="1899-12-30T17:30:00"/>
  </r>
  <r>
    <d v="2024-10-02T00:00:00"/>
    <n v="925"/>
    <s v="S2S Premium"/>
    <s v="S2_Rodriguez Susana"/>
    <x v="206"/>
    <d v="1899-12-30T14:30:00"/>
    <s v="-"/>
    <d v="1899-12-30T15:00:00"/>
    <n v="589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1"/>
    <x v="94"/>
    <d v="1899-12-30T14:30:00"/>
    <d v="1899-12-30T15:00:00"/>
  </r>
  <r>
    <d v="2024-10-02T00:00:00"/>
    <n v="925"/>
    <s v="S2S Premium"/>
    <s v="S2_Rodriguez Susana"/>
    <x v="206"/>
    <d v="1899-12-30T15:00:00"/>
    <s v="-"/>
    <d v="1899-12-30T15:30:00"/>
    <n v="794"/>
    <n v="0"/>
    <n v="0"/>
    <n v="12"/>
    <n v="0"/>
    <n v="0"/>
    <n v="0"/>
    <n v="369"/>
    <n v="0"/>
    <n v="0"/>
    <n v="0"/>
    <n v="0"/>
    <n v="0"/>
    <n v="0"/>
    <n v="0"/>
    <n v="0"/>
    <n v="0"/>
    <n v="0"/>
    <n v="0"/>
    <n v="3"/>
    <n v="3"/>
    <x v="1"/>
    <x v="94"/>
    <d v="1899-12-30T15:00:00"/>
    <d v="1899-12-30T15:30:00"/>
  </r>
  <r>
    <d v="2024-10-02T00:00:00"/>
    <n v="925"/>
    <s v="S2S Premium"/>
    <s v="S2_Rodriguez Susana"/>
    <x v="206"/>
    <d v="1899-12-30T16:00:00"/>
    <s v="-"/>
    <d v="1899-12-30T16:30:00"/>
    <n v="834"/>
    <n v="0"/>
    <n v="0"/>
    <n v="16"/>
    <n v="0"/>
    <n v="0"/>
    <n v="0"/>
    <n v="3"/>
    <n v="2"/>
    <n v="0"/>
    <n v="0"/>
    <n v="0"/>
    <n v="0"/>
    <n v="0"/>
    <n v="0"/>
    <n v="0"/>
    <n v="0"/>
    <n v="0"/>
    <n v="0"/>
    <n v="3"/>
    <n v="3"/>
    <x v="1"/>
    <x v="94"/>
    <d v="1899-12-30T16:00:00"/>
    <d v="1899-12-30T16:30:00"/>
  </r>
  <r>
    <d v="2024-10-02T00:00:00"/>
    <n v="925"/>
    <s v="S2S Premium"/>
    <s v="S2_Rodriguez Susana"/>
    <x v="206"/>
    <d v="1899-12-30T15:30:00"/>
    <s v="-"/>
    <d v="1899-12-30T16:00:00"/>
    <n v="873"/>
    <n v="0"/>
    <n v="0"/>
    <n v="8"/>
    <n v="0"/>
    <n v="0"/>
    <n v="0"/>
    <n v="111"/>
    <n v="0"/>
    <n v="0"/>
    <n v="0"/>
    <n v="0"/>
    <n v="0"/>
    <n v="0"/>
    <n v="0"/>
    <n v="0"/>
    <n v="0"/>
    <n v="0"/>
    <n v="0"/>
    <n v="3"/>
    <n v="3"/>
    <x v="1"/>
    <x v="94"/>
    <d v="1899-12-30T15:30:00"/>
    <d v="1899-12-30T16:00:00"/>
  </r>
  <r>
    <d v="2024-10-02T00:00:00"/>
    <n v="925"/>
    <s v="S2S Premium"/>
    <s v="S2_Rodriguez Susana"/>
    <x v="206"/>
    <d v="1899-12-30T16:30:00"/>
    <s v="-"/>
    <d v="1899-12-30T17:00:00"/>
    <n v="948"/>
    <n v="0"/>
    <n v="0"/>
    <n v="16"/>
    <n v="0"/>
    <n v="0"/>
    <n v="0"/>
    <n v="396"/>
    <n v="1"/>
    <n v="0"/>
    <n v="0"/>
    <n v="0"/>
    <n v="0"/>
    <n v="0"/>
    <n v="0"/>
    <n v="0"/>
    <n v="0"/>
    <n v="0"/>
    <n v="0"/>
    <n v="4"/>
    <n v="4"/>
    <x v="1"/>
    <x v="94"/>
    <d v="1899-12-30T16:30:00"/>
    <d v="1899-12-30T17:00:00"/>
  </r>
  <r>
    <d v="2024-10-02T00:00:00"/>
    <n v="924"/>
    <s v="S2S No Premium"/>
    <s v="TN1f_Luna Andrea Car"/>
    <x v="207"/>
    <d v="1899-12-30T18:00:00"/>
    <s v="-"/>
    <d v="1899-12-30T18:30:00"/>
    <n v="74"/>
    <n v="26"/>
    <n v="0"/>
    <n v="0"/>
    <n v="0"/>
    <n v="0"/>
    <n v="0"/>
    <n v="773"/>
    <n v="287"/>
    <n v="0"/>
    <n v="0"/>
    <n v="0"/>
    <n v="0"/>
    <n v="0"/>
    <n v="0"/>
    <n v="0"/>
    <n v="0"/>
    <n v="0"/>
    <n v="0"/>
    <n v="1"/>
    <n v="0"/>
    <x v="0"/>
    <x v="94"/>
    <d v="1899-12-30T18:00:00"/>
    <d v="1899-12-30T18:30:00"/>
  </r>
  <r>
    <d v="2024-10-02T00:00:00"/>
    <n v="924"/>
    <s v="S2S No Premium"/>
    <s v="TN1f_Luna Andrea Car"/>
    <x v="207"/>
    <d v="1899-12-30T19:00:00"/>
    <s v="-"/>
    <d v="1899-12-30T19:30:00"/>
    <n v="329"/>
    <n v="0"/>
    <n v="0"/>
    <n v="12"/>
    <n v="0"/>
    <n v="0"/>
    <n v="0"/>
    <n v="281"/>
    <n v="169"/>
    <n v="0"/>
    <n v="0"/>
    <n v="0"/>
    <n v="0"/>
    <n v="0"/>
    <n v="0"/>
    <n v="0"/>
    <n v="0"/>
    <n v="0"/>
    <n v="0"/>
    <n v="2"/>
    <n v="1"/>
    <x v="0"/>
    <x v="94"/>
    <d v="1899-12-30T19:00:00"/>
    <d v="1899-12-30T19:30:00"/>
  </r>
  <r>
    <d v="2024-10-02T00:00:00"/>
    <n v="924"/>
    <s v="S2S No Premium"/>
    <s v="TN1f_Luna Andrea Car"/>
    <x v="207"/>
    <d v="1899-12-30T18:30:00"/>
    <s v="-"/>
    <d v="1899-12-30T19:00:00"/>
    <n v="482"/>
    <n v="0"/>
    <n v="0"/>
    <n v="8"/>
    <n v="0"/>
    <n v="0"/>
    <n v="0"/>
    <n v="341"/>
    <n v="0"/>
    <n v="0"/>
    <n v="0"/>
    <n v="0"/>
    <n v="0"/>
    <n v="0"/>
    <n v="0"/>
    <n v="0"/>
    <n v="0"/>
    <n v="0"/>
    <n v="0"/>
    <n v="2"/>
    <n v="2"/>
    <x v="0"/>
    <x v="94"/>
    <d v="1899-12-30T18:30:00"/>
    <d v="1899-12-30T19:00:00"/>
  </r>
  <r>
    <d v="2024-10-02T00:00:00"/>
    <n v="924"/>
    <s v="S2S No Premium"/>
    <s v="TN1f_Luna Andrea Car"/>
    <x v="207"/>
    <d v="1899-12-30T15:00:00"/>
    <s v="-"/>
    <d v="1899-12-30T15:30:00"/>
    <n v="656"/>
    <n v="18"/>
    <n v="0"/>
    <n v="8"/>
    <n v="0"/>
    <n v="0"/>
    <n v="0"/>
    <n v="364"/>
    <n v="4"/>
    <n v="0"/>
    <n v="0"/>
    <n v="0"/>
    <n v="0"/>
    <n v="0"/>
    <n v="0"/>
    <n v="0"/>
    <n v="0"/>
    <n v="0"/>
    <n v="0"/>
    <n v="3"/>
    <n v="2"/>
    <x v="0"/>
    <x v="94"/>
    <d v="1899-12-30T15:00:00"/>
    <d v="1899-12-30T15:30:00"/>
  </r>
  <r>
    <d v="2024-10-02T00:00:00"/>
    <n v="924"/>
    <s v="S2S No Premium"/>
    <s v="TN1f_Luna Andrea Car"/>
    <x v="207"/>
    <d v="1899-12-30T14:00:00"/>
    <s v="-"/>
    <d v="1899-12-30T14:30:00"/>
    <n v="706"/>
    <n v="0"/>
    <n v="0"/>
    <n v="12"/>
    <n v="0"/>
    <n v="0"/>
    <n v="0"/>
    <n v="75"/>
    <n v="0"/>
    <n v="0"/>
    <n v="0"/>
    <n v="0"/>
    <n v="0"/>
    <n v="0"/>
    <n v="0"/>
    <n v="0"/>
    <n v="0"/>
    <n v="0"/>
    <n v="0"/>
    <n v="3"/>
    <n v="3"/>
    <x v="0"/>
    <x v="94"/>
    <d v="1899-12-30T14:00:00"/>
    <d v="1899-12-30T14:30:00"/>
  </r>
  <r>
    <d v="2024-10-02T00:00:00"/>
    <n v="924"/>
    <s v="S2S No Premium"/>
    <s v="TN1f_Luna Andrea Car"/>
    <x v="207"/>
    <d v="1899-12-30T19:30:00"/>
    <s v="-"/>
    <d v="1899-12-30T20:00:00"/>
    <n v="752"/>
    <n v="0"/>
    <n v="0"/>
    <n v="11"/>
    <n v="0"/>
    <n v="0"/>
    <n v="0"/>
    <n v="2"/>
    <n v="0"/>
    <n v="0"/>
    <n v="0"/>
    <n v="0"/>
    <n v="0"/>
    <n v="0"/>
    <n v="0"/>
    <n v="0"/>
    <n v="0"/>
    <n v="0"/>
    <n v="0"/>
    <n v="2"/>
    <n v="2"/>
    <x v="0"/>
    <x v="94"/>
    <d v="1899-12-30T19:30:00"/>
    <d v="1899-12-30T20:00:00"/>
  </r>
  <r>
    <d v="2024-10-02T00:00:00"/>
    <n v="924"/>
    <s v="S2S No Premium"/>
    <s v="TN1f_Luna Andrea Car"/>
    <x v="207"/>
    <d v="1899-12-30T14:30:00"/>
    <s v="-"/>
    <d v="1899-12-30T15:00:00"/>
    <n v="754"/>
    <n v="0"/>
    <n v="0"/>
    <n v="11"/>
    <n v="0"/>
    <n v="0"/>
    <n v="0"/>
    <n v="184"/>
    <n v="0"/>
    <n v="0"/>
    <n v="0"/>
    <n v="0"/>
    <n v="0"/>
    <n v="0"/>
    <n v="0"/>
    <n v="0"/>
    <n v="0"/>
    <n v="0"/>
    <n v="0"/>
    <n v="2"/>
    <n v="2"/>
    <x v="0"/>
    <x v="94"/>
    <d v="1899-12-30T14:30:00"/>
    <d v="1899-12-30T15:00:00"/>
  </r>
  <r>
    <d v="2024-10-02T00:00:00"/>
    <n v="924"/>
    <s v="S2S No Premium"/>
    <s v="TN1f_Luna Andrea Car"/>
    <x v="207"/>
    <d v="1899-12-30T17:30:00"/>
    <s v="-"/>
    <d v="1899-12-30T18:00:00"/>
    <n v="785"/>
    <n v="0"/>
    <n v="0"/>
    <n v="16"/>
    <n v="0"/>
    <n v="0"/>
    <n v="0"/>
    <n v="206"/>
    <n v="345"/>
    <n v="0"/>
    <n v="0"/>
    <n v="0"/>
    <n v="0"/>
    <n v="0"/>
    <n v="0"/>
    <n v="0"/>
    <n v="0"/>
    <n v="0"/>
    <n v="0"/>
    <n v="4"/>
    <n v="4"/>
    <x v="0"/>
    <x v="94"/>
    <d v="1899-12-30T17:30:00"/>
    <d v="1899-12-30T18:00:00"/>
  </r>
  <r>
    <d v="2024-10-02T00:00:00"/>
    <n v="924"/>
    <s v="S2S No Premium"/>
    <s v="TN1f_Luna Andrea Car"/>
    <x v="207"/>
    <d v="1899-12-30T15:30:00"/>
    <s v="-"/>
    <d v="1899-12-30T16:00:00"/>
    <n v="795"/>
    <n v="0"/>
    <n v="0"/>
    <n v="16"/>
    <n v="0"/>
    <n v="0"/>
    <n v="0"/>
    <n v="3"/>
    <n v="0"/>
    <n v="0"/>
    <n v="0"/>
    <n v="0"/>
    <n v="0"/>
    <n v="0"/>
    <n v="0"/>
    <n v="0"/>
    <n v="0"/>
    <n v="0"/>
    <n v="0"/>
    <n v="3"/>
    <n v="3"/>
    <x v="0"/>
    <x v="94"/>
    <d v="1899-12-30T15:30:00"/>
    <d v="1899-12-30T16:00:00"/>
  </r>
  <r>
    <d v="2024-10-02T00:00:00"/>
    <n v="924"/>
    <s v="S2S No Premium"/>
    <s v="TN1f_Luna Andrea Car"/>
    <x v="207"/>
    <d v="1899-12-30T17:00:00"/>
    <s v="-"/>
    <d v="1899-12-30T17:30:00"/>
    <n v="1052"/>
    <n v="10"/>
    <n v="0"/>
    <n v="16"/>
    <n v="0"/>
    <n v="0"/>
    <n v="0"/>
    <n v="324"/>
    <n v="208"/>
    <n v="0"/>
    <n v="0"/>
    <n v="0"/>
    <n v="0"/>
    <n v="0"/>
    <n v="0"/>
    <n v="0"/>
    <n v="0"/>
    <n v="0"/>
    <n v="0"/>
    <n v="4"/>
    <n v="4"/>
    <x v="0"/>
    <x v="94"/>
    <d v="1899-12-30T17:00:00"/>
    <d v="1899-12-30T17:30:00"/>
  </r>
  <r>
    <d v="2024-10-02T00:00:00"/>
    <n v="924"/>
    <s v="S2S No Premium"/>
    <s v="TN1f_Luna Andrea Car"/>
    <x v="207"/>
    <d v="1899-12-30T16:00:00"/>
    <s v="-"/>
    <d v="1899-12-30T16:30:00"/>
    <n v="1101"/>
    <n v="0"/>
    <n v="0"/>
    <n v="16"/>
    <n v="0"/>
    <n v="0"/>
    <n v="0"/>
    <n v="266"/>
    <n v="64"/>
    <n v="0"/>
    <n v="0"/>
    <n v="0"/>
    <n v="0"/>
    <n v="0"/>
    <n v="0"/>
    <n v="0"/>
    <n v="0"/>
    <n v="0"/>
    <n v="0"/>
    <n v="5"/>
    <n v="3"/>
    <x v="0"/>
    <x v="94"/>
    <d v="1899-12-30T16:00:00"/>
    <d v="1899-12-30T16:30:00"/>
  </r>
  <r>
    <d v="2024-10-02T00:00:00"/>
    <n v="924"/>
    <s v="S2S No Premium"/>
    <s v="TN1f_Luna Andrea Car"/>
    <x v="207"/>
    <d v="1899-12-30T16:30:00"/>
    <s v="-"/>
    <d v="1899-12-30T17:00:00"/>
    <n v="1558"/>
    <n v="0"/>
    <n v="0"/>
    <n v="12"/>
    <n v="0"/>
    <n v="0"/>
    <n v="0"/>
    <n v="117"/>
    <n v="0"/>
    <n v="0"/>
    <n v="0"/>
    <n v="0"/>
    <n v="0"/>
    <n v="0"/>
    <n v="0"/>
    <n v="0"/>
    <n v="0"/>
    <n v="0"/>
    <n v="0"/>
    <n v="2"/>
    <n v="2"/>
    <x v="0"/>
    <x v="94"/>
    <d v="1899-12-30T16:30:00"/>
    <d v="1899-12-30T17:00:00"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  <r>
    <m/>
    <m/>
    <m/>
    <m/>
    <x v="208"/>
    <m/>
    <m/>
    <m/>
    <m/>
    <m/>
    <m/>
    <m/>
    <m/>
    <m/>
    <m/>
    <m/>
    <m/>
    <m/>
    <m/>
    <m/>
    <m/>
    <m/>
    <m/>
    <m/>
    <m/>
    <m/>
    <m/>
    <m/>
    <m/>
    <x v="2"/>
    <x v="9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38D8F9-39F6-4233-9331-47E994C84635}" name="TablaDinámica1" cacheId="3" applyNumberFormats="0" applyBorderFormats="0" applyFontFormats="0" applyPatternFormats="0" applyAlignmentFormats="0" applyWidthHeightFormats="1" dataCaption="Valores" updatedVersion="8" minRefreshableVersion="3" showDrill="0" useAutoFormatting="1" rowGrandTotals="0" colGrandTotals="0" itemPrintTitles="1" createdVersion="8" indent="0" compact="0" compactData="0" multipleFieldFilters="0">
  <location ref="B8:E229" firstHeaderRow="1" firstDataRow="1" firstDataCol="3"/>
  <pivotFields count="33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4">
        <item x="0"/>
        <item x="3"/>
        <item m="1" x="510"/>
        <item x="6"/>
        <item m="1" x="210"/>
        <item m="1" x="301"/>
        <item m="1" x="211"/>
        <item m="1" x="404"/>
        <item x="15"/>
        <item x="17"/>
        <item m="1" x="214"/>
        <item m="1" x="235"/>
        <item m="1" x="508"/>
        <item x="28"/>
        <item m="1" x="525"/>
        <item m="1" x="586"/>
        <item x="29"/>
        <item x="30"/>
        <item x="33"/>
        <item x="35"/>
        <item m="1" x="411"/>
        <item m="1" x="237"/>
        <item m="1" x="265"/>
        <item x="41"/>
        <item x="46"/>
        <item x="52"/>
        <item x="53"/>
        <item x="54"/>
        <item m="1" x="600"/>
        <item m="1" x="240"/>
        <item m="1" x="220"/>
        <item m="1" x="573"/>
        <item m="1" x="222"/>
        <item m="1" x="223"/>
        <item m="1" x="224"/>
        <item m="1" x="226"/>
        <item m="1" x="227"/>
        <item x="74"/>
        <item x="75"/>
        <item x="76"/>
        <item m="1" x="605"/>
        <item x="78"/>
        <item x="79"/>
        <item m="1" x="403"/>
        <item m="1" x="340"/>
        <item m="1" x="323"/>
        <item x="83"/>
        <item x="84"/>
        <item m="1" x="598"/>
        <item x="85"/>
        <item m="1" x="341"/>
        <item m="1" x="242"/>
        <item x="93"/>
        <item m="1" x="502"/>
        <item x="48"/>
        <item m="1" x="264"/>
        <item x="20"/>
        <item m="1" x="330"/>
        <item x="13"/>
        <item m="1" x="453"/>
        <item m="1" x="239"/>
        <item m="1" x="229"/>
        <item m="1" x="324"/>
        <item m="1" x="587"/>
        <item m="1" x="643"/>
        <item m="1" x="312"/>
        <item m="1" x="470"/>
        <item x="88"/>
        <item x="208"/>
        <item x="7"/>
        <item m="1" x="233"/>
        <item x="11"/>
        <item m="1" x="538"/>
        <item x="12"/>
        <item m="1" x="602"/>
        <item m="1" x="506"/>
        <item m="1" x="300"/>
        <item m="1" x="500"/>
        <item m="1" x="372"/>
        <item m="1" x="303"/>
        <item m="1" x="234"/>
        <item x="23"/>
        <item m="1" x="304"/>
        <item m="1" x="236"/>
        <item m="1" x="305"/>
        <item m="1" x="306"/>
        <item m="1" x="307"/>
        <item x="27"/>
        <item m="1" x="332"/>
        <item m="1" x="606"/>
        <item m="1" x="215"/>
        <item x="34"/>
        <item x="36"/>
        <item m="1" x="374"/>
        <item x="37"/>
        <item m="1" x="439"/>
        <item m="1" x="599"/>
        <item m="1" x="435"/>
        <item m="1" x="422"/>
        <item m="1" x="447"/>
        <item m="1" x="417"/>
        <item m="1" x="418"/>
        <item m="1" x="309"/>
        <item m="1" x="596"/>
        <item x="43"/>
        <item x="44"/>
        <item m="1" x="561"/>
        <item x="49"/>
        <item x="50"/>
        <item x="51"/>
        <item m="1" x="456"/>
        <item x="55"/>
        <item x="56"/>
        <item m="1" x="335"/>
        <item m="1" x="537"/>
        <item x="58"/>
        <item m="1" x="375"/>
        <item m="1" x="611"/>
        <item x="61"/>
        <item x="62"/>
        <item m="1" x="395"/>
        <item m="1" x="549"/>
        <item x="63"/>
        <item x="64"/>
        <item x="65"/>
        <item m="1" x="337"/>
        <item m="1" x="319"/>
        <item m="1" x="559"/>
        <item m="1" x="321"/>
        <item m="1" x="338"/>
        <item m="1" x="339"/>
        <item m="1" x="446"/>
        <item m="1" x="241"/>
        <item m="1" x="548"/>
        <item x="86"/>
        <item m="1" x="412"/>
        <item m="1" x="451"/>
        <item m="1" x="550"/>
        <item x="90"/>
        <item x="205"/>
        <item m="1" x="427"/>
        <item x="21"/>
        <item x="24"/>
        <item m="1" x="501"/>
        <item m="1" x="426"/>
        <item m="1" x="216"/>
        <item m="1" x="364"/>
        <item m="1" x="352"/>
        <item x="60"/>
        <item x="69"/>
        <item m="1" x="228"/>
        <item x="73"/>
        <item m="1" x="505"/>
        <item m="1" x="230"/>
        <item m="1" x="419"/>
        <item m="1" x="563"/>
        <item x="5"/>
        <item x="32"/>
        <item m="1" x="542"/>
        <item m="1" x="562"/>
        <item m="1" x="603"/>
        <item m="1" x="469"/>
        <item x="82"/>
        <item m="1" x="477"/>
        <item m="1" x="615"/>
        <item m="1" x="244"/>
        <item x="126"/>
        <item m="1" x="266"/>
        <item x="128"/>
        <item x="132"/>
        <item m="1" x="499"/>
        <item x="134"/>
        <item x="135"/>
        <item x="136"/>
        <item m="1" x="245"/>
        <item x="137"/>
        <item x="139"/>
        <item m="1" x="328"/>
        <item m="1" x="636"/>
        <item x="143"/>
        <item x="144"/>
        <item x="147"/>
        <item x="148"/>
        <item m="1" x="619"/>
        <item m="1" x="246"/>
        <item m="1" x="273"/>
        <item x="158"/>
        <item x="160"/>
        <item x="161"/>
        <item x="162"/>
        <item m="1" x="517"/>
        <item x="165"/>
        <item x="166"/>
        <item x="167"/>
        <item m="1" x="329"/>
        <item x="168"/>
        <item x="169"/>
        <item x="170"/>
        <item x="176"/>
        <item m="1" x="632"/>
        <item m="1" x="597"/>
        <item x="180"/>
        <item x="181"/>
        <item m="1" x="373"/>
        <item x="184"/>
        <item x="185"/>
        <item x="186"/>
        <item x="187"/>
        <item x="189"/>
        <item m="1" x="290"/>
        <item m="1" x="259"/>
        <item x="193"/>
        <item x="194"/>
        <item x="195"/>
        <item m="1" x="391"/>
        <item m="1" x="261"/>
        <item x="197"/>
        <item x="198"/>
        <item x="199"/>
        <item m="1" x="262"/>
        <item m="1" x="263"/>
        <item x="200"/>
        <item x="202"/>
        <item m="1" x="299"/>
        <item m="1" x="521"/>
        <item x="38"/>
        <item m="1" x="218"/>
        <item m="1" x="313"/>
        <item m="1" x="219"/>
        <item m="1" x="221"/>
        <item x="4"/>
        <item m="1" x="560"/>
        <item m="1" x="434"/>
        <item m="1" x="536"/>
        <item m="1" x="462"/>
        <item m="1" x="311"/>
        <item m="1" x="317"/>
        <item x="87"/>
        <item m="1" x="331"/>
        <item m="1" x="302"/>
        <item m="1" x="232"/>
        <item x="9"/>
        <item x="18"/>
        <item x="42"/>
        <item m="1" x="432"/>
        <item m="1" x="315"/>
        <item x="67"/>
        <item m="1" x="320"/>
        <item m="1" x="476"/>
        <item x="81"/>
        <item m="1" x="635"/>
        <item m="1" x="480"/>
        <item m="1" x="640"/>
        <item m="1" x="509"/>
        <item m="1" x="380"/>
        <item m="1" x="641"/>
        <item m="1" x="633"/>
        <item m="1" x="483"/>
        <item m="1" x="531"/>
        <item m="1" x="281"/>
        <item m="1" x="283"/>
        <item m="1" x="642"/>
        <item m="1" x="405"/>
        <item m="1" x="212"/>
        <item m="1" x="351"/>
        <item x="141"/>
        <item x="196"/>
        <item x="39"/>
        <item x="57"/>
        <item m="1" x="639"/>
        <item x="10"/>
        <item m="1" x="431"/>
        <item m="1" x="437"/>
        <item m="1" x="425"/>
        <item m="1" x="638"/>
        <item m="1" x="637"/>
        <item x="40"/>
        <item m="1" x="310"/>
        <item m="1" x="314"/>
        <item m="1" x="316"/>
        <item m="1" x="325"/>
        <item x="203"/>
        <item m="1" x="634"/>
        <item m="1" x="292"/>
        <item m="1" x="213"/>
        <item m="1" x="396"/>
        <item m="1" x="397"/>
        <item x="91"/>
        <item m="1" x="296"/>
        <item m="1" x="298"/>
        <item m="1" x="225"/>
        <item m="1" x="318"/>
        <item x="71"/>
        <item m="1" x="326"/>
        <item m="1" x="387"/>
        <item m="1" x="433"/>
        <item m="1" x="421"/>
        <item m="1" x="571"/>
        <item m="1" x="608"/>
        <item m="1" x="613"/>
        <item m="1" x="614"/>
        <item m="1" x="616"/>
        <item m="1" x="617"/>
        <item m="1" x="618"/>
        <item m="1" x="620"/>
        <item m="1" x="621"/>
        <item m="1" x="622"/>
        <item m="1" x="623"/>
        <item m="1" x="624"/>
        <item m="1" x="625"/>
        <item m="1" x="626"/>
        <item m="1" x="519"/>
        <item m="1" x="627"/>
        <item m="1" x="628"/>
        <item m="1" x="629"/>
        <item m="1" x="630"/>
        <item m="1" x="631"/>
        <item m="1" x="400"/>
        <item x="2"/>
        <item m="1" x="407"/>
        <item m="1" x="408"/>
        <item m="1" x="429"/>
        <item m="1" x="409"/>
        <item m="1" x="410"/>
        <item m="1" x="539"/>
        <item m="1" x="452"/>
        <item m="1" x="454"/>
        <item m="1" x="333"/>
        <item x="45"/>
        <item m="1" x="336"/>
        <item x="59"/>
        <item m="1" x="565"/>
        <item m="1" x="322"/>
        <item m="1" x="492"/>
        <item x="22"/>
        <item m="1" x="461"/>
        <item m="1" x="512"/>
        <item m="1" x="612"/>
        <item m="1" x="493"/>
        <item x="66"/>
        <item m="1" x="604"/>
        <item m="1" x="513"/>
        <item x="72"/>
        <item m="1" x="496"/>
        <item m="1" x="474"/>
        <item m="1" x="475"/>
        <item m="1" x="497"/>
        <item m="1" x="514"/>
        <item m="1" x="430"/>
        <item m="1" x="450"/>
        <item m="1" x="449"/>
        <item x="191"/>
        <item m="1" x="401"/>
        <item x="26"/>
        <item x="183"/>
        <item x="92"/>
        <item m="1" x="472"/>
        <item m="1" x="601"/>
        <item m="1" x="507"/>
        <item m="1" x="529"/>
        <item m="1" x="255"/>
        <item m="1" x="610"/>
        <item m="1" x="504"/>
        <item m="1" x="466"/>
        <item m="1" x="609"/>
        <item x="68"/>
        <item m="1" x="448"/>
        <item m="1" x="607"/>
        <item m="1" x="231"/>
        <item m="1" x="594"/>
        <item x="70"/>
        <item m="1" x="524"/>
        <item m="1" x="564"/>
        <item m="1" x="473"/>
        <item x="19"/>
        <item m="1" x="495"/>
        <item m="1" x="498"/>
        <item m="1" x="511"/>
        <item x="89"/>
        <item m="1" x="471"/>
        <item m="1" x="428"/>
        <item x="16"/>
        <item x="8"/>
        <item m="1" x="593"/>
        <item m="1" x="583"/>
        <item m="1" x="551"/>
        <item x="47"/>
        <item m="1" x="584"/>
        <item m="1" x="595"/>
        <item m="1" x="438"/>
        <item m="1" x="459"/>
        <item m="1" x="463"/>
        <item m="1" x="465"/>
        <item m="1" x="467"/>
        <item m="1" x="566"/>
        <item m="1" x="590"/>
        <item m="1" x="269"/>
        <item x="146"/>
        <item x="154"/>
        <item m="1" x="399"/>
        <item x="174"/>
        <item m="1" x="591"/>
        <item m="1" x="588"/>
        <item m="1" x="254"/>
        <item x="179"/>
        <item m="1" x="382"/>
        <item m="1" x="383"/>
        <item m="1" x="592"/>
        <item m="1" x="589"/>
        <item x="25"/>
        <item m="1" x="464"/>
        <item x="80"/>
        <item m="1" x="247"/>
        <item m="1" x="486"/>
        <item m="1" x="277"/>
        <item m="1" x="390"/>
        <item x="149"/>
        <item x="164"/>
        <item m="1" x="413"/>
        <item m="1" x="415"/>
        <item m="1" x="217"/>
        <item m="1" x="468"/>
        <item m="1" x="494"/>
        <item m="1" x="377"/>
        <item m="1" x="251"/>
        <item x="77"/>
        <item m="1" x="585"/>
        <item m="1" x="552"/>
        <item m="1" x="575"/>
        <item m="1" x="576"/>
        <item x="172"/>
        <item m="1" x="577"/>
        <item m="1" x="578"/>
        <item m="1" x="579"/>
        <item m="1" x="349"/>
        <item m="1" x="580"/>
        <item m="1" x="581"/>
        <item m="1" x="369"/>
        <item m="1" x="582"/>
        <item m="1" x="363"/>
        <item m="1" x="485"/>
        <item m="1" x="250"/>
        <item m="1" x="286"/>
        <item m="1" x="572"/>
        <item m="1" x="574"/>
        <item m="1" x="567"/>
        <item m="1" x="568"/>
        <item m="1" x="569"/>
        <item m="1" x="570"/>
        <item m="1" x="553"/>
        <item m="1" x="554"/>
        <item m="1" x="555"/>
        <item m="1" x="556"/>
        <item m="1" x="557"/>
        <item m="1" x="558"/>
        <item m="1" x="541"/>
        <item m="1" x="540"/>
        <item m="1" x="270"/>
        <item x="142"/>
        <item x="151"/>
        <item m="1" x="248"/>
        <item x="156"/>
        <item m="1" x="278"/>
        <item m="1" x="545"/>
        <item m="1" x="443"/>
        <item m="1" x="253"/>
        <item m="1" x="546"/>
        <item m="1" x="547"/>
        <item m="1" x="543"/>
        <item m="1" x="482"/>
        <item m="1" x="544"/>
        <item x="190"/>
        <item m="1" x="293"/>
        <item x="1"/>
        <item m="1" x="297"/>
        <item m="1" x="414"/>
        <item x="31"/>
        <item m="1" x="416"/>
        <item m="1" x="523"/>
        <item m="1" x="503"/>
        <item m="1" x="455"/>
        <item m="1" x="535"/>
        <item x="94"/>
        <item x="96"/>
        <item x="98"/>
        <item x="100"/>
        <item x="102"/>
        <item x="103"/>
        <item x="104"/>
        <item x="106"/>
        <item x="108"/>
        <item x="109"/>
        <item x="110"/>
        <item m="1" x="243"/>
        <item x="111"/>
        <item x="112"/>
        <item x="114"/>
        <item x="116"/>
        <item x="117"/>
        <item x="119"/>
        <item m="1" x="526"/>
        <item m="1" x="527"/>
        <item m="1" x="528"/>
        <item x="131"/>
        <item x="133"/>
        <item x="159"/>
        <item m="1" x="530"/>
        <item m="1" x="532"/>
        <item m="1" x="533"/>
        <item m="1" x="384"/>
        <item m="1" x="534"/>
        <item x="192"/>
        <item x="206"/>
        <item m="1" x="522"/>
        <item x="99"/>
        <item m="1" x="268"/>
        <item m="1" x="366"/>
        <item m="1" x="379"/>
        <item m="1" x="518"/>
        <item m="1" x="282"/>
        <item m="1" x="520"/>
        <item m="1" x="406"/>
        <item x="204"/>
        <item m="1" x="327"/>
        <item m="1" x="515"/>
        <item x="95"/>
        <item x="97"/>
        <item x="101"/>
        <item x="105"/>
        <item x="107"/>
        <item x="115"/>
        <item x="118"/>
        <item x="120"/>
        <item x="122"/>
        <item m="1" x="516"/>
        <item x="121"/>
        <item x="150"/>
        <item x="124"/>
        <item x="140"/>
        <item m="1" x="272"/>
        <item x="207"/>
        <item m="1" x="209"/>
        <item m="1" x="238"/>
        <item x="113"/>
        <item x="127"/>
        <item m="1" x="267"/>
        <item m="1" x="385"/>
        <item m="1" x="386"/>
        <item m="1" x="484"/>
        <item m="1" x="479"/>
        <item x="153"/>
        <item x="155"/>
        <item m="1" x="388"/>
        <item m="1" x="442"/>
        <item x="163"/>
        <item m="1" x="481"/>
        <item m="1" x="487"/>
        <item m="1" x="488"/>
        <item m="1" x="489"/>
        <item m="1" x="490"/>
        <item m="1" x="285"/>
        <item m="1" x="491"/>
        <item m="1" x="457"/>
        <item m="1" x="458"/>
        <item m="1" x="460"/>
        <item m="1" x="308"/>
        <item m="1" x="478"/>
        <item m="1" x="365"/>
        <item m="1" x="280"/>
        <item m="1" x="284"/>
        <item m="1" x="289"/>
        <item x="157"/>
        <item m="1" x="257"/>
        <item m="1" x="342"/>
        <item x="129"/>
        <item m="1" x="440"/>
        <item m="1" x="441"/>
        <item m="1" x="444"/>
        <item m="1" x="423"/>
        <item m="1" x="445"/>
        <item m="1" x="394"/>
        <item m="1" x="288"/>
        <item m="1" x="291"/>
        <item m="1" x="370"/>
        <item m="1" x="371"/>
        <item m="1" x="424"/>
        <item m="1" x="436"/>
        <item m="1" x="420"/>
        <item m="1" x="389"/>
        <item m="1" x="368"/>
        <item m="1" x="398"/>
        <item m="1" x="402"/>
        <item m="1" x="367"/>
        <item m="1" x="287"/>
        <item m="1" x="294"/>
        <item m="1" x="392"/>
        <item m="1" x="393"/>
        <item m="1" x="334"/>
        <item m="1" x="376"/>
        <item m="1" x="378"/>
        <item m="1" x="381"/>
        <item m="1" x="353"/>
        <item m="1" x="271"/>
        <item m="1" x="275"/>
        <item m="1" x="354"/>
        <item m="1" x="279"/>
        <item m="1" x="355"/>
        <item m="1" x="356"/>
        <item m="1" x="357"/>
        <item m="1" x="358"/>
        <item m="1" x="359"/>
        <item m="1" x="360"/>
        <item m="1" x="361"/>
        <item m="1" x="362"/>
        <item m="1" x="343"/>
        <item m="1" x="344"/>
        <item m="1" x="345"/>
        <item m="1" x="346"/>
        <item m="1" x="347"/>
        <item m="1" x="348"/>
        <item x="182"/>
        <item m="1" x="350"/>
        <item x="125"/>
        <item m="1" x="274"/>
        <item m="1" x="276"/>
        <item x="175"/>
        <item m="1" x="295"/>
        <item x="123"/>
        <item x="130"/>
        <item x="138"/>
        <item x="145"/>
        <item x="152"/>
        <item m="1" x="249"/>
        <item x="171"/>
        <item x="173"/>
        <item m="1" x="252"/>
        <item x="178"/>
        <item m="1" x="256"/>
        <item m="1" x="258"/>
        <item x="188"/>
        <item m="1" x="260"/>
        <item x="201"/>
        <item x="14"/>
        <item x="1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1">
        <item x="58"/>
        <item m="1" x="227"/>
        <item x="0"/>
        <item x="48"/>
        <item m="1" x="319"/>
        <item m="1" x="179"/>
        <item m="1" x="329"/>
        <item m="1" x="104"/>
        <item x="72"/>
        <item m="1" x="127"/>
        <item x="95"/>
        <item x="92"/>
        <item m="1" x="288"/>
        <item m="1" x="317"/>
        <item m="1" x="106"/>
        <item m="1" x="171"/>
        <item m="1" x="290"/>
        <item m="1" x="270"/>
        <item m="1" x="305"/>
        <item m="1" x="247"/>
        <item m="1" x="130"/>
        <item m="1" x="112"/>
        <item m="1" x="261"/>
        <item m="1" x="273"/>
        <item m="1" x="278"/>
        <item m="1" x="131"/>
        <item x="80"/>
        <item x="64"/>
        <item m="1" x="249"/>
        <item m="1" x="311"/>
        <item x="32"/>
        <item m="1" x="215"/>
        <item x="8"/>
        <item m="1" x="200"/>
        <item m="1" x="265"/>
        <item m="1" x="260"/>
        <item m="1" x="117"/>
        <item x="68"/>
        <item m="1" x="223"/>
        <item m="1" x="314"/>
        <item m="1" x="173"/>
        <item m="1" x="315"/>
        <item m="1" x="241"/>
        <item x="61"/>
        <item m="1" x="257"/>
        <item x="42"/>
        <item m="1" x="132"/>
        <item m="1" x="119"/>
        <item m="1" x="188"/>
        <item m="1" x="147"/>
        <item m="1" x="180"/>
        <item m="1" x="202"/>
        <item m="1" x="141"/>
        <item m="1" x="217"/>
        <item x="26"/>
        <item x="7"/>
        <item m="1" x="113"/>
        <item x="22"/>
        <item m="1" x="196"/>
        <item x="36"/>
        <item m="1" x="218"/>
        <item x="81"/>
        <item m="1" x="186"/>
        <item m="1" x="250"/>
        <item x="90"/>
        <item m="1" x="162"/>
        <item m="1" x="116"/>
        <item m="1" x="310"/>
        <item x="88"/>
        <item m="1" x="198"/>
        <item m="1" x="292"/>
        <item x="13"/>
        <item x="17"/>
        <item x="9"/>
        <item m="1" x="304"/>
        <item m="1" x="266"/>
        <item x="11"/>
        <item x="30"/>
        <item m="1" x="219"/>
        <item x="54"/>
        <item m="1" x="282"/>
        <item m="1" x="124"/>
        <item x="47"/>
        <item m="1" x="272"/>
        <item m="1" x="148"/>
        <item m="1" x="123"/>
        <item x="25"/>
        <item m="1" x="103"/>
        <item m="1" x="291"/>
        <item m="1" x="174"/>
        <item m="1" x="100"/>
        <item m="1" x="178"/>
        <item m="1" x="121"/>
        <item m="1" x="139"/>
        <item m="1" x="105"/>
        <item x="6"/>
        <item m="1" x="230"/>
        <item m="1" x="324"/>
        <item m="1" x="254"/>
        <item m="1" x="149"/>
        <item x="35"/>
        <item x="18"/>
        <item m="1" x="222"/>
        <item x="84"/>
        <item m="1" x="155"/>
        <item m="1" x="327"/>
        <item m="1" x="146"/>
        <item x="55"/>
        <item m="1" x="158"/>
        <item x="20"/>
        <item x="70"/>
        <item m="1" x="143"/>
        <item m="1" x="192"/>
        <item m="1" x="187"/>
        <item m="1" x="240"/>
        <item m="1" x="307"/>
        <item m="1" x="157"/>
        <item m="1" x="98"/>
        <item x="69"/>
        <item m="1" x="211"/>
        <item x="63"/>
        <item x="76"/>
        <item m="1" x="233"/>
        <item m="1" x="239"/>
        <item m="1" x="212"/>
        <item x="43"/>
        <item x="65"/>
        <item x="37"/>
        <item m="1" x="320"/>
        <item m="1" x="170"/>
        <item m="1" x="166"/>
        <item m="1" x="120"/>
        <item x="62"/>
        <item m="1" x="204"/>
        <item x="24"/>
        <item x="57"/>
        <item m="1" x="115"/>
        <item m="1" x="107"/>
        <item m="1" x="144"/>
        <item x="75"/>
        <item m="1" x="163"/>
        <item m="1" x="161"/>
        <item m="1" x="264"/>
        <item m="1" x="300"/>
        <item x="27"/>
        <item m="1" x="194"/>
        <item m="1" x="280"/>
        <item m="1" x="267"/>
        <item m="1" x="236"/>
        <item m="1" x="289"/>
        <item m="1" x="136"/>
        <item m="1" x="208"/>
        <item m="1" x="138"/>
        <item m="1" x="182"/>
        <item m="1" x="302"/>
        <item m="1" x="172"/>
        <item m="1" x="154"/>
        <item m="1" x="235"/>
        <item m="1" x="228"/>
        <item m="1" x="322"/>
        <item x="52"/>
        <item m="1" x="213"/>
        <item m="1" x="313"/>
        <item m="1" x="160"/>
        <item m="1" x="256"/>
        <item m="1" x="286"/>
        <item m="1" x="299"/>
        <item m="1" x="101"/>
        <item x="71"/>
        <item x="4"/>
        <item x="44"/>
        <item m="1" x="189"/>
        <item m="1" x="210"/>
        <item m="1" x="323"/>
        <item m="1" x="128"/>
        <item m="1" x="114"/>
        <item x="12"/>
        <item x="41"/>
        <item m="1" x="245"/>
        <item m="1" x="248"/>
        <item m="1" x="253"/>
        <item m="1" x="152"/>
        <item x="15"/>
        <item m="1" x="281"/>
        <item x="59"/>
        <item m="1" x="177"/>
        <item m="1" x="191"/>
        <item x="3"/>
        <item x="40"/>
        <item m="1" x="287"/>
        <item m="1" x="185"/>
        <item x="67"/>
        <item m="1" x="258"/>
        <item m="1" x="195"/>
        <item x="56"/>
        <item x="53"/>
        <item m="1" x="321"/>
        <item m="1" x="184"/>
        <item m="1" x="99"/>
        <item x="45"/>
        <item m="1" x="201"/>
        <item m="1" x="283"/>
        <item m="1" x="220"/>
        <item m="1" x="259"/>
        <item m="1" x="207"/>
        <item m="1" x="102"/>
        <item m="1" x="190"/>
        <item x="51"/>
        <item x="38"/>
        <item x="34"/>
        <item m="1" x="268"/>
        <item m="1" x="110"/>
        <item x="49"/>
        <item m="1" x="297"/>
        <item m="1" x="193"/>
        <item m="1" x="303"/>
        <item m="1" x="150"/>
        <item m="1" x="175"/>
        <item m="1" x="255"/>
        <item m="1" x="125"/>
        <item m="1" x="209"/>
        <item m="1" x="279"/>
        <item x="39"/>
        <item m="1" x="243"/>
        <item m="1" x="269"/>
        <item x="60"/>
        <item m="1" x="153"/>
        <item m="1" x="316"/>
        <item m="1" x="251"/>
        <item m="1" x="129"/>
        <item m="1" x="295"/>
        <item m="1" x="214"/>
        <item m="1" x="275"/>
        <item x="74"/>
        <item m="1" x="237"/>
        <item m="1" x="108"/>
        <item m="1" x="135"/>
        <item m="1" x="140"/>
        <item m="1" x="318"/>
        <item x="85"/>
        <item m="1" x="183"/>
        <item m="1" x="225"/>
        <item m="1" x="176"/>
        <item m="1" x="293"/>
        <item m="1" x="308"/>
        <item m="1" x="221"/>
        <item m="1" x="262"/>
        <item m="1" x="224"/>
        <item m="1" x="301"/>
        <item x="83"/>
        <item m="1" x="142"/>
        <item m="1" x="109"/>
        <item m="1" x="111"/>
        <item x="50"/>
        <item m="1" x="133"/>
        <item m="1" x="137"/>
        <item x="87"/>
        <item m="1" x="312"/>
        <item m="1" x="226"/>
        <item x="89"/>
        <item m="1" x="298"/>
        <item x="78"/>
        <item m="1" x="284"/>
        <item x="91"/>
        <item m="1" x="206"/>
        <item m="1" x="203"/>
        <item x="66"/>
        <item x="77"/>
        <item m="1" x="167"/>
        <item m="1" x="326"/>
        <item m="1" x="271"/>
        <item m="1" x="118"/>
        <item m="1" x="325"/>
        <item x="16"/>
        <item m="1" x="151"/>
        <item x="86"/>
        <item x="28"/>
        <item m="1" x="328"/>
        <item x="21"/>
        <item x="82"/>
        <item x="10"/>
        <item m="1" x="330"/>
        <item m="1" x="165"/>
        <item m="1" x="294"/>
        <item m="1" x="309"/>
        <item x="79"/>
        <item x="2"/>
        <item m="1" x="246"/>
        <item m="1" x="238"/>
        <item m="1" x="181"/>
        <item x="46"/>
        <item m="1" x="296"/>
        <item m="1" x="285"/>
        <item x="73"/>
        <item m="1" x="122"/>
        <item x="5"/>
        <item m="1" x="242"/>
        <item m="1" x="156"/>
        <item x="29"/>
        <item x="23"/>
        <item m="1" x="205"/>
        <item x="33"/>
        <item m="1" x="306"/>
        <item m="1" x="244"/>
        <item x="93"/>
        <item x="19"/>
        <item m="1" x="168"/>
        <item m="1" x="159"/>
        <item x="94"/>
        <item x="96"/>
        <item x="1"/>
        <item m="1" x="134"/>
        <item m="1" x="197"/>
        <item x="31"/>
        <item m="1" x="199"/>
        <item m="1" x="263"/>
        <item m="1" x="229"/>
        <item m="1" x="277"/>
        <item m="1" x="276"/>
        <item m="1" x="164"/>
        <item m="1" x="274"/>
        <item m="1" x="97"/>
        <item m="1" x="126"/>
        <item m="1" x="231"/>
        <item m="1" x="232"/>
        <item m="1" x="234"/>
        <item m="1" x="145"/>
        <item m="1" x="252"/>
        <item m="1" x="216"/>
        <item m="1" x="169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9"/>
    <field x="30"/>
    <field x="4"/>
  </rowFields>
  <rowItems count="221">
    <i>
      <x v="1"/>
      <x v="2"/>
      <x/>
    </i>
    <i r="1">
      <x v="3"/>
      <x v="54"/>
    </i>
    <i r="1">
      <x v="8"/>
      <x v="342"/>
    </i>
    <i r="1">
      <x v="10"/>
      <x v="139"/>
    </i>
    <i r="1">
      <x v="11"/>
      <x v="355"/>
    </i>
    <i r="1">
      <x v="26"/>
      <x v="411"/>
    </i>
    <i r="1">
      <x v="27"/>
      <x v="123"/>
    </i>
    <i r="1">
      <x v="32"/>
      <x v="382"/>
    </i>
    <i r="1">
      <x v="37"/>
      <x v="365"/>
    </i>
    <i r="1">
      <x v="43"/>
      <x v="118"/>
    </i>
    <i r="1">
      <x v="45"/>
      <x v="243"/>
    </i>
    <i r="1">
      <x v="54"/>
      <x v="353"/>
    </i>
    <i r="1">
      <x v="57"/>
      <x v="334"/>
    </i>
    <i r="1">
      <x v="59"/>
      <x v="92"/>
    </i>
    <i r="1">
      <x v="64"/>
      <x v="138"/>
    </i>
    <i r="1">
      <x v="71"/>
      <x v="58"/>
    </i>
    <i r="1">
      <x v="82"/>
      <x v="386"/>
    </i>
    <i r="1">
      <x v="86"/>
      <x v="409"/>
    </i>
    <i r="1">
      <x v="100"/>
      <x v="19"/>
    </i>
    <i r="1">
      <x v="103"/>
      <x v="47"/>
    </i>
    <i r="1">
      <x v="109"/>
      <x v="56"/>
    </i>
    <i r="1">
      <x v="120"/>
      <x v="122"/>
    </i>
    <i r="1">
      <x v="121"/>
      <x v="39"/>
    </i>
    <i r="1">
      <x v="125"/>
      <x v="104"/>
    </i>
    <i r="1">
      <x v="126"/>
      <x v="124"/>
    </i>
    <i r="1">
      <x v="132"/>
      <x v="119"/>
    </i>
    <i r="1">
      <x v="139"/>
      <x v="38"/>
    </i>
    <i r="1">
      <x v="160"/>
      <x v="25"/>
    </i>
    <i r="1">
      <x v="184"/>
      <x v="330"/>
    </i>
    <i r="1">
      <x v="187"/>
      <x v="1"/>
    </i>
    <i r="1">
      <x v="194"/>
      <x v="112"/>
    </i>
    <i r="1">
      <x v="195"/>
      <x v="26"/>
    </i>
    <i r="1">
      <x v="199"/>
      <x v="328"/>
    </i>
    <i r="1">
      <x v="233"/>
      <x v="37"/>
    </i>
    <i r="1">
      <x v="239"/>
      <x v="49"/>
    </i>
    <i r="1">
      <x v="249"/>
      <x v="46"/>
    </i>
    <i r="1">
      <x v="253"/>
      <x v="108"/>
    </i>
    <i r="1">
      <x v="266"/>
      <x v="339"/>
    </i>
    <i r="1">
      <x v="267"/>
      <x v="425"/>
    </i>
    <i r="1">
      <x v="273"/>
      <x v="381"/>
    </i>
    <i r="1">
      <x v="275"/>
      <x v="134"/>
    </i>
    <i r="1">
      <x v="279"/>
      <x v="162"/>
    </i>
    <i r="1">
      <x v="285"/>
      <x v="42"/>
    </i>
    <i r="1">
      <x v="286"/>
      <x v="318"/>
    </i>
    <i r="1">
      <x v="290"/>
      <x v="24"/>
    </i>
    <i r="1">
      <x v="293"/>
      <x v="151"/>
    </i>
    <i r="1">
      <x v="305"/>
      <x v="374"/>
    </i>
    <i r="1">
      <x v="308"/>
      <x v="173"/>
    </i>
    <i r="2">
      <x v="176"/>
    </i>
    <i r="2">
      <x v="182"/>
    </i>
    <i r="2">
      <x v="187"/>
    </i>
    <i r="2">
      <x v="188"/>
    </i>
    <i r="2">
      <x v="189"/>
    </i>
    <i r="2">
      <x v="191"/>
    </i>
    <i r="2">
      <x v="193"/>
    </i>
    <i r="2">
      <x v="196"/>
    </i>
    <i r="2">
      <x v="202"/>
    </i>
    <i r="2">
      <x v="213"/>
    </i>
    <i r="2">
      <x v="217"/>
    </i>
    <i r="2">
      <x v="221"/>
    </i>
    <i r="2">
      <x v="265"/>
    </i>
    <i r="2">
      <x v="397"/>
    </i>
    <i r="2">
      <x v="398"/>
    </i>
    <i r="2">
      <x v="400"/>
    </i>
    <i r="2">
      <x v="404"/>
    </i>
    <i r="2">
      <x v="416"/>
    </i>
    <i r="2">
      <x v="417"/>
    </i>
    <i r="2">
      <x v="430"/>
    </i>
    <i r="2">
      <x v="458"/>
    </i>
    <i r="2">
      <x v="459"/>
    </i>
    <i r="2">
      <x v="461"/>
    </i>
    <i r="2">
      <x v="471"/>
    </i>
    <i r="2">
      <x v="482"/>
    </i>
    <i r="2">
      <x v="484"/>
    </i>
    <i r="2">
      <x v="485"/>
    </i>
    <i r="2">
      <x v="486"/>
    </i>
    <i r="2">
      <x v="487"/>
    </i>
    <i r="2">
      <x v="488"/>
    </i>
    <i r="2">
      <x v="489"/>
    </i>
    <i r="2">
      <x v="490"/>
    </i>
    <i r="2">
      <x v="491"/>
    </i>
    <i r="2">
      <x v="492"/>
    </i>
    <i r="2">
      <x v="494"/>
    </i>
    <i r="2">
      <x v="495"/>
    </i>
    <i r="2">
      <x v="496"/>
    </i>
    <i r="2">
      <x v="497"/>
    </i>
    <i r="2">
      <x v="499"/>
    </i>
    <i r="2">
      <x v="504"/>
    </i>
    <i r="2">
      <x v="514"/>
    </i>
    <i r="2">
      <x v="525"/>
    </i>
    <i r="2">
      <x v="526"/>
    </i>
    <i r="2">
      <x v="527"/>
    </i>
    <i r="2">
      <x v="528"/>
    </i>
    <i r="2">
      <x v="529"/>
    </i>
    <i r="2">
      <x v="530"/>
    </i>
    <i r="2">
      <x v="531"/>
    </i>
    <i r="2">
      <x v="532"/>
    </i>
    <i r="2">
      <x v="537"/>
    </i>
    <i r="2">
      <x v="538"/>
    </i>
    <i r="2">
      <x v="540"/>
    </i>
    <i r="2">
      <x v="544"/>
    </i>
    <i r="2">
      <x v="550"/>
    </i>
    <i r="2">
      <x v="554"/>
    </i>
    <i r="2">
      <x v="571"/>
    </i>
    <i r="2">
      <x v="574"/>
    </i>
    <i r="2">
      <x v="625"/>
    </i>
    <i r="2">
      <x v="627"/>
    </i>
    <i r="2">
      <x v="628"/>
    </i>
    <i r="2">
      <x v="630"/>
    </i>
    <i r="2">
      <x v="631"/>
    </i>
    <i r="2">
      <x v="636"/>
    </i>
    <i r="2">
      <x v="641"/>
    </i>
    <i r="2">
      <x v="643"/>
    </i>
    <i r="1">
      <x v="310"/>
      <x v="473"/>
    </i>
    <i r="1">
      <x v="313"/>
      <x v="476"/>
    </i>
    <i>
      <x v="2"/>
      <x/>
      <x v="115"/>
    </i>
    <i r="1">
      <x v="30"/>
      <x v="157"/>
    </i>
    <i r="1">
      <x v="55"/>
      <x v="69"/>
    </i>
    <i r="1">
      <x v="61"/>
      <x v="249"/>
    </i>
    <i r="1">
      <x v="68"/>
      <x v="67"/>
    </i>
    <i r="1">
      <x v="72"/>
      <x v="9"/>
    </i>
    <i r="1">
      <x v="73"/>
      <x v="241"/>
    </i>
    <i r="1">
      <x v="76"/>
      <x v="71"/>
    </i>
    <i r="1">
      <x v="77"/>
      <x v="17"/>
    </i>
    <i r="1">
      <x v="79"/>
      <x v="27"/>
    </i>
    <i r="1">
      <x v="95"/>
      <x v="3"/>
    </i>
    <i r="1">
      <x v="101"/>
      <x v="242"/>
    </i>
    <i r="1">
      <x v="107"/>
      <x v="111"/>
    </i>
    <i r="1">
      <x v="110"/>
      <x v="370"/>
    </i>
    <i r="1">
      <x v="118"/>
      <x v="149"/>
    </i>
    <i r="1">
      <x v="127"/>
      <x v="94"/>
    </i>
    <i r="1">
      <x v="134"/>
      <x v="142"/>
    </i>
    <i r="1">
      <x v="135"/>
      <x v="268"/>
    </i>
    <i r="1">
      <x v="144"/>
      <x v="87"/>
    </i>
    <i r="1">
      <x v="168"/>
      <x v="292"/>
    </i>
    <i r="1">
      <x v="169"/>
      <x v="230"/>
    </i>
    <i r="1">
      <x v="170"/>
      <x v="105"/>
    </i>
    <i r="1">
      <x v="176"/>
      <x v="73"/>
    </i>
    <i r="1">
      <x v="177"/>
      <x v="23"/>
    </i>
    <i r="1">
      <x v="182"/>
      <x v="8"/>
    </i>
    <i r="1">
      <x v="188"/>
      <x v="276"/>
    </i>
    <i r="1">
      <x v="191"/>
      <x v="246"/>
    </i>
    <i r="1">
      <x v="207"/>
      <x v="109"/>
    </i>
    <i r="1">
      <x v="208"/>
      <x v="225"/>
    </i>
    <i r="1">
      <x v="209"/>
      <x v="91"/>
    </i>
    <i r="1">
      <x v="212"/>
      <x v="107"/>
    </i>
    <i r="1">
      <x v="222"/>
      <x v="267"/>
    </i>
    <i r="1">
      <x v="225"/>
      <x v="148"/>
    </i>
    <i r="1">
      <x v="256"/>
      <x v="237"/>
    </i>
    <i r="1">
      <x v="259"/>
      <x v="378"/>
    </i>
    <i r="1">
      <x v="261"/>
      <x v="41"/>
    </i>
    <i r="1">
      <x v="263"/>
      <x v="287"/>
    </i>
    <i r="1">
      <x v="276"/>
      <x v="13"/>
    </i>
    <i r="1">
      <x v="278"/>
      <x v="141"/>
    </i>
    <i r="1">
      <x v="280"/>
      <x v="270"/>
    </i>
    <i r="1">
      <x v="295"/>
      <x v="156"/>
    </i>
    <i r="1">
      <x v="298"/>
      <x v="16"/>
    </i>
    <i r="1">
      <x v="299"/>
      <x v="81"/>
    </i>
    <i r="1">
      <x v="301"/>
      <x v="18"/>
    </i>
    <i r="1">
      <x v="304"/>
      <x v="52"/>
    </i>
    <i r="1">
      <x v="308"/>
      <x v="166"/>
    </i>
    <i r="2">
      <x v="168"/>
    </i>
    <i r="2">
      <x v="169"/>
    </i>
    <i r="2">
      <x v="171"/>
    </i>
    <i r="2">
      <x v="172"/>
    </i>
    <i r="2">
      <x v="175"/>
    </i>
    <i r="2">
      <x v="179"/>
    </i>
    <i r="2">
      <x v="180"/>
    </i>
    <i r="2">
      <x v="181"/>
    </i>
    <i r="2">
      <x v="182"/>
    </i>
    <i r="2">
      <x v="186"/>
    </i>
    <i r="2">
      <x v="187"/>
    </i>
    <i r="2">
      <x v="192"/>
    </i>
    <i r="2">
      <x v="195"/>
    </i>
    <i r="2">
      <x v="196"/>
    </i>
    <i r="2">
      <x v="197"/>
    </i>
    <i r="2">
      <x v="198"/>
    </i>
    <i r="2">
      <x v="201"/>
    </i>
    <i r="2">
      <x v="202"/>
    </i>
    <i r="2">
      <x v="204"/>
    </i>
    <i r="2">
      <x v="205"/>
    </i>
    <i r="2">
      <x v="206"/>
    </i>
    <i r="2">
      <x v="207"/>
    </i>
    <i r="2">
      <x v="208"/>
    </i>
    <i r="2">
      <x v="211"/>
    </i>
    <i r="2">
      <x v="212"/>
    </i>
    <i r="2">
      <x v="213"/>
    </i>
    <i r="2">
      <x v="216"/>
    </i>
    <i r="2">
      <x v="217"/>
    </i>
    <i r="2">
      <x v="218"/>
    </i>
    <i r="2">
      <x v="222"/>
    </i>
    <i r="2">
      <x v="266"/>
    </i>
    <i r="2">
      <x v="281"/>
    </i>
    <i r="2">
      <x v="351"/>
    </i>
    <i r="2">
      <x v="354"/>
    </i>
    <i r="2">
      <x v="404"/>
    </i>
    <i r="2">
      <x v="483"/>
    </i>
    <i r="2">
      <x v="498"/>
    </i>
    <i r="2">
      <x v="503"/>
    </i>
    <i r="2">
      <x v="504"/>
    </i>
    <i r="2">
      <x v="505"/>
    </i>
    <i r="2">
      <x v="511"/>
    </i>
    <i r="2">
      <x v="512"/>
    </i>
    <i r="2">
      <x v="522"/>
    </i>
    <i r="2">
      <x v="533"/>
    </i>
    <i r="2">
      <x v="535"/>
    </i>
    <i r="2">
      <x v="536"/>
    </i>
    <i r="2">
      <x v="543"/>
    </i>
    <i r="2">
      <x v="551"/>
    </i>
    <i r="2">
      <x v="620"/>
    </i>
    <i r="2">
      <x v="622"/>
    </i>
    <i r="2">
      <x v="625"/>
    </i>
    <i r="2">
      <x v="627"/>
    </i>
    <i r="2">
      <x v="629"/>
    </i>
    <i r="2">
      <x v="630"/>
    </i>
    <i r="2">
      <x v="633"/>
    </i>
    <i r="2">
      <x v="634"/>
    </i>
    <i r="2">
      <x v="639"/>
    </i>
    <i r="2">
      <x v="641"/>
    </i>
    <i r="1">
      <x v="330"/>
      <x v="642"/>
    </i>
    <i>
      <x v="3"/>
      <x v="309"/>
      <x v="68"/>
    </i>
  </rowItems>
  <colItems count="1">
    <i/>
  </colItems>
  <dataFields count="1">
    <dataField name="Ll. ACD" fld="27" baseField="0" baseItem="0"/>
  </dataFields>
  <formats count="902">
    <format dxfId="901">
      <pivotArea field="29" type="button" dataOnly="0" labelOnly="1" outline="0" axis="axisRow" fieldPosition="0"/>
    </format>
    <format dxfId="900">
      <pivotArea field="30" type="button" dataOnly="0" labelOnly="1" outline="0" axis="axisRow" fieldPosition="1"/>
    </format>
    <format dxfId="899">
      <pivotArea field="4" type="button" dataOnly="0" labelOnly="1" outline="0" axis="axisRow" fieldPosition="2"/>
    </format>
    <format dxfId="898">
      <pivotArea dataOnly="0" labelOnly="1" outline="0" axis="axisValues" fieldPosition="0"/>
    </format>
    <format dxfId="897">
      <pivotArea outline="0" collapsedLevelsAreSubtotals="1" fieldPosition="0"/>
    </format>
    <format dxfId="896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895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894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893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892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891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890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889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888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887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886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885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884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883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882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881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880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879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878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877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876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875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874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873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872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871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870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869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868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867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866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865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864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863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862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861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860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859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858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857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856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855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854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853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852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851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850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849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848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847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846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845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844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843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842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841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840">
      <pivotArea dataOnly="0" labelOnly="1" outline="0" fieldPosition="0">
        <references count="1">
          <reference field="29" count="0"/>
        </references>
      </pivotArea>
    </format>
    <format dxfId="839">
      <pivotArea dataOnly="0" labelOnly="1" outline="0" fieldPosition="0">
        <references count="1">
          <reference field="29" count="0"/>
        </references>
      </pivotArea>
    </format>
    <format dxfId="838">
      <pivotArea dataOnly="0" labelOnly="1" outline="0" fieldPosition="0">
        <references count="1">
          <reference field="29" count="0"/>
        </references>
      </pivotArea>
    </format>
    <format dxfId="837">
      <pivotArea outline="0" collapsedLevelsAreSubtotals="1" fieldPosition="0"/>
    </format>
    <format dxfId="836">
      <pivotArea dataOnly="0" labelOnly="1" outline="0" fieldPosition="0">
        <references count="1">
          <reference field="29" count="0"/>
        </references>
      </pivotArea>
    </format>
    <format dxfId="835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834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833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832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831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830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829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828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827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826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825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824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823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822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821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820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819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818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817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816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815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814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813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812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811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810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809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808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807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806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805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804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803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802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801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800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799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798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797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796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795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794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793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792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791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790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789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788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787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786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785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784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783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782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781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780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779">
      <pivotArea outline="0" collapsedLevelsAreSubtotals="1" fieldPosition="0"/>
    </format>
    <format dxfId="778">
      <pivotArea dataOnly="0" labelOnly="1" outline="0" fieldPosition="0">
        <references count="1">
          <reference field="29" count="0"/>
        </references>
      </pivotArea>
    </format>
    <format dxfId="777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776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775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774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773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772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771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770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769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768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767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766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765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764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763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762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761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760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759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758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757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756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755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754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753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752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751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750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749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748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747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746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745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744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743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742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741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740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739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738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737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736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735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734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733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732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731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730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729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728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727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726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725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724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723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722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721">
      <pivotArea outline="0" collapsedLevelsAreSubtotals="1" fieldPosition="0"/>
    </format>
    <format dxfId="720">
      <pivotArea dataOnly="0" labelOnly="1" outline="0" fieldPosition="0">
        <references count="1">
          <reference field="29" count="0"/>
        </references>
      </pivotArea>
    </format>
    <format dxfId="719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718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717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716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715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714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713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712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711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710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709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708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707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706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705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704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703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702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701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700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699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698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697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696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695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694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693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692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691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690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689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688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687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686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685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684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683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682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681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680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679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678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677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676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675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674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673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672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671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670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669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668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667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666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665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664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663">
      <pivotArea outline="0" collapsedLevelsAreSubtotals="1" fieldPosition="0"/>
    </format>
    <format dxfId="662">
      <pivotArea dataOnly="0" labelOnly="1" outline="0" fieldPosition="0">
        <references count="1">
          <reference field="29" count="0"/>
        </references>
      </pivotArea>
    </format>
    <format dxfId="661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660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659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658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657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656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655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654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653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652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651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650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649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648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647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646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645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644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643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642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641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640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639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638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637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636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635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634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633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632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631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630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629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628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627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626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625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624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623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622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621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620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619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618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617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616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615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614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613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612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611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610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609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608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607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606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605">
      <pivotArea outline="0" collapsedLevelsAreSubtotals="1" fieldPosition="0"/>
    </format>
    <format dxfId="604">
      <pivotArea dataOnly="0" labelOnly="1" outline="0" fieldPosition="0">
        <references count="1">
          <reference field="29" count="0"/>
        </references>
      </pivotArea>
    </format>
    <format dxfId="603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602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601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600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599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598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597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596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595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594">
      <pivotArea dataOnly="0" labelOnly="1" outline="0" fieldPosition="0">
        <references count="3">
          <reference field="4" count="1">
            <x v="43"/>
          </reference>
          <reference field="29" count="1" selected="0">
            <x v="1"/>
          </reference>
          <reference field="30" count="1" selected="0">
            <x v="113"/>
          </reference>
        </references>
      </pivotArea>
    </format>
    <format dxfId="593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592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591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590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589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588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587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586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585">
      <pivotArea dataOnly="0" labelOnly="1" outline="0" fieldPosition="0">
        <references count="3">
          <reference field="4" count="1">
            <x v="26"/>
          </reference>
          <reference field="29" count="1" selected="0">
            <x v="1"/>
          </reference>
          <reference field="30" count="1" selected="0">
            <x v="195"/>
          </reference>
        </references>
      </pivotArea>
    </format>
    <format dxfId="584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583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582">
      <pivotArea dataOnly="0" labelOnly="1" outline="0" fieldPosition="0">
        <references count="3">
          <reference field="4" count="1">
            <x v="44"/>
          </reference>
          <reference field="29" count="1" selected="0">
            <x v="1"/>
          </reference>
          <reference field="30" count="1" selected="0">
            <x v="217"/>
          </reference>
        </references>
      </pivotArea>
    </format>
    <format dxfId="581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580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579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578">
      <pivotArea dataOnly="0" labelOnly="1" outline="0" fieldPosition="0">
        <references count="3">
          <reference field="4" count="1">
            <x v="30"/>
          </reference>
          <reference field="29" count="1" selected="0">
            <x v="1"/>
          </reference>
          <reference field="30" count="1" selected="0">
            <x v="235"/>
          </reference>
        </references>
      </pivotArea>
    </format>
    <format dxfId="577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576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575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574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573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572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571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570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569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568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567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566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565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564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563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562">
      <pivotArea dataOnly="0" labelOnly="1" outline="0" fieldPosition="0">
        <references count="3">
          <reference field="4" count="1">
            <x v="4"/>
          </reference>
          <reference field="29" count="1" selected="0">
            <x v="2"/>
          </reference>
          <reference field="30" count="1" selected="0">
            <x v="117"/>
          </reference>
        </references>
      </pivotArea>
    </format>
    <format dxfId="561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560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559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558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557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556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555">
      <pivotArea dataOnly="0" labelOnly="1" outline="0" fieldPosition="0">
        <references count="3">
          <reference field="4" count="1">
            <x v="10"/>
          </reference>
          <reference field="29" count="1" selected="0">
            <x v="2"/>
          </reference>
          <reference field="30" count="1" selected="0">
            <x v="205"/>
          </reference>
        </references>
      </pivotArea>
    </format>
    <format dxfId="554">
      <pivotArea dataOnly="0" labelOnly="1" outline="0" fieldPosition="0">
        <references count="3">
          <reference field="4" count="1">
            <x v="21"/>
          </reference>
          <reference field="29" count="1" selected="0">
            <x v="2"/>
          </reference>
          <reference field="30" count="1" selected="0">
            <x v="219"/>
          </reference>
        </references>
      </pivotArea>
    </format>
    <format dxfId="553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552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551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550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549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548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547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546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545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544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543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542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541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540">
      <pivotArea dataOnly="0" labelOnly="1" outline="0" fieldPosition="0">
        <references count="3">
          <reference field="4" count="1">
            <x v="22"/>
          </reference>
          <reference field="29" count="1" selected="0">
            <x v="2"/>
          </reference>
          <reference field="30" count="1" selected="0">
            <x v="46"/>
          </reference>
        </references>
      </pivotArea>
    </format>
    <format dxfId="539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538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537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536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535">
      <pivotArea dataOnly="0" labelOnly="1" outline="0" fieldPosition="0">
        <references count="2">
          <reference field="29" count="1" selected="0">
            <x v="1"/>
          </reference>
          <reference field="30" count="29">
            <x v="2"/>
            <x v="4"/>
            <x v="18"/>
            <x v="20"/>
            <x v="100"/>
            <x v="103"/>
            <x v="113"/>
            <x v="121"/>
            <x v="139"/>
            <x v="145"/>
            <x v="152"/>
            <x v="160"/>
            <x v="163"/>
            <x v="175"/>
            <x v="187"/>
            <x v="195"/>
            <x v="210"/>
            <x v="211"/>
            <x v="217"/>
            <x v="221"/>
            <x v="224"/>
            <x v="233"/>
            <x v="235"/>
            <x v="239"/>
            <x v="242"/>
            <x v="249"/>
            <x v="257"/>
            <x v="285"/>
            <x v="290"/>
          </reference>
        </references>
      </pivotArea>
    </format>
    <format dxfId="534">
      <pivotArea dataOnly="0" labelOnly="1" outline="0" fieldPosition="0">
        <references count="2">
          <reference field="29" count="1" selected="0">
            <x v="2"/>
          </reference>
          <reference field="30" count="21">
            <x v="21"/>
            <x v="39"/>
            <x v="46"/>
            <x v="48"/>
            <x v="72"/>
            <x v="77"/>
            <x v="79"/>
            <x v="85"/>
            <x v="95"/>
            <x v="117"/>
            <x v="136"/>
            <x v="143"/>
            <x v="174"/>
            <x v="177"/>
            <x v="182"/>
            <x v="198"/>
            <x v="205"/>
            <x v="219"/>
            <x v="252"/>
            <x v="261"/>
            <x v="276"/>
          </reference>
        </references>
      </pivotArea>
    </format>
    <format dxfId="533">
      <pivotArea dataOnly="0" labelOnly="1" outline="0" fieldPosition="0">
        <references count="2">
          <reference field="29" count="1" selected="0">
            <x v="2"/>
          </reference>
          <reference field="30" count="3">
            <x v="298"/>
            <x v="301"/>
            <x v="304"/>
          </reference>
        </references>
      </pivotArea>
    </format>
    <format dxfId="532">
      <pivotArea outline="0" collapsedLevelsAreSubtotals="1" fieldPosition="0"/>
    </format>
    <format dxfId="531">
      <pivotArea dataOnly="0" labelOnly="1" outline="0" fieldPosition="0">
        <references count="1">
          <reference field="29" count="0"/>
        </references>
      </pivotArea>
    </format>
    <format dxfId="530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20"/>
            <x v="100"/>
            <x v="121"/>
            <x v="224"/>
            <x v="239"/>
          </reference>
        </references>
      </pivotArea>
    </format>
    <format dxfId="529">
      <pivotArea dataOnly="0" labelOnly="1" outline="0" fieldPosition="0">
        <references count="2">
          <reference field="29" count="1" selected="0">
            <x v="2"/>
          </reference>
          <reference field="30" count="8">
            <x v="72"/>
            <x v="79"/>
            <x v="95"/>
            <x v="143"/>
            <x v="174"/>
            <x v="177"/>
            <x v="182"/>
            <x v="198"/>
          </reference>
        </references>
      </pivotArea>
    </format>
    <format dxfId="528">
      <pivotArea dataOnly="0" labelOnly="1" outline="0" fieldPosition="0">
        <references count="2">
          <reference field="29" count="1" selected="0">
            <x v="2"/>
          </reference>
          <reference field="30" count="5">
            <x v="246"/>
            <x v="261"/>
            <x v="276"/>
            <x v="298"/>
            <x v="304"/>
          </reference>
        </references>
      </pivotArea>
    </format>
    <format dxfId="527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526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525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524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523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522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521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520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519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518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517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516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515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514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513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512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511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510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509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508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507">
      <pivotArea outline="0" collapsedLevelsAreSubtotals="1" fieldPosition="0"/>
    </format>
    <format dxfId="506">
      <pivotArea dataOnly="0" labelOnly="1" outline="0" fieldPosition="0">
        <references count="1">
          <reference field="29" count="0"/>
        </references>
      </pivotArea>
    </format>
    <format dxfId="505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20"/>
            <x v="100"/>
            <x v="121"/>
            <x v="224"/>
            <x v="239"/>
          </reference>
        </references>
      </pivotArea>
    </format>
    <format dxfId="504">
      <pivotArea dataOnly="0" labelOnly="1" outline="0" fieldPosition="0">
        <references count="2">
          <reference field="29" count="1" selected="0">
            <x v="2"/>
          </reference>
          <reference field="30" count="8">
            <x v="72"/>
            <x v="79"/>
            <x v="95"/>
            <x v="143"/>
            <x v="174"/>
            <x v="177"/>
            <x v="182"/>
            <x v="198"/>
          </reference>
        </references>
      </pivotArea>
    </format>
    <format dxfId="503">
      <pivotArea dataOnly="0" labelOnly="1" outline="0" fieldPosition="0">
        <references count="2">
          <reference field="29" count="1" selected="0">
            <x v="2"/>
          </reference>
          <reference field="30" count="5">
            <x v="246"/>
            <x v="261"/>
            <x v="276"/>
            <x v="298"/>
            <x v="304"/>
          </reference>
        </references>
      </pivotArea>
    </format>
    <format dxfId="502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501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500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499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498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497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496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495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494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493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492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491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490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489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488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487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486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485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484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483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482">
      <pivotArea outline="0" collapsedLevelsAreSubtotals="1" fieldPosition="0"/>
    </format>
    <format dxfId="481">
      <pivotArea dataOnly="0" labelOnly="1" outline="0" fieldPosition="0">
        <references count="1">
          <reference field="29" count="0"/>
        </references>
      </pivotArea>
    </format>
    <format dxfId="480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20"/>
            <x v="100"/>
            <x v="121"/>
            <x v="224"/>
            <x v="239"/>
          </reference>
        </references>
      </pivotArea>
    </format>
    <format dxfId="479">
      <pivotArea dataOnly="0" labelOnly="1" outline="0" fieldPosition="0">
        <references count="2">
          <reference field="29" count="1" selected="0">
            <x v="2"/>
          </reference>
          <reference field="30" count="8">
            <x v="72"/>
            <x v="79"/>
            <x v="95"/>
            <x v="143"/>
            <x v="174"/>
            <x v="177"/>
            <x v="182"/>
            <x v="198"/>
          </reference>
        </references>
      </pivotArea>
    </format>
    <format dxfId="478">
      <pivotArea dataOnly="0" labelOnly="1" outline="0" fieldPosition="0">
        <references count="2">
          <reference field="29" count="1" selected="0">
            <x v="2"/>
          </reference>
          <reference field="30" count="5">
            <x v="246"/>
            <x v="261"/>
            <x v="276"/>
            <x v="298"/>
            <x v="304"/>
          </reference>
        </references>
      </pivotArea>
    </format>
    <format dxfId="477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476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475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474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473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472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471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470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469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468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467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466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465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464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463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462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461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460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459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458">
      <pivotArea dataOnly="0" labelOnly="1" outline="0" fieldPosition="0">
        <references count="3">
          <reference field="4" count="1">
            <x v="52"/>
          </reference>
          <reference field="29" count="1" selected="0">
            <x v="2"/>
          </reference>
          <reference field="30" count="1" selected="0">
            <x v="304"/>
          </reference>
        </references>
      </pivotArea>
    </format>
    <format dxfId="457">
      <pivotArea outline="0" collapsedLevelsAreSubtotals="1" fieldPosition="0"/>
    </format>
    <format dxfId="456">
      <pivotArea dataOnly="0" labelOnly="1" outline="0" fieldPosition="0">
        <references count="1">
          <reference field="29" count="0"/>
        </references>
      </pivotArea>
    </format>
    <format dxfId="455">
      <pivotArea dataOnly="0" labelOnly="1" outline="0" fieldPosition="0">
        <references count="2">
          <reference field="29" count="1" selected="0">
            <x v="1"/>
          </reference>
          <reference field="30" count="10">
            <x v="2"/>
            <x v="3"/>
            <x v="4"/>
            <x v="20"/>
            <x v="103"/>
            <x v="160"/>
            <x v="175"/>
            <x v="224"/>
            <x v="242"/>
            <x v="257"/>
          </reference>
        </references>
      </pivotArea>
    </format>
    <format dxfId="454">
      <pivotArea dataOnly="0" labelOnly="1" outline="0" fieldPosition="0">
        <references count="2">
          <reference field="29" count="1" selected="0">
            <x v="2"/>
          </reference>
          <reference field="30" count="6">
            <x v="21"/>
            <x v="77"/>
            <x v="95"/>
            <x v="136"/>
            <x v="177"/>
            <x v="246"/>
          </reference>
        </references>
      </pivotArea>
    </format>
    <format dxfId="453">
      <pivotArea dataOnly="0" labelOnly="1" outline="0" fieldPosition="0">
        <references count="2">
          <reference field="29" count="1" selected="0">
            <x v="2"/>
          </reference>
          <reference field="30" count="2">
            <x v="252"/>
            <x v="301"/>
          </reference>
        </references>
      </pivotArea>
    </format>
    <format dxfId="452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451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450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449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448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447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446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445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444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443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442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441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440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439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438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437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436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435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434">
      <pivotArea type="all" dataOnly="0" outline="0" fieldPosition="0"/>
    </format>
    <format dxfId="433">
      <pivotArea outline="0" collapsedLevelsAreSubtotals="1" fieldPosition="0"/>
    </format>
    <format dxfId="432">
      <pivotArea field="29" type="button" dataOnly="0" labelOnly="1" outline="0" axis="axisRow" fieldPosition="0"/>
    </format>
    <format dxfId="431">
      <pivotArea field="30" type="button" dataOnly="0" labelOnly="1" outline="0" axis="axisRow" fieldPosition="1"/>
    </format>
    <format dxfId="430">
      <pivotArea field="4" type="button" dataOnly="0" labelOnly="1" outline="0" axis="axisRow" fieldPosition="2"/>
    </format>
    <format dxfId="429">
      <pivotArea dataOnly="0" labelOnly="1" outline="0" fieldPosition="0">
        <references count="1">
          <reference field="29" count="0"/>
        </references>
      </pivotArea>
    </format>
    <format dxfId="428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03"/>
            <x v="145"/>
            <x v="163"/>
            <x v="224"/>
            <x v="257"/>
          </reference>
        </references>
      </pivotArea>
    </format>
    <format dxfId="427">
      <pivotArea dataOnly="0" labelOnly="1" outline="0" fieldPosition="0">
        <references count="2">
          <reference field="29" count="1" selected="0">
            <x v="2"/>
          </reference>
          <reference field="30" count="6">
            <x v="72"/>
            <x v="77"/>
            <x v="95"/>
            <x v="182"/>
            <x v="246"/>
            <x v="298"/>
          </reference>
        </references>
      </pivotArea>
    </format>
    <format dxfId="426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425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424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423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422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421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420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419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418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417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416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415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414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413">
      <pivotArea dataOnly="0" labelOnly="1" outline="0" axis="axisValues" fieldPosition="0"/>
    </format>
    <format dxfId="412">
      <pivotArea type="all" dataOnly="0" outline="0" fieldPosition="0"/>
    </format>
    <format dxfId="411">
      <pivotArea outline="0" collapsedLevelsAreSubtotals="1" fieldPosition="0"/>
    </format>
    <format dxfId="410">
      <pivotArea field="29" type="button" dataOnly="0" labelOnly="1" outline="0" axis="axisRow" fieldPosition="0"/>
    </format>
    <format dxfId="409">
      <pivotArea field="30" type="button" dataOnly="0" labelOnly="1" outline="0" axis="axisRow" fieldPosition="1"/>
    </format>
    <format dxfId="408">
      <pivotArea field="4" type="button" dataOnly="0" labelOnly="1" outline="0" axis="axisRow" fieldPosition="2"/>
    </format>
    <format dxfId="407">
      <pivotArea dataOnly="0" labelOnly="1" outline="0" fieldPosition="0">
        <references count="1">
          <reference field="29" count="0"/>
        </references>
      </pivotArea>
    </format>
    <format dxfId="406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03"/>
            <x v="145"/>
            <x v="163"/>
            <x v="224"/>
            <x v="257"/>
          </reference>
        </references>
      </pivotArea>
    </format>
    <format dxfId="405">
      <pivotArea dataOnly="0" labelOnly="1" outline="0" fieldPosition="0">
        <references count="2">
          <reference field="29" count="1" selected="0">
            <x v="2"/>
          </reference>
          <reference field="30" count="6">
            <x v="72"/>
            <x v="77"/>
            <x v="95"/>
            <x v="182"/>
            <x v="246"/>
            <x v="298"/>
          </reference>
        </references>
      </pivotArea>
    </format>
    <format dxfId="404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403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402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401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400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399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98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397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96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95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394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393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392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391">
      <pivotArea dataOnly="0" labelOnly="1" outline="0" axis="axisValues" fieldPosition="0"/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29" type="button" dataOnly="0" labelOnly="1" outline="0" axis="axisRow" fieldPosition="0"/>
    </format>
    <format dxfId="387">
      <pivotArea field="30" type="button" dataOnly="0" labelOnly="1" outline="0" axis="axisRow" fieldPosition="1"/>
    </format>
    <format dxfId="386">
      <pivotArea field="4" type="button" dataOnly="0" labelOnly="1" outline="0" axis="axisRow" fieldPosition="2"/>
    </format>
    <format dxfId="385">
      <pivotArea dataOnly="0" labelOnly="1" outline="0" fieldPosition="0">
        <references count="1">
          <reference field="29" count="0"/>
        </references>
      </pivotArea>
    </format>
    <format dxfId="384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03"/>
            <x v="145"/>
            <x v="163"/>
            <x v="224"/>
            <x v="257"/>
          </reference>
        </references>
      </pivotArea>
    </format>
    <format dxfId="383">
      <pivotArea dataOnly="0" labelOnly="1" outline="0" fieldPosition="0">
        <references count="2">
          <reference field="29" count="1" selected="0">
            <x v="2"/>
          </reference>
          <reference field="30" count="6">
            <x v="72"/>
            <x v="77"/>
            <x v="95"/>
            <x v="182"/>
            <x v="246"/>
            <x v="298"/>
          </reference>
        </references>
      </pivotArea>
    </format>
    <format dxfId="382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381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380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379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378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377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76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375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74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73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372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371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370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369">
      <pivotArea dataOnly="0" labelOnly="1" outline="0" axis="axisValues" fieldPosition="0"/>
    </format>
    <format dxfId="368">
      <pivotArea type="all" dataOnly="0" outline="0" fieldPosition="0"/>
    </format>
    <format dxfId="367">
      <pivotArea outline="0" collapsedLevelsAreSubtotals="1" fieldPosition="0"/>
    </format>
    <format dxfId="366">
      <pivotArea field="29" type="button" dataOnly="0" labelOnly="1" outline="0" axis="axisRow" fieldPosition="0"/>
    </format>
    <format dxfId="365">
      <pivotArea field="30" type="button" dataOnly="0" labelOnly="1" outline="0" axis="axisRow" fieldPosition="1"/>
    </format>
    <format dxfId="364">
      <pivotArea field="4" type="button" dataOnly="0" labelOnly="1" outline="0" axis="axisRow" fieldPosition="2"/>
    </format>
    <format dxfId="363">
      <pivotArea dataOnly="0" labelOnly="1" outline="0" fieldPosition="0">
        <references count="1">
          <reference field="29" count="0"/>
        </references>
      </pivotArea>
    </format>
    <format dxfId="362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03"/>
            <x v="145"/>
            <x v="163"/>
            <x v="224"/>
            <x v="257"/>
          </reference>
        </references>
      </pivotArea>
    </format>
    <format dxfId="361">
      <pivotArea dataOnly="0" labelOnly="1" outline="0" fieldPosition="0">
        <references count="2">
          <reference field="29" count="1" selected="0">
            <x v="2"/>
          </reference>
          <reference field="30" count="6">
            <x v="72"/>
            <x v="77"/>
            <x v="95"/>
            <x v="182"/>
            <x v="246"/>
            <x v="298"/>
          </reference>
        </references>
      </pivotArea>
    </format>
    <format dxfId="360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359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358">
      <pivotArea dataOnly="0" labelOnly="1" outline="0" fieldPosition="0">
        <references count="3">
          <reference field="4" count="1">
            <x v="47"/>
          </reference>
          <reference field="29" count="1" selected="0">
            <x v="1"/>
          </reference>
          <reference field="30" count="1" selected="0">
            <x v="103"/>
          </reference>
        </references>
      </pivotArea>
    </format>
    <format dxfId="357">
      <pivotArea dataOnly="0" labelOnly="1" outline="0" fieldPosition="0">
        <references count="3">
          <reference field="4" count="1">
            <x v="20"/>
          </reference>
          <reference field="29" count="1" selected="0">
            <x v="1"/>
          </reference>
          <reference field="30" count="1" selected="0">
            <x v="145"/>
          </reference>
        </references>
      </pivotArea>
    </format>
    <format dxfId="356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355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54">
      <pivotArea dataOnly="0" labelOnly="1" outline="0" fieldPosition="0">
        <references count="3">
          <reference field="4" count="1">
            <x v="48"/>
          </reference>
          <reference field="29" count="1" selected="0">
            <x v="1"/>
          </reference>
          <reference field="30" count="1" selected="0">
            <x v="257"/>
          </reference>
        </references>
      </pivotArea>
    </format>
    <format dxfId="353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52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51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350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349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348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347">
      <pivotArea dataOnly="0" labelOnly="1" outline="0" axis="axisValues" fieldPosition="0"/>
    </format>
    <format dxfId="346">
      <pivotArea type="all" dataOnly="0" outline="0" fieldPosition="0"/>
    </format>
    <format dxfId="345">
      <pivotArea outline="0" collapsedLevelsAreSubtotals="1" fieldPosition="0"/>
    </format>
    <format dxfId="344">
      <pivotArea field="29" type="button" dataOnly="0" labelOnly="1" outline="0" axis="axisRow" fieldPosition="0"/>
    </format>
    <format dxfId="343">
      <pivotArea field="30" type="button" dataOnly="0" labelOnly="1" outline="0" axis="axisRow" fieldPosition="1"/>
    </format>
    <format dxfId="342">
      <pivotArea field="4" type="button" dataOnly="0" labelOnly="1" outline="0" axis="axisRow" fieldPosition="2"/>
    </format>
    <format dxfId="341">
      <pivotArea dataOnly="0" labelOnly="1" outline="0" fieldPosition="0">
        <references count="1">
          <reference field="29" count="0"/>
        </references>
      </pivotArea>
    </format>
    <format dxfId="340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8"/>
            <x v="100"/>
            <x v="152"/>
            <x v="160"/>
            <x v="224"/>
          </reference>
        </references>
      </pivotArea>
    </format>
    <format dxfId="339">
      <pivotArea dataOnly="0" labelOnly="1" outline="0" fieldPosition="0">
        <references count="2">
          <reference field="29" count="1" selected="0">
            <x v="2"/>
          </reference>
          <reference field="30" count="11">
            <x v="39"/>
            <x v="48"/>
            <x v="72"/>
            <x v="77"/>
            <x v="85"/>
            <x v="95"/>
            <x v="174"/>
            <x v="182"/>
            <x v="276"/>
            <x v="298"/>
            <x v="301"/>
          </reference>
        </references>
      </pivotArea>
    </format>
    <format dxfId="338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337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336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335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334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333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332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31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330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329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28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27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326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325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324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323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322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321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320">
      <pivotArea dataOnly="0" labelOnly="1" outline="0" axis="axisValues" fieldPosition="0"/>
    </format>
    <format dxfId="319">
      <pivotArea type="all" dataOnly="0" outline="0" fieldPosition="0"/>
    </format>
    <format dxfId="318">
      <pivotArea outline="0" collapsedLevelsAreSubtotals="1" fieldPosition="0"/>
    </format>
    <format dxfId="317">
      <pivotArea field="29" type="button" dataOnly="0" labelOnly="1" outline="0" axis="axisRow" fieldPosition="0"/>
    </format>
    <format dxfId="316">
      <pivotArea field="30" type="button" dataOnly="0" labelOnly="1" outline="0" axis="axisRow" fieldPosition="1"/>
    </format>
    <format dxfId="315">
      <pivotArea field="4" type="button" dataOnly="0" labelOnly="1" outline="0" axis="axisRow" fieldPosition="2"/>
    </format>
    <format dxfId="314">
      <pivotArea dataOnly="0" labelOnly="1" outline="0" fieldPosition="0">
        <references count="1">
          <reference field="29" count="0"/>
        </references>
      </pivotArea>
    </format>
    <format dxfId="313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8"/>
            <x v="100"/>
            <x v="152"/>
            <x v="160"/>
            <x v="224"/>
          </reference>
        </references>
      </pivotArea>
    </format>
    <format dxfId="312">
      <pivotArea dataOnly="0" labelOnly="1" outline="0" fieldPosition="0">
        <references count="2">
          <reference field="29" count="1" selected="0">
            <x v="2"/>
          </reference>
          <reference field="30" count="11">
            <x v="39"/>
            <x v="48"/>
            <x v="72"/>
            <x v="77"/>
            <x v="85"/>
            <x v="95"/>
            <x v="174"/>
            <x v="182"/>
            <x v="276"/>
            <x v="298"/>
            <x v="301"/>
          </reference>
        </references>
      </pivotArea>
    </format>
    <format dxfId="311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310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309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308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307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306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305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304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303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302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301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300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299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298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297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296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295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294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293">
      <pivotArea dataOnly="0" labelOnly="1" outline="0" axis="axisValues" fieldPosition="0"/>
    </format>
    <format dxfId="292">
      <pivotArea type="all" dataOnly="0" outline="0" fieldPosition="0"/>
    </format>
    <format dxfId="291">
      <pivotArea outline="0" collapsedLevelsAreSubtotals="1" fieldPosition="0"/>
    </format>
    <format dxfId="290">
      <pivotArea field="29" type="button" dataOnly="0" labelOnly="1" outline="0" axis="axisRow" fieldPosition="0"/>
    </format>
    <format dxfId="289">
      <pivotArea field="30" type="button" dataOnly="0" labelOnly="1" outline="0" axis="axisRow" fieldPosition="1"/>
    </format>
    <format dxfId="288">
      <pivotArea field="4" type="button" dataOnly="0" labelOnly="1" outline="0" axis="axisRow" fieldPosition="2"/>
    </format>
    <format dxfId="287">
      <pivotArea dataOnly="0" labelOnly="1" outline="0" fieldPosition="0">
        <references count="1">
          <reference field="29" count="0"/>
        </references>
      </pivotArea>
    </format>
    <format dxfId="286">
      <pivotArea dataOnly="0" labelOnly="1" outline="0" fieldPosition="0">
        <references count="2">
          <reference field="29" count="1" selected="0">
            <x v="1"/>
          </reference>
          <reference field="30" count="7">
            <x v="2"/>
            <x v="3"/>
            <x v="18"/>
            <x v="100"/>
            <x v="152"/>
            <x v="160"/>
            <x v="224"/>
          </reference>
        </references>
      </pivotArea>
    </format>
    <format dxfId="285">
      <pivotArea dataOnly="0" labelOnly="1" outline="0" fieldPosition="0">
        <references count="2">
          <reference field="29" count="1" selected="0">
            <x v="2"/>
          </reference>
          <reference field="30" count="11">
            <x v="39"/>
            <x v="48"/>
            <x v="72"/>
            <x v="77"/>
            <x v="85"/>
            <x v="95"/>
            <x v="174"/>
            <x v="182"/>
            <x v="276"/>
            <x v="298"/>
            <x v="301"/>
          </reference>
        </references>
      </pivotArea>
    </format>
    <format dxfId="284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283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282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281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280">
      <pivotArea dataOnly="0" labelOnly="1" outline="0" fieldPosition="0">
        <references count="3">
          <reference field="4" count="1">
            <x v="5"/>
          </reference>
          <reference field="29" count="1" selected="0">
            <x v="1"/>
          </reference>
          <reference field="30" count="1" selected="0">
            <x v="152"/>
          </reference>
        </references>
      </pivotArea>
    </format>
    <format dxfId="279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278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277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276">
      <pivotArea dataOnly="0" labelOnly="1" outline="0" fieldPosition="0">
        <references count="3">
          <reference field="4" count="1">
            <x v="7"/>
          </reference>
          <reference field="29" count="1" selected="0">
            <x v="2"/>
          </reference>
          <reference field="30" count="1" selected="0">
            <x v="48"/>
          </reference>
        </references>
      </pivotArea>
    </format>
    <format dxfId="275">
      <pivotArea dataOnly="0" labelOnly="1" outline="0" fieldPosition="0">
        <references count="3">
          <reference field="4" count="1">
            <x v="9"/>
          </reference>
          <reference field="29" count="1" selected="0">
            <x v="2"/>
          </reference>
          <reference field="30" count="1" selected="0">
            <x v="72"/>
          </reference>
        </references>
      </pivotArea>
    </format>
    <format dxfId="274">
      <pivotArea dataOnly="0" labelOnly="1" outline="0" fieldPosition="0">
        <references count="3">
          <reference field="4" count="1">
            <x v="17"/>
          </reference>
          <reference field="29" count="1" selected="0">
            <x v="2"/>
          </reference>
          <reference field="30" count="1" selected="0">
            <x v="77"/>
          </reference>
        </references>
      </pivotArea>
    </format>
    <format dxfId="273">
      <pivotArea dataOnly="0" labelOnly="1" outline="0" fieldPosition="0">
        <references count="3">
          <reference field="4" count="1">
            <x v="11"/>
          </reference>
          <reference field="29" count="1" selected="0">
            <x v="2"/>
          </reference>
          <reference field="30" count="1" selected="0">
            <x v="85"/>
          </reference>
        </references>
      </pivotArea>
    </format>
    <format dxfId="272">
      <pivotArea dataOnly="0" labelOnly="1" outline="0" fieldPosition="0">
        <references count="3">
          <reference field="4" count="1">
            <x v="3"/>
          </reference>
          <reference field="29" count="1" selected="0">
            <x v="2"/>
          </reference>
          <reference field="30" count="1" selected="0">
            <x v="95"/>
          </reference>
        </references>
      </pivotArea>
    </format>
    <format dxfId="271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270">
      <pivotArea dataOnly="0" labelOnly="1" outline="0" fieldPosition="0">
        <references count="3">
          <reference field="4" count="1">
            <x v="8"/>
          </reference>
          <reference field="29" count="1" selected="0">
            <x v="2"/>
          </reference>
          <reference field="30" count="1" selected="0">
            <x v="182"/>
          </reference>
        </references>
      </pivotArea>
    </format>
    <format dxfId="269">
      <pivotArea dataOnly="0" labelOnly="1" outline="0" fieldPosition="0">
        <references count="3">
          <reference field="4" count="1">
            <x v="13"/>
          </reference>
          <reference field="29" count="1" selected="0">
            <x v="2"/>
          </reference>
          <reference field="30" count="1" selected="0">
            <x v="276"/>
          </reference>
        </references>
      </pivotArea>
    </format>
    <format dxfId="268">
      <pivotArea dataOnly="0" labelOnly="1" outline="0" fieldPosition="0">
        <references count="3">
          <reference field="4" count="1">
            <x v="16"/>
          </reference>
          <reference field="29" count="1" selected="0">
            <x v="2"/>
          </reference>
          <reference field="30" count="1" selected="0">
            <x v="298"/>
          </reference>
        </references>
      </pivotArea>
    </format>
    <format dxfId="267">
      <pivotArea dataOnly="0" labelOnly="1" outline="0" fieldPosition="0">
        <references count="3">
          <reference field="4" count="1">
            <x v="18"/>
          </reference>
          <reference field="29" count="1" selected="0">
            <x v="2"/>
          </reference>
          <reference field="30" count="1" selected="0">
            <x v="301"/>
          </reference>
        </references>
      </pivotArea>
    </format>
    <format dxfId="266">
      <pivotArea dataOnly="0" labelOnly="1" outline="0" axis="axisValues" fieldPosition="0"/>
    </format>
    <format dxfId="265">
      <pivotArea type="all" dataOnly="0" outline="0" fieldPosition="0"/>
    </format>
    <format dxfId="264">
      <pivotArea outline="0" collapsedLevelsAreSubtotals="1" fieldPosition="0"/>
    </format>
    <format dxfId="263">
      <pivotArea field="29" type="button" dataOnly="0" labelOnly="1" outline="0" axis="axisRow" fieldPosition="0"/>
    </format>
    <format dxfId="262">
      <pivotArea field="30" type="button" dataOnly="0" labelOnly="1" outline="0" axis="axisRow" fieldPosition="1"/>
    </format>
    <format dxfId="261">
      <pivotArea field="4" type="button" dataOnly="0" labelOnly="1" outline="0" axis="axisRow" fieldPosition="2"/>
    </format>
    <format dxfId="260">
      <pivotArea dataOnly="0" labelOnly="1" outline="0" fieldPosition="0">
        <references count="1">
          <reference field="29" count="0"/>
        </references>
      </pivotArea>
    </format>
    <format dxfId="259">
      <pivotArea dataOnly="0" labelOnly="1" outline="0" fieldPosition="0">
        <references count="2">
          <reference field="29" count="1" selected="0">
            <x v="1"/>
          </reference>
          <reference field="30" count="50">
            <x v="1"/>
            <x v="2"/>
            <x v="3"/>
            <x v="4"/>
            <x v="18"/>
            <x v="20"/>
            <x v="22"/>
            <x v="27"/>
            <x v="40"/>
            <x v="43"/>
            <x v="45"/>
            <x v="51"/>
            <x v="61"/>
            <x v="63"/>
            <x v="64"/>
            <x v="70"/>
            <x v="71"/>
            <x v="73"/>
            <x v="88"/>
            <x v="92"/>
            <x v="95"/>
            <x v="99"/>
            <x v="100"/>
            <x v="101"/>
            <x v="106"/>
            <x v="109"/>
            <x v="116"/>
            <x v="120"/>
            <x v="121"/>
            <x v="124"/>
            <x v="126"/>
            <x v="129"/>
            <x v="132"/>
            <x v="139"/>
            <x v="148"/>
            <x v="153"/>
            <x v="156"/>
            <x v="160"/>
            <x v="163"/>
            <x v="165"/>
            <x v="175"/>
            <x v="181"/>
            <x v="183"/>
            <x v="187"/>
            <x v="189"/>
            <x v="191"/>
            <x v="194"/>
            <x v="197"/>
            <x v="202"/>
            <x v="204"/>
          </reference>
        </references>
      </pivotArea>
    </format>
    <format dxfId="258">
      <pivotArea dataOnly="0" labelOnly="1" outline="0" fieldPosition="0">
        <references count="2">
          <reference field="29" count="1" selected="0">
            <x v="1"/>
          </reference>
          <reference field="30" count="22">
            <x v="210"/>
            <x v="211"/>
            <x v="221"/>
            <x v="223"/>
            <x v="224"/>
            <x v="228"/>
            <x v="229"/>
            <x v="233"/>
            <x v="239"/>
            <x v="241"/>
            <x v="242"/>
            <x v="249"/>
            <x v="264"/>
            <x v="268"/>
            <x v="279"/>
            <x v="285"/>
            <x v="290"/>
            <x v="292"/>
            <x v="293"/>
            <x v="294"/>
            <x v="303"/>
            <x v="308"/>
          </reference>
        </references>
      </pivotArea>
    </format>
    <format dxfId="257">
      <pivotArea dataOnly="0" labelOnly="1" outline="0" fieldPosition="0">
        <references count="2">
          <reference field="29" count="1" selected="0">
            <x v="2"/>
          </reference>
          <reference field="30" count="49">
            <x v="0"/>
            <x v="9"/>
            <x v="16"/>
            <x v="21"/>
            <x v="36"/>
            <x v="39"/>
            <x v="61"/>
            <x v="63"/>
            <x v="68"/>
            <x v="73"/>
            <x v="75"/>
            <x v="76"/>
            <x v="79"/>
            <x v="81"/>
            <x v="88"/>
            <x v="97"/>
            <x v="101"/>
            <x v="107"/>
            <x v="108"/>
            <x v="116"/>
            <x v="118"/>
            <x v="124"/>
            <x v="127"/>
            <x v="136"/>
            <x v="143"/>
            <x v="144"/>
            <x v="156"/>
            <x v="170"/>
            <x v="174"/>
            <x v="177"/>
            <x v="181"/>
            <x v="191"/>
            <x v="198"/>
            <x v="207"/>
            <x v="208"/>
            <x v="209"/>
            <x v="212"/>
            <x v="225"/>
            <x v="243"/>
            <x v="246"/>
            <x v="252"/>
            <x v="255"/>
            <x v="256"/>
            <x v="261"/>
            <x v="262"/>
            <x v="271"/>
            <x v="295"/>
            <x v="299"/>
            <x v="308"/>
          </reference>
        </references>
      </pivotArea>
    </format>
    <format dxfId="256">
      <pivotArea dataOnly="0" labelOnly="1" outline="0" fieldPosition="0">
        <references count="2">
          <reference field="29" count="1" selected="0">
            <x v="3"/>
          </reference>
          <reference field="30" count="1">
            <x v="309"/>
          </reference>
        </references>
      </pivotArea>
    </format>
    <format dxfId="255">
      <pivotArea dataOnly="0" labelOnly="1" outline="0" fieldPosition="0">
        <references count="3">
          <reference field="4" count="1">
            <x v="59"/>
          </reference>
          <reference field="29" count="1" selected="0">
            <x v="1"/>
          </reference>
          <reference field="30" count="1" selected="0">
            <x v="1"/>
          </reference>
        </references>
      </pivotArea>
    </format>
    <format dxfId="254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253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252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251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250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249">
      <pivotArea dataOnly="0" labelOnly="1" outline="0" fieldPosition="0">
        <references count="3">
          <reference field="4" count="1">
            <x v="143"/>
          </reference>
          <reference field="29" count="1" selected="0">
            <x v="1"/>
          </reference>
          <reference field="30" count="1" selected="0">
            <x v="22"/>
          </reference>
        </references>
      </pivotArea>
    </format>
    <format dxfId="248">
      <pivotArea dataOnly="0" labelOnly="1" outline="0" fieldPosition="0">
        <references count="3">
          <reference field="4" count="1">
            <x v="123"/>
          </reference>
          <reference field="29" count="1" selected="0">
            <x v="1"/>
          </reference>
          <reference field="30" count="1" selected="0">
            <x v="27"/>
          </reference>
        </references>
      </pivotArea>
    </format>
    <format dxfId="247">
      <pivotArea dataOnly="0" labelOnly="1" outline="0" fieldPosition="0">
        <references count="3">
          <reference field="4" count="1">
            <x v="129"/>
          </reference>
          <reference field="29" count="1" selected="0">
            <x v="1"/>
          </reference>
          <reference field="30" count="1" selected="0">
            <x v="40"/>
          </reference>
        </references>
      </pivotArea>
    </format>
    <format dxfId="246">
      <pivotArea dataOnly="0" labelOnly="1" outline="0" fieldPosition="0">
        <references count="3">
          <reference field="4" count="1">
            <x v="118"/>
          </reference>
          <reference field="29" count="1" selected="0">
            <x v="1"/>
          </reference>
          <reference field="30" count="1" selected="0">
            <x v="43"/>
          </reference>
        </references>
      </pivotArea>
    </format>
    <format dxfId="245">
      <pivotArea dataOnly="0" labelOnly="1" outline="0" fieldPosition="0">
        <references count="3">
          <reference field="4" count="1">
            <x v="243"/>
          </reference>
          <reference field="29" count="1" selected="0">
            <x v="1"/>
          </reference>
          <reference field="30" count="1" selected="0">
            <x v="45"/>
          </reference>
        </references>
      </pivotArea>
    </format>
    <format dxfId="244">
      <pivotArea dataOnly="0" labelOnly="1" outline="0" fieldPosition="0">
        <references count="3">
          <reference field="4" count="1">
            <x v="154"/>
          </reference>
          <reference field="29" count="1" selected="0">
            <x v="1"/>
          </reference>
          <reference field="30" count="1" selected="0">
            <x v="51"/>
          </reference>
        </references>
      </pivotArea>
    </format>
    <format dxfId="243">
      <pivotArea dataOnly="0" labelOnly="1" outline="0" fieldPosition="0">
        <references count="3">
          <reference field="4" count="1">
            <x v="249"/>
          </reference>
          <reference field="29" count="1" selected="0">
            <x v="1"/>
          </reference>
          <reference field="30" count="1" selected="0">
            <x v="61"/>
          </reference>
        </references>
      </pivotArea>
    </format>
    <format dxfId="242">
      <pivotArea dataOnly="0" labelOnly="1" outline="0" fieldPosition="0">
        <references count="3">
          <reference field="4" count="1">
            <x v="248"/>
          </reference>
          <reference field="29" count="1" selected="0">
            <x v="1"/>
          </reference>
          <reference field="30" count="1" selected="0">
            <x v="63"/>
          </reference>
        </references>
      </pivotArea>
    </format>
    <format dxfId="241">
      <pivotArea dataOnly="0" labelOnly="1" outline="0" fieldPosition="0">
        <references count="3">
          <reference field="4" count="1">
            <x v="138"/>
          </reference>
          <reference field="29" count="1" selected="0">
            <x v="1"/>
          </reference>
          <reference field="30" count="1" selected="0">
            <x v="64"/>
          </reference>
        </references>
      </pivotArea>
    </format>
    <format dxfId="240">
      <pivotArea dataOnly="0" labelOnly="1" outline="0" fieldPosition="0">
        <references count="3">
          <reference field="4" count="1">
            <x v="106"/>
          </reference>
          <reference field="29" count="1" selected="0">
            <x v="1"/>
          </reference>
          <reference field="30" count="1" selected="0">
            <x v="70"/>
          </reference>
        </references>
      </pivotArea>
    </format>
    <format dxfId="239">
      <pivotArea dataOnly="0" labelOnly="1" outline="0" fieldPosition="0">
        <references count="3">
          <reference field="4" count="1">
            <x v="58"/>
          </reference>
          <reference field="29" count="1" selected="0">
            <x v="1"/>
          </reference>
          <reference field="30" count="1" selected="0">
            <x v="71"/>
          </reference>
        </references>
      </pivotArea>
    </format>
    <format dxfId="238">
      <pivotArea dataOnly="0" labelOnly="1" outline="0" fieldPosition="0">
        <references count="3">
          <reference field="4" count="1">
            <x v="241"/>
          </reference>
          <reference field="29" count="1" selected="0">
            <x v="1"/>
          </reference>
          <reference field="30" count="1" selected="0">
            <x v="73"/>
          </reference>
        </references>
      </pivotArea>
    </format>
    <format dxfId="237">
      <pivotArea dataOnly="0" labelOnly="1" outline="0" fieldPosition="0">
        <references count="3">
          <reference field="4" count="1">
            <x v="231"/>
          </reference>
          <reference field="29" count="1" selected="0">
            <x v="1"/>
          </reference>
          <reference field="30" count="1" selected="0">
            <x v="88"/>
          </reference>
        </references>
      </pivotArea>
    </format>
    <format dxfId="236">
      <pivotArea dataOnly="0" labelOnly="1" outline="0" fieldPosition="0">
        <references count="3">
          <reference field="4" count="1">
            <x v="70"/>
          </reference>
          <reference field="29" count="1" selected="0">
            <x v="1"/>
          </reference>
          <reference field="30" count="1" selected="0">
            <x v="92"/>
          </reference>
        </references>
      </pivotArea>
    </format>
    <format dxfId="235">
      <pivotArea dataOnly="0" labelOnly="1" outline="0" fieldPosition="0">
        <references count="3">
          <reference field="4" count="1">
            <x v="3"/>
          </reference>
          <reference field="29" count="1" selected="0">
            <x v="1"/>
          </reference>
          <reference field="30" count="1" selected="0">
            <x v="95"/>
          </reference>
        </references>
      </pivotArea>
    </format>
    <format dxfId="234">
      <pivotArea dataOnly="0" labelOnly="1" outline="0" fieldPosition="0">
        <references count="3">
          <reference field="4" count="1">
            <x v="65"/>
          </reference>
          <reference field="29" count="1" selected="0">
            <x v="1"/>
          </reference>
          <reference field="30" count="1" selected="0">
            <x v="99"/>
          </reference>
        </references>
      </pivotArea>
    </format>
    <format dxfId="233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232">
      <pivotArea dataOnly="0" labelOnly="1" outline="0" fieldPosition="0">
        <references count="3">
          <reference field="4" count="1">
            <x v="242"/>
          </reference>
          <reference field="29" count="1" selected="0">
            <x v="1"/>
          </reference>
          <reference field="30" count="1" selected="0">
            <x v="101"/>
          </reference>
        </references>
      </pivotArea>
    </format>
    <format dxfId="231">
      <pivotArea dataOnly="0" labelOnly="1" outline="0" fieldPosition="0">
        <references count="3">
          <reference field="4" count="1">
            <x v="102"/>
          </reference>
          <reference field="29" count="1" selected="0">
            <x v="1"/>
          </reference>
          <reference field="30" count="1" selected="0">
            <x v="106"/>
          </reference>
        </references>
      </pivotArea>
    </format>
    <format dxfId="230">
      <pivotArea dataOnly="0" labelOnly="1" outline="0" fieldPosition="0">
        <references count="3">
          <reference field="4" count="1">
            <x v="56"/>
          </reference>
          <reference field="29" count="1" selected="0">
            <x v="1"/>
          </reference>
          <reference field="30" count="1" selected="0">
            <x v="109"/>
          </reference>
        </references>
      </pivotArea>
    </format>
    <format dxfId="229">
      <pivotArea dataOnly="0" labelOnly="1" outline="0" fieldPosition="0">
        <references count="3">
          <reference field="4" count="1">
            <x v="247"/>
          </reference>
          <reference field="29" count="1" selected="0">
            <x v="1"/>
          </reference>
          <reference field="30" count="1" selected="0">
            <x v="116"/>
          </reference>
        </references>
      </pivotArea>
    </format>
    <format dxfId="228">
      <pivotArea dataOnly="0" labelOnly="1" outline="0" fieldPosition="0">
        <references count="3">
          <reference field="4" count="1">
            <x v="122"/>
          </reference>
          <reference field="29" count="1" selected="0">
            <x v="1"/>
          </reference>
          <reference field="30" count="1" selected="0">
            <x v="120"/>
          </reference>
        </references>
      </pivotArea>
    </format>
    <format dxfId="227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226">
      <pivotArea dataOnly="0" labelOnly="1" outline="0" fieldPosition="0">
        <references count="3">
          <reference field="4" count="1">
            <x v="244"/>
          </reference>
          <reference field="29" count="1" selected="0">
            <x v="1"/>
          </reference>
          <reference field="30" count="1" selected="0">
            <x v="124"/>
          </reference>
        </references>
      </pivotArea>
    </format>
    <format dxfId="225">
      <pivotArea dataOnly="0" labelOnly="1" outline="0" fieldPosition="0">
        <references count="3">
          <reference field="4" count="1">
            <x v="124"/>
          </reference>
          <reference field="29" count="1" selected="0">
            <x v="1"/>
          </reference>
          <reference field="30" count="1" selected="0">
            <x v="126"/>
          </reference>
        </references>
      </pivotArea>
    </format>
    <format dxfId="224">
      <pivotArea dataOnly="0" labelOnly="1" outline="0" fieldPosition="0">
        <references count="3">
          <reference field="4" count="1">
            <x v="113"/>
          </reference>
          <reference field="29" count="1" selected="0">
            <x v="1"/>
          </reference>
          <reference field="30" count="1" selected="0">
            <x v="129"/>
          </reference>
        </references>
      </pivotArea>
    </format>
    <format dxfId="223">
      <pivotArea dataOnly="0" labelOnly="1" outline="0" fieldPosition="0">
        <references count="3">
          <reference field="4" count="1">
            <x v="119"/>
          </reference>
          <reference field="29" count="1" selected="0">
            <x v="1"/>
          </reference>
          <reference field="30" count="1" selected="0">
            <x v="132"/>
          </reference>
        </references>
      </pivotArea>
    </format>
    <format dxfId="222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221">
      <pivotArea dataOnly="0" labelOnly="1" outline="0" fieldPosition="0">
        <references count="3">
          <reference field="4" count="1">
            <x v="234"/>
          </reference>
          <reference field="29" count="1" selected="0">
            <x v="1"/>
          </reference>
          <reference field="30" count="1" selected="0">
            <x v="148"/>
          </reference>
        </references>
      </pivotArea>
    </format>
    <format dxfId="220">
      <pivotArea dataOnly="0" labelOnly="1" outline="0" fieldPosition="0">
        <references count="3">
          <reference field="4" count="1">
            <x v="93"/>
          </reference>
          <reference field="29" count="1" selected="0">
            <x v="1"/>
          </reference>
          <reference field="30" count="1" selected="0">
            <x v="153"/>
          </reference>
        </references>
      </pivotArea>
    </format>
    <format dxfId="219">
      <pivotArea dataOnly="0" labelOnly="1" outline="0" fieldPosition="0">
        <references count="3">
          <reference field="4" count="1">
            <x v="236"/>
          </reference>
          <reference field="29" count="1" selected="0">
            <x v="1"/>
          </reference>
          <reference field="30" count="1" selected="0">
            <x v="156"/>
          </reference>
        </references>
      </pivotArea>
    </format>
    <format dxfId="218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217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216">
      <pivotArea dataOnly="0" labelOnly="1" outline="0" fieldPosition="0">
        <references count="3">
          <reference field="4" count="1">
            <x v="121"/>
          </reference>
          <reference field="29" count="1" selected="0">
            <x v="1"/>
          </reference>
          <reference field="30" count="1" selected="0">
            <x v="165"/>
          </reference>
        </references>
      </pivotArea>
    </format>
    <format dxfId="215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214">
      <pivotArea dataOnly="0" labelOnly="1" outline="0" fieldPosition="0">
        <references count="3">
          <reference field="4" count="1">
            <x v="245"/>
          </reference>
          <reference field="29" count="1" selected="0">
            <x v="1"/>
          </reference>
          <reference field="30" count="1" selected="0">
            <x v="181"/>
          </reference>
        </references>
      </pivotArea>
    </format>
    <format dxfId="213">
      <pivotArea dataOnly="0" labelOnly="1" outline="0" fieldPosition="0">
        <references count="3">
          <reference field="4" count="1">
            <x v="114"/>
          </reference>
          <reference field="29" count="1" selected="0">
            <x v="1"/>
          </reference>
          <reference field="30" count="1" selected="0">
            <x v="183"/>
          </reference>
        </references>
      </pivotArea>
    </format>
    <format dxfId="212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211">
      <pivotArea dataOnly="0" labelOnly="1" outline="0" fieldPosition="0">
        <references count="3">
          <reference field="4" count="1">
            <x v="137"/>
          </reference>
          <reference field="29" count="1" selected="0">
            <x v="1"/>
          </reference>
          <reference field="30" count="1" selected="0">
            <x v="189"/>
          </reference>
        </references>
      </pivotArea>
    </format>
    <format dxfId="210">
      <pivotArea dataOnly="0" labelOnly="1" outline="0" fieldPosition="0">
        <references count="3">
          <reference field="4" count="1">
            <x v="246"/>
          </reference>
          <reference field="29" count="1" selected="0">
            <x v="1"/>
          </reference>
          <reference field="30" count="1" selected="0">
            <x v="191"/>
          </reference>
        </references>
      </pivotArea>
    </format>
    <format dxfId="209">
      <pivotArea dataOnly="0" labelOnly="1" outline="0" fieldPosition="0">
        <references count="3">
          <reference field="4" count="1">
            <x v="112"/>
          </reference>
          <reference field="29" count="1" selected="0">
            <x v="1"/>
          </reference>
          <reference field="30" count="1" selected="0">
            <x v="194"/>
          </reference>
        </references>
      </pivotArea>
    </format>
    <format dxfId="208">
      <pivotArea dataOnly="0" labelOnly="1" outline="0" fieldPosition="0">
        <references count="3">
          <reference field="4" count="1">
            <x v="120"/>
          </reference>
          <reference field="29" count="1" selected="0">
            <x v="1"/>
          </reference>
          <reference field="30" count="1" selected="0">
            <x v="197"/>
          </reference>
        </references>
      </pivotArea>
    </format>
    <format dxfId="207">
      <pivotArea dataOnly="0" labelOnly="1" outline="0" fieldPosition="0">
        <references count="3">
          <reference field="4" count="1">
            <x v="131"/>
          </reference>
          <reference field="29" count="1" selected="0">
            <x v="1"/>
          </reference>
          <reference field="30" count="1" selected="0">
            <x v="202"/>
          </reference>
        </references>
      </pivotArea>
    </format>
    <format dxfId="206">
      <pivotArea dataOnly="0" labelOnly="1" outline="0" fieldPosition="0">
        <references count="3">
          <reference field="4" count="1">
            <x v="140"/>
          </reference>
          <reference field="29" count="1" selected="0">
            <x v="1"/>
          </reference>
          <reference field="30" count="1" selected="0">
            <x v="204"/>
          </reference>
        </references>
      </pivotArea>
    </format>
    <format dxfId="205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204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203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202">
      <pivotArea dataOnly="0" labelOnly="1" outline="0" fieldPosition="0">
        <references count="3">
          <reference field="4" count="1">
            <x v="161"/>
          </reference>
          <reference field="29" count="1" selected="0">
            <x v="1"/>
          </reference>
          <reference field="30" count="1" selected="0">
            <x v="223"/>
          </reference>
        </references>
      </pivotArea>
    </format>
    <format dxfId="201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200">
      <pivotArea dataOnly="0" labelOnly="1" outline="0" fieldPosition="0">
        <references count="3">
          <reference field="4" count="1">
            <x v="163"/>
          </reference>
          <reference field="29" count="1" selected="0">
            <x v="1"/>
          </reference>
          <reference field="30" count="1" selected="0">
            <x v="228"/>
          </reference>
        </references>
      </pivotArea>
    </format>
    <format dxfId="199">
      <pivotArea dataOnly="0" labelOnly="1" outline="0" fieldPosition="0">
        <references count="3">
          <reference field="4" count="1">
            <x v="132"/>
          </reference>
          <reference field="29" count="1" selected="0">
            <x v="1"/>
          </reference>
          <reference field="30" count="1" selected="0">
            <x v="229"/>
          </reference>
        </references>
      </pivotArea>
    </format>
    <format dxfId="198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197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196">
      <pivotArea dataOnly="0" labelOnly="1" outline="0" fieldPosition="0">
        <references count="3">
          <reference field="4" count="1">
            <x v="136"/>
          </reference>
          <reference field="29" count="1" selected="0">
            <x v="1"/>
          </reference>
          <reference field="30" count="1" selected="0">
            <x v="241"/>
          </reference>
        </references>
      </pivotArea>
    </format>
    <format dxfId="195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194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193">
      <pivotArea dataOnly="0" labelOnly="1" outline="0" fieldPosition="0">
        <references count="3">
          <reference field="4" count="1">
            <x v="144"/>
          </reference>
          <reference field="29" count="1" selected="0">
            <x v="1"/>
          </reference>
          <reference field="30" count="1" selected="0">
            <x v="264"/>
          </reference>
        </references>
      </pivotArea>
    </format>
    <format dxfId="192">
      <pivotArea dataOnly="0" labelOnly="1" outline="0" fieldPosition="0">
        <references count="3">
          <reference field="4" count="1">
            <x v="88"/>
          </reference>
          <reference field="29" count="1" selected="0">
            <x v="1"/>
          </reference>
          <reference field="30" count="1" selected="0">
            <x v="268"/>
          </reference>
        </references>
      </pivotArea>
    </format>
    <format dxfId="191">
      <pivotArea dataOnly="0" labelOnly="1" outline="0" fieldPosition="0">
        <references count="3">
          <reference field="4" count="1">
            <x v="162"/>
          </reference>
          <reference field="29" count="1" selected="0">
            <x v="1"/>
          </reference>
          <reference field="30" count="1" selected="0">
            <x v="279"/>
          </reference>
        </references>
      </pivotArea>
    </format>
    <format dxfId="190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189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188">
      <pivotArea dataOnly="0" labelOnly="1" outline="0" fieldPosition="0">
        <references count="3">
          <reference field="4" count="1">
            <x v="133"/>
          </reference>
          <reference field="29" count="1" selected="0">
            <x v="1"/>
          </reference>
          <reference field="30" count="1" selected="0">
            <x v="292"/>
          </reference>
        </references>
      </pivotArea>
    </format>
    <format dxfId="187">
      <pivotArea dataOnly="0" labelOnly="1" outline="0" fieldPosition="0">
        <references count="3">
          <reference field="4" count="1">
            <x v="151"/>
          </reference>
          <reference field="29" count="1" selected="0">
            <x v="1"/>
          </reference>
          <reference field="30" count="1" selected="0">
            <x v="293"/>
          </reference>
        </references>
      </pivotArea>
    </format>
    <format dxfId="186">
      <pivotArea dataOnly="0" labelOnly="1" outline="0" fieldPosition="0">
        <references count="3">
          <reference field="4" count="1">
            <x v="80"/>
          </reference>
          <reference field="29" count="1" selected="0">
            <x v="1"/>
          </reference>
          <reference field="30" count="1" selected="0">
            <x v="294"/>
          </reference>
        </references>
      </pivotArea>
    </format>
    <format dxfId="185">
      <pivotArea dataOnly="0" labelOnly="1" outline="0" fieldPosition="0">
        <references count="3">
          <reference field="4" count="1">
            <x v="66"/>
          </reference>
          <reference field="29" count="1" selected="0">
            <x v="1"/>
          </reference>
          <reference field="30" count="1" selected="0">
            <x v="303"/>
          </reference>
        </references>
      </pivotArea>
    </format>
    <format dxfId="184">
      <pivotArea dataOnly="0" labelOnly="1" outline="0" fieldPosition="0">
        <references count="3">
          <reference field="4" count="27">
            <x v="164"/>
            <x v="165"/>
            <x v="168"/>
            <x v="170"/>
            <x v="173"/>
            <x v="174"/>
            <x v="176"/>
            <x v="180"/>
            <x v="182"/>
            <x v="183"/>
            <x v="184"/>
            <x v="188"/>
            <x v="189"/>
            <x v="190"/>
            <x v="191"/>
            <x v="193"/>
            <x v="197"/>
            <x v="199"/>
            <x v="200"/>
            <x v="203"/>
            <x v="207"/>
            <x v="208"/>
            <x v="217"/>
            <x v="221"/>
            <x v="250"/>
            <x v="253"/>
            <x v="256"/>
          </reference>
          <reference field="29" count="1" selected="0">
            <x v="1"/>
          </reference>
          <reference field="30" count="1" selected="0">
            <x v="308"/>
          </reference>
        </references>
      </pivotArea>
    </format>
    <format dxfId="183">
      <pivotArea dataOnly="0" labelOnly="1" outline="0" fieldPosition="0">
        <references count="3">
          <reference field="4" count="1">
            <x v="115"/>
          </reference>
          <reference field="29" count="1" selected="0">
            <x v="2"/>
          </reference>
          <reference field="30" count="1" selected="0">
            <x v="0"/>
          </reference>
        </references>
      </pivotArea>
    </format>
    <format dxfId="182">
      <pivotArea dataOnly="0" labelOnly="1" outline="0" fieldPosition="0">
        <references count="3">
          <reference field="4" count="1">
            <x v="60"/>
          </reference>
          <reference field="29" count="1" selected="0">
            <x v="2"/>
          </reference>
          <reference field="30" count="1" selected="0">
            <x v="9"/>
          </reference>
        </references>
      </pivotArea>
    </format>
    <format dxfId="181">
      <pivotArea dataOnly="0" labelOnly="1" outline="0" fieldPosition="0">
        <references count="3">
          <reference field="4" count="1">
            <x v="127"/>
          </reference>
          <reference field="29" count="1" selected="0">
            <x v="2"/>
          </reference>
          <reference field="30" count="1" selected="0">
            <x v="16"/>
          </reference>
        </references>
      </pivotArea>
    </format>
    <format dxfId="180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179">
      <pivotArea dataOnly="0" labelOnly="1" outline="0" fieldPosition="0">
        <references count="3">
          <reference field="4" count="1">
            <x v="61"/>
          </reference>
          <reference field="29" count="1" selected="0">
            <x v="2"/>
          </reference>
          <reference field="30" count="1" selected="0">
            <x v="36"/>
          </reference>
        </references>
      </pivotArea>
    </format>
    <format dxfId="178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177">
      <pivotArea dataOnly="0" labelOnly="1" outline="0" fieldPosition="0">
        <references count="3">
          <reference field="4" count="1">
            <x v="249"/>
          </reference>
          <reference field="29" count="1" selected="0">
            <x v="2"/>
          </reference>
          <reference field="30" count="1" selected="0">
            <x v="61"/>
          </reference>
        </references>
      </pivotArea>
    </format>
    <format dxfId="176">
      <pivotArea dataOnly="0" labelOnly="1" outline="0" fieldPosition="0">
        <references count="3">
          <reference field="4" count="1">
            <x v="248"/>
          </reference>
          <reference field="29" count="1" selected="0">
            <x v="2"/>
          </reference>
          <reference field="30" count="1" selected="0">
            <x v="63"/>
          </reference>
        </references>
      </pivotArea>
    </format>
    <format dxfId="175">
      <pivotArea dataOnly="0" labelOnly="1" outline="0" fieldPosition="0">
        <references count="3">
          <reference field="4" count="1">
            <x v="67"/>
          </reference>
          <reference field="29" count="1" selected="0">
            <x v="2"/>
          </reference>
          <reference field="30" count="1" selected="0">
            <x v="68"/>
          </reference>
        </references>
      </pivotArea>
    </format>
    <format dxfId="174">
      <pivotArea dataOnly="0" labelOnly="1" outline="0" fieldPosition="0">
        <references count="3">
          <reference field="4" count="1">
            <x v="241"/>
          </reference>
          <reference field="29" count="1" selected="0">
            <x v="2"/>
          </reference>
          <reference field="30" count="1" selected="0">
            <x v="73"/>
          </reference>
        </references>
      </pivotArea>
    </format>
    <format dxfId="173">
      <pivotArea dataOnly="0" labelOnly="1" outline="0" fieldPosition="0">
        <references count="3">
          <reference field="4" count="1">
            <x v="75"/>
          </reference>
          <reference field="29" count="1" selected="0">
            <x v="2"/>
          </reference>
          <reference field="30" count="1" selected="0">
            <x v="75"/>
          </reference>
        </references>
      </pivotArea>
    </format>
    <format dxfId="172">
      <pivotArea dataOnly="0" labelOnly="1" outline="0" fieldPosition="0">
        <references count="3">
          <reference field="4" count="1">
            <x v="71"/>
          </reference>
          <reference field="29" count="1" selected="0">
            <x v="2"/>
          </reference>
          <reference field="30" count="1" selected="0">
            <x v="76"/>
          </reference>
        </references>
      </pivotArea>
    </format>
    <format dxfId="171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170">
      <pivotArea dataOnly="0" labelOnly="1" outline="0" fieldPosition="0">
        <references count="3">
          <reference field="4" count="1">
            <x v="83"/>
          </reference>
          <reference field="29" count="1" selected="0">
            <x v="2"/>
          </reference>
          <reference field="30" count="1" selected="0">
            <x v="81"/>
          </reference>
        </references>
      </pivotArea>
    </format>
    <format dxfId="169">
      <pivotArea dataOnly="0" labelOnly="1" outline="0" fieldPosition="0">
        <references count="3">
          <reference field="4" count="1">
            <x v="231"/>
          </reference>
          <reference field="29" count="1" selected="0">
            <x v="2"/>
          </reference>
          <reference field="30" count="1" selected="0">
            <x v="88"/>
          </reference>
        </references>
      </pivotArea>
    </format>
    <format dxfId="168">
      <pivotArea dataOnly="0" labelOnly="1" outline="0" fieldPosition="0">
        <references count="3">
          <reference field="4" count="1">
            <x v="117"/>
          </reference>
          <reference field="29" count="1" selected="0">
            <x v="2"/>
          </reference>
          <reference field="30" count="1" selected="0">
            <x v="97"/>
          </reference>
        </references>
      </pivotArea>
    </format>
    <format dxfId="167">
      <pivotArea dataOnly="0" labelOnly="1" outline="0" fieldPosition="0">
        <references count="3">
          <reference field="4" count="1">
            <x v="242"/>
          </reference>
          <reference field="29" count="1" selected="0">
            <x v="2"/>
          </reference>
          <reference field="30" count="1" selected="0">
            <x v="101"/>
          </reference>
        </references>
      </pivotArea>
    </format>
    <format dxfId="166">
      <pivotArea dataOnly="0" labelOnly="1" outline="0" fieldPosition="0">
        <references count="3">
          <reference field="4" count="1">
            <x v="111"/>
          </reference>
          <reference field="29" count="1" selected="0">
            <x v="2"/>
          </reference>
          <reference field="30" count="1" selected="0">
            <x v="107"/>
          </reference>
        </references>
      </pivotArea>
    </format>
    <format dxfId="165">
      <pivotArea dataOnly="0" labelOnly="1" outline="0" fieldPosition="0">
        <references count="3">
          <reference field="4" count="1">
            <x v="128"/>
          </reference>
          <reference field="29" count="1" selected="0">
            <x v="2"/>
          </reference>
          <reference field="30" count="1" selected="0">
            <x v="108"/>
          </reference>
        </references>
      </pivotArea>
    </format>
    <format dxfId="164">
      <pivotArea dataOnly="0" labelOnly="1" outline="0" fieldPosition="0">
        <references count="3">
          <reference field="4" count="1">
            <x v="247"/>
          </reference>
          <reference field="29" count="1" selected="0">
            <x v="2"/>
          </reference>
          <reference field="30" count="1" selected="0">
            <x v="116"/>
          </reference>
        </references>
      </pivotArea>
    </format>
    <format dxfId="163">
      <pivotArea dataOnly="0" labelOnly="1" outline="0" fieldPosition="0">
        <references count="3">
          <reference field="4" count="1">
            <x v="149"/>
          </reference>
          <reference field="29" count="1" selected="0">
            <x v="2"/>
          </reference>
          <reference field="30" count="1" selected="0">
            <x v="118"/>
          </reference>
        </references>
      </pivotArea>
    </format>
    <format dxfId="162">
      <pivotArea dataOnly="0" labelOnly="1" outline="0" fieldPosition="0">
        <references count="3">
          <reference field="4" count="1">
            <x v="244"/>
          </reference>
          <reference field="29" count="1" selected="0">
            <x v="2"/>
          </reference>
          <reference field="30" count="1" selected="0">
            <x v="124"/>
          </reference>
        </references>
      </pivotArea>
    </format>
    <format dxfId="161">
      <pivotArea dataOnly="0" labelOnly="1" outline="0" fieldPosition="0">
        <references count="3">
          <reference field="4" count="1">
            <x v="94"/>
          </reference>
          <reference field="29" count="1" selected="0">
            <x v="2"/>
          </reference>
          <reference field="30" count="1" selected="0">
            <x v="127"/>
          </reference>
        </references>
      </pivotArea>
    </format>
    <format dxfId="160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159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158">
      <pivotArea dataOnly="0" labelOnly="1" outline="0" fieldPosition="0">
        <references count="3">
          <reference field="4" count="1">
            <x v="87"/>
          </reference>
          <reference field="29" count="1" selected="0">
            <x v="2"/>
          </reference>
          <reference field="30" count="1" selected="0">
            <x v="144"/>
          </reference>
        </references>
      </pivotArea>
    </format>
    <format dxfId="157">
      <pivotArea dataOnly="0" labelOnly="1" outline="0" fieldPosition="0">
        <references count="3">
          <reference field="4" count="1">
            <x v="236"/>
          </reference>
          <reference field="29" count="1" selected="0">
            <x v="2"/>
          </reference>
          <reference field="30" count="1" selected="0">
            <x v="156"/>
          </reference>
        </references>
      </pivotArea>
    </format>
    <format dxfId="156">
      <pivotArea dataOnly="0" labelOnly="1" outline="0" fieldPosition="0">
        <references count="3">
          <reference field="4" count="1">
            <x v="105"/>
          </reference>
          <reference field="29" count="1" selected="0">
            <x v="2"/>
          </reference>
          <reference field="30" count="1" selected="0">
            <x v="170"/>
          </reference>
        </references>
      </pivotArea>
    </format>
    <format dxfId="155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154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153">
      <pivotArea dataOnly="0" labelOnly="1" outline="0" fieldPosition="0">
        <references count="3">
          <reference field="4" count="1">
            <x v="245"/>
          </reference>
          <reference field="29" count="1" selected="0">
            <x v="2"/>
          </reference>
          <reference field="30" count="1" selected="0">
            <x v="181"/>
          </reference>
        </references>
      </pivotArea>
    </format>
    <format dxfId="152">
      <pivotArea dataOnly="0" labelOnly="1" outline="0" fieldPosition="0">
        <references count="3">
          <reference field="4" count="1">
            <x v="246"/>
          </reference>
          <reference field="29" count="1" selected="0">
            <x v="2"/>
          </reference>
          <reference field="30" count="1" selected="0">
            <x v="191"/>
          </reference>
        </references>
      </pivotArea>
    </format>
    <format dxfId="151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150">
      <pivotArea dataOnly="0" labelOnly="1" outline="0" fieldPosition="0">
        <references count="3">
          <reference field="4" count="1">
            <x v="225"/>
          </reference>
          <reference field="29" count="1" selected="0">
            <x v="2"/>
          </reference>
          <reference field="30" count="1" selected="0">
            <x v="208"/>
          </reference>
        </references>
      </pivotArea>
    </format>
    <format dxfId="149">
      <pivotArea dataOnly="0" labelOnly="1" outline="0" fieldPosition="0">
        <references count="3">
          <reference field="4" count="1">
            <x v="109"/>
          </reference>
          <reference field="29" count="1" selected="0">
            <x v="2"/>
          </reference>
          <reference field="30" count="1" selected="0">
            <x v="207"/>
          </reference>
        </references>
      </pivotArea>
    </format>
    <format dxfId="148">
      <pivotArea dataOnly="0" labelOnly="1" outline="0" fieldPosition="0">
        <references count="3">
          <reference field="4" count="1">
            <x v="91"/>
          </reference>
          <reference field="29" count="1" selected="0">
            <x v="2"/>
          </reference>
          <reference field="30" count="1" selected="0">
            <x v="209"/>
          </reference>
        </references>
      </pivotArea>
    </format>
    <format dxfId="147">
      <pivotArea dataOnly="0" labelOnly="1" outline="0" fieldPosition="0">
        <references count="3">
          <reference field="4" count="1">
            <x v="107"/>
          </reference>
          <reference field="29" count="1" selected="0">
            <x v="2"/>
          </reference>
          <reference field="30" count="1" selected="0">
            <x v="212"/>
          </reference>
        </references>
      </pivotArea>
    </format>
    <format dxfId="146">
      <pivotArea dataOnly="0" labelOnly="1" outline="0" fieldPosition="0">
        <references count="3">
          <reference field="4" count="1">
            <x v="148"/>
          </reference>
          <reference field="29" count="1" selected="0">
            <x v="2"/>
          </reference>
          <reference field="30" count="1" selected="0">
            <x v="225"/>
          </reference>
        </references>
      </pivotArea>
    </format>
    <format dxfId="145">
      <pivotArea dataOnly="0" labelOnly="1" outline="0" fieldPosition="0">
        <references count="3">
          <reference field="4" count="1">
            <x v="159"/>
          </reference>
          <reference field="29" count="1" selected="0">
            <x v="2"/>
          </reference>
          <reference field="30" count="1" selected="0">
            <x v="243"/>
          </reference>
        </references>
      </pivotArea>
    </format>
    <format dxfId="144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143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142">
      <pivotArea dataOnly="0" labelOnly="1" outline="0" fieldPosition="0">
        <references count="3">
          <reference field="4" count="1">
            <x v="76"/>
          </reference>
          <reference field="29" count="1" selected="0">
            <x v="2"/>
          </reference>
          <reference field="30" count="1" selected="0">
            <x v="255"/>
          </reference>
        </references>
      </pivotArea>
    </format>
    <format dxfId="141">
      <pivotArea dataOnly="0" labelOnly="1" outline="0" fieldPosition="0">
        <references count="3">
          <reference field="4" count="1">
            <x v="237"/>
          </reference>
          <reference field="29" count="1" selected="0">
            <x v="2"/>
          </reference>
          <reference field="30" count="1" selected="0">
            <x v="256"/>
          </reference>
        </references>
      </pivotArea>
    </format>
    <format dxfId="140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139">
      <pivotArea dataOnly="0" labelOnly="1" outline="0" fieldPosition="0">
        <references count="3">
          <reference field="4" count="1">
            <x v="158"/>
          </reference>
          <reference field="29" count="1" selected="0">
            <x v="2"/>
          </reference>
          <reference field="30" count="1" selected="0">
            <x v="262"/>
          </reference>
        </references>
      </pivotArea>
    </format>
    <format dxfId="138">
      <pivotArea dataOnly="0" labelOnly="1" outline="0" fieldPosition="0">
        <references count="3">
          <reference field="4" count="1">
            <x v="153"/>
          </reference>
          <reference field="29" count="1" selected="0">
            <x v="2"/>
          </reference>
          <reference field="30" count="1" selected="0">
            <x v="271"/>
          </reference>
        </references>
      </pivotArea>
    </format>
    <format dxfId="137">
      <pivotArea dataOnly="0" labelOnly="1" outline="0" fieldPosition="0">
        <references count="3">
          <reference field="4" count="1">
            <x v="156"/>
          </reference>
          <reference field="29" count="1" selected="0">
            <x v="2"/>
          </reference>
          <reference field="30" count="1" selected="0">
            <x v="295"/>
          </reference>
        </references>
      </pivotArea>
    </format>
    <format dxfId="136">
      <pivotArea dataOnly="0" labelOnly="1" outline="0" fieldPosition="0">
        <references count="3">
          <reference field="4" count="1">
            <x v="81"/>
          </reference>
          <reference field="29" count="1" selected="0">
            <x v="2"/>
          </reference>
          <reference field="30" count="1" selected="0">
            <x v="299"/>
          </reference>
        </references>
      </pivotArea>
    </format>
    <format dxfId="135">
      <pivotArea dataOnly="0" labelOnly="1" outline="0" fieldPosition="0">
        <references count="3">
          <reference field="4" count="30">
            <x v="169"/>
            <x v="170"/>
            <x v="172"/>
            <x v="179"/>
            <x v="182"/>
            <x v="187"/>
            <x v="192"/>
            <x v="194"/>
            <x v="195"/>
            <x v="196"/>
            <x v="201"/>
            <x v="202"/>
            <x v="203"/>
            <x v="207"/>
            <x v="208"/>
            <x v="211"/>
            <x v="212"/>
            <x v="213"/>
            <x v="217"/>
            <x v="220"/>
            <x v="250"/>
            <x v="251"/>
            <x v="252"/>
            <x v="254"/>
            <x v="255"/>
            <x v="257"/>
            <x v="258"/>
            <x v="259"/>
            <x v="260"/>
            <x v="261"/>
          </reference>
          <reference field="29" count="1" selected="0">
            <x v="2"/>
          </reference>
          <reference field="30" count="1" selected="0">
            <x v="308"/>
          </reference>
        </references>
      </pivotArea>
    </format>
    <format dxfId="134">
      <pivotArea dataOnly="0" labelOnly="1" outline="0" fieldPosition="0">
        <references count="3">
          <reference field="4" count="1">
            <x v="68"/>
          </reference>
          <reference field="29" count="1" selected="0">
            <x v="3"/>
          </reference>
          <reference field="30" count="1" selected="0">
            <x v="309"/>
          </reference>
        </references>
      </pivotArea>
    </format>
    <format dxfId="133">
      <pivotArea dataOnly="0" labelOnly="1" outline="0" axis="axisValues" fieldPosition="0"/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29" type="button" dataOnly="0" labelOnly="1" outline="0" axis="axisRow" fieldPosition="0"/>
    </format>
    <format dxfId="129">
      <pivotArea field="30" type="button" dataOnly="0" labelOnly="1" outline="0" axis="axisRow" fieldPosition="1"/>
    </format>
    <format dxfId="128">
      <pivotArea field="4" type="button" dataOnly="0" labelOnly="1" outline="0" axis="axisRow" fieldPosition="2"/>
    </format>
    <format dxfId="127">
      <pivotArea dataOnly="0" labelOnly="1" outline="0" fieldPosition="0">
        <references count="1">
          <reference field="29" count="0"/>
        </references>
      </pivotArea>
    </format>
    <format dxfId="126">
      <pivotArea dataOnly="0" labelOnly="1" outline="0" fieldPosition="0">
        <references count="2">
          <reference field="29" count="1" selected="0">
            <x v="1"/>
          </reference>
          <reference field="30" count="50">
            <x v="1"/>
            <x v="2"/>
            <x v="3"/>
            <x v="4"/>
            <x v="18"/>
            <x v="20"/>
            <x v="22"/>
            <x v="27"/>
            <x v="40"/>
            <x v="43"/>
            <x v="45"/>
            <x v="51"/>
            <x v="61"/>
            <x v="63"/>
            <x v="64"/>
            <x v="70"/>
            <x v="71"/>
            <x v="73"/>
            <x v="88"/>
            <x v="92"/>
            <x v="95"/>
            <x v="99"/>
            <x v="100"/>
            <x v="101"/>
            <x v="106"/>
            <x v="109"/>
            <x v="116"/>
            <x v="120"/>
            <x v="121"/>
            <x v="124"/>
            <x v="126"/>
            <x v="129"/>
            <x v="132"/>
            <x v="139"/>
            <x v="148"/>
            <x v="153"/>
            <x v="156"/>
            <x v="160"/>
            <x v="163"/>
            <x v="165"/>
            <x v="175"/>
            <x v="181"/>
            <x v="183"/>
            <x v="187"/>
            <x v="189"/>
            <x v="191"/>
            <x v="194"/>
            <x v="197"/>
            <x v="202"/>
            <x v="204"/>
          </reference>
        </references>
      </pivotArea>
    </format>
    <format dxfId="125">
      <pivotArea dataOnly="0" labelOnly="1" outline="0" fieldPosition="0">
        <references count="2">
          <reference field="29" count="1" selected="0">
            <x v="1"/>
          </reference>
          <reference field="30" count="22">
            <x v="210"/>
            <x v="211"/>
            <x v="221"/>
            <x v="223"/>
            <x v="224"/>
            <x v="228"/>
            <x v="229"/>
            <x v="233"/>
            <x v="239"/>
            <x v="241"/>
            <x v="242"/>
            <x v="249"/>
            <x v="264"/>
            <x v="268"/>
            <x v="279"/>
            <x v="285"/>
            <x v="290"/>
            <x v="292"/>
            <x v="293"/>
            <x v="294"/>
            <x v="303"/>
            <x v="308"/>
          </reference>
        </references>
      </pivotArea>
    </format>
    <format dxfId="124">
      <pivotArea dataOnly="0" labelOnly="1" outline="0" fieldPosition="0">
        <references count="2">
          <reference field="29" count="1" selected="0">
            <x v="2"/>
          </reference>
          <reference field="30" count="49">
            <x v="0"/>
            <x v="9"/>
            <x v="16"/>
            <x v="21"/>
            <x v="36"/>
            <x v="39"/>
            <x v="61"/>
            <x v="63"/>
            <x v="68"/>
            <x v="73"/>
            <x v="75"/>
            <x v="76"/>
            <x v="79"/>
            <x v="81"/>
            <x v="88"/>
            <x v="97"/>
            <x v="101"/>
            <x v="107"/>
            <x v="108"/>
            <x v="116"/>
            <x v="118"/>
            <x v="124"/>
            <x v="127"/>
            <x v="136"/>
            <x v="143"/>
            <x v="144"/>
            <x v="156"/>
            <x v="170"/>
            <x v="174"/>
            <x v="177"/>
            <x v="181"/>
            <x v="191"/>
            <x v="198"/>
            <x v="207"/>
            <x v="208"/>
            <x v="209"/>
            <x v="212"/>
            <x v="225"/>
            <x v="243"/>
            <x v="246"/>
            <x v="252"/>
            <x v="255"/>
            <x v="256"/>
            <x v="261"/>
            <x v="262"/>
            <x v="271"/>
            <x v="295"/>
            <x v="299"/>
            <x v="308"/>
          </reference>
        </references>
      </pivotArea>
    </format>
    <format dxfId="123">
      <pivotArea dataOnly="0" labelOnly="1" outline="0" fieldPosition="0">
        <references count="2">
          <reference field="29" count="1" selected="0">
            <x v="3"/>
          </reference>
          <reference field="30" count="1">
            <x v="309"/>
          </reference>
        </references>
      </pivotArea>
    </format>
    <format dxfId="122">
      <pivotArea dataOnly="0" labelOnly="1" outline="0" fieldPosition="0">
        <references count="3">
          <reference field="4" count="1">
            <x v="59"/>
          </reference>
          <reference field="29" count="1" selected="0">
            <x v="1"/>
          </reference>
          <reference field="30" count="1" selected="0">
            <x v="1"/>
          </reference>
        </references>
      </pivotArea>
    </format>
    <format dxfId="121">
      <pivotArea dataOnly="0" labelOnly="1" outline="0" fieldPosition="0">
        <references count="3">
          <reference field="4" count="1">
            <x v="0"/>
          </reference>
          <reference field="29" count="1" selected="0">
            <x v="1"/>
          </reference>
          <reference field="30" count="1" selected="0">
            <x v="2"/>
          </reference>
        </references>
      </pivotArea>
    </format>
    <format dxfId="120">
      <pivotArea dataOnly="0" labelOnly="1" outline="0" fieldPosition="0">
        <references count="3">
          <reference field="4" count="1">
            <x v="54"/>
          </reference>
          <reference field="29" count="1" selected="0">
            <x v="1"/>
          </reference>
          <reference field="30" count="1" selected="0">
            <x v="3"/>
          </reference>
        </references>
      </pivotArea>
    </format>
    <format dxfId="119">
      <pivotArea dataOnly="0" labelOnly="1" outline="0" fieldPosition="0">
        <references count="3">
          <reference field="4" count="1">
            <x v="40"/>
          </reference>
          <reference field="29" count="1" selected="0">
            <x v="1"/>
          </reference>
          <reference field="30" count="1" selected="0">
            <x v="4"/>
          </reference>
        </references>
      </pivotArea>
    </format>
    <format dxfId="118">
      <pivotArea dataOnly="0" labelOnly="1" outline="0" fieldPosition="0">
        <references count="3">
          <reference field="4" count="1">
            <x v="15"/>
          </reference>
          <reference field="29" count="1" selected="0">
            <x v="1"/>
          </reference>
          <reference field="30" count="1" selected="0">
            <x v="18"/>
          </reference>
        </references>
      </pivotArea>
    </format>
    <format dxfId="117">
      <pivotArea dataOnly="0" labelOnly="1" outline="0" fieldPosition="0">
        <references count="3">
          <reference field="4" count="1">
            <x v="51"/>
          </reference>
          <reference field="29" count="1" selected="0">
            <x v="1"/>
          </reference>
          <reference field="30" count="1" selected="0">
            <x v="20"/>
          </reference>
        </references>
      </pivotArea>
    </format>
    <format dxfId="116">
      <pivotArea dataOnly="0" labelOnly="1" outline="0" fieldPosition="0">
        <references count="3">
          <reference field="4" count="1">
            <x v="143"/>
          </reference>
          <reference field="29" count="1" selected="0">
            <x v="1"/>
          </reference>
          <reference field="30" count="1" selected="0">
            <x v="22"/>
          </reference>
        </references>
      </pivotArea>
    </format>
    <format dxfId="115">
      <pivotArea dataOnly="0" labelOnly="1" outline="0" fieldPosition="0">
        <references count="3">
          <reference field="4" count="1">
            <x v="123"/>
          </reference>
          <reference field="29" count="1" selected="0">
            <x v="1"/>
          </reference>
          <reference field="30" count="1" selected="0">
            <x v="27"/>
          </reference>
        </references>
      </pivotArea>
    </format>
    <format dxfId="114">
      <pivotArea dataOnly="0" labelOnly="1" outline="0" fieldPosition="0">
        <references count="3">
          <reference field="4" count="1">
            <x v="129"/>
          </reference>
          <reference field="29" count="1" selected="0">
            <x v="1"/>
          </reference>
          <reference field="30" count="1" selected="0">
            <x v="40"/>
          </reference>
        </references>
      </pivotArea>
    </format>
    <format dxfId="113">
      <pivotArea dataOnly="0" labelOnly="1" outline="0" fieldPosition="0">
        <references count="3">
          <reference field="4" count="1">
            <x v="118"/>
          </reference>
          <reference field="29" count="1" selected="0">
            <x v="1"/>
          </reference>
          <reference field="30" count="1" selected="0">
            <x v="43"/>
          </reference>
        </references>
      </pivotArea>
    </format>
    <format dxfId="112">
      <pivotArea dataOnly="0" labelOnly="1" outline="0" fieldPosition="0">
        <references count="3">
          <reference field="4" count="1">
            <x v="243"/>
          </reference>
          <reference field="29" count="1" selected="0">
            <x v="1"/>
          </reference>
          <reference field="30" count="1" selected="0">
            <x v="45"/>
          </reference>
        </references>
      </pivotArea>
    </format>
    <format dxfId="111">
      <pivotArea dataOnly="0" labelOnly="1" outline="0" fieldPosition="0">
        <references count="3">
          <reference field="4" count="1">
            <x v="154"/>
          </reference>
          <reference field="29" count="1" selected="0">
            <x v="1"/>
          </reference>
          <reference field="30" count="1" selected="0">
            <x v="51"/>
          </reference>
        </references>
      </pivotArea>
    </format>
    <format dxfId="110">
      <pivotArea dataOnly="0" labelOnly="1" outline="0" fieldPosition="0">
        <references count="3">
          <reference field="4" count="1">
            <x v="249"/>
          </reference>
          <reference field="29" count="1" selected="0">
            <x v="1"/>
          </reference>
          <reference field="30" count="1" selected="0">
            <x v="61"/>
          </reference>
        </references>
      </pivotArea>
    </format>
    <format dxfId="109">
      <pivotArea dataOnly="0" labelOnly="1" outline="0" fieldPosition="0">
        <references count="3">
          <reference field="4" count="1">
            <x v="248"/>
          </reference>
          <reference field="29" count="1" selected="0">
            <x v="1"/>
          </reference>
          <reference field="30" count="1" selected="0">
            <x v="63"/>
          </reference>
        </references>
      </pivotArea>
    </format>
    <format dxfId="108">
      <pivotArea dataOnly="0" labelOnly="1" outline="0" fieldPosition="0">
        <references count="3">
          <reference field="4" count="1">
            <x v="138"/>
          </reference>
          <reference field="29" count="1" selected="0">
            <x v="1"/>
          </reference>
          <reference field="30" count="1" selected="0">
            <x v="64"/>
          </reference>
        </references>
      </pivotArea>
    </format>
    <format dxfId="107">
      <pivotArea dataOnly="0" labelOnly="1" outline="0" fieldPosition="0">
        <references count="3">
          <reference field="4" count="1">
            <x v="106"/>
          </reference>
          <reference field="29" count="1" selected="0">
            <x v="1"/>
          </reference>
          <reference field="30" count="1" selected="0">
            <x v="70"/>
          </reference>
        </references>
      </pivotArea>
    </format>
    <format dxfId="106">
      <pivotArea dataOnly="0" labelOnly="1" outline="0" fieldPosition="0">
        <references count="3">
          <reference field="4" count="1">
            <x v="58"/>
          </reference>
          <reference field="29" count="1" selected="0">
            <x v="1"/>
          </reference>
          <reference field="30" count="1" selected="0">
            <x v="71"/>
          </reference>
        </references>
      </pivotArea>
    </format>
    <format dxfId="105">
      <pivotArea dataOnly="0" labelOnly="1" outline="0" fieldPosition="0">
        <references count="3">
          <reference field="4" count="1">
            <x v="241"/>
          </reference>
          <reference field="29" count="1" selected="0">
            <x v="1"/>
          </reference>
          <reference field="30" count="1" selected="0">
            <x v="73"/>
          </reference>
        </references>
      </pivotArea>
    </format>
    <format dxfId="104">
      <pivotArea dataOnly="0" labelOnly="1" outline="0" fieldPosition="0">
        <references count="3">
          <reference field="4" count="1">
            <x v="231"/>
          </reference>
          <reference field="29" count="1" selected="0">
            <x v="1"/>
          </reference>
          <reference field="30" count="1" selected="0">
            <x v="88"/>
          </reference>
        </references>
      </pivotArea>
    </format>
    <format dxfId="103">
      <pivotArea dataOnly="0" labelOnly="1" outline="0" fieldPosition="0">
        <references count="3">
          <reference field="4" count="1">
            <x v="70"/>
          </reference>
          <reference field="29" count="1" selected="0">
            <x v="1"/>
          </reference>
          <reference field="30" count="1" selected="0">
            <x v="92"/>
          </reference>
        </references>
      </pivotArea>
    </format>
    <format dxfId="102">
      <pivotArea dataOnly="0" labelOnly="1" outline="0" fieldPosition="0">
        <references count="3">
          <reference field="4" count="1">
            <x v="3"/>
          </reference>
          <reference field="29" count="1" selected="0">
            <x v="1"/>
          </reference>
          <reference field="30" count="1" selected="0">
            <x v="95"/>
          </reference>
        </references>
      </pivotArea>
    </format>
    <format dxfId="101">
      <pivotArea dataOnly="0" labelOnly="1" outline="0" fieldPosition="0">
        <references count="3">
          <reference field="4" count="1">
            <x v="65"/>
          </reference>
          <reference field="29" count="1" selected="0">
            <x v="1"/>
          </reference>
          <reference field="30" count="1" selected="0">
            <x v="99"/>
          </reference>
        </references>
      </pivotArea>
    </format>
    <format dxfId="100">
      <pivotArea dataOnly="0" labelOnly="1" outline="0" fieldPosition="0">
        <references count="3">
          <reference field="4" count="1">
            <x v="19"/>
          </reference>
          <reference field="29" count="1" selected="0">
            <x v="1"/>
          </reference>
          <reference field="30" count="1" selected="0">
            <x v="100"/>
          </reference>
        </references>
      </pivotArea>
    </format>
    <format dxfId="99">
      <pivotArea dataOnly="0" labelOnly="1" outline="0" fieldPosition="0">
        <references count="3">
          <reference field="4" count="1">
            <x v="242"/>
          </reference>
          <reference field="29" count="1" selected="0">
            <x v="1"/>
          </reference>
          <reference field="30" count="1" selected="0">
            <x v="101"/>
          </reference>
        </references>
      </pivotArea>
    </format>
    <format dxfId="98">
      <pivotArea dataOnly="0" labelOnly="1" outline="0" fieldPosition="0">
        <references count="3">
          <reference field="4" count="1">
            <x v="102"/>
          </reference>
          <reference field="29" count="1" selected="0">
            <x v="1"/>
          </reference>
          <reference field="30" count="1" selected="0">
            <x v="106"/>
          </reference>
        </references>
      </pivotArea>
    </format>
    <format dxfId="97">
      <pivotArea dataOnly="0" labelOnly="1" outline="0" fieldPosition="0">
        <references count="3">
          <reference field="4" count="1">
            <x v="56"/>
          </reference>
          <reference field="29" count="1" selected="0">
            <x v="1"/>
          </reference>
          <reference field="30" count="1" selected="0">
            <x v="109"/>
          </reference>
        </references>
      </pivotArea>
    </format>
    <format dxfId="96">
      <pivotArea dataOnly="0" labelOnly="1" outline="0" fieldPosition="0">
        <references count="3">
          <reference field="4" count="1">
            <x v="247"/>
          </reference>
          <reference field="29" count="1" selected="0">
            <x v="1"/>
          </reference>
          <reference field="30" count="1" selected="0">
            <x v="116"/>
          </reference>
        </references>
      </pivotArea>
    </format>
    <format dxfId="95">
      <pivotArea dataOnly="0" labelOnly="1" outline="0" fieldPosition="0">
        <references count="3">
          <reference field="4" count="1">
            <x v="122"/>
          </reference>
          <reference field="29" count="1" selected="0">
            <x v="1"/>
          </reference>
          <reference field="30" count="1" selected="0">
            <x v="120"/>
          </reference>
        </references>
      </pivotArea>
    </format>
    <format dxfId="94">
      <pivotArea dataOnly="0" labelOnly="1" outline="0" fieldPosition="0">
        <references count="3">
          <reference field="4" count="1">
            <x v="39"/>
          </reference>
          <reference field="29" count="1" selected="0">
            <x v="1"/>
          </reference>
          <reference field="30" count="1" selected="0">
            <x v="121"/>
          </reference>
        </references>
      </pivotArea>
    </format>
    <format dxfId="93">
      <pivotArea dataOnly="0" labelOnly="1" outline="0" fieldPosition="0">
        <references count="3">
          <reference field="4" count="1">
            <x v="244"/>
          </reference>
          <reference field="29" count="1" selected="0">
            <x v="1"/>
          </reference>
          <reference field="30" count="1" selected="0">
            <x v="124"/>
          </reference>
        </references>
      </pivotArea>
    </format>
    <format dxfId="92">
      <pivotArea dataOnly="0" labelOnly="1" outline="0" fieldPosition="0">
        <references count="3">
          <reference field="4" count="1">
            <x v="124"/>
          </reference>
          <reference field="29" count="1" selected="0">
            <x v="1"/>
          </reference>
          <reference field="30" count="1" selected="0">
            <x v="126"/>
          </reference>
        </references>
      </pivotArea>
    </format>
    <format dxfId="91">
      <pivotArea dataOnly="0" labelOnly="1" outline="0" fieldPosition="0">
        <references count="3">
          <reference field="4" count="1">
            <x v="113"/>
          </reference>
          <reference field="29" count="1" selected="0">
            <x v="1"/>
          </reference>
          <reference field="30" count="1" selected="0">
            <x v="129"/>
          </reference>
        </references>
      </pivotArea>
    </format>
    <format dxfId="90">
      <pivotArea dataOnly="0" labelOnly="1" outline="0" fieldPosition="0">
        <references count="3">
          <reference field="4" count="1">
            <x v="119"/>
          </reference>
          <reference field="29" count="1" selected="0">
            <x v="1"/>
          </reference>
          <reference field="30" count="1" selected="0">
            <x v="132"/>
          </reference>
        </references>
      </pivotArea>
    </format>
    <format dxfId="89">
      <pivotArea dataOnly="0" labelOnly="1" outline="0" fieldPosition="0">
        <references count="3">
          <reference field="4" count="1">
            <x v="38"/>
          </reference>
          <reference field="29" count="1" selected="0">
            <x v="1"/>
          </reference>
          <reference field="30" count="1" selected="0">
            <x v="139"/>
          </reference>
        </references>
      </pivotArea>
    </format>
    <format dxfId="88">
      <pivotArea dataOnly="0" labelOnly="1" outline="0" fieldPosition="0">
        <references count="3">
          <reference field="4" count="1">
            <x v="234"/>
          </reference>
          <reference field="29" count="1" selected="0">
            <x v="1"/>
          </reference>
          <reference field="30" count="1" selected="0">
            <x v="148"/>
          </reference>
        </references>
      </pivotArea>
    </format>
    <format dxfId="87">
      <pivotArea dataOnly="0" labelOnly="1" outline="0" fieldPosition="0">
        <references count="3">
          <reference field="4" count="1">
            <x v="93"/>
          </reference>
          <reference field="29" count="1" selected="0">
            <x v="1"/>
          </reference>
          <reference field="30" count="1" selected="0">
            <x v="153"/>
          </reference>
        </references>
      </pivotArea>
    </format>
    <format dxfId="86">
      <pivotArea dataOnly="0" labelOnly="1" outline="0" fieldPosition="0">
        <references count="3">
          <reference field="4" count="1">
            <x v="236"/>
          </reference>
          <reference field="29" count="1" selected="0">
            <x v="1"/>
          </reference>
          <reference field="30" count="1" selected="0">
            <x v="156"/>
          </reference>
        </references>
      </pivotArea>
    </format>
    <format dxfId="85">
      <pivotArea dataOnly="0" labelOnly="1" outline="0" fieldPosition="0">
        <references count="3">
          <reference field="4" count="1">
            <x v="25"/>
          </reference>
          <reference field="29" count="1" selected="0">
            <x v="1"/>
          </reference>
          <reference field="30" count="1" selected="0">
            <x v="160"/>
          </reference>
        </references>
      </pivotArea>
    </format>
    <format dxfId="84">
      <pivotArea dataOnly="0" labelOnly="1" outline="0" fieldPosition="0">
        <references count="3">
          <reference field="4" count="1">
            <x v="45"/>
          </reference>
          <reference field="29" count="1" selected="0">
            <x v="1"/>
          </reference>
          <reference field="30" count="1" selected="0">
            <x v="163"/>
          </reference>
        </references>
      </pivotArea>
    </format>
    <format dxfId="83">
      <pivotArea dataOnly="0" labelOnly="1" outline="0" fieldPosition="0">
        <references count="3">
          <reference field="4" count="1">
            <x v="121"/>
          </reference>
          <reference field="29" count="1" selected="0">
            <x v="1"/>
          </reference>
          <reference field="30" count="1" selected="0">
            <x v="165"/>
          </reference>
        </references>
      </pivotArea>
    </format>
    <format dxfId="82">
      <pivotArea dataOnly="0" labelOnly="1" outline="0" fieldPosition="0">
        <references count="3">
          <reference field="4" count="1">
            <x v="35"/>
          </reference>
          <reference field="29" count="1" selected="0">
            <x v="1"/>
          </reference>
          <reference field="30" count="1" selected="0">
            <x v="175"/>
          </reference>
        </references>
      </pivotArea>
    </format>
    <format dxfId="81">
      <pivotArea dataOnly="0" labelOnly="1" outline="0" fieldPosition="0">
        <references count="3">
          <reference field="4" count="1">
            <x v="245"/>
          </reference>
          <reference field="29" count="1" selected="0">
            <x v="1"/>
          </reference>
          <reference field="30" count="1" selected="0">
            <x v="181"/>
          </reference>
        </references>
      </pivotArea>
    </format>
    <format dxfId="80">
      <pivotArea dataOnly="0" labelOnly="1" outline="0" fieldPosition="0">
        <references count="3">
          <reference field="4" count="1">
            <x v="114"/>
          </reference>
          <reference field="29" count="1" selected="0">
            <x v="1"/>
          </reference>
          <reference field="30" count="1" selected="0">
            <x v="183"/>
          </reference>
        </references>
      </pivotArea>
    </format>
    <format dxfId="79">
      <pivotArea dataOnly="0" labelOnly="1" outline="0" fieldPosition="0">
        <references count="3">
          <reference field="4" count="1">
            <x v="1"/>
          </reference>
          <reference field="29" count="1" selected="0">
            <x v="1"/>
          </reference>
          <reference field="30" count="1" selected="0">
            <x v="187"/>
          </reference>
        </references>
      </pivotArea>
    </format>
    <format dxfId="78">
      <pivotArea dataOnly="0" labelOnly="1" outline="0" fieldPosition="0">
        <references count="3">
          <reference field="4" count="1">
            <x v="137"/>
          </reference>
          <reference field="29" count="1" selected="0">
            <x v="1"/>
          </reference>
          <reference field="30" count="1" selected="0">
            <x v="189"/>
          </reference>
        </references>
      </pivotArea>
    </format>
    <format dxfId="77">
      <pivotArea dataOnly="0" labelOnly="1" outline="0" fieldPosition="0">
        <references count="3">
          <reference field="4" count="1">
            <x v="246"/>
          </reference>
          <reference field="29" count="1" selected="0">
            <x v="1"/>
          </reference>
          <reference field="30" count="1" selected="0">
            <x v="191"/>
          </reference>
        </references>
      </pivotArea>
    </format>
    <format dxfId="76">
      <pivotArea dataOnly="0" labelOnly="1" outline="0" fieldPosition="0">
        <references count="3">
          <reference field="4" count="1">
            <x v="112"/>
          </reference>
          <reference field="29" count="1" selected="0">
            <x v="1"/>
          </reference>
          <reference field="30" count="1" selected="0">
            <x v="194"/>
          </reference>
        </references>
      </pivotArea>
    </format>
    <format dxfId="75">
      <pivotArea dataOnly="0" labelOnly="1" outline="0" fieldPosition="0">
        <references count="3">
          <reference field="4" count="1">
            <x v="120"/>
          </reference>
          <reference field="29" count="1" selected="0">
            <x v="1"/>
          </reference>
          <reference field="30" count="1" selected="0">
            <x v="197"/>
          </reference>
        </references>
      </pivotArea>
    </format>
    <format dxfId="74">
      <pivotArea dataOnly="0" labelOnly="1" outline="0" fieldPosition="0">
        <references count="3">
          <reference field="4" count="1">
            <x v="131"/>
          </reference>
          <reference field="29" count="1" selected="0">
            <x v="1"/>
          </reference>
          <reference field="30" count="1" selected="0">
            <x v="202"/>
          </reference>
        </references>
      </pivotArea>
    </format>
    <format dxfId="73">
      <pivotArea dataOnly="0" labelOnly="1" outline="0" fieldPosition="0">
        <references count="3">
          <reference field="4" count="1">
            <x v="140"/>
          </reference>
          <reference field="29" count="1" selected="0">
            <x v="1"/>
          </reference>
          <reference field="30" count="1" selected="0">
            <x v="204"/>
          </reference>
        </references>
      </pivotArea>
    </format>
    <format dxfId="72">
      <pivotArea dataOnly="0" labelOnly="1" outline="0" fieldPosition="0">
        <references count="3">
          <reference field="4" count="1">
            <x v="12"/>
          </reference>
          <reference field="29" count="1" selected="0">
            <x v="1"/>
          </reference>
          <reference field="30" count="1" selected="0">
            <x v="210"/>
          </reference>
        </references>
      </pivotArea>
    </format>
    <format dxfId="71">
      <pivotArea dataOnly="0" labelOnly="1" outline="0" fieldPosition="0">
        <references count="3">
          <reference field="4" count="1">
            <x v="32"/>
          </reference>
          <reference field="29" count="1" selected="0">
            <x v="1"/>
          </reference>
          <reference field="30" count="1" selected="0">
            <x v="211"/>
          </reference>
        </references>
      </pivotArea>
    </format>
    <format dxfId="70">
      <pivotArea dataOnly="0" labelOnly="1" outline="0" fieldPosition="0">
        <references count="3">
          <reference field="4" count="1">
            <x v="14"/>
          </reference>
          <reference field="29" count="1" selected="0">
            <x v="1"/>
          </reference>
          <reference field="30" count="1" selected="0">
            <x v="221"/>
          </reference>
        </references>
      </pivotArea>
    </format>
    <format dxfId="69">
      <pivotArea dataOnly="0" labelOnly="1" outline="0" fieldPosition="0">
        <references count="3">
          <reference field="4" count="1">
            <x v="161"/>
          </reference>
          <reference field="29" count="1" selected="0">
            <x v="1"/>
          </reference>
          <reference field="30" count="1" selected="0">
            <x v="223"/>
          </reference>
        </references>
      </pivotArea>
    </format>
    <format dxfId="68">
      <pivotArea dataOnly="0" labelOnly="1" outline="0" fieldPosition="0">
        <references count="3">
          <reference field="4" count="1">
            <x v="2"/>
          </reference>
          <reference field="29" count="1" selected="0">
            <x v="1"/>
          </reference>
          <reference field="30" count="1" selected="0">
            <x v="224"/>
          </reference>
        </references>
      </pivotArea>
    </format>
    <format dxfId="67">
      <pivotArea dataOnly="0" labelOnly="1" outline="0" fieldPosition="0">
        <references count="3">
          <reference field="4" count="1">
            <x v="163"/>
          </reference>
          <reference field="29" count="1" selected="0">
            <x v="1"/>
          </reference>
          <reference field="30" count="1" selected="0">
            <x v="228"/>
          </reference>
        </references>
      </pivotArea>
    </format>
    <format dxfId="66">
      <pivotArea dataOnly="0" labelOnly="1" outline="0" fieldPosition="0">
        <references count="3">
          <reference field="4" count="1">
            <x v="132"/>
          </reference>
          <reference field="29" count="1" selected="0">
            <x v="1"/>
          </reference>
          <reference field="30" count="1" selected="0">
            <x v="229"/>
          </reference>
        </references>
      </pivotArea>
    </format>
    <format dxfId="65">
      <pivotArea dataOnly="0" labelOnly="1" outline="0" fieldPosition="0">
        <references count="3">
          <reference field="4" count="1">
            <x v="37"/>
          </reference>
          <reference field="29" count="1" selected="0">
            <x v="1"/>
          </reference>
          <reference field="30" count="1" selected="0">
            <x v="233"/>
          </reference>
        </references>
      </pivotArea>
    </format>
    <format dxfId="64">
      <pivotArea dataOnly="0" labelOnly="1" outline="0" fieldPosition="0">
        <references count="3">
          <reference field="4" count="1">
            <x v="49"/>
          </reference>
          <reference field="29" count="1" selected="0">
            <x v="1"/>
          </reference>
          <reference field="30" count="1" selected="0">
            <x v="239"/>
          </reference>
        </references>
      </pivotArea>
    </format>
    <format dxfId="63">
      <pivotArea dataOnly="0" labelOnly="1" outline="0" fieldPosition="0">
        <references count="3">
          <reference field="4" count="1">
            <x v="136"/>
          </reference>
          <reference field="29" count="1" selected="0">
            <x v="1"/>
          </reference>
          <reference field="30" count="1" selected="0">
            <x v="241"/>
          </reference>
        </references>
      </pivotArea>
    </format>
    <format dxfId="62">
      <pivotArea dataOnly="0" labelOnly="1" outline="0" fieldPosition="0">
        <references count="3">
          <reference field="4" count="1">
            <x v="50"/>
          </reference>
          <reference field="29" count="1" selected="0">
            <x v="1"/>
          </reference>
          <reference field="30" count="1" selected="0">
            <x v="242"/>
          </reference>
        </references>
      </pivotArea>
    </format>
    <format dxfId="61">
      <pivotArea dataOnly="0" labelOnly="1" outline="0" fieldPosition="0">
        <references count="3">
          <reference field="4" count="1">
            <x v="46"/>
          </reference>
          <reference field="29" count="1" selected="0">
            <x v="1"/>
          </reference>
          <reference field="30" count="1" selected="0">
            <x v="249"/>
          </reference>
        </references>
      </pivotArea>
    </format>
    <format dxfId="60">
      <pivotArea dataOnly="0" labelOnly="1" outline="0" fieldPosition="0">
        <references count="3">
          <reference field="4" count="1">
            <x v="144"/>
          </reference>
          <reference field="29" count="1" selected="0">
            <x v="1"/>
          </reference>
          <reference field="30" count="1" selected="0">
            <x v="264"/>
          </reference>
        </references>
      </pivotArea>
    </format>
    <format dxfId="59">
      <pivotArea dataOnly="0" labelOnly="1" outline="0" fieldPosition="0">
        <references count="3">
          <reference field="4" count="1">
            <x v="88"/>
          </reference>
          <reference field="29" count="1" selected="0">
            <x v="1"/>
          </reference>
          <reference field="30" count="1" selected="0">
            <x v="268"/>
          </reference>
        </references>
      </pivotArea>
    </format>
    <format dxfId="58">
      <pivotArea dataOnly="0" labelOnly="1" outline="0" fieldPosition="0">
        <references count="3">
          <reference field="4" count="1">
            <x v="162"/>
          </reference>
          <reference field="29" count="1" selected="0">
            <x v="1"/>
          </reference>
          <reference field="30" count="1" selected="0">
            <x v="279"/>
          </reference>
        </references>
      </pivotArea>
    </format>
    <format dxfId="57">
      <pivotArea dataOnly="0" labelOnly="1" outline="0" fieldPosition="0">
        <references count="3">
          <reference field="4" count="1">
            <x v="42"/>
          </reference>
          <reference field="29" count="1" selected="0">
            <x v="1"/>
          </reference>
          <reference field="30" count="1" selected="0">
            <x v="285"/>
          </reference>
        </references>
      </pivotArea>
    </format>
    <format dxfId="56">
      <pivotArea dataOnly="0" labelOnly="1" outline="0" fieldPosition="0">
        <references count="3">
          <reference field="4" count="1">
            <x v="24"/>
          </reference>
          <reference field="29" count="1" selected="0">
            <x v="1"/>
          </reference>
          <reference field="30" count="1" selected="0">
            <x v="290"/>
          </reference>
        </references>
      </pivotArea>
    </format>
    <format dxfId="55">
      <pivotArea dataOnly="0" labelOnly="1" outline="0" fieldPosition="0">
        <references count="3">
          <reference field="4" count="1">
            <x v="133"/>
          </reference>
          <reference field="29" count="1" selected="0">
            <x v="1"/>
          </reference>
          <reference field="30" count="1" selected="0">
            <x v="292"/>
          </reference>
        </references>
      </pivotArea>
    </format>
    <format dxfId="54">
      <pivotArea dataOnly="0" labelOnly="1" outline="0" fieldPosition="0">
        <references count="3">
          <reference field="4" count="1">
            <x v="151"/>
          </reference>
          <reference field="29" count="1" selected="0">
            <x v="1"/>
          </reference>
          <reference field="30" count="1" selected="0">
            <x v="293"/>
          </reference>
        </references>
      </pivotArea>
    </format>
    <format dxfId="53">
      <pivotArea dataOnly="0" labelOnly="1" outline="0" fieldPosition="0">
        <references count="3">
          <reference field="4" count="1">
            <x v="80"/>
          </reference>
          <reference field="29" count="1" selected="0">
            <x v="1"/>
          </reference>
          <reference field="30" count="1" selected="0">
            <x v="294"/>
          </reference>
        </references>
      </pivotArea>
    </format>
    <format dxfId="52">
      <pivotArea dataOnly="0" labelOnly="1" outline="0" fieldPosition="0">
        <references count="3">
          <reference field="4" count="1">
            <x v="66"/>
          </reference>
          <reference field="29" count="1" selected="0">
            <x v="1"/>
          </reference>
          <reference field="30" count="1" selected="0">
            <x v="303"/>
          </reference>
        </references>
      </pivotArea>
    </format>
    <format dxfId="51">
      <pivotArea dataOnly="0" labelOnly="1" outline="0" fieldPosition="0">
        <references count="3">
          <reference field="4" count="27">
            <x v="164"/>
            <x v="165"/>
            <x v="168"/>
            <x v="170"/>
            <x v="173"/>
            <x v="174"/>
            <x v="176"/>
            <x v="180"/>
            <x v="182"/>
            <x v="183"/>
            <x v="184"/>
            <x v="188"/>
            <x v="189"/>
            <x v="190"/>
            <x v="191"/>
            <x v="193"/>
            <x v="197"/>
            <x v="199"/>
            <x v="200"/>
            <x v="203"/>
            <x v="207"/>
            <x v="208"/>
            <x v="217"/>
            <x v="221"/>
            <x v="250"/>
            <x v="253"/>
            <x v="256"/>
          </reference>
          <reference field="29" count="1" selected="0">
            <x v="1"/>
          </reference>
          <reference field="30" count="1" selected="0">
            <x v="308"/>
          </reference>
        </references>
      </pivotArea>
    </format>
    <format dxfId="50">
      <pivotArea dataOnly="0" labelOnly="1" outline="0" fieldPosition="0">
        <references count="3">
          <reference field="4" count="1">
            <x v="115"/>
          </reference>
          <reference field="29" count="1" selected="0">
            <x v="2"/>
          </reference>
          <reference field="30" count="1" selected="0">
            <x v="0"/>
          </reference>
        </references>
      </pivotArea>
    </format>
    <format dxfId="49">
      <pivotArea dataOnly="0" labelOnly="1" outline="0" fieldPosition="0">
        <references count="3">
          <reference field="4" count="1">
            <x v="60"/>
          </reference>
          <reference field="29" count="1" selected="0">
            <x v="2"/>
          </reference>
          <reference field="30" count="1" selected="0">
            <x v="9"/>
          </reference>
        </references>
      </pivotArea>
    </format>
    <format dxfId="48">
      <pivotArea dataOnly="0" labelOnly="1" outline="0" fieldPosition="0">
        <references count="3">
          <reference field="4" count="1">
            <x v="127"/>
          </reference>
          <reference field="29" count="1" selected="0">
            <x v="2"/>
          </reference>
          <reference field="30" count="1" selected="0">
            <x v="16"/>
          </reference>
        </references>
      </pivotArea>
    </format>
    <format dxfId="47">
      <pivotArea dataOnly="0" labelOnly="1" outline="0" fieldPosition="0">
        <references count="3">
          <reference field="4" count="1">
            <x v="34"/>
          </reference>
          <reference field="29" count="1" selected="0">
            <x v="2"/>
          </reference>
          <reference field="30" count="1" selected="0">
            <x v="21"/>
          </reference>
        </references>
      </pivotArea>
    </format>
    <format dxfId="46">
      <pivotArea dataOnly="0" labelOnly="1" outline="0" fieldPosition="0">
        <references count="3">
          <reference field="4" count="1">
            <x v="61"/>
          </reference>
          <reference field="29" count="1" selected="0">
            <x v="2"/>
          </reference>
          <reference field="30" count="1" selected="0">
            <x v="36"/>
          </reference>
        </references>
      </pivotArea>
    </format>
    <format dxfId="45">
      <pivotArea dataOnly="0" labelOnly="1" outline="0" fieldPosition="0">
        <references count="3">
          <reference field="4" count="1">
            <x v="28"/>
          </reference>
          <reference field="29" count="1" selected="0">
            <x v="2"/>
          </reference>
          <reference field="30" count="1" selected="0">
            <x v="39"/>
          </reference>
        </references>
      </pivotArea>
    </format>
    <format dxfId="44">
      <pivotArea dataOnly="0" labelOnly="1" outline="0" fieldPosition="0">
        <references count="3">
          <reference field="4" count="1">
            <x v="249"/>
          </reference>
          <reference field="29" count="1" selected="0">
            <x v="2"/>
          </reference>
          <reference field="30" count="1" selected="0">
            <x v="61"/>
          </reference>
        </references>
      </pivotArea>
    </format>
    <format dxfId="43">
      <pivotArea dataOnly="0" labelOnly="1" outline="0" fieldPosition="0">
        <references count="3">
          <reference field="4" count="1">
            <x v="248"/>
          </reference>
          <reference field="29" count="1" selected="0">
            <x v="2"/>
          </reference>
          <reference field="30" count="1" selected="0">
            <x v="63"/>
          </reference>
        </references>
      </pivotArea>
    </format>
    <format dxfId="42">
      <pivotArea dataOnly="0" labelOnly="1" outline="0" fieldPosition="0">
        <references count="3">
          <reference field="4" count="1">
            <x v="67"/>
          </reference>
          <reference field="29" count="1" selected="0">
            <x v="2"/>
          </reference>
          <reference field="30" count="1" selected="0">
            <x v="68"/>
          </reference>
        </references>
      </pivotArea>
    </format>
    <format dxfId="41">
      <pivotArea dataOnly="0" labelOnly="1" outline="0" fieldPosition="0">
        <references count="3">
          <reference field="4" count="1">
            <x v="241"/>
          </reference>
          <reference field="29" count="1" selected="0">
            <x v="2"/>
          </reference>
          <reference field="30" count="1" selected="0">
            <x v="73"/>
          </reference>
        </references>
      </pivotArea>
    </format>
    <format dxfId="40">
      <pivotArea dataOnly="0" labelOnly="1" outline="0" fieldPosition="0">
        <references count="3">
          <reference field="4" count="1">
            <x v="75"/>
          </reference>
          <reference field="29" count="1" selected="0">
            <x v="2"/>
          </reference>
          <reference field="30" count="1" selected="0">
            <x v="75"/>
          </reference>
        </references>
      </pivotArea>
    </format>
    <format dxfId="39">
      <pivotArea dataOnly="0" labelOnly="1" outline="0" fieldPosition="0">
        <references count="3">
          <reference field="4" count="1">
            <x v="71"/>
          </reference>
          <reference field="29" count="1" selected="0">
            <x v="2"/>
          </reference>
          <reference field="30" count="1" selected="0">
            <x v="76"/>
          </reference>
        </references>
      </pivotArea>
    </format>
    <format dxfId="38">
      <pivotArea dataOnly="0" labelOnly="1" outline="0" fieldPosition="0">
        <references count="3">
          <reference field="4" count="1">
            <x v="27"/>
          </reference>
          <reference field="29" count="1" selected="0">
            <x v="2"/>
          </reference>
          <reference field="30" count="1" selected="0">
            <x v="79"/>
          </reference>
        </references>
      </pivotArea>
    </format>
    <format dxfId="37">
      <pivotArea dataOnly="0" labelOnly="1" outline="0" fieldPosition="0">
        <references count="3">
          <reference field="4" count="1">
            <x v="83"/>
          </reference>
          <reference field="29" count="1" selected="0">
            <x v="2"/>
          </reference>
          <reference field="30" count="1" selected="0">
            <x v="81"/>
          </reference>
        </references>
      </pivotArea>
    </format>
    <format dxfId="36">
      <pivotArea dataOnly="0" labelOnly="1" outline="0" fieldPosition="0">
        <references count="3">
          <reference field="4" count="1">
            <x v="231"/>
          </reference>
          <reference field="29" count="1" selected="0">
            <x v="2"/>
          </reference>
          <reference field="30" count="1" selected="0">
            <x v="88"/>
          </reference>
        </references>
      </pivotArea>
    </format>
    <format dxfId="35">
      <pivotArea dataOnly="0" labelOnly="1" outline="0" fieldPosition="0">
        <references count="3">
          <reference field="4" count="1">
            <x v="117"/>
          </reference>
          <reference field="29" count="1" selected="0">
            <x v="2"/>
          </reference>
          <reference field="30" count="1" selected="0">
            <x v="97"/>
          </reference>
        </references>
      </pivotArea>
    </format>
    <format dxfId="34">
      <pivotArea dataOnly="0" labelOnly="1" outline="0" fieldPosition="0">
        <references count="3">
          <reference field="4" count="1">
            <x v="242"/>
          </reference>
          <reference field="29" count="1" selected="0">
            <x v="2"/>
          </reference>
          <reference field="30" count="1" selected="0">
            <x v="101"/>
          </reference>
        </references>
      </pivotArea>
    </format>
    <format dxfId="33">
      <pivotArea dataOnly="0" labelOnly="1" outline="0" fieldPosition="0">
        <references count="3">
          <reference field="4" count="1">
            <x v="111"/>
          </reference>
          <reference field="29" count="1" selected="0">
            <x v="2"/>
          </reference>
          <reference field="30" count="1" selected="0">
            <x v="107"/>
          </reference>
        </references>
      </pivotArea>
    </format>
    <format dxfId="32">
      <pivotArea dataOnly="0" labelOnly="1" outline="0" fieldPosition="0">
        <references count="3">
          <reference field="4" count="1">
            <x v="128"/>
          </reference>
          <reference field="29" count="1" selected="0">
            <x v="2"/>
          </reference>
          <reference field="30" count="1" selected="0">
            <x v="108"/>
          </reference>
        </references>
      </pivotArea>
    </format>
    <format dxfId="31">
      <pivotArea dataOnly="0" labelOnly="1" outline="0" fieldPosition="0">
        <references count="3">
          <reference field="4" count="1">
            <x v="247"/>
          </reference>
          <reference field="29" count="1" selected="0">
            <x v="2"/>
          </reference>
          <reference field="30" count="1" selected="0">
            <x v="116"/>
          </reference>
        </references>
      </pivotArea>
    </format>
    <format dxfId="30">
      <pivotArea dataOnly="0" labelOnly="1" outline="0" fieldPosition="0">
        <references count="3">
          <reference field="4" count="1">
            <x v="149"/>
          </reference>
          <reference field="29" count="1" selected="0">
            <x v="2"/>
          </reference>
          <reference field="30" count="1" selected="0">
            <x v="118"/>
          </reference>
        </references>
      </pivotArea>
    </format>
    <format dxfId="29">
      <pivotArea dataOnly="0" labelOnly="1" outline="0" fieldPosition="0">
        <references count="3">
          <reference field="4" count="1">
            <x v="244"/>
          </reference>
          <reference field="29" count="1" selected="0">
            <x v="2"/>
          </reference>
          <reference field="30" count="1" selected="0">
            <x v="124"/>
          </reference>
        </references>
      </pivotArea>
    </format>
    <format dxfId="28">
      <pivotArea dataOnly="0" labelOnly="1" outline="0" fieldPosition="0">
        <references count="3">
          <reference field="4" count="1">
            <x v="94"/>
          </reference>
          <reference field="29" count="1" selected="0">
            <x v="2"/>
          </reference>
          <reference field="30" count="1" selected="0">
            <x v="127"/>
          </reference>
        </references>
      </pivotArea>
    </format>
    <format dxfId="27">
      <pivotArea dataOnly="0" labelOnly="1" outline="0" fieldPosition="0">
        <references count="3">
          <reference field="4" count="1">
            <x v="36"/>
          </reference>
          <reference field="29" count="1" selected="0">
            <x v="2"/>
          </reference>
          <reference field="30" count="1" selected="0">
            <x v="136"/>
          </reference>
        </references>
      </pivotArea>
    </format>
    <format dxfId="26">
      <pivotArea dataOnly="0" labelOnly="1" outline="0" fieldPosition="0">
        <references count="3">
          <reference field="4" count="1">
            <x v="31"/>
          </reference>
          <reference field="29" count="1" selected="0">
            <x v="2"/>
          </reference>
          <reference field="30" count="1" selected="0">
            <x v="143"/>
          </reference>
        </references>
      </pivotArea>
    </format>
    <format dxfId="25">
      <pivotArea dataOnly="0" labelOnly="1" outline="0" fieldPosition="0">
        <references count="3">
          <reference field="4" count="1">
            <x v="87"/>
          </reference>
          <reference field="29" count="1" selected="0">
            <x v="2"/>
          </reference>
          <reference field="30" count="1" selected="0">
            <x v="144"/>
          </reference>
        </references>
      </pivotArea>
    </format>
    <format dxfId="24">
      <pivotArea dataOnly="0" labelOnly="1" outline="0" fieldPosition="0">
        <references count="3">
          <reference field="4" count="1">
            <x v="236"/>
          </reference>
          <reference field="29" count="1" selected="0">
            <x v="2"/>
          </reference>
          <reference field="30" count="1" selected="0">
            <x v="156"/>
          </reference>
        </references>
      </pivotArea>
    </format>
    <format dxfId="23">
      <pivotArea dataOnly="0" labelOnly="1" outline="0" fieldPosition="0">
        <references count="3">
          <reference field="4" count="1">
            <x v="105"/>
          </reference>
          <reference field="29" count="1" selected="0">
            <x v="2"/>
          </reference>
          <reference field="30" count="1" selected="0">
            <x v="170"/>
          </reference>
        </references>
      </pivotArea>
    </format>
    <format dxfId="22">
      <pivotArea dataOnly="0" labelOnly="1" outline="0" fieldPosition="0">
        <references count="3">
          <reference field="4" count="1">
            <x v="29"/>
          </reference>
          <reference field="29" count="1" selected="0">
            <x v="2"/>
          </reference>
          <reference field="30" count="1" selected="0">
            <x v="174"/>
          </reference>
        </references>
      </pivotArea>
    </format>
    <format dxfId="21">
      <pivotArea dataOnly="0" labelOnly="1" outline="0" fieldPosition="0">
        <references count="3">
          <reference field="4" count="1">
            <x v="23"/>
          </reference>
          <reference field="29" count="1" selected="0">
            <x v="2"/>
          </reference>
          <reference field="30" count="1" selected="0">
            <x v="177"/>
          </reference>
        </references>
      </pivotArea>
    </format>
    <format dxfId="20">
      <pivotArea dataOnly="0" labelOnly="1" outline="0" fieldPosition="0">
        <references count="3">
          <reference field="4" count="1">
            <x v="245"/>
          </reference>
          <reference field="29" count="1" selected="0">
            <x v="2"/>
          </reference>
          <reference field="30" count="1" selected="0">
            <x v="181"/>
          </reference>
        </references>
      </pivotArea>
    </format>
    <format dxfId="19">
      <pivotArea dataOnly="0" labelOnly="1" outline="0" fieldPosition="0">
        <references count="3">
          <reference field="4" count="1">
            <x v="246"/>
          </reference>
          <reference field="29" count="1" selected="0">
            <x v="2"/>
          </reference>
          <reference field="30" count="1" selected="0">
            <x v="191"/>
          </reference>
        </references>
      </pivotArea>
    </format>
    <format dxfId="18">
      <pivotArea dataOnly="0" labelOnly="1" outline="0" fieldPosition="0">
        <references count="3">
          <reference field="4" count="1">
            <x v="6"/>
          </reference>
          <reference field="29" count="1" selected="0">
            <x v="2"/>
          </reference>
          <reference field="30" count="1" selected="0">
            <x v="198"/>
          </reference>
        </references>
      </pivotArea>
    </format>
    <format dxfId="17">
      <pivotArea dataOnly="0" labelOnly="1" outline="0" fieldPosition="0">
        <references count="3">
          <reference field="4" count="1">
            <x v="225"/>
          </reference>
          <reference field="29" count="1" selected="0">
            <x v="2"/>
          </reference>
          <reference field="30" count="1" selected="0">
            <x v="208"/>
          </reference>
        </references>
      </pivotArea>
    </format>
    <format dxfId="16">
      <pivotArea dataOnly="0" labelOnly="1" outline="0" fieldPosition="0">
        <references count="3">
          <reference field="4" count="1">
            <x v="109"/>
          </reference>
          <reference field="29" count="1" selected="0">
            <x v="2"/>
          </reference>
          <reference field="30" count="1" selected="0">
            <x v="207"/>
          </reference>
        </references>
      </pivotArea>
    </format>
    <format dxfId="15">
      <pivotArea dataOnly="0" labelOnly="1" outline="0" fieldPosition="0">
        <references count="3">
          <reference field="4" count="1">
            <x v="91"/>
          </reference>
          <reference field="29" count="1" selected="0">
            <x v="2"/>
          </reference>
          <reference field="30" count="1" selected="0">
            <x v="209"/>
          </reference>
        </references>
      </pivotArea>
    </format>
    <format dxfId="14">
      <pivotArea dataOnly="0" labelOnly="1" outline="0" fieldPosition="0">
        <references count="3">
          <reference field="4" count="1">
            <x v="107"/>
          </reference>
          <reference field="29" count="1" selected="0">
            <x v="2"/>
          </reference>
          <reference field="30" count="1" selected="0">
            <x v="212"/>
          </reference>
        </references>
      </pivotArea>
    </format>
    <format dxfId="13">
      <pivotArea dataOnly="0" labelOnly="1" outline="0" fieldPosition="0">
        <references count="3">
          <reference field="4" count="1">
            <x v="148"/>
          </reference>
          <reference field="29" count="1" selected="0">
            <x v="2"/>
          </reference>
          <reference field="30" count="1" selected="0">
            <x v="225"/>
          </reference>
        </references>
      </pivotArea>
    </format>
    <format dxfId="12">
      <pivotArea dataOnly="0" labelOnly="1" outline="0" fieldPosition="0">
        <references count="3">
          <reference field="4" count="1">
            <x v="159"/>
          </reference>
          <reference field="29" count="1" selected="0">
            <x v="2"/>
          </reference>
          <reference field="30" count="1" selected="0">
            <x v="243"/>
          </reference>
        </references>
      </pivotArea>
    </format>
    <format dxfId="11">
      <pivotArea dataOnly="0" labelOnly="1" outline="0" fieldPosition="0">
        <references count="3">
          <reference field="4" count="1">
            <x v="53"/>
          </reference>
          <reference field="29" count="1" selected="0">
            <x v="2"/>
          </reference>
          <reference field="30" count="1" selected="0">
            <x v="246"/>
          </reference>
        </references>
      </pivotArea>
    </format>
    <format dxfId="10">
      <pivotArea dataOnly="0" labelOnly="1" outline="0" fieldPosition="0">
        <references count="3">
          <reference field="4" count="1">
            <x v="33"/>
          </reference>
          <reference field="29" count="1" selected="0">
            <x v="2"/>
          </reference>
          <reference field="30" count="1" selected="0">
            <x v="252"/>
          </reference>
        </references>
      </pivotArea>
    </format>
    <format dxfId="9">
      <pivotArea dataOnly="0" labelOnly="1" outline="0" fieldPosition="0">
        <references count="3">
          <reference field="4" count="1">
            <x v="76"/>
          </reference>
          <reference field="29" count="1" selected="0">
            <x v="2"/>
          </reference>
          <reference field="30" count="1" selected="0">
            <x v="255"/>
          </reference>
        </references>
      </pivotArea>
    </format>
    <format dxfId="8">
      <pivotArea dataOnly="0" labelOnly="1" outline="0" fieldPosition="0">
        <references count="3">
          <reference field="4" count="1">
            <x v="237"/>
          </reference>
          <reference field="29" count="1" selected="0">
            <x v="2"/>
          </reference>
          <reference field="30" count="1" selected="0">
            <x v="256"/>
          </reference>
        </references>
      </pivotArea>
    </format>
    <format dxfId="7">
      <pivotArea dataOnly="0" labelOnly="1" outline="0" fieldPosition="0">
        <references count="3">
          <reference field="4" count="1">
            <x v="41"/>
          </reference>
          <reference field="29" count="1" selected="0">
            <x v="2"/>
          </reference>
          <reference field="30" count="1" selected="0">
            <x v="261"/>
          </reference>
        </references>
      </pivotArea>
    </format>
    <format dxfId="6">
      <pivotArea dataOnly="0" labelOnly="1" outline="0" fieldPosition="0">
        <references count="3">
          <reference field="4" count="1">
            <x v="158"/>
          </reference>
          <reference field="29" count="1" selected="0">
            <x v="2"/>
          </reference>
          <reference field="30" count="1" selected="0">
            <x v="262"/>
          </reference>
        </references>
      </pivotArea>
    </format>
    <format dxfId="5">
      <pivotArea dataOnly="0" labelOnly="1" outline="0" fieldPosition="0">
        <references count="3">
          <reference field="4" count="1">
            <x v="153"/>
          </reference>
          <reference field="29" count="1" selected="0">
            <x v="2"/>
          </reference>
          <reference field="30" count="1" selected="0">
            <x v="271"/>
          </reference>
        </references>
      </pivotArea>
    </format>
    <format dxfId="4">
      <pivotArea dataOnly="0" labelOnly="1" outline="0" fieldPosition="0">
        <references count="3">
          <reference field="4" count="1">
            <x v="156"/>
          </reference>
          <reference field="29" count="1" selected="0">
            <x v="2"/>
          </reference>
          <reference field="30" count="1" selected="0">
            <x v="295"/>
          </reference>
        </references>
      </pivotArea>
    </format>
    <format dxfId="3">
      <pivotArea dataOnly="0" labelOnly="1" outline="0" fieldPosition="0">
        <references count="3">
          <reference field="4" count="1">
            <x v="81"/>
          </reference>
          <reference field="29" count="1" selected="0">
            <x v="2"/>
          </reference>
          <reference field="30" count="1" selected="0">
            <x v="299"/>
          </reference>
        </references>
      </pivotArea>
    </format>
    <format dxfId="2">
      <pivotArea dataOnly="0" labelOnly="1" outline="0" fieldPosition="0">
        <references count="3">
          <reference field="4" count="30">
            <x v="169"/>
            <x v="170"/>
            <x v="172"/>
            <x v="179"/>
            <x v="182"/>
            <x v="187"/>
            <x v="192"/>
            <x v="194"/>
            <x v="195"/>
            <x v="196"/>
            <x v="201"/>
            <x v="202"/>
            <x v="203"/>
            <x v="207"/>
            <x v="208"/>
            <x v="211"/>
            <x v="212"/>
            <x v="213"/>
            <x v="217"/>
            <x v="220"/>
            <x v="250"/>
            <x v="251"/>
            <x v="252"/>
            <x v="254"/>
            <x v="255"/>
            <x v="257"/>
            <x v="258"/>
            <x v="259"/>
            <x v="260"/>
            <x v="261"/>
          </reference>
          <reference field="29" count="1" selected="0">
            <x v="2"/>
          </reference>
          <reference field="30" count="1" selected="0">
            <x v="308"/>
          </reference>
        </references>
      </pivotArea>
    </format>
    <format dxfId="1">
      <pivotArea dataOnly="0" labelOnly="1" outline="0" fieldPosition="0">
        <references count="3">
          <reference field="4" count="1">
            <x v="68"/>
          </reference>
          <reference field="29" count="1" selected="0">
            <x v="3"/>
          </reference>
          <reference field="30" count="1" selected="0">
            <x v="309"/>
          </reference>
        </references>
      </pivotArea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F78A0-772A-41B0-9B41-E85A3220F61C}">
  <sheetPr codeName="Hoja1"/>
  <dimension ref="A1:AG1226"/>
  <sheetViews>
    <sheetView showGridLines="0" zoomScale="70" zoomScaleNormal="70" workbookViewId="0">
      <selection activeCell="M12" sqref="M12"/>
    </sheetView>
  </sheetViews>
  <sheetFormatPr baseColWidth="10" defaultRowHeight="15" x14ac:dyDescent="0.25"/>
  <cols>
    <col min="1" max="1" width="13.140625" bestFit="1" customWidth="1"/>
    <col min="3" max="3" width="14.28515625" bestFit="1" customWidth="1"/>
    <col min="4" max="4" width="24.140625" bestFit="1" customWidth="1"/>
    <col min="8" max="8" width="22" bestFit="1" customWidth="1"/>
    <col min="9" max="9" width="17.28515625" bestFit="1" customWidth="1"/>
    <col min="10" max="10" width="18.140625" bestFit="1" customWidth="1"/>
    <col min="11" max="11" width="13.7109375" bestFit="1" customWidth="1"/>
    <col min="12" max="12" width="15.140625" bestFit="1" customWidth="1"/>
    <col min="13" max="13" width="17.28515625" bestFit="1" customWidth="1"/>
    <col min="14" max="14" width="20.140625" bestFit="1" customWidth="1"/>
    <col min="15" max="15" width="25.42578125" bestFit="1" customWidth="1"/>
    <col min="16" max="16" width="21.28515625" bestFit="1" customWidth="1"/>
    <col min="17" max="17" width="22.85546875" bestFit="1" customWidth="1"/>
    <col min="18" max="18" width="14.5703125" bestFit="1" customWidth="1"/>
    <col min="19" max="19" width="14.28515625" bestFit="1" customWidth="1"/>
    <col min="20" max="27" width="14.5703125" bestFit="1" customWidth="1"/>
    <col min="28" max="28" width="19.28515625" bestFit="1" customWidth="1"/>
    <col min="29" max="29" width="24.7109375" bestFit="1" customWidth="1"/>
    <col min="30" max="30" width="18.5703125" bestFit="1" customWidth="1"/>
    <col min="31" max="31" width="40.28515625" customWidth="1"/>
  </cols>
  <sheetData>
    <row r="1" spans="1:33" ht="13.15" customHeight="1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t="s">
        <v>6</v>
      </c>
      <c r="H1" s="2" t="s">
        <v>7</v>
      </c>
      <c r="I1" t="s">
        <v>8</v>
      </c>
      <c r="J1" t="s">
        <v>9</v>
      </c>
      <c r="K1" t="s">
        <v>10</v>
      </c>
      <c r="L1" s="1" t="s">
        <v>11</v>
      </c>
      <c r="M1" t="s">
        <v>12</v>
      </c>
      <c r="N1" t="s">
        <v>13</v>
      </c>
      <c r="O1" t="s">
        <v>14</v>
      </c>
      <c r="P1" t="s">
        <v>15</v>
      </c>
      <c r="Q1" s="2" t="s">
        <v>16</v>
      </c>
      <c r="R1" t="s">
        <v>17</v>
      </c>
      <c r="S1" s="2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s="4" t="s">
        <v>29</v>
      </c>
      <c r="AE1" s="4" t="s">
        <v>38</v>
      </c>
      <c r="AF1" s="4" t="s">
        <v>31</v>
      </c>
      <c r="AG1" s="4" t="s">
        <v>32</v>
      </c>
    </row>
    <row r="2" spans="1:33" x14ac:dyDescent="0.25">
      <c r="A2" s="1">
        <v>45567</v>
      </c>
      <c r="B2">
        <v>924</v>
      </c>
      <c r="C2" t="s">
        <v>43</v>
      </c>
      <c r="D2" t="s">
        <v>54</v>
      </c>
      <c r="E2">
        <v>605502</v>
      </c>
      <c r="F2" s="2">
        <v>0.58333333333333337</v>
      </c>
      <c r="G2" t="s">
        <v>6</v>
      </c>
      <c r="H2" s="2">
        <v>0.60416666666666663</v>
      </c>
      <c r="I2">
        <v>5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0</v>
      </c>
      <c r="AD2" s="3" t="str">
        <f t="shared" ref="AD2:AD62" si="0">UPPER(C2)</f>
        <v>S2S NO PREMIUM</v>
      </c>
      <c r="AE2" s="3" t="str">
        <f>VLOOKUP(E2,'[1]Nómina Agentes'!$C:$D,2,0)</f>
        <v>ACOSTA AYELEN</v>
      </c>
      <c r="AF2" s="5">
        <f t="shared" ref="AF2:AF62" si="1">F2</f>
        <v>0.58333333333333337</v>
      </c>
      <c r="AG2" s="5">
        <f t="shared" ref="AG2:AG62" si="2">H2</f>
        <v>0.60416666666666663</v>
      </c>
    </row>
    <row r="3" spans="1:33" x14ac:dyDescent="0.25">
      <c r="A3" s="1">
        <v>45567</v>
      </c>
      <c r="B3">
        <v>924</v>
      </c>
      <c r="C3" t="s">
        <v>43</v>
      </c>
      <c r="D3" t="s">
        <v>54</v>
      </c>
      <c r="E3">
        <v>605502</v>
      </c>
      <c r="F3" s="2">
        <v>0.60416666666666663</v>
      </c>
      <c r="G3" t="s">
        <v>6</v>
      </c>
      <c r="H3" s="2">
        <v>0.625</v>
      </c>
      <c r="I3">
        <v>791</v>
      </c>
      <c r="J3">
        <v>0</v>
      </c>
      <c r="K3">
        <v>0</v>
      </c>
      <c r="L3">
        <v>8</v>
      </c>
      <c r="M3">
        <v>0</v>
      </c>
      <c r="N3">
        <v>0</v>
      </c>
      <c r="O3">
        <v>0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2</v>
      </c>
      <c r="AC3">
        <v>2</v>
      </c>
      <c r="AD3" s="3" t="str">
        <f t="shared" si="0"/>
        <v>S2S NO PREMIUM</v>
      </c>
      <c r="AE3" s="3" t="str">
        <f>VLOOKUP(E3,'[1]Nómina Agentes'!$C:$D,2,0)</f>
        <v>ACOSTA AYELEN</v>
      </c>
      <c r="AF3" s="5">
        <f t="shared" si="1"/>
        <v>0.60416666666666663</v>
      </c>
      <c r="AG3" s="5">
        <f t="shared" si="2"/>
        <v>0.625</v>
      </c>
    </row>
    <row r="4" spans="1:33" x14ac:dyDescent="0.25">
      <c r="A4" s="1">
        <v>45567</v>
      </c>
      <c r="B4">
        <v>924</v>
      </c>
      <c r="C4" t="s">
        <v>43</v>
      </c>
      <c r="D4" t="s">
        <v>104</v>
      </c>
      <c r="E4">
        <v>605503</v>
      </c>
      <c r="F4" s="2">
        <v>0.64583333333333337</v>
      </c>
      <c r="G4" t="s">
        <v>6</v>
      </c>
      <c r="H4" s="2">
        <v>0.66666666666666663</v>
      </c>
      <c r="I4">
        <v>4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1</v>
      </c>
      <c r="AC4">
        <v>1</v>
      </c>
      <c r="AD4" s="3" t="str">
        <f t="shared" si="0"/>
        <v>S2S NO PREMIUM</v>
      </c>
      <c r="AE4" s="3" t="str">
        <f>VLOOKUP(E4,'[1]Nómina Agentes'!$C:$D,2,0)</f>
        <v>RUSSO ROCIO BELEN</v>
      </c>
      <c r="AF4" s="5">
        <f t="shared" si="1"/>
        <v>0.64583333333333337</v>
      </c>
      <c r="AG4" s="5">
        <f t="shared" si="2"/>
        <v>0.66666666666666663</v>
      </c>
    </row>
    <row r="5" spans="1:33" x14ac:dyDescent="0.25">
      <c r="A5" s="1">
        <v>45567</v>
      </c>
      <c r="B5">
        <v>924</v>
      </c>
      <c r="C5" t="s">
        <v>43</v>
      </c>
      <c r="D5" t="s">
        <v>104</v>
      </c>
      <c r="E5">
        <v>605503</v>
      </c>
      <c r="F5" s="2">
        <v>0.60416666666666663</v>
      </c>
      <c r="G5" t="s">
        <v>6</v>
      </c>
      <c r="H5" s="2">
        <v>0.625</v>
      </c>
      <c r="I5">
        <v>556</v>
      </c>
      <c r="J5">
        <v>0</v>
      </c>
      <c r="K5">
        <v>0</v>
      </c>
      <c r="L5">
        <v>12</v>
      </c>
      <c r="M5">
        <v>0</v>
      </c>
      <c r="N5">
        <v>0</v>
      </c>
      <c r="O5">
        <v>0</v>
      </c>
      <c r="P5">
        <v>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4</v>
      </c>
      <c r="AC5">
        <v>3</v>
      </c>
      <c r="AD5" s="3" t="str">
        <f t="shared" si="0"/>
        <v>S2S NO PREMIUM</v>
      </c>
      <c r="AE5" s="3" t="str">
        <f>VLOOKUP(E5,'[1]Nómina Agentes'!$C:$D,2,0)</f>
        <v>RUSSO ROCIO BELEN</v>
      </c>
      <c r="AF5" s="5">
        <f t="shared" si="1"/>
        <v>0.60416666666666663</v>
      </c>
      <c r="AG5" s="5">
        <f t="shared" si="2"/>
        <v>0.625</v>
      </c>
    </row>
    <row r="6" spans="1:33" x14ac:dyDescent="0.25">
      <c r="A6" s="1">
        <v>45567</v>
      </c>
      <c r="B6">
        <v>924</v>
      </c>
      <c r="C6" t="s">
        <v>43</v>
      </c>
      <c r="D6" t="s">
        <v>104</v>
      </c>
      <c r="E6">
        <v>605503</v>
      </c>
      <c r="F6" s="2">
        <v>0.625</v>
      </c>
      <c r="G6" t="s">
        <v>6</v>
      </c>
      <c r="H6" s="2">
        <v>0.64583333333333337</v>
      </c>
      <c r="I6">
        <v>930</v>
      </c>
      <c r="J6">
        <v>0</v>
      </c>
      <c r="K6">
        <v>0</v>
      </c>
      <c r="L6">
        <v>20</v>
      </c>
      <c r="M6">
        <v>0</v>
      </c>
      <c r="N6">
        <v>0</v>
      </c>
      <c r="O6">
        <v>0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3</v>
      </c>
      <c r="AC6">
        <v>3</v>
      </c>
      <c r="AD6" s="3" t="str">
        <f t="shared" si="0"/>
        <v>S2S NO PREMIUM</v>
      </c>
      <c r="AE6" s="3" t="str">
        <f>VLOOKUP(E6,'[1]Nómina Agentes'!$C:$D,2,0)</f>
        <v>RUSSO ROCIO BELEN</v>
      </c>
      <c r="AF6" s="5">
        <f t="shared" si="1"/>
        <v>0.625</v>
      </c>
      <c r="AG6" s="5">
        <f t="shared" si="2"/>
        <v>0.64583333333333337</v>
      </c>
    </row>
    <row r="7" spans="1:33" x14ac:dyDescent="0.25">
      <c r="A7" s="1">
        <v>45567</v>
      </c>
      <c r="B7">
        <v>924</v>
      </c>
      <c r="C7" t="s">
        <v>43</v>
      </c>
      <c r="D7" t="s">
        <v>104</v>
      </c>
      <c r="E7">
        <v>605503</v>
      </c>
      <c r="F7" s="2">
        <v>0.58333333333333337</v>
      </c>
      <c r="G7" t="s">
        <v>6</v>
      </c>
      <c r="H7" s="2">
        <v>0.60416666666666663</v>
      </c>
      <c r="I7">
        <v>1107</v>
      </c>
      <c r="J7">
        <v>0</v>
      </c>
      <c r="K7">
        <v>0</v>
      </c>
      <c r="L7">
        <v>14</v>
      </c>
      <c r="M7">
        <v>0</v>
      </c>
      <c r="N7">
        <v>0</v>
      </c>
      <c r="O7">
        <v>0</v>
      </c>
      <c r="P7">
        <v>96</v>
      </c>
      <c r="Q7">
        <v>59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3</v>
      </c>
      <c r="AC7">
        <v>3</v>
      </c>
      <c r="AD7" s="3" t="str">
        <f t="shared" si="0"/>
        <v>S2S NO PREMIUM</v>
      </c>
      <c r="AE7" s="3" t="str">
        <f>VLOOKUP(E7,'[1]Nómina Agentes'!$C:$D,2,0)</f>
        <v>RUSSO ROCIO BELEN</v>
      </c>
      <c r="AF7" s="5">
        <f t="shared" si="1"/>
        <v>0.58333333333333337</v>
      </c>
      <c r="AG7" s="5">
        <f t="shared" si="2"/>
        <v>0.60416666666666663</v>
      </c>
    </row>
    <row r="8" spans="1:33" x14ac:dyDescent="0.25">
      <c r="A8" s="1">
        <v>45567</v>
      </c>
      <c r="B8">
        <v>924</v>
      </c>
      <c r="C8" t="s">
        <v>43</v>
      </c>
      <c r="D8" t="s">
        <v>65</v>
      </c>
      <c r="E8">
        <v>605508</v>
      </c>
      <c r="F8" s="2">
        <v>0.8125</v>
      </c>
      <c r="G8" t="s">
        <v>6</v>
      </c>
      <c r="H8" s="2">
        <v>0.83333333333333337</v>
      </c>
      <c r="I8">
        <v>284</v>
      </c>
      <c r="J8">
        <v>0</v>
      </c>
      <c r="K8">
        <v>0</v>
      </c>
      <c r="L8">
        <v>8</v>
      </c>
      <c r="M8">
        <v>0</v>
      </c>
      <c r="N8">
        <v>0</v>
      </c>
      <c r="O8">
        <v>0</v>
      </c>
      <c r="P8">
        <v>4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2</v>
      </c>
      <c r="AC8">
        <v>1</v>
      </c>
      <c r="AD8" s="3" t="str">
        <f t="shared" si="0"/>
        <v>S2S NO PREMIUM</v>
      </c>
      <c r="AE8" s="3" t="str">
        <f>VLOOKUP(E8,'[1]Nómina Agentes'!$C:$D,2,0)</f>
        <v>TOLOZA ESTEFANIA KAREN</v>
      </c>
      <c r="AF8" s="5">
        <f t="shared" si="1"/>
        <v>0.8125</v>
      </c>
      <c r="AG8" s="5">
        <f t="shared" si="2"/>
        <v>0.83333333333333337</v>
      </c>
    </row>
    <row r="9" spans="1:33" x14ac:dyDescent="0.25">
      <c r="A9" s="1">
        <v>45567</v>
      </c>
      <c r="B9">
        <v>924</v>
      </c>
      <c r="C9" t="s">
        <v>43</v>
      </c>
      <c r="D9" t="s">
        <v>65</v>
      </c>
      <c r="E9">
        <v>605508</v>
      </c>
      <c r="F9" s="2">
        <v>0.79166666666666663</v>
      </c>
      <c r="G9" t="s">
        <v>6</v>
      </c>
      <c r="H9" s="2">
        <v>0.8125</v>
      </c>
      <c r="I9">
        <v>362</v>
      </c>
      <c r="J9">
        <v>0</v>
      </c>
      <c r="K9">
        <v>0</v>
      </c>
      <c r="L9">
        <v>4</v>
      </c>
      <c r="M9">
        <v>0</v>
      </c>
      <c r="N9">
        <v>0</v>
      </c>
      <c r="O9">
        <v>0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1</v>
      </c>
      <c r="AC9">
        <v>1</v>
      </c>
      <c r="AD9" s="3" t="str">
        <f t="shared" si="0"/>
        <v>S2S NO PREMIUM</v>
      </c>
      <c r="AE9" s="3" t="str">
        <f>VLOOKUP(E9,'[1]Nómina Agentes'!$C:$D,2,0)</f>
        <v>TOLOZA ESTEFANIA KAREN</v>
      </c>
      <c r="AF9" s="5">
        <f t="shared" si="1"/>
        <v>0.79166666666666663</v>
      </c>
      <c r="AG9" s="5">
        <f t="shared" si="2"/>
        <v>0.8125</v>
      </c>
    </row>
    <row r="10" spans="1:33" x14ac:dyDescent="0.25">
      <c r="A10" s="1">
        <v>45567</v>
      </c>
      <c r="B10">
        <v>924</v>
      </c>
      <c r="C10" t="s">
        <v>43</v>
      </c>
      <c r="D10" t="s">
        <v>65</v>
      </c>
      <c r="E10">
        <v>605508</v>
      </c>
      <c r="F10" s="2">
        <v>0.60416666666666663</v>
      </c>
      <c r="G10" t="s">
        <v>6</v>
      </c>
      <c r="H10" s="2">
        <v>0.625</v>
      </c>
      <c r="I10">
        <v>667</v>
      </c>
      <c r="J10">
        <v>0</v>
      </c>
      <c r="K10">
        <v>0</v>
      </c>
      <c r="L10">
        <v>18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3</v>
      </c>
      <c r="AC10">
        <v>2</v>
      </c>
      <c r="AD10" s="3" t="str">
        <f t="shared" si="0"/>
        <v>S2S NO PREMIUM</v>
      </c>
      <c r="AE10" s="3" t="str">
        <f>VLOOKUP(E10,'[1]Nómina Agentes'!$C:$D,2,0)</f>
        <v>TOLOZA ESTEFANIA KAREN</v>
      </c>
      <c r="AF10" s="5">
        <f t="shared" si="1"/>
        <v>0.60416666666666663</v>
      </c>
      <c r="AG10" s="5">
        <f t="shared" si="2"/>
        <v>0.625</v>
      </c>
    </row>
    <row r="11" spans="1:33" x14ac:dyDescent="0.25">
      <c r="A11" s="1">
        <v>45567</v>
      </c>
      <c r="B11">
        <v>924</v>
      </c>
      <c r="C11" t="s">
        <v>43</v>
      </c>
      <c r="D11" t="s">
        <v>65</v>
      </c>
      <c r="E11">
        <v>605508</v>
      </c>
      <c r="F11" s="2">
        <v>0.625</v>
      </c>
      <c r="G11" t="s">
        <v>6</v>
      </c>
      <c r="H11" s="2">
        <v>0.64583333333333337</v>
      </c>
      <c r="I11">
        <v>724</v>
      </c>
      <c r="J11">
        <v>0</v>
      </c>
      <c r="K11">
        <v>0</v>
      </c>
      <c r="L11">
        <v>13</v>
      </c>
      <c r="M11">
        <v>0</v>
      </c>
      <c r="N11">
        <v>0</v>
      </c>
      <c r="O11">
        <v>0</v>
      </c>
      <c r="P11">
        <v>3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3</v>
      </c>
      <c r="AC11">
        <v>3</v>
      </c>
      <c r="AD11" s="3" t="str">
        <f t="shared" si="0"/>
        <v>S2S NO PREMIUM</v>
      </c>
      <c r="AE11" s="3" t="str">
        <f>VLOOKUP(E11,'[1]Nómina Agentes'!$C:$D,2,0)</f>
        <v>TOLOZA ESTEFANIA KAREN</v>
      </c>
      <c r="AF11" s="5">
        <f t="shared" si="1"/>
        <v>0.625</v>
      </c>
      <c r="AG11" s="5">
        <f t="shared" si="2"/>
        <v>0.64583333333333337</v>
      </c>
    </row>
    <row r="12" spans="1:33" x14ac:dyDescent="0.25">
      <c r="A12" s="1">
        <v>45567</v>
      </c>
      <c r="B12">
        <v>924</v>
      </c>
      <c r="C12" t="s">
        <v>43</v>
      </c>
      <c r="D12" t="s">
        <v>65</v>
      </c>
      <c r="E12">
        <v>605508</v>
      </c>
      <c r="F12" s="2">
        <v>0.58333333333333337</v>
      </c>
      <c r="G12" t="s">
        <v>6</v>
      </c>
      <c r="H12" s="2">
        <v>0.60416666666666663</v>
      </c>
      <c r="I12">
        <v>980</v>
      </c>
      <c r="J12">
        <v>128</v>
      </c>
      <c r="K12">
        <v>0</v>
      </c>
      <c r="L12">
        <v>15</v>
      </c>
      <c r="M12">
        <v>0</v>
      </c>
      <c r="N12">
        <v>0</v>
      </c>
      <c r="O12">
        <v>0</v>
      </c>
      <c r="P12">
        <v>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3</v>
      </c>
      <c r="AC12">
        <v>1</v>
      </c>
      <c r="AD12" s="3" t="str">
        <f t="shared" si="0"/>
        <v>S2S NO PREMIUM</v>
      </c>
      <c r="AE12" s="3" t="str">
        <f>VLOOKUP(E12,'[1]Nómina Agentes'!$C:$D,2,0)</f>
        <v>TOLOZA ESTEFANIA KAREN</v>
      </c>
      <c r="AF12" s="5">
        <f t="shared" si="1"/>
        <v>0.58333333333333337</v>
      </c>
      <c r="AG12" s="5">
        <f t="shared" si="2"/>
        <v>0.60416666666666663</v>
      </c>
    </row>
    <row r="13" spans="1:33" x14ac:dyDescent="0.25">
      <c r="A13" s="1">
        <v>45567</v>
      </c>
      <c r="B13">
        <v>924</v>
      </c>
      <c r="C13" t="s">
        <v>43</v>
      </c>
      <c r="D13" t="s">
        <v>65</v>
      </c>
      <c r="E13">
        <v>605508</v>
      </c>
      <c r="F13" s="2">
        <v>0.77083333333333337</v>
      </c>
      <c r="G13" t="s">
        <v>6</v>
      </c>
      <c r="H13" s="2">
        <v>0.79166666666666663</v>
      </c>
      <c r="I13">
        <v>1029</v>
      </c>
      <c r="J13">
        <v>0</v>
      </c>
      <c r="K13">
        <v>0</v>
      </c>
      <c r="L13">
        <v>12</v>
      </c>
      <c r="M13">
        <v>0</v>
      </c>
      <c r="N13">
        <v>0</v>
      </c>
      <c r="O13">
        <v>0</v>
      </c>
      <c r="P13">
        <v>4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4</v>
      </c>
      <c r="AC13">
        <v>3</v>
      </c>
      <c r="AD13" s="3" t="str">
        <f t="shared" si="0"/>
        <v>S2S NO PREMIUM</v>
      </c>
      <c r="AE13" s="3" t="str">
        <f>VLOOKUP(E13,'[1]Nómina Agentes'!$C:$D,2,0)</f>
        <v>TOLOZA ESTEFANIA KAREN</v>
      </c>
      <c r="AF13" s="5">
        <f t="shared" si="1"/>
        <v>0.77083333333333337</v>
      </c>
      <c r="AG13" s="5">
        <f t="shared" si="2"/>
        <v>0.79166666666666663</v>
      </c>
    </row>
    <row r="14" spans="1:33" x14ac:dyDescent="0.25">
      <c r="A14" s="1">
        <v>45567</v>
      </c>
      <c r="B14">
        <v>924</v>
      </c>
      <c r="C14" t="s">
        <v>43</v>
      </c>
      <c r="D14" t="s">
        <v>65</v>
      </c>
      <c r="E14">
        <v>605508</v>
      </c>
      <c r="F14" s="2">
        <v>0.66666666666666663</v>
      </c>
      <c r="G14" t="s">
        <v>6</v>
      </c>
      <c r="H14" s="2">
        <v>0.6875</v>
      </c>
      <c r="I14">
        <v>1083</v>
      </c>
      <c r="J14">
        <v>0</v>
      </c>
      <c r="K14">
        <v>0</v>
      </c>
      <c r="L14">
        <v>19</v>
      </c>
      <c r="M14">
        <v>0</v>
      </c>
      <c r="N14">
        <v>0</v>
      </c>
      <c r="O14">
        <v>0</v>
      </c>
      <c r="P14">
        <v>75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4</v>
      </c>
      <c r="AC14">
        <v>3</v>
      </c>
      <c r="AD14" s="3" t="str">
        <f t="shared" si="0"/>
        <v>S2S NO PREMIUM</v>
      </c>
      <c r="AE14" s="3" t="str">
        <f>VLOOKUP(E14,'[1]Nómina Agentes'!$C:$D,2,0)</f>
        <v>TOLOZA ESTEFANIA KAREN</v>
      </c>
      <c r="AF14" s="5">
        <f t="shared" si="1"/>
        <v>0.66666666666666663</v>
      </c>
      <c r="AG14" s="5">
        <f t="shared" si="2"/>
        <v>0.6875</v>
      </c>
    </row>
    <row r="15" spans="1:33" x14ac:dyDescent="0.25">
      <c r="A15" s="1">
        <v>45567</v>
      </c>
      <c r="B15">
        <v>924</v>
      </c>
      <c r="C15" t="s">
        <v>43</v>
      </c>
      <c r="D15" t="s">
        <v>65</v>
      </c>
      <c r="E15">
        <v>605508</v>
      </c>
      <c r="F15" s="2">
        <v>0.64583333333333337</v>
      </c>
      <c r="G15" t="s">
        <v>6</v>
      </c>
      <c r="H15" s="2">
        <v>0.66666666666666663</v>
      </c>
      <c r="I15">
        <v>1087</v>
      </c>
      <c r="J15">
        <v>0</v>
      </c>
      <c r="K15">
        <v>0</v>
      </c>
      <c r="L15">
        <v>17</v>
      </c>
      <c r="M15">
        <v>0</v>
      </c>
      <c r="N15">
        <v>0</v>
      </c>
      <c r="O15">
        <v>0</v>
      </c>
      <c r="P15">
        <v>5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5</v>
      </c>
      <c r="AC15">
        <v>5</v>
      </c>
      <c r="AD15" s="3" t="str">
        <f t="shared" si="0"/>
        <v>S2S NO PREMIUM</v>
      </c>
      <c r="AE15" s="3" t="str">
        <f>VLOOKUP(E15,'[1]Nómina Agentes'!$C:$D,2,0)</f>
        <v>TOLOZA ESTEFANIA KAREN</v>
      </c>
      <c r="AF15" s="5">
        <f t="shared" si="1"/>
        <v>0.64583333333333337</v>
      </c>
      <c r="AG15" s="5">
        <f t="shared" si="2"/>
        <v>0.66666666666666663</v>
      </c>
    </row>
    <row r="16" spans="1:33" x14ac:dyDescent="0.25">
      <c r="A16" s="1">
        <v>45567</v>
      </c>
      <c r="B16">
        <v>924</v>
      </c>
      <c r="C16" t="s">
        <v>43</v>
      </c>
      <c r="D16" t="s">
        <v>65</v>
      </c>
      <c r="E16">
        <v>605508</v>
      </c>
      <c r="F16" s="2">
        <v>0.6875</v>
      </c>
      <c r="G16" t="s">
        <v>6</v>
      </c>
      <c r="H16" s="2">
        <v>0.70833333333333337</v>
      </c>
      <c r="I16">
        <v>1115</v>
      </c>
      <c r="J16">
        <v>0</v>
      </c>
      <c r="K16">
        <v>0</v>
      </c>
      <c r="L16">
        <v>28</v>
      </c>
      <c r="M16">
        <v>0</v>
      </c>
      <c r="N16">
        <v>0</v>
      </c>
      <c r="O16">
        <v>0</v>
      </c>
      <c r="P16">
        <v>111</v>
      </c>
      <c r="Q16">
        <v>101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6</v>
      </c>
      <c r="AC16">
        <v>5</v>
      </c>
      <c r="AD16" s="3" t="str">
        <f t="shared" si="0"/>
        <v>S2S NO PREMIUM</v>
      </c>
      <c r="AE16" s="3" t="str">
        <f>VLOOKUP(E16,'[1]Nómina Agentes'!$C:$D,2,0)</f>
        <v>TOLOZA ESTEFANIA KAREN</v>
      </c>
      <c r="AF16" s="5">
        <f t="shared" si="1"/>
        <v>0.6875</v>
      </c>
      <c r="AG16" s="5">
        <f t="shared" si="2"/>
        <v>0.70833333333333337</v>
      </c>
    </row>
    <row r="17" spans="1:33" x14ac:dyDescent="0.25">
      <c r="A17" s="1">
        <v>45567</v>
      </c>
      <c r="B17">
        <v>924</v>
      </c>
      <c r="C17" t="s">
        <v>43</v>
      </c>
      <c r="D17" t="s">
        <v>65</v>
      </c>
      <c r="E17">
        <v>605508</v>
      </c>
      <c r="F17" s="2">
        <v>0.70833333333333337</v>
      </c>
      <c r="G17" t="s">
        <v>6</v>
      </c>
      <c r="H17" s="2">
        <v>0.72916666666666663</v>
      </c>
      <c r="I17">
        <v>1260</v>
      </c>
      <c r="J17">
        <v>0</v>
      </c>
      <c r="K17">
        <v>0</v>
      </c>
      <c r="L17">
        <v>21</v>
      </c>
      <c r="M17">
        <v>0</v>
      </c>
      <c r="N17">
        <v>0</v>
      </c>
      <c r="O17">
        <v>0</v>
      </c>
      <c r="P17">
        <v>5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5</v>
      </c>
      <c r="AC17">
        <v>4</v>
      </c>
      <c r="AD17" s="3" t="str">
        <f t="shared" si="0"/>
        <v>S2S NO PREMIUM</v>
      </c>
      <c r="AE17" s="3" t="str">
        <f>VLOOKUP(E17,'[1]Nómina Agentes'!$C:$D,2,0)</f>
        <v>TOLOZA ESTEFANIA KAREN</v>
      </c>
      <c r="AF17" s="5">
        <f t="shared" si="1"/>
        <v>0.70833333333333337</v>
      </c>
      <c r="AG17" s="5">
        <f t="shared" si="2"/>
        <v>0.72916666666666663</v>
      </c>
    </row>
    <row r="18" spans="1:33" x14ac:dyDescent="0.25">
      <c r="A18" s="1">
        <v>45567</v>
      </c>
      <c r="B18">
        <v>924</v>
      </c>
      <c r="C18" t="s">
        <v>43</v>
      </c>
      <c r="D18" t="s">
        <v>65</v>
      </c>
      <c r="E18">
        <v>605508</v>
      </c>
      <c r="F18" s="2">
        <v>0.72916666666666663</v>
      </c>
      <c r="G18" t="s">
        <v>6</v>
      </c>
      <c r="H18" s="2">
        <v>0.75</v>
      </c>
      <c r="I18">
        <v>1382</v>
      </c>
      <c r="J18">
        <v>0</v>
      </c>
      <c r="K18">
        <v>0</v>
      </c>
      <c r="L18">
        <v>26</v>
      </c>
      <c r="M18">
        <v>0</v>
      </c>
      <c r="N18">
        <v>0</v>
      </c>
      <c r="O18">
        <v>0</v>
      </c>
      <c r="P18">
        <v>7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6</v>
      </c>
      <c r="AC18">
        <v>5</v>
      </c>
      <c r="AD18" s="3" t="str">
        <f t="shared" si="0"/>
        <v>S2S NO PREMIUM</v>
      </c>
      <c r="AE18" s="3" t="str">
        <f>VLOOKUP(E18,'[1]Nómina Agentes'!$C:$D,2,0)</f>
        <v>TOLOZA ESTEFANIA KAREN</v>
      </c>
      <c r="AF18" s="5">
        <f t="shared" si="1"/>
        <v>0.72916666666666663</v>
      </c>
      <c r="AG18" s="5">
        <f t="shared" si="2"/>
        <v>0.75</v>
      </c>
    </row>
    <row r="19" spans="1:33" x14ac:dyDescent="0.25">
      <c r="A19" s="1">
        <v>45567</v>
      </c>
      <c r="B19">
        <v>924</v>
      </c>
      <c r="C19" t="s">
        <v>43</v>
      </c>
      <c r="D19" t="s">
        <v>65</v>
      </c>
      <c r="E19">
        <v>605508</v>
      </c>
      <c r="F19" s="2">
        <v>0.75</v>
      </c>
      <c r="G19" t="s">
        <v>6</v>
      </c>
      <c r="H19" s="2">
        <v>0.77083333333333337</v>
      </c>
      <c r="I19">
        <v>1678</v>
      </c>
      <c r="J19">
        <v>6</v>
      </c>
      <c r="K19">
        <v>0</v>
      </c>
      <c r="L19">
        <v>18</v>
      </c>
      <c r="M19">
        <v>0</v>
      </c>
      <c r="N19">
        <v>0</v>
      </c>
      <c r="O19">
        <v>0</v>
      </c>
      <c r="P19">
        <v>4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4</v>
      </c>
      <c r="AC19">
        <v>4</v>
      </c>
      <c r="AD19" s="3" t="str">
        <f t="shared" si="0"/>
        <v>S2S NO PREMIUM</v>
      </c>
      <c r="AE19" s="3" t="str">
        <f>VLOOKUP(E19,'[1]Nómina Agentes'!$C:$D,2,0)</f>
        <v>TOLOZA ESTEFANIA KAREN</v>
      </c>
      <c r="AF19" s="5">
        <f t="shared" si="1"/>
        <v>0.75</v>
      </c>
      <c r="AG19" s="5">
        <f t="shared" si="2"/>
        <v>0.77083333333333337</v>
      </c>
    </row>
    <row r="20" spans="1:33" x14ac:dyDescent="0.25">
      <c r="A20" s="1">
        <v>45567</v>
      </c>
      <c r="B20">
        <v>924</v>
      </c>
      <c r="C20" t="s">
        <v>43</v>
      </c>
      <c r="D20" t="s">
        <v>124</v>
      </c>
      <c r="E20">
        <v>605511</v>
      </c>
      <c r="F20" s="2">
        <v>0.58333333333333337</v>
      </c>
      <c r="G20" t="s">
        <v>6</v>
      </c>
      <c r="H20" s="2">
        <v>0.60416666666666663</v>
      </c>
      <c r="I20">
        <v>109</v>
      </c>
      <c r="J20">
        <v>0</v>
      </c>
      <c r="K20">
        <v>0</v>
      </c>
      <c r="L20">
        <v>5</v>
      </c>
      <c r="M20">
        <v>0</v>
      </c>
      <c r="N20">
        <v>0</v>
      </c>
      <c r="O20">
        <v>0</v>
      </c>
      <c r="P20">
        <v>3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2</v>
      </c>
      <c r="AC20">
        <v>1</v>
      </c>
      <c r="AD20" s="3" t="str">
        <f t="shared" si="0"/>
        <v>S2S NO PREMIUM</v>
      </c>
      <c r="AE20" s="3" t="str">
        <f>VLOOKUP(E20,'[1]Nómina Agentes'!$C:$D,2,0)</f>
        <v>MENDOZA NATALIA ELIZABETH</v>
      </c>
      <c r="AF20" s="5">
        <f t="shared" si="1"/>
        <v>0.58333333333333337</v>
      </c>
      <c r="AG20" s="5">
        <f t="shared" si="2"/>
        <v>0.60416666666666663</v>
      </c>
    </row>
    <row r="21" spans="1:33" x14ac:dyDescent="0.25">
      <c r="A21" s="1">
        <v>45567</v>
      </c>
      <c r="B21">
        <v>925</v>
      </c>
      <c r="C21" t="s">
        <v>42</v>
      </c>
      <c r="D21" t="s">
        <v>142</v>
      </c>
      <c r="E21">
        <v>605513</v>
      </c>
      <c r="F21" s="2">
        <v>0.72916666666666663</v>
      </c>
      <c r="G21" t="s">
        <v>6</v>
      </c>
      <c r="H21" s="2">
        <v>0.75</v>
      </c>
      <c r="I21">
        <v>0</v>
      </c>
      <c r="J21">
        <v>83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</v>
      </c>
      <c r="AC21">
        <v>1</v>
      </c>
      <c r="AD21" s="3" t="str">
        <f t="shared" si="0"/>
        <v>S2S PREMIUM</v>
      </c>
      <c r="AE21" s="3" t="str">
        <f>VLOOKUP(E21,'[1]Nómina Agentes'!$C:$D,2,0)</f>
        <v>MAIDANA MENDOZA MALENA MELISA</v>
      </c>
      <c r="AF21" s="5">
        <f t="shared" si="1"/>
        <v>0.72916666666666663</v>
      </c>
      <c r="AG21" s="5">
        <f t="shared" si="2"/>
        <v>0.75</v>
      </c>
    </row>
    <row r="22" spans="1:33" x14ac:dyDescent="0.25">
      <c r="A22" s="1">
        <v>45567</v>
      </c>
      <c r="B22">
        <v>925</v>
      </c>
      <c r="C22" t="s">
        <v>42</v>
      </c>
      <c r="D22" t="s">
        <v>142</v>
      </c>
      <c r="E22">
        <v>605513</v>
      </c>
      <c r="F22" s="2">
        <v>0.64583333333333337</v>
      </c>
      <c r="G22" t="s">
        <v>6</v>
      </c>
      <c r="H22" s="2">
        <v>0.66666666666666663</v>
      </c>
      <c r="I22">
        <v>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885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1</v>
      </c>
      <c r="AC22">
        <v>1</v>
      </c>
      <c r="AD22" s="3" t="str">
        <f t="shared" si="0"/>
        <v>S2S PREMIUM</v>
      </c>
      <c r="AE22" s="3" t="str">
        <f>VLOOKUP(E22,'[1]Nómina Agentes'!$C:$D,2,0)</f>
        <v>MAIDANA MENDOZA MALENA MELISA</v>
      </c>
      <c r="AF22" s="5">
        <f t="shared" si="1"/>
        <v>0.64583333333333337</v>
      </c>
      <c r="AG22" s="5">
        <f t="shared" si="2"/>
        <v>0.66666666666666663</v>
      </c>
    </row>
    <row r="23" spans="1:33" x14ac:dyDescent="0.25">
      <c r="A23" s="1">
        <v>45567</v>
      </c>
      <c r="B23">
        <v>925</v>
      </c>
      <c r="C23" t="s">
        <v>42</v>
      </c>
      <c r="D23" t="s">
        <v>142</v>
      </c>
      <c r="E23">
        <v>605513</v>
      </c>
      <c r="F23" s="2">
        <v>0.66666666666666663</v>
      </c>
      <c r="G23" t="s">
        <v>6</v>
      </c>
      <c r="H23" s="2">
        <v>0.6875</v>
      </c>
      <c r="I23">
        <v>329</v>
      </c>
      <c r="J23">
        <v>0</v>
      </c>
      <c r="K23">
        <v>0</v>
      </c>
      <c r="L23">
        <v>9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 s="3" t="str">
        <f t="shared" si="0"/>
        <v>S2S PREMIUM</v>
      </c>
      <c r="AE23" s="3" t="str">
        <f>VLOOKUP(E23,'[1]Nómina Agentes'!$C:$D,2,0)</f>
        <v>MAIDANA MENDOZA MALENA MELISA</v>
      </c>
      <c r="AF23" s="5">
        <f t="shared" si="1"/>
        <v>0.66666666666666663</v>
      </c>
      <c r="AG23" s="5">
        <f t="shared" si="2"/>
        <v>0.6875</v>
      </c>
    </row>
    <row r="24" spans="1:33" x14ac:dyDescent="0.25">
      <c r="A24" s="1">
        <v>45567</v>
      </c>
      <c r="B24">
        <v>925</v>
      </c>
      <c r="C24" t="s">
        <v>42</v>
      </c>
      <c r="D24" t="s">
        <v>142</v>
      </c>
      <c r="E24">
        <v>605513</v>
      </c>
      <c r="F24" s="2">
        <v>0.58333333333333337</v>
      </c>
      <c r="G24" t="s">
        <v>6</v>
      </c>
      <c r="H24" s="2">
        <v>0.60416666666666663</v>
      </c>
      <c r="I24">
        <v>646</v>
      </c>
      <c r="J24">
        <v>85</v>
      </c>
      <c r="K24">
        <v>0</v>
      </c>
      <c r="L24">
        <v>19</v>
      </c>
      <c r="M24">
        <v>0</v>
      </c>
      <c r="N24">
        <v>0</v>
      </c>
      <c r="O24">
        <v>0</v>
      </c>
      <c r="P24">
        <v>261</v>
      </c>
      <c r="Q24">
        <v>140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2</v>
      </c>
      <c r="AC24">
        <v>2</v>
      </c>
      <c r="AD24" s="3" t="str">
        <f t="shared" si="0"/>
        <v>S2S PREMIUM</v>
      </c>
      <c r="AE24" s="3" t="str">
        <f>VLOOKUP(E24,'[1]Nómina Agentes'!$C:$D,2,0)</f>
        <v>MAIDANA MENDOZA MALENA MELISA</v>
      </c>
      <c r="AF24" s="5">
        <f t="shared" si="1"/>
        <v>0.58333333333333337</v>
      </c>
      <c r="AG24" s="5">
        <f t="shared" si="2"/>
        <v>0.60416666666666663</v>
      </c>
    </row>
    <row r="25" spans="1:33" x14ac:dyDescent="0.25">
      <c r="A25" s="1">
        <v>45567</v>
      </c>
      <c r="B25">
        <v>925</v>
      </c>
      <c r="C25" t="s">
        <v>42</v>
      </c>
      <c r="D25" t="s">
        <v>142</v>
      </c>
      <c r="E25">
        <v>605513</v>
      </c>
      <c r="F25" s="2">
        <v>0.625</v>
      </c>
      <c r="G25" t="s">
        <v>6</v>
      </c>
      <c r="H25" s="2">
        <v>0.64583333333333337</v>
      </c>
      <c r="I25">
        <v>719</v>
      </c>
      <c r="J25">
        <v>21</v>
      </c>
      <c r="K25">
        <v>0</v>
      </c>
      <c r="L25">
        <v>20</v>
      </c>
      <c r="M25">
        <v>0</v>
      </c>
      <c r="N25">
        <v>0</v>
      </c>
      <c r="O25">
        <v>0</v>
      </c>
      <c r="P25">
        <v>79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</v>
      </c>
      <c r="AC25">
        <v>2</v>
      </c>
      <c r="AD25" s="3" t="str">
        <f t="shared" si="0"/>
        <v>S2S PREMIUM</v>
      </c>
      <c r="AE25" s="3" t="str">
        <f>VLOOKUP(E25,'[1]Nómina Agentes'!$C:$D,2,0)</f>
        <v>MAIDANA MENDOZA MALENA MELISA</v>
      </c>
      <c r="AF25" s="5">
        <f t="shared" si="1"/>
        <v>0.625</v>
      </c>
      <c r="AG25" s="5">
        <f t="shared" si="2"/>
        <v>0.64583333333333337</v>
      </c>
    </row>
    <row r="26" spans="1:33" x14ac:dyDescent="0.25">
      <c r="A26" s="1">
        <v>45567</v>
      </c>
      <c r="B26">
        <v>925</v>
      </c>
      <c r="C26" t="s">
        <v>42</v>
      </c>
      <c r="D26" t="s">
        <v>142</v>
      </c>
      <c r="E26">
        <v>605513</v>
      </c>
      <c r="F26" s="2">
        <v>0.60416666666666663</v>
      </c>
      <c r="G26" t="s">
        <v>6</v>
      </c>
      <c r="H26" s="2">
        <v>0.625</v>
      </c>
      <c r="I26">
        <v>771</v>
      </c>
      <c r="J26">
        <v>271</v>
      </c>
      <c r="K26">
        <v>0</v>
      </c>
      <c r="L26">
        <v>35</v>
      </c>
      <c r="M26">
        <v>0</v>
      </c>
      <c r="N26">
        <v>0</v>
      </c>
      <c r="O26">
        <v>0</v>
      </c>
      <c r="P26">
        <v>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4</v>
      </c>
      <c r="AC26">
        <v>3</v>
      </c>
      <c r="AD26" s="3" t="str">
        <f t="shared" si="0"/>
        <v>S2S PREMIUM</v>
      </c>
      <c r="AE26" s="3" t="str">
        <f>VLOOKUP(E26,'[1]Nómina Agentes'!$C:$D,2,0)</f>
        <v>MAIDANA MENDOZA MALENA MELISA</v>
      </c>
      <c r="AF26" s="5">
        <f t="shared" si="1"/>
        <v>0.60416666666666663</v>
      </c>
      <c r="AG26" s="5">
        <f t="shared" si="2"/>
        <v>0.625</v>
      </c>
    </row>
    <row r="27" spans="1:33" x14ac:dyDescent="0.25">
      <c r="A27" s="1">
        <v>45567</v>
      </c>
      <c r="B27">
        <v>925</v>
      </c>
      <c r="C27" t="s">
        <v>42</v>
      </c>
      <c r="D27" t="s">
        <v>142</v>
      </c>
      <c r="E27">
        <v>605513</v>
      </c>
      <c r="F27" s="2">
        <v>0.70833333333333337</v>
      </c>
      <c r="G27" t="s">
        <v>6</v>
      </c>
      <c r="H27" s="2">
        <v>0.72916666666666663</v>
      </c>
      <c r="I27">
        <v>875</v>
      </c>
      <c r="J27">
        <v>418</v>
      </c>
      <c r="K27">
        <v>0</v>
      </c>
      <c r="L27">
        <v>6</v>
      </c>
      <c r="M27">
        <v>0</v>
      </c>
      <c r="N27">
        <v>0</v>
      </c>
      <c r="O27">
        <v>0</v>
      </c>
      <c r="P27">
        <v>878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1</v>
      </c>
      <c r="AC27">
        <v>1</v>
      </c>
      <c r="AD27" s="3" t="str">
        <f t="shared" si="0"/>
        <v>S2S PREMIUM</v>
      </c>
      <c r="AE27" s="3" t="str">
        <f>VLOOKUP(E27,'[1]Nómina Agentes'!$C:$D,2,0)</f>
        <v>MAIDANA MENDOZA MALENA MELISA</v>
      </c>
      <c r="AF27" s="5">
        <f t="shared" si="1"/>
        <v>0.70833333333333337</v>
      </c>
      <c r="AG27" s="5">
        <f t="shared" si="2"/>
        <v>0.72916666666666663</v>
      </c>
    </row>
    <row r="28" spans="1:33" x14ac:dyDescent="0.25">
      <c r="A28" s="1">
        <v>45567</v>
      </c>
      <c r="B28">
        <v>925</v>
      </c>
      <c r="C28" t="s">
        <v>42</v>
      </c>
      <c r="D28" t="s">
        <v>142</v>
      </c>
      <c r="E28">
        <v>605513</v>
      </c>
      <c r="F28" s="2">
        <v>0.6875</v>
      </c>
      <c r="G28" t="s">
        <v>6</v>
      </c>
      <c r="H28" s="2">
        <v>0.70833333333333337</v>
      </c>
      <c r="I28">
        <v>1108</v>
      </c>
      <c r="J28">
        <v>121</v>
      </c>
      <c r="K28">
        <v>0</v>
      </c>
      <c r="L28">
        <v>15</v>
      </c>
      <c r="M28">
        <v>0</v>
      </c>
      <c r="N28">
        <v>0</v>
      </c>
      <c r="O28">
        <v>0</v>
      </c>
      <c r="P28">
        <v>338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2</v>
      </c>
      <c r="AC28">
        <v>2</v>
      </c>
      <c r="AD28" s="3" t="str">
        <f t="shared" si="0"/>
        <v>S2S PREMIUM</v>
      </c>
      <c r="AE28" s="3" t="str">
        <f>VLOOKUP(E28,'[1]Nómina Agentes'!$C:$D,2,0)</f>
        <v>MAIDANA MENDOZA MALENA MELISA</v>
      </c>
      <c r="AF28" s="5">
        <f t="shared" si="1"/>
        <v>0.6875</v>
      </c>
      <c r="AG28" s="5">
        <f t="shared" si="2"/>
        <v>0.70833333333333337</v>
      </c>
    </row>
    <row r="29" spans="1:33" x14ac:dyDescent="0.25">
      <c r="A29" s="1">
        <v>45567</v>
      </c>
      <c r="B29">
        <v>925</v>
      </c>
      <c r="C29" t="s">
        <v>42</v>
      </c>
      <c r="D29" t="s">
        <v>143</v>
      </c>
      <c r="E29">
        <v>605545</v>
      </c>
      <c r="F29" s="2">
        <v>0.77083333333333337</v>
      </c>
      <c r="G29" t="s">
        <v>6</v>
      </c>
      <c r="H29" s="2">
        <v>0.79166666666666663</v>
      </c>
      <c r="I29">
        <v>684</v>
      </c>
      <c r="J29">
        <v>0</v>
      </c>
      <c r="K29">
        <v>0</v>
      </c>
      <c r="L29">
        <v>12</v>
      </c>
      <c r="M29">
        <v>0</v>
      </c>
      <c r="N29">
        <v>0</v>
      </c>
      <c r="O29">
        <v>0</v>
      </c>
      <c r="P29">
        <v>5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4</v>
      </c>
      <c r="AC29">
        <v>4</v>
      </c>
      <c r="AD29" s="3" t="str">
        <f t="shared" si="0"/>
        <v>S2S PREMIUM</v>
      </c>
      <c r="AE29" s="3" t="str">
        <f>VLOOKUP(E29,'[1]Nómina Agentes'!$C:$D,2,0)</f>
        <v>VALENZUELA MELINA GISELLE</v>
      </c>
      <c r="AF29" s="5">
        <f t="shared" si="1"/>
        <v>0.77083333333333337</v>
      </c>
      <c r="AG29" s="5">
        <f t="shared" si="2"/>
        <v>0.79166666666666663</v>
      </c>
    </row>
    <row r="30" spans="1:33" x14ac:dyDescent="0.25">
      <c r="A30" s="1">
        <v>45567</v>
      </c>
      <c r="B30">
        <v>925</v>
      </c>
      <c r="C30" t="s">
        <v>42</v>
      </c>
      <c r="D30" t="s">
        <v>143</v>
      </c>
      <c r="E30">
        <v>605545</v>
      </c>
      <c r="F30" s="2">
        <v>0.75</v>
      </c>
      <c r="G30" t="s">
        <v>6</v>
      </c>
      <c r="H30" s="2">
        <v>0.77083333333333337</v>
      </c>
      <c r="I30">
        <v>808</v>
      </c>
      <c r="J30">
        <v>0</v>
      </c>
      <c r="K30">
        <v>0</v>
      </c>
      <c r="L30">
        <v>16</v>
      </c>
      <c r="M30">
        <v>0</v>
      </c>
      <c r="N30">
        <v>0</v>
      </c>
      <c r="O30">
        <v>0</v>
      </c>
      <c r="P30">
        <v>3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3</v>
      </c>
      <c r="AC30">
        <v>2</v>
      </c>
      <c r="AD30" s="3" t="str">
        <f t="shared" si="0"/>
        <v>S2S PREMIUM</v>
      </c>
      <c r="AE30" s="3" t="str">
        <f>VLOOKUP(E30,'[1]Nómina Agentes'!$C:$D,2,0)</f>
        <v>VALENZUELA MELINA GISELLE</v>
      </c>
      <c r="AF30" s="5">
        <f t="shared" si="1"/>
        <v>0.75</v>
      </c>
      <c r="AG30" s="5">
        <f t="shared" si="2"/>
        <v>0.77083333333333337</v>
      </c>
    </row>
    <row r="31" spans="1:33" x14ac:dyDescent="0.25">
      <c r="A31" s="1">
        <v>45567</v>
      </c>
      <c r="B31">
        <v>925</v>
      </c>
      <c r="C31" t="s">
        <v>42</v>
      </c>
      <c r="D31" t="s">
        <v>143</v>
      </c>
      <c r="E31">
        <v>605545</v>
      </c>
      <c r="F31" s="2">
        <v>0.64583333333333337</v>
      </c>
      <c r="G31" t="s">
        <v>6</v>
      </c>
      <c r="H31" s="2">
        <v>0.66666666666666663</v>
      </c>
      <c r="I31">
        <v>839</v>
      </c>
      <c r="J31">
        <v>0</v>
      </c>
      <c r="K31">
        <v>0</v>
      </c>
      <c r="L31">
        <v>13</v>
      </c>
      <c r="M31">
        <v>0</v>
      </c>
      <c r="N31">
        <v>0</v>
      </c>
      <c r="O31">
        <v>0</v>
      </c>
      <c r="P31">
        <v>106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3</v>
      </c>
      <c r="AC31">
        <v>3</v>
      </c>
      <c r="AD31" s="3" t="str">
        <f t="shared" si="0"/>
        <v>S2S PREMIUM</v>
      </c>
      <c r="AE31" s="3" t="str">
        <f>VLOOKUP(E31,'[1]Nómina Agentes'!$C:$D,2,0)</f>
        <v>VALENZUELA MELINA GISELLE</v>
      </c>
      <c r="AF31" s="5">
        <f t="shared" si="1"/>
        <v>0.64583333333333337</v>
      </c>
      <c r="AG31" s="5">
        <f t="shared" si="2"/>
        <v>0.66666666666666663</v>
      </c>
    </row>
    <row r="32" spans="1:33" x14ac:dyDescent="0.25">
      <c r="A32" s="1">
        <v>45567</v>
      </c>
      <c r="B32">
        <v>925</v>
      </c>
      <c r="C32" t="s">
        <v>42</v>
      </c>
      <c r="D32" t="s">
        <v>143</v>
      </c>
      <c r="E32">
        <v>605545</v>
      </c>
      <c r="F32" s="2">
        <v>0.625</v>
      </c>
      <c r="G32" t="s">
        <v>6</v>
      </c>
      <c r="H32" s="2">
        <v>0.64583333333333337</v>
      </c>
      <c r="I32">
        <v>912</v>
      </c>
      <c r="J32">
        <v>0</v>
      </c>
      <c r="K32">
        <v>0</v>
      </c>
      <c r="L32">
        <v>12</v>
      </c>
      <c r="M32">
        <v>0</v>
      </c>
      <c r="N32">
        <v>0</v>
      </c>
      <c r="O32">
        <v>0</v>
      </c>
      <c r="P32">
        <v>2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2</v>
      </c>
      <c r="AC32">
        <v>2</v>
      </c>
      <c r="AD32" s="3" t="str">
        <f t="shared" si="0"/>
        <v>S2S PREMIUM</v>
      </c>
      <c r="AE32" s="3" t="str">
        <f>VLOOKUP(E32,'[1]Nómina Agentes'!$C:$D,2,0)</f>
        <v>VALENZUELA MELINA GISELLE</v>
      </c>
      <c r="AF32" s="5">
        <f t="shared" si="1"/>
        <v>0.625</v>
      </c>
      <c r="AG32" s="5">
        <f t="shared" si="2"/>
        <v>0.64583333333333337</v>
      </c>
    </row>
    <row r="33" spans="1:33" x14ac:dyDescent="0.25">
      <c r="A33" s="1">
        <v>45567</v>
      </c>
      <c r="B33">
        <v>925</v>
      </c>
      <c r="C33" t="s">
        <v>42</v>
      </c>
      <c r="D33" t="s">
        <v>143</v>
      </c>
      <c r="E33">
        <v>605545</v>
      </c>
      <c r="F33" s="2">
        <v>0.79166666666666663</v>
      </c>
      <c r="G33" t="s">
        <v>6</v>
      </c>
      <c r="H33" s="2">
        <v>0.8125</v>
      </c>
      <c r="I33">
        <v>1259</v>
      </c>
      <c r="J33">
        <v>0</v>
      </c>
      <c r="K33">
        <v>0</v>
      </c>
      <c r="L33">
        <v>24</v>
      </c>
      <c r="M33">
        <v>0</v>
      </c>
      <c r="N33">
        <v>0</v>
      </c>
      <c r="O33">
        <v>0</v>
      </c>
      <c r="P33">
        <v>6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6</v>
      </c>
      <c r="AC33">
        <v>6</v>
      </c>
      <c r="AD33" s="3" t="str">
        <f t="shared" si="0"/>
        <v>S2S PREMIUM</v>
      </c>
      <c r="AE33" s="3" t="str">
        <f>VLOOKUP(E33,'[1]Nómina Agentes'!$C:$D,2,0)</f>
        <v>VALENZUELA MELINA GISELLE</v>
      </c>
      <c r="AF33" s="5">
        <f t="shared" si="1"/>
        <v>0.79166666666666663</v>
      </c>
      <c r="AG33" s="5">
        <f t="shared" si="2"/>
        <v>0.8125</v>
      </c>
    </row>
    <row r="34" spans="1:33" x14ac:dyDescent="0.25">
      <c r="A34" s="1">
        <v>45567</v>
      </c>
      <c r="B34">
        <v>925</v>
      </c>
      <c r="C34" t="s">
        <v>42</v>
      </c>
      <c r="D34" t="s">
        <v>143</v>
      </c>
      <c r="E34">
        <v>605545</v>
      </c>
      <c r="F34" s="2">
        <v>0.8125</v>
      </c>
      <c r="G34" t="s">
        <v>6</v>
      </c>
      <c r="H34" s="2">
        <v>0.83333333333333337</v>
      </c>
      <c r="I34">
        <v>1360</v>
      </c>
      <c r="J34">
        <v>0</v>
      </c>
      <c r="K34">
        <v>0</v>
      </c>
      <c r="L34">
        <v>23</v>
      </c>
      <c r="M34">
        <v>0</v>
      </c>
      <c r="N34">
        <v>0</v>
      </c>
      <c r="O34">
        <v>0</v>
      </c>
      <c r="P34">
        <v>3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5</v>
      </c>
      <c r="AC34">
        <v>3</v>
      </c>
      <c r="AD34" s="3" t="str">
        <f t="shared" si="0"/>
        <v>S2S PREMIUM</v>
      </c>
      <c r="AE34" s="3" t="str">
        <f>VLOOKUP(E34,'[1]Nómina Agentes'!$C:$D,2,0)</f>
        <v>VALENZUELA MELINA GISELLE</v>
      </c>
      <c r="AF34" s="5">
        <f t="shared" si="1"/>
        <v>0.8125</v>
      </c>
      <c r="AG34" s="5">
        <f t="shared" si="2"/>
        <v>0.83333333333333337</v>
      </c>
    </row>
    <row r="35" spans="1:33" x14ac:dyDescent="0.25">
      <c r="A35" s="1">
        <v>45567</v>
      </c>
      <c r="B35">
        <v>925</v>
      </c>
      <c r="C35" t="s">
        <v>42</v>
      </c>
      <c r="D35" t="s">
        <v>105</v>
      </c>
      <c r="E35">
        <v>605580</v>
      </c>
      <c r="F35" s="2">
        <v>0.64583333333333337</v>
      </c>
      <c r="G35" t="s">
        <v>6</v>
      </c>
      <c r="H35" s="2">
        <v>0.66666666666666663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 s="3" t="str">
        <f t="shared" si="0"/>
        <v>S2S PREMIUM</v>
      </c>
      <c r="AE35" s="3" t="str">
        <f>VLOOKUP(E35,'[1]Nómina Agentes'!$C:$D,2,0)</f>
        <v>FERREYRA TOMAS AGUSTIN</v>
      </c>
      <c r="AF35" s="5">
        <f t="shared" si="1"/>
        <v>0.64583333333333337</v>
      </c>
      <c r="AG35" s="5">
        <f t="shared" si="2"/>
        <v>0.66666666666666663</v>
      </c>
    </row>
    <row r="36" spans="1:33" x14ac:dyDescent="0.25">
      <c r="A36" s="1">
        <v>45567</v>
      </c>
      <c r="B36">
        <v>925</v>
      </c>
      <c r="C36" t="s">
        <v>42</v>
      </c>
      <c r="D36" t="s">
        <v>105</v>
      </c>
      <c r="E36">
        <v>605580</v>
      </c>
      <c r="F36" s="2">
        <v>0.60416666666666663</v>
      </c>
      <c r="G36" t="s">
        <v>6</v>
      </c>
      <c r="H36" s="2">
        <v>0.625</v>
      </c>
      <c r="I36">
        <v>0</v>
      </c>
      <c r="J36">
        <v>0</v>
      </c>
      <c r="K36">
        <v>0</v>
      </c>
      <c r="L36">
        <v>100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 s="3" t="str">
        <f t="shared" si="0"/>
        <v>S2S PREMIUM</v>
      </c>
      <c r="AE36" s="3" t="str">
        <f>VLOOKUP(E36,'[1]Nómina Agentes'!$C:$D,2,0)</f>
        <v>FERREYRA TOMAS AGUSTIN</v>
      </c>
      <c r="AF36" s="5">
        <f t="shared" si="1"/>
        <v>0.60416666666666663</v>
      </c>
      <c r="AG36" s="5">
        <f t="shared" si="2"/>
        <v>0.625</v>
      </c>
    </row>
    <row r="37" spans="1:33" x14ac:dyDescent="0.25">
      <c r="A37" s="1">
        <v>45567</v>
      </c>
      <c r="B37">
        <v>925</v>
      </c>
      <c r="C37" t="s">
        <v>42</v>
      </c>
      <c r="D37" t="s">
        <v>105</v>
      </c>
      <c r="E37">
        <v>605580</v>
      </c>
      <c r="F37" s="2">
        <v>0.58333333333333337</v>
      </c>
      <c r="G37" t="s">
        <v>6</v>
      </c>
      <c r="H37" s="2">
        <v>0.60416666666666663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 s="3" t="str">
        <f t="shared" si="0"/>
        <v>S2S PREMIUM</v>
      </c>
      <c r="AE37" s="3" t="str">
        <f>VLOOKUP(E37,'[1]Nómina Agentes'!$C:$D,2,0)</f>
        <v>FERREYRA TOMAS AGUSTIN</v>
      </c>
      <c r="AF37" s="5">
        <f t="shared" si="1"/>
        <v>0.58333333333333337</v>
      </c>
      <c r="AG37" s="5">
        <f t="shared" si="2"/>
        <v>0.60416666666666663</v>
      </c>
    </row>
    <row r="38" spans="1:33" x14ac:dyDescent="0.25">
      <c r="A38" s="1">
        <v>45567</v>
      </c>
      <c r="B38">
        <v>925</v>
      </c>
      <c r="C38" t="s">
        <v>42</v>
      </c>
      <c r="D38" t="s">
        <v>105</v>
      </c>
      <c r="E38">
        <v>605580</v>
      </c>
      <c r="F38" s="2">
        <v>0.625</v>
      </c>
      <c r="G38" t="s">
        <v>6</v>
      </c>
      <c r="H38" s="2">
        <v>0.64583333333333337</v>
      </c>
      <c r="I38">
        <v>125</v>
      </c>
      <c r="J38">
        <v>0</v>
      </c>
      <c r="K38">
        <v>0</v>
      </c>
      <c r="L38">
        <v>7</v>
      </c>
      <c r="M38">
        <v>0</v>
      </c>
      <c r="N38">
        <v>0</v>
      </c>
      <c r="O38">
        <v>0</v>
      </c>
      <c r="P38">
        <v>137</v>
      </c>
      <c r="Q38">
        <v>92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1</v>
      </c>
      <c r="AC38">
        <v>1</v>
      </c>
      <c r="AD38" s="3" t="str">
        <f t="shared" si="0"/>
        <v>S2S PREMIUM</v>
      </c>
      <c r="AE38" s="3" t="str">
        <f>VLOOKUP(E38,'[1]Nómina Agentes'!$C:$D,2,0)</f>
        <v>FERREYRA TOMAS AGUSTIN</v>
      </c>
      <c r="AF38" s="5">
        <f t="shared" si="1"/>
        <v>0.625</v>
      </c>
      <c r="AG38" s="5">
        <f t="shared" si="2"/>
        <v>0.64583333333333337</v>
      </c>
    </row>
    <row r="39" spans="1:33" x14ac:dyDescent="0.25">
      <c r="A39" s="1">
        <v>45567</v>
      </c>
      <c r="B39">
        <v>925</v>
      </c>
      <c r="C39" t="s">
        <v>42</v>
      </c>
      <c r="D39" t="s">
        <v>144</v>
      </c>
      <c r="E39">
        <v>605589</v>
      </c>
      <c r="F39" s="2">
        <v>0.60416666666666663</v>
      </c>
      <c r="G39" t="s">
        <v>6</v>
      </c>
      <c r="H39" s="2">
        <v>0.625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 s="3" t="str">
        <f t="shared" si="0"/>
        <v>S2S PREMIUM</v>
      </c>
      <c r="AE39" s="3" t="str">
        <f>VLOOKUP(E39,'[1]Nómina Agentes'!$C:$D,2,0)</f>
        <v>CASTILLO MICAELA TATIANA</v>
      </c>
      <c r="AF39" s="5">
        <f t="shared" si="1"/>
        <v>0.60416666666666663</v>
      </c>
      <c r="AG39" s="5">
        <f t="shared" si="2"/>
        <v>0.625</v>
      </c>
    </row>
    <row r="40" spans="1:33" x14ac:dyDescent="0.25">
      <c r="A40" s="1">
        <v>45567</v>
      </c>
      <c r="B40">
        <v>925</v>
      </c>
      <c r="C40" t="s">
        <v>42</v>
      </c>
      <c r="D40" t="s">
        <v>144</v>
      </c>
      <c r="E40">
        <v>605589</v>
      </c>
      <c r="F40" s="2">
        <v>0.70833333333333337</v>
      </c>
      <c r="G40" t="s">
        <v>6</v>
      </c>
      <c r="H40" s="2">
        <v>0.72916666666666663</v>
      </c>
      <c r="I40">
        <v>431</v>
      </c>
      <c r="J40">
        <v>0</v>
      </c>
      <c r="K40">
        <v>0</v>
      </c>
      <c r="L40">
        <v>9</v>
      </c>
      <c r="M40">
        <v>0</v>
      </c>
      <c r="N40">
        <v>0</v>
      </c>
      <c r="O40">
        <v>0</v>
      </c>
      <c r="P40">
        <v>323</v>
      </c>
      <c r="Q40">
        <v>46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2</v>
      </c>
      <c r="AC40">
        <v>2</v>
      </c>
      <c r="AD40" s="3" t="str">
        <f t="shared" si="0"/>
        <v>S2S PREMIUM</v>
      </c>
      <c r="AE40" s="3" t="str">
        <f>VLOOKUP(E40,'[1]Nómina Agentes'!$C:$D,2,0)</f>
        <v>CASTILLO MICAELA TATIANA</v>
      </c>
      <c r="AF40" s="5">
        <f t="shared" si="1"/>
        <v>0.70833333333333337</v>
      </c>
      <c r="AG40" s="5">
        <f t="shared" si="2"/>
        <v>0.72916666666666663</v>
      </c>
    </row>
    <row r="41" spans="1:33" x14ac:dyDescent="0.25">
      <c r="A41" s="1">
        <v>45567</v>
      </c>
      <c r="B41">
        <v>925</v>
      </c>
      <c r="C41" t="s">
        <v>42</v>
      </c>
      <c r="D41" t="s">
        <v>144</v>
      </c>
      <c r="E41">
        <v>605589</v>
      </c>
      <c r="F41" s="2">
        <v>0.625</v>
      </c>
      <c r="G41" t="s">
        <v>6</v>
      </c>
      <c r="H41" s="2">
        <v>0.64583333333333337</v>
      </c>
      <c r="I41">
        <v>504</v>
      </c>
      <c r="J41">
        <v>0</v>
      </c>
      <c r="K41">
        <v>0</v>
      </c>
      <c r="L41">
        <v>21</v>
      </c>
      <c r="M41">
        <v>0</v>
      </c>
      <c r="N41">
        <v>0</v>
      </c>
      <c r="O41">
        <v>0</v>
      </c>
      <c r="P41">
        <v>106</v>
      </c>
      <c r="Q41">
        <v>72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4</v>
      </c>
      <c r="AC41">
        <v>3</v>
      </c>
      <c r="AD41" s="3" t="str">
        <f t="shared" si="0"/>
        <v>S2S PREMIUM</v>
      </c>
      <c r="AE41" s="3" t="str">
        <f>VLOOKUP(E41,'[1]Nómina Agentes'!$C:$D,2,0)</f>
        <v>CASTILLO MICAELA TATIANA</v>
      </c>
      <c r="AF41" s="5">
        <f t="shared" si="1"/>
        <v>0.625</v>
      </c>
      <c r="AG41" s="5">
        <f t="shared" si="2"/>
        <v>0.64583333333333337</v>
      </c>
    </row>
    <row r="42" spans="1:33" x14ac:dyDescent="0.25">
      <c r="A42" s="1">
        <v>45567</v>
      </c>
      <c r="B42">
        <v>925</v>
      </c>
      <c r="C42" t="s">
        <v>42</v>
      </c>
      <c r="D42" t="s">
        <v>144</v>
      </c>
      <c r="E42">
        <v>605589</v>
      </c>
      <c r="F42" s="2">
        <v>0.66666666666666663</v>
      </c>
      <c r="G42" t="s">
        <v>6</v>
      </c>
      <c r="H42" s="2">
        <v>0.6875</v>
      </c>
      <c r="I42">
        <v>542</v>
      </c>
      <c r="J42">
        <v>0</v>
      </c>
      <c r="K42">
        <v>0</v>
      </c>
      <c r="L42">
        <v>12</v>
      </c>
      <c r="M42">
        <v>0</v>
      </c>
      <c r="N42">
        <v>0</v>
      </c>
      <c r="O42">
        <v>0</v>
      </c>
      <c r="P42">
        <v>3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3</v>
      </c>
      <c r="AC42">
        <v>2</v>
      </c>
      <c r="AD42" s="3" t="str">
        <f t="shared" si="0"/>
        <v>S2S PREMIUM</v>
      </c>
      <c r="AE42" s="3" t="str">
        <f>VLOOKUP(E42,'[1]Nómina Agentes'!$C:$D,2,0)</f>
        <v>CASTILLO MICAELA TATIANA</v>
      </c>
      <c r="AF42" s="5">
        <f t="shared" si="1"/>
        <v>0.66666666666666663</v>
      </c>
      <c r="AG42" s="5">
        <f t="shared" si="2"/>
        <v>0.6875</v>
      </c>
    </row>
    <row r="43" spans="1:33" x14ac:dyDescent="0.25">
      <c r="A43" s="1">
        <v>45567</v>
      </c>
      <c r="B43">
        <v>925</v>
      </c>
      <c r="C43" t="s">
        <v>42</v>
      </c>
      <c r="D43" t="s">
        <v>144</v>
      </c>
      <c r="E43">
        <v>605589</v>
      </c>
      <c r="F43" s="2">
        <v>0.64583333333333337</v>
      </c>
      <c r="G43" t="s">
        <v>6</v>
      </c>
      <c r="H43" s="2">
        <v>0.66666666666666663</v>
      </c>
      <c r="I43">
        <v>618</v>
      </c>
      <c r="J43">
        <v>0</v>
      </c>
      <c r="K43">
        <v>0</v>
      </c>
      <c r="L43">
        <v>8</v>
      </c>
      <c r="M43">
        <v>0</v>
      </c>
      <c r="N43">
        <v>0</v>
      </c>
      <c r="O43">
        <v>0</v>
      </c>
      <c r="P43">
        <v>3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3</v>
      </c>
      <c r="AC43">
        <v>3</v>
      </c>
      <c r="AD43" s="3" t="str">
        <f t="shared" si="0"/>
        <v>S2S PREMIUM</v>
      </c>
      <c r="AE43" s="3" t="str">
        <f>VLOOKUP(E43,'[1]Nómina Agentes'!$C:$D,2,0)</f>
        <v>CASTILLO MICAELA TATIANA</v>
      </c>
      <c r="AF43" s="5">
        <f t="shared" si="1"/>
        <v>0.64583333333333337</v>
      </c>
      <c r="AG43" s="5">
        <f t="shared" si="2"/>
        <v>0.66666666666666663</v>
      </c>
    </row>
    <row r="44" spans="1:33" x14ac:dyDescent="0.25">
      <c r="A44" s="1">
        <v>45567</v>
      </c>
      <c r="B44">
        <v>925</v>
      </c>
      <c r="C44" t="s">
        <v>42</v>
      </c>
      <c r="D44" t="s">
        <v>144</v>
      </c>
      <c r="E44">
        <v>605589</v>
      </c>
      <c r="F44" s="2">
        <v>0.6875</v>
      </c>
      <c r="G44" t="s">
        <v>6</v>
      </c>
      <c r="H44" s="2">
        <v>0.70833333333333337</v>
      </c>
      <c r="I44">
        <v>1347</v>
      </c>
      <c r="J44">
        <v>0</v>
      </c>
      <c r="K44">
        <v>0</v>
      </c>
      <c r="L44">
        <v>20</v>
      </c>
      <c r="M44">
        <v>0</v>
      </c>
      <c r="N44">
        <v>0</v>
      </c>
      <c r="O44">
        <v>0</v>
      </c>
      <c r="P44">
        <v>7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5</v>
      </c>
      <c r="AC44">
        <v>3</v>
      </c>
      <c r="AD44" s="3" t="str">
        <f t="shared" si="0"/>
        <v>S2S PREMIUM</v>
      </c>
      <c r="AE44" s="3" t="str">
        <f>VLOOKUP(E44,'[1]Nómina Agentes'!$C:$D,2,0)</f>
        <v>CASTILLO MICAELA TATIANA</v>
      </c>
      <c r="AF44" s="5">
        <f t="shared" si="1"/>
        <v>0.6875</v>
      </c>
      <c r="AG44" s="5">
        <f t="shared" si="2"/>
        <v>0.70833333333333337</v>
      </c>
    </row>
    <row r="45" spans="1:33" x14ac:dyDescent="0.25">
      <c r="A45" s="1">
        <v>45567</v>
      </c>
      <c r="B45">
        <v>924</v>
      </c>
      <c r="C45" t="s">
        <v>43</v>
      </c>
      <c r="D45" t="s">
        <v>106</v>
      </c>
      <c r="E45">
        <v>605591</v>
      </c>
      <c r="F45" s="2">
        <v>0.625</v>
      </c>
      <c r="G45" t="s">
        <v>6</v>
      </c>
      <c r="H45" s="2">
        <v>0.64583333333333337</v>
      </c>
      <c r="I45">
        <v>23</v>
      </c>
      <c r="J45">
        <v>4</v>
      </c>
      <c r="K45">
        <v>0</v>
      </c>
      <c r="L45">
        <v>0</v>
      </c>
      <c r="M45">
        <v>0</v>
      </c>
      <c r="N45">
        <v>0</v>
      </c>
      <c r="O45">
        <v>0</v>
      </c>
      <c r="P45">
        <v>563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1</v>
      </c>
      <c r="AC45">
        <v>1</v>
      </c>
      <c r="AD45" s="3" t="str">
        <f t="shared" si="0"/>
        <v>S2S NO PREMIUM</v>
      </c>
      <c r="AE45" s="3" t="str">
        <f>VLOOKUP(E45,'[1]Nómina Agentes'!$C:$D,2,0)</f>
        <v>BERTUCCI AGOSTINA</v>
      </c>
      <c r="AF45" s="5">
        <f t="shared" si="1"/>
        <v>0.625</v>
      </c>
      <c r="AG45" s="5">
        <f t="shared" si="2"/>
        <v>0.64583333333333337</v>
      </c>
    </row>
    <row r="46" spans="1:33" x14ac:dyDescent="0.25">
      <c r="A46" s="1">
        <v>45567</v>
      </c>
      <c r="B46">
        <v>924</v>
      </c>
      <c r="C46" t="s">
        <v>43</v>
      </c>
      <c r="D46" t="s">
        <v>106</v>
      </c>
      <c r="E46">
        <v>605591</v>
      </c>
      <c r="F46" s="2">
        <v>0.60416666666666663</v>
      </c>
      <c r="G46" t="s">
        <v>6</v>
      </c>
      <c r="H46" s="2">
        <v>0.625</v>
      </c>
      <c r="I46">
        <v>477</v>
      </c>
      <c r="J46">
        <v>0</v>
      </c>
      <c r="K46">
        <v>0</v>
      </c>
      <c r="L46">
        <v>25</v>
      </c>
      <c r="M46">
        <v>0</v>
      </c>
      <c r="N46">
        <v>0</v>
      </c>
      <c r="O46">
        <v>0</v>
      </c>
      <c r="P46">
        <v>4</v>
      </c>
      <c r="Q46">
        <v>284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2</v>
      </c>
      <c r="AC46">
        <v>1</v>
      </c>
      <c r="AD46" s="3" t="str">
        <f t="shared" si="0"/>
        <v>S2S NO PREMIUM</v>
      </c>
      <c r="AE46" s="3" t="str">
        <f>VLOOKUP(E46,'[1]Nómina Agentes'!$C:$D,2,0)</f>
        <v>BERTUCCI AGOSTINA</v>
      </c>
      <c r="AF46" s="5">
        <f t="shared" si="1"/>
        <v>0.60416666666666663</v>
      </c>
      <c r="AG46" s="5">
        <f t="shared" si="2"/>
        <v>0.625</v>
      </c>
    </row>
    <row r="47" spans="1:33" x14ac:dyDescent="0.25">
      <c r="A47" s="1">
        <v>45567</v>
      </c>
      <c r="B47">
        <v>924</v>
      </c>
      <c r="C47" t="s">
        <v>43</v>
      </c>
      <c r="D47" t="s">
        <v>106</v>
      </c>
      <c r="E47">
        <v>605591</v>
      </c>
      <c r="F47" s="2">
        <v>0.58333333333333337</v>
      </c>
      <c r="G47" t="s">
        <v>6</v>
      </c>
      <c r="H47" s="2">
        <v>0.60416666666666663</v>
      </c>
      <c r="I47">
        <v>519</v>
      </c>
      <c r="J47">
        <v>0</v>
      </c>
      <c r="K47">
        <v>0</v>
      </c>
      <c r="L47">
        <v>44</v>
      </c>
      <c r="M47">
        <v>0</v>
      </c>
      <c r="N47">
        <v>0</v>
      </c>
      <c r="O47">
        <v>0</v>
      </c>
      <c r="P47">
        <v>585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2</v>
      </c>
      <c r="AC47">
        <v>2</v>
      </c>
      <c r="AD47" s="3" t="str">
        <f t="shared" si="0"/>
        <v>S2S NO PREMIUM</v>
      </c>
      <c r="AE47" s="3" t="str">
        <f>VLOOKUP(E47,'[1]Nómina Agentes'!$C:$D,2,0)</f>
        <v>BERTUCCI AGOSTINA</v>
      </c>
      <c r="AF47" s="5">
        <f t="shared" si="1"/>
        <v>0.58333333333333337</v>
      </c>
      <c r="AG47" s="5">
        <f t="shared" si="2"/>
        <v>0.60416666666666663</v>
      </c>
    </row>
    <row r="48" spans="1:33" x14ac:dyDescent="0.25">
      <c r="A48" s="1">
        <v>45567</v>
      </c>
      <c r="B48">
        <v>925</v>
      </c>
      <c r="C48" t="s">
        <v>42</v>
      </c>
      <c r="D48" t="s">
        <v>125</v>
      </c>
      <c r="E48">
        <v>605611</v>
      </c>
      <c r="F48" s="2">
        <v>0.79166666666666663</v>
      </c>
      <c r="G48" t="s">
        <v>6</v>
      </c>
      <c r="H48" s="2">
        <v>0.8125</v>
      </c>
      <c r="I48">
        <v>148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245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1</v>
      </c>
      <c r="AC48">
        <v>0</v>
      </c>
      <c r="AD48" s="3" t="str">
        <f t="shared" si="0"/>
        <v>S2S PREMIUM</v>
      </c>
      <c r="AE48" s="3" t="str">
        <f>VLOOKUP(E48,'[1]Nómina Agentes'!$C:$D,2,0)</f>
        <v>D AGOSTINO MARIA BIANCA</v>
      </c>
      <c r="AF48" s="5">
        <f t="shared" si="1"/>
        <v>0.79166666666666663</v>
      </c>
      <c r="AG48" s="5">
        <f t="shared" si="2"/>
        <v>0.8125</v>
      </c>
    </row>
    <row r="49" spans="1:33" x14ac:dyDescent="0.25">
      <c r="A49" s="1">
        <v>45567</v>
      </c>
      <c r="B49">
        <v>925</v>
      </c>
      <c r="C49" t="s">
        <v>42</v>
      </c>
      <c r="D49" t="s">
        <v>125</v>
      </c>
      <c r="E49">
        <v>605611</v>
      </c>
      <c r="F49" s="2">
        <v>0.60416666666666663</v>
      </c>
      <c r="G49" t="s">
        <v>6</v>
      </c>
      <c r="H49" s="2">
        <v>0.625</v>
      </c>
      <c r="I49">
        <v>563</v>
      </c>
      <c r="J49">
        <v>0</v>
      </c>
      <c r="K49">
        <v>0</v>
      </c>
      <c r="L49">
        <v>8</v>
      </c>
      <c r="M49">
        <v>0</v>
      </c>
      <c r="N49">
        <v>0</v>
      </c>
      <c r="O49">
        <v>0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3</v>
      </c>
      <c r="AC49">
        <v>2</v>
      </c>
      <c r="AD49" s="3" t="str">
        <f t="shared" si="0"/>
        <v>S2S PREMIUM</v>
      </c>
      <c r="AE49" s="3" t="str">
        <f>VLOOKUP(E49,'[1]Nómina Agentes'!$C:$D,2,0)</f>
        <v>D AGOSTINO MARIA BIANCA</v>
      </c>
      <c r="AF49" s="5">
        <f t="shared" si="1"/>
        <v>0.60416666666666663</v>
      </c>
      <c r="AG49" s="5">
        <f t="shared" si="2"/>
        <v>0.625</v>
      </c>
    </row>
    <row r="50" spans="1:33" x14ac:dyDescent="0.25">
      <c r="A50" s="1">
        <v>45567</v>
      </c>
      <c r="B50">
        <v>925</v>
      </c>
      <c r="C50" t="s">
        <v>42</v>
      </c>
      <c r="D50" t="s">
        <v>125</v>
      </c>
      <c r="E50">
        <v>605611</v>
      </c>
      <c r="F50" s="2">
        <v>0.8125</v>
      </c>
      <c r="G50" t="s">
        <v>6</v>
      </c>
      <c r="H50" s="2">
        <v>0.83333333333333337</v>
      </c>
      <c r="I50">
        <v>733</v>
      </c>
      <c r="J50">
        <v>0</v>
      </c>
      <c r="K50">
        <v>0</v>
      </c>
      <c r="L50">
        <v>12</v>
      </c>
      <c r="M50">
        <v>0</v>
      </c>
      <c r="N50">
        <v>0</v>
      </c>
      <c r="O50">
        <v>0</v>
      </c>
      <c r="P50">
        <v>108</v>
      </c>
      <c r="Q50">
        <v>52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2</v>
      </c>
      <c r="AC50">
        <v>0</v>
      </c>
      <c r="AD50" s="3" t="str">
        <f t="shared" si="0"/>
        <v>S2S PREMIUM</v>
      </c>
      <c r="AE50" s="3" t="str">
        <f>VLOOKUP(E50,'[1]Nómina Agentes'!$C:$D,2,0)</f>
        <v>D AGOSTINO MARIA BIANCA</v>
      </c>
      <c r="AF50" s="5">
        <f t="shared" si="1"/>
        <v>0.8125</v>
      </c>
      <c r="AG50" s="5">
        <f t="shared" si="2"/>
        <v>0.83333333333333337</v>
      </c>
    </row>
    <row r="51" spans="1:33" x14ac:dyDescent="0.25">
      <c r="A51" s="1">
        <v>45567</v>
      </c>
      <c r="B51">
        <v>925</v>
      </c>
      <c r="C51" t="s">
        <v>42</v>
      </c>
      <c r="D51" t="s">
        <v>125</v>
      </c>
      <c r="E51">
        <v>605611</v>
      </c>
      <c r="F51" s="2">
        <v>0.75</v>
      </c>
      <c r="G51" t="s">
        <v>6</v>
      </c>
      <c r="H51" s="2">
        <v>0.77083333333333337</v>
      </c>
      <c r="I51">
        <v>832</v>
      </c>
      <c r="J51">
        <v>0</v>
      </c>
      <c r="K51">
        <v>0</v>
      </c>
      <c r="L51">
        <v>16</v>
      </c>
      <c r="M51">
        <v>0</v>
      </c>
      <c r="N51">
        <v>0</v>
      </c>
      <c r="O51">
        <v>0</v>
      </c>
      <c r="P51">
        <v>187</v>
      </c>
      <c r="Q51">
        <v>77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4</v>
      </c>
      <c r="AC51">
        <v>4</v>
      </c>
      <c r="AD51" s="3" t="str">
        <f t="shared" si="0"/>
        <v>S2S PREMIUM</v>
      </c>
      <c r="AE51" s="3" t="str">
        <f>VLOOKUP(E51,'[1]Nómina Agentes'!$C:$D,2,0)</f>
        <v>D AGOSTINO MARIA BIANCA</v>
      </c>
      <c r="AF51" s="5">
        <f t="shared" si="1"/>
        <v>0.75</v>
      </c>
      <c r="AG51" s="5">
        <f t="shared" si="2"/>
        <v>0.77083333333333337</v>
      </c>
    </row>
    <row r="52" spans="1:33" x14ac:dyDescent="0.25">
      <c r="A52" s="1">
        <v>45567</v>
      </c>
      <c r="B52">
        <v>925</v>
      </c>
      <c r="C52" t="s">
        <v>42</v>
      </c>
      <c r="D52" t="s">
        <v>125</v>
      </c>
      <c r="E52">
        <v>605611</v>
      </c>
      <c r="F52" s="2">
        <v>0.77083333333333337</v>
      </c>
      <c r="G52" t="s">
        <v>6</v>
      </c>
      <c r="H52" s="2">
        <v>0.79166666666666663</v>
      </c>
      <c r="I52">
        <v>837</v>
      </c>
      <c r="J52">
        <v>0</v>
      </c>
      <c r="K52">
        <v>0</v>
      </c>
      <c r="L52">
        <v>20</v>
      </c>
      <c r="M52">
        <v>0</v>
      </c>
      <c r="N52">
        <v>0</v>
      </c>
      <c r="O52">
        <v>0</v>
      </c>
      <c r="P52">
        <v>5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5</v>
      </c>
      <c r="AC52">
        <v>5</v>
      </c>
      <c r="AD52" s="3" t="str">
        <f t="shared" si="0"/>
        <v>S2S PREMIUM</v>
      </c>
      <c r="AE52" s="3" t="str">
        <f>VLOOKUP(E52,'[1]Nómina Agentes'!$C:$D,2,0)</f>
        <v>D AGOSTINO MARIA BIANCA</v>
      </c>
      <c r="AF52" s="5">
        <f t="shared" si="1"/>
        <v>0.77083333333333337</v>
      </c>
      <c r="AG52" s="5">
        <f t="shared" si="2"/>
        <v>0.79166666666666663</v>
      </c>
    </row>
    <row r="53" spans="1:33" x14ac:dyDescent="0.25">
      <c r="A53" s="1">
        <v>45567</v>
      </c>
      <c r="B53">
        <v>925</v>
      </c>
      <c r="C53" t="s">
        <v>42</v>
      </c>
      <c r="D53" t="s">
        <v>125</v>
      </c>
      <c r="E53">
        <v>605611</v>
      </c>
      <c r="F53" s="2">
        <v>0.625</v>
      </c>
      <c r="G53" t="s">
        <v>6</v>
      </c>
      <c r="H53" s="2">
        <v>0.64583333333333337</v>
      </c>
      <c r="I53">
        <v>865</v>
      </c>
      <c r="J53">
        <v>0</v>
      </c>
      <c r="K53">
        <v>0</v>
      </c>
      <c r="L53">
        <v>18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 s="3" t="str">
        <f t="shared" si="0"/>
        <v>S2S PREMIUM</v>
      </c>
      <c r="AE53" s="3" t="str">
        <f>VLOOKUP(E53,'[1]Nómina Agentes'!$C:$D,2,0)</f>
        <v>D AGOSTINO MARIA BIANCA</v>
      </c>
      <c r="AF53" s="5">
        <f t="shared" si="1"/>
        <v>0.625</v>
      </c>
      <c r="AG53" s="5">
        <f t="shared" si="2"/>
        <v>0.64583333333333337</v>
      </c>
    </row>
    <row r="54" spans="1:33" x14ac:dyDescent="0.25">
      <c r="A54" s="1">
        <v>45567</v>
      </c>
      <c r="B54">
        <v>925</v>
      </c>
      <c r="C54" t="s">
        <v>42</v>
      </c>
      <c r="D54" t="s">
        <v>125</v>
      </c>
      <c r="E54">
        <v>605611</v>
      </c>
      <c r="F54" s="2">
        <v>0.58333333333333337</v>
      </c>
      <c r="G54" t="s">
        <v>6</v>
      </c>
      <c r="H54" s="2">
        <v>0.60416666666666663</v>
      </c>
      <c r="I54">
        <v>880</v>
      </c>
      <c r="J54">
        <v>0</v>
      </c>
      <c r="K54">
        <v>0</v>
      </c>
      <c r="L54">
        <v>19</v>
      </c>
      <c r="M54">
        <v>0</v>
      </c>
      <c r="N54">
        <v>0</v>
      </c>
      <c r="O54">
        <v>0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3</v>
      </c>
      <c r="AC54">
        <v>3</v>
      </c>
      <c r="AD54" s="3" t="str">
        <f t="shared" si="0"/>
        <v>S2S PREMIUM</v>
      </c>
      <c r="AE54" s="3" t="str">
        <f>VLOOKUP(E54,'[1]Nómina Agentes'!$C:$D,2,0)</f>
        <v>D AGOSTINO MARIA BIANCA</v>
      </c>
      <c r="AF54" s="5">
        <f t="shared" si="1"/>
        <v>0.58333333333333337</v>
      </c>
      <c r="AG54" s="5">
        <f t="shared" si="2"/>
        <v>0.60416666666666663</v>
      </c>
    </row>
    <row r="55" spans="1:33" x14ac:dyDescent="0.25">
      <c r="A55" s="1">
        <v>45567</v>
      </c>
      <c r="B55">
        <v>925</v>
      </c>
      <c r="C55" t="s">
        <v>42</v>
      </c>
      <c r="D55" t="s">
        <v>125</v>
      </c>
      <c r="E55">
        <v>605611</v>
      </c>
      <c r="F55" s="2">
        <v>0.70833333333333337</v>
      </c>
      <c r="G55" t="s">
        <v>6</v>
      </c>
      <c r="H55" s="2">
        <v>0.72916666666666663</v>
      </c>
      <c r="I55">
        <v>952</v>
      </c>
      <c r="J55">
        <v>0</v>
      </c>
      <c r="K55">
        <v>0</v>
      </c>
      <c r="L55">
        <v>16</v>
      </c>
      <c r="M55">
        <v>0</v>
      </c>
      <c r="N55">
        <v>0</v>
      </c>
      <c r="O55">
        <v>0</v>
      </c>
      <c r="P55">
        <v>94</v>
      </c>
      <c r="Q55">
        <v>66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4</v>
      </c>
      <c r="AC55">
        <v>2</v>
      </c>
      <c r="AD55" s="3" t="str">
        <f t="shared" si="0"/>
        <v>S2S PREMIUM</v>
      </c>
      <c r="AE55" s="3" t="str">
        <f>VLOOKUP(E55,'[1]Nómina Agentes'!$C:$D,2,0)</f>
        <v>D AGOSTINO MARIA BIANCA</v>
      </c>
      <c r="AF55" s="5">
        <f t="shared" si="1"/>
        <v>0.70833333333333337</v>
      </c>
      <c r="AG55" s="5">
        <f t="shared" si="2"/>
        <v>0.72916666666666663</v>
      </c>
    </row>
    <row r="56" spans="1:33" x14ac:dyDescent="0.25">
      <c r="A56" s="1">
        <v>45567</v>
      </c>
      <c r="B56">
        <v>925</v>
      </c>
      <c r="C56" t="s">
        <v>42</v>
      </c>
      <c r="D56" t="s">
        <v>125</v>
      </c>
      <c r="E56">
        <v>605611</v>
      </c>
      <c r="F56" s="2">
        <v>0.72916666666666663</v>
      </c>
      <c r="G56" t="s">
        <v>6</v>
      </c>
      <c r="H56" s="2">
        <v>0.75</v>
      </c>
      <c r="I56">
        <v>1024</v>
      </c>
      <c r="J56">
        <v>0</v>
      </c>
      <c r="K56">
        <v>0</v>
      </c>
      <c r="L56">
        <v>23</v>
      </c>
      <c r="M56">
        <v>0</v>
      </c>
      <c r="N56">
        <v>0</v>
      </c>
      <c r="O56">
        <v>0</v>
      </c>
      <c r="P56">
        <v>5</v>
      </c>
      <c r="Q56">
        <v>53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6</v>
      </c>
      <c r="AC56">
        <v>6</v>
      </c>
      <c r="AD56" s="3" t="str">
        <f t="shared" si="0"/>
        <v>S2S PREMIUM</v>
      </c>
      <c r="AE56" s="3" t="str">
        <f>VLOOKUP(E56,'[1]Nómina Agentes'!$C:$D,2,0)</f>
        <v>D AGOSTINO MARIA BIANCA</v>
      </c>
      <c r="AF56" s="5">
        <f t="shared" si="1"/>
        <v>0.72916666666666663</v>
      </c>
      <c r="AG56" s="5">
        <f t="shared" si="2"/>
        <v>0.75</v>
      </c>
    </row>
    <row r="57" spans="1:33" x14ac:dyDescent="0.25">
      <c r="A57" s="1">
        <v>45567</v>
      </c>
      <c r="B57">
        <v>925</v>
      </c>
      <c r="C57" t="s">
        <v>42</v>
      </c>
      <c r="D57" t="s">
        <v>125</v>
      </c>
      <c r="E57">
        <v>605611</v>
      </c>
      <c r="F57" s="2">
        <v>0.66666666666666663</v>
      </c>
      <c r="G57" t="s">
        <v>6</v>
      </c>
      <c r="H57" s="2">
        <v>0.6875</v>
      </c>
      <c r="I57">
        <v>1097</v>
      </c>
      <c r="J57">
        <v>0</v>
      </c>
      <c r="K57">
        <v>0</v>
      </c>
      <c r="L57">
        <v>8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2</v>
      </c>
      <c r="AC57">
        <v>1</v>
      </c>
      <c r="AD57" s="3" t="str">
        <f t="shared" si="0"/>
        <v>S2S PREMIUM</v>
      </c>
      <c r="AE57" s="3" t="str">
        <f>VLOOKUP(E57,'[1]Nómina Agentes'!$C:$D,2,0)</f>
        <v>D AGOSTINO MARIA BIANCA</v>
      </c>
      <c r="AF57" s="5">
        <f t="shared" si="1"/>
        <v>0.66666666666666663</v>
      </c>
      <c r="AG57" s="5">
        <f t="shared" si="2"/>
        <v>0.6875</v>
      </c>
    </row>
    <row r="58" spans="1:33" x14ac:dyDescent="0.25">
      <c r="A58" s="1">
        <v>45567</v>
      </c>
      <c r="B58">
        <v>925</v>
      </c>
      <c r="C58" t="s">
        <v>42</v>
      </c>
      <c r="D58" t="s">
        <v>125</v>
      </c>
      <c r="E58">
        <v>605611</v>
      </c>
      <c r="F58" s="2">
        <v>0.64583333333333337</v>
      </c>
      <c r="G58" t="s">
        <v>6</v>
      </c>
      <c r="H58" s="2">
        <v>0.66666666666666663</v>
      </c>
      <c r="I58">
        <v>1111</v>
      </c>
      <c r="J58">
        <v>0</v>
      </c>
      <c r="K58">
        <v>0</v>
      </c>
      <c r="L58">
        <v>10</v>
      </c>
      <c r="M58">
        <v>0</v>
      </c>
      <c r="N58">
        <v>0</v>
      </c>
      <c r="O58">
        <v>0</v>
      </c>
      <c r="P58">
        <v>2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3</v>
      </c>
      <c r="AC58">
        <v>2</v>
      </c>
      <c r="AD58" s="3" t="str">
        <f t="shared" si="0"/>
        <v>S2S PREMIUM</v>
      </c>
      <c r="AE58" s="3" t="str">
        <f>VLOOKUP(E58,'[1]Nómina Agentes'!$C:$D,2,0)</f>
        <v>D AGOSTINO MARIA BIANCA</v>
      </c>
      <c r="AF58" s="5">
        <f t="shared" si="1"/>
        <v>0.64583333333333337</v>
      </c>
      <c r="AG58" s="5">
        <f t="shared" si="2"/>
        <v>0.66666666666666663</v>
      </c>
    </row>
    <row r="59" spans="1:33" x14ac:dyDescent="0.25">
      <c r="A59" s="1">
        <v>45567</v>
      </c>
      <c r="B59">
        <v>925</v>
      </c>
      <c r="C59" t="s">
        <v>42</v>
      </c>
      <c r="D59" t="s">
        <v>125</v>
      </c>
      <c r="E59">
        <v>605611</v>
      </c>
      <c r="F59" s="2">
        <v>0.6875</v>
      </c>
      <c r="G59" t="s">
        <v>6</v>
      </c>
      <c r="H59" s="2">
        <v>0.70833333333333337</v>
      </c>
      <c r="I59">
        <v>1354</v>
      </c>
      <c r="J59">
        <v>54</v>
      </c>
      <c r="K59">
        <v>0</v>
      </c>
      <c r="L59">
        <v>16</v>
      </c>
      <c r="M59">
        <v>0</v>
      </c>
      <c r="N59">
        <v>0</v>
      </c>
      <c r="O59">
        <v>0</v>
      </c>
      <c r="P59">
        <v>96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3</v>
      </c>
      <c r="AC59">
        <v>2</v>
      </c>
      <c r="AD59" s="3" t="str">
        <f t="shared" si="0"/>
        <v>S2S PREMIUM</v>
      </c>
      <c r="AE59" s="3" t="str">
        <f>VLOOKUP(E59,'[1]Nómina Agentes'!$C:$D,2,0)</f>
        <v>D AGOSTINO MARIA BIANCA</v>
      </c>
      <c r="AF59" s="5">
        <f t="shared" si="1"/>
        <v>0.6875</v>
      </c>
      <c r="AG59" s="5">
        <f t="shared" si="2"/>
        <v>0.70833333333333337</v>
      </c>
    </row>
    <row r="60" spans="1:33" x14ac:dyDescent="0.25">
      <c r="A60" s="1">
        <v>45567</v>
      </c>
      <c r="B60">
        <v>925</v>
      </c>
      <c r="C60" t="s">
        <v>42</v>
      </c>
      <c r="D60" t="s">
        <v>145</v>
      </c>
      <c r="E60">
        <v>605612</v>
      </c>
      <c r="F60" s="2">
        <v>0.60416666666666663</v>
      </c>
      <c r="G60" t="s">
        <v>6</v>
      </c>
      <c r="H60" s="2">
        <v>0.625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 s="3" t="str">
        <f t="shared" si="0"/>
        <v>S2S PREMIUM</v>
      </c>
      <c r="AE60" s="3" t="str">
        <f>VLOOKUP(E60,'[1]Nómina Agentes'!$C:$D,2,0)</f>
        <v>SOTOS LA IACONA ENZO SANTINO</v>
      </c>
      <c r="AF60" s="5">
        <f t="shared" si="1"/>
        <v>0.60416666666666663</v>
      </c>
      <c r="AG60" s="5">
        <f t="shared" si="2"/>
        <v>0.625</v>
      </c>
    </row>
    <row r="61" spans="1:33" x14ac:dyDescent="0.25">
      <c r="A61" s="1">
        <v>45567</v>
      </c>
      <c r="B61">
        <v>925</v>
      </c>
      <c r="C61" t="s">
        <v>42</v>
      </c>
      <c r="D61" t="s">
        <v>145</v>
      </c>
      <c r="E61">
        <v>605612</v>
      </c>
      <c r="F61" s="2">
        <v>0.64583333333333337</v>
      </c>
      <c r="G61" t="s">
        <v>6</v>
      </c>
      <c r="H61" s="2">
        <v>0.66666666666666663</v>
      </c>
      <c r="I61">
        <v>416</v>
      </c>
      <c r="J61">
        <v>0</v>
      </c>
      <c r="K61">
        <v>0</v>
      </c>
      <c r="L61">
        <v>12</v>
      </c>
      <c r="M61">
        <v>0</v>
      </c>
      <c r="N61">
        <v>0</v>
      </c>
      <c r="O61">
        <v>0</v>
      </c>
      <c r="P61">
        <v>2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3</v>
      </c>
      <c r="AC61">
        <v>2</v>
      </c>
      <c r="AD61" s="3" t="str">
        <f t="shared" si="0"/>
        <v>S2S PREMIUM</v>
      </c>
      <c r="AE61" s="3" t="str">
        <f>VLOOKUP(E61,'[1]Nómina Agentes'!$C:$D,2,0)</f>
        <v>SOTOS LA IACONA ENZO SANTINO</v>
      </c>
      <c r="AF61" s="5">
        <f t="shared" si="1"/>
        <v>0.64583333333333337</v>
      </c>
      <c r="AG61" s="5">
        <f t="shared" si="2"/>
        <v>0.66666666666666663</v>
      </c>
    </row>
    <row r="62" spans="1:33" x14ac:dyDescent="0.25">
      <c r="A62" s="1">
        <v>45567</v>
      </c>
      <c r="B62">
        <v>925</v>
      </c>
      <c r="C62" t="s">
        <v>42</v>
      </c>
      <c r="D62" t="s">
        <v>145</v>
      </c>
      <c r="E62">
        <v>605612</v>
      </c>
      <c r="F62" s="2">
        <v>0.625</v>
      </c>
      <c r="G62" t="s">
        <v>6</v>
      </c>
      <c r="H62" s="2">
        <v>0.64583333333333337</v>
      </c>
      <c r="I62">
        <v>517</v>
      </c>
      <c r="J62">
        <v>0</v>
      </c>
      <c r="K62">
        <v>0</v>
      </c>
      <c r="L62">
        <v>17</v>
      </c>
      <c r="M62">
        <v>0</v>
      </c>
      <c r="N62">
        <v>0</v>
      </c>
      <c r="O62">
        <v>0</v>
      </c>
      <c r="P62">
        <v>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4</v>
      </c>
      <c r="AC62">
        <v>4</v>
      </c>
      <c r="AD62" s="3" t="str">
        <f t="shared" si="0"/>
        <v>S2S PREMIUM</v>
      </c>
      <c r="AE62" s="3" t="str">
        <f>VLOOKUP(E62,'[1]Nómina Agentes'!$C:$D,2,0)</f>
        <v>SOTOS LA IACONA ENZO SANTINO</v>
      </c>
      <c r="AF62" s="5">
        <f t="shared" si="1"/>
        <v>0.625</v>
      </c>
      <c r="AG62" s="5">
        <f t="shared" si="2"/>
        <v>0.64583333333333337</v>
      </c>
    </row>
    <row r="63" spans="1:33" x14ac:dyDescent="0.25">
      <c r="A63" s="1">
        <v>45567</v>
      </c>
      <c r="B63">
        <v>925</v>
      </c>
      <c r="C63" t="s">
        <v>42</v>
      </c>
      <c r="D63" t="s">
        <v>145</v>
      </c>
      <c r="E63">
        <v>605612</v>
      </c>
      <c r="F63" s="2">
        <v>0.66666666666666663</v>
      </c>
      <c r="G63" t="s">
        <v>6</v>
      </c>
      <c r="H63" s="2">
        <v>0.6875</v>
      </c>
      <c r="I63">
        <v>537</v>
      </c>
      <c r="J63">
        <v>0</v>
      </c>
      <c r="K63">
        <v>0</v>
      </c>
      <c r="L63">
        <v>11</v>
      </c>
      <c r="M63">
        <v>0</v>
      </c>
      <c r="N63">
        <v>0</v>
      </c>
      <c r="O63">
        <v>0</v>
      </c>
      <c r="P63">
        <v>2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2</v>
      </c>
      <c r="AC63">
        <v>2</v>
      </c>
      <c r="AD63" s="3" t="str">
        <f t="shared" ref="AD63:AD126" si="3">UPPER(C63)</f>
        <v>S2S PREMIUM</v>
      </c>
      <c r="AE63" s="3" t="str">
        <f>VLOOKUP(E63,'[1]Nómina Agentes'!$C:$D,2,0)</f>
        <v>SOTOS LA IACONA ENZO SANTINO</v>
      </c>
      <c r="AF63" s="5">
        <f t="shared" ref="AF63:AF126" si="4">F63</f>
        <v>0.66666666666666663</v>
      </c>
      <c r="AG63" s="5">
        <f t="shared" ref="AG63:AG126" si="5">H63</f>
        <v>0.6875</v>
      </c>
    </row>
    <row r="64" spans="1:33" x14ac:dyDescent="0.25">
      <c r="A64" s="1">
        <v>45567</v>
      </c>
      <c r="B64">
        <v>925</v>
      </c>
      <c r="C64" t="s">
        <v>42</v>
      </c>
      <c r="D64" t="s">
        <v>145</v>
      </c>
      <c r="E64">
        <v>605612</v>
      </c>
      <c r="F64" s="2">
        <v>0.70833333333333337</v>
      </c>
      <c r="G64" t="s">
        <v>6</v>
      </c>
      <c r="H64" s="2">
        <v>0.72916666666666663</v>
      </c>
      <c r="I64">
        <v>697</v>
      </c>
      <c r="J64">
        <v>0</v>
      </c>
      <c r="K64">
        <v>0</v>
      </c>
      <c r="L64">
        <v>20</v>
      </c>
      <c r="M64">
        <v>0</v>
      </c>
      <c r="N64">
        <v>0</v>
      </c>
      <c r="O64">
        <v>0</v>
      </c>
      <c r="P64">
        <v>55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5</v>
      </c>
      <c r="AC64">
        <v>4</v>
      </c>
      <c r="AD64" s="3" t="str">
        <f t="shared" si="3"/>
        <v>S2S PREMIUM</v>
      </c>
      <c r="AE64" s="3" t="str">
        <f>VLOOKUP(E64,'[1]Nómina Agentes'!$C:$D,2,0)</f>
        <v>SOTOS LA IACONA ENZO SANTINO</v>
      </c>
      <c r="AF64" s="5">
        <f t="shared" si="4"/>
        <v>0.70833333333333337</v>
      </c>
      <c r="AG64" s="5">
        <f t="shared" si="5"/>
        <v>0.72916666666666663</v>
      </c>
    </row>
    <row r="65" spans="1:33" x14ac:dyDescent="0.25">
      <c r="A65" s="1">
        <v>45567</v>
      </c>
      <c r="B65">
        <v>925</v>
      </c>
      <c r="C65" t="s">
        <v>42</v>
      </c>
      <c r="D65" t="s">
        <v>145</v>
      </c>
      <c r="E65">
        <v>605612</v>
      </c>
      <c r="F65" s="2">
        <v>0.6875</v>
      </c>
      <c r="G65" t="s">
        <v>6</v>
      </c>
      <c r="H65" s="2">
        <v>0.70833333333333337</v>
      </c>
      <c r="I65">
        <v>924</v>
      </c>
      <c r="J65">
        <v>54</v>
      </c>
      <c r="K65">
        <v>0</v>
      </c>
      <c r="L65">
        <v>28</v>
      </c>
      <c r="M65">
        <v>0</v>
      </c>
      <c r="N65">
        <v>0</v>
      </c>
      <c r="O65">
        <v>0</v>
      </c>
      <c r="P65">
        <v>172</v>
      </c>
      <c r="Q65">
        <v>63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8</v>
      </c>
      <c r="AC65">
        <v>7</v>
      </c>
      <c r="AD65" s="3" t="str">
        <f t="shared" si="3"/>
        <v>S2S PREMIUM</v>
      </c>
      <c r="AE65" s="3" t="str">
        <f>VLOOKUP(E65,'[1]Nómina Agentes'!$C:$D,2,0)</f>
        <v>SOTOS LA IACONA ENZO SANTINO</v>
      </c>
      <c r="AF65" s="5">
        <f t="shared" si="4"/>
        <v>0.6875</v>
      </c>
      <c r="AG65" s="5">
        <f t="shared" si="5"/>
        <v>0.70833333333333337</v>
      </c>
    </row>
    <row r="66" spans="1:33" x14ac:dyDescent="0.25">
      <c r="A66" s="1">
        <v>45567</v>
      </c>
      <c r="B66">
        <v>925</v>
      </c>
      <c r="C66" t="s">
        <v>42</v>
      </c>
      <c r="D66" t="s">
        <v>146</v>
      </c>
      <c r="E66">
        <v>605617</v>
      </c>
      <c r="F66" s="2">
        <v>0.625</v>
      </c>
      <c r="G66" t="s">
        <v>6</v>
      </c>
      <c r="H66" s="2">
        <v>0.64583333333333337</v>
      </c>
      <c r="I66">
        <v>524</v>
      </c>
      <c r="J66">
        <v>0</v>
      </c>
      <c r="K66">
        <v>0</v>
      </c>
      <c r="L66">
        <v>15</v>
      </c>
      <c r="M66">
        <v>0</v>
      </c>
      <c r="N66">
        <v>0</v>
      </c>
      <c r="O66">
        <v>0</v>
      </c>
      <c r="P66">
        <v>74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2</v>
      </c>
      <c r="AC66">
        <v>2</v>
      </c>
      <c r="AD66" s="3" t="str">
        <f t="shared" si="3"/>
        <v>S2S PREMIUM</v>
      </c>
      <c r="AE66" s="3" t="str">
        <f>VLOOKUP(E66,'[1]Nómina Agentes'!$C:$D,2,0)</f>
        <v>DE VUONO FACUNDO SANTIAGO</v>
      </c>
      <c r="AF66" s="5">
        <f t="shared" si="4"/>
        <v>0.625</v>
      </c>
      <c r="AG66" s="5">
        <f t="shared" si="5"/>
        <v>0.64583333333333337</v>
      </c>
    </row>
    <row r="67" spans="1:33" x14ac:dyDescent="0.25">
      <c r="A67" s="1">
        <v>45567</v>
      </c>
      <c r="B67">
        <v>925</v>
      </c>
      <c r="C67" t="s">
        <v>42</v>
      </c>
      <c r="D67" t="s">
        <v>146</v>
      </c>
      <c r="E67">
        <v>605617</v>
      </c>
      <c r="F67" s="2">
        <v>0.64583333333333337</v>
      </c>
      <c r="G67" t="s">
        <v>6</v>
      </c>
      <c r="H67" s="2">
        <v>0.66666666666666663</v>
      </c>
      <c r="I67">
        <v>596</v>
      </c>
      <c r="J67">
        <v>0</v>
      </c>
      <c r="K67">
        <v>0</v>
      </c>
      <c r="L67">
        <v>12</v>
      </c>
      <c r="M67">
        <v>0</v>
      </c>
      <c r="N67">
        <v>0</v>
      </c>
      <c r="O67">
        <v>0</v>
      </c>
      <c r="P67">
        <v>154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4</v>
      </c>
      <c r="AC67">
        <v>4</v>
      </c>
      <c r="AD67" s="3" t="str">
        <f t="shared" si="3"/>
        <v>S2S PREMIUM</v>
      </c>
      <c r="AE67" s="3" t="str">
        <f>VLOOKUP(E67,'[1]Nómina Agentes'!$C:$D,2,0)</f>
        <v>DE VUONO FACUNDO SANTIAGO</v>
      </c>
      <c r="AF67" s="5">
        <f t="shared" si="4"/>
        <v>0.64583333333333337</v>
      </c>
      <c r="AG67" s="5">
        <f t="shared" si="5"/>
        <v>0.66666666666666663</v>
      </c>
    </row>
    <row r="68" spans="1:33" x14ac:dyDescent="0.25">
      <c r="A68" s="1">
        <v>45567</v>
      </c>
      <c r="B68">
        <v>925</v>
      </c>
      <c r="C68" t="s">
        <v>42</v>
      </c>
      <c r="D68" t="s">
        <v>146</v>
      </c>
      <c r="E68">
        <v>605617</v>
      </c>
      <c r="F68" s="2">
        <v>0.70833333333333337</v>
      </c>
      <c r="G68" t="s">
        <v>6</v>
      </c>
      <c r="H68" s="2">
        <v>0.72916666666666663</v>
      </c>
      <c r="I68">
        <v>596</v>
      </c>
      <c r="J68">
        <v>0</v>
      </c>
      <c r="K68">
        <v>0</v>
      </c>
      <c r="L68">
        <v>12</v>
      </c>
      <c r="M68">
        <v>0</v>
      </c>
      <c r="N68">
        <v>0</v>
      </c>
      <c r="O68">
        <v>0</v>
      </c>
      <c r="P68">
        <v>239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4</v>
      </c>
      <c r="AC68">
        <v>4</v>
      </c>
      <c r="AD68" s="3" t="str">
        <f t="shared" si="3"/>
        <v>S2S PREMIUM</v>
      </c>
      <c r="AE68" s="3" t="str">
        <f>VLOOKUP(E68,'[1]Nómina Agentes'!$C:$D,2,0)</f>
        <v>DE VUONO FACUNDO SANTIAGO</v>
      </c>
      <c r="AF68" s="5">
        <f t="shared" si="4"/>
        <v>0.70833333333333337</v>
      </c>
      <c r="AG68" s="5">
        <f t="shared" si="5"/>
        <v>0.72916666666666663</v>
      </c>
    </row>
    <row r="69" spans="1:33" x14ac:dyDescent="0.25">
      <c r="A69" s="1">
        <v>45567</v>
      </c>
      <c r="B69">
        <v>925</v>
      </c>
      <c r="C69" t="s">
        <v>42</v>
      </c>
      <c r="D69" t="s">
        <v>146</v>
      </c>
      <c r="E69">
        <v>605617</v>
      </c>
      <c r="F69" s="2">
        <v>0.66666666666666663</v>
      </c>
      <c r="G69" t="s">
        <v>6</v>
      </c>
      <c r="H69" s="2">
        <v>0.6875</v>
      </c>
      <c r="I69">
        <v>840</v>
      </c>
      <c r="J69">
        <v>0</v>
      </c>
      <c r="K69">
        <v>0</v>
      </c>
      <c r="L69">
        <v>16</v>
      </c>
      <c r="M69">
        <v>0</v>
      </c>
      <c r="N69">
        <v>0</v>
      </c>
      <c r="O69">
        <v>0</v>
      </c>
      <c r="P69">
        <v>41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3</v>
      </c>
      <c r="AC69">
        <v>3</v>
      </c>
      <c r="AD69" s="3" t="str">
        <f t="shared" si="3"/>
        <v>S2S PREMIUM</v>
      </c>
      <c r="AE69" s="3" t="str">
        <f>VLOOKUP(E69,'[1]Nómina Agentes'!$C:$D,2,0)</f>
        <v>DE VUONO FACUNDO SANTIAGO</v>
      </c>
      <c r="AF69" s="5">
        <f t="shared" si="4"/>
        <v>0.66666666666666663</v>
      </c>
      <c r="AG69" s="5">
        <f t="shared" si="5"/>
        <v>0.6875</v>
      </c>
    </row>
    <row r="70" spans="1:33" x14ac:dyDescent="0.25">
      <c r="A70" s="1">
        <v>45567</v>
      </c>
      <c r="B70">
        <v>925</v>
      </c>
      <c r="C70" t="s">
        <v>42</v>
      </c>
      <c r="D70" t="s">
        <v>146</v>
      </c>
      <c r="E70">
        <v>605617</v>
      </c>
      <c r="F70" s="2">
        <v>0.6875</v>
      </c>
      <c r="G70" t="s">
        <v>6</v>
      </c>
      <c r="H70" s="2">
        <v>0.70833333333333337</v>
      </c>
      <c r="I70">
        <v>870</v>
      </c>
      <c r="J70">
        <v>0</v>
      </c>
      <c r="K70">
        <v>0</v>
      </c>
      <c r="L70">
        <v>12</v>
      </c>
      <c r="M70">
        <v>0</v>
      </c>
      <c r="N70">
        <v>0</v>
      </c>
      <c r="O70">
        <v>0</v>
      </c>
      <c r="P70">
        <v>659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3</v>
      </c>
      <c r="AC70">
        <v>3</v>
      </c>
      <c r="AD70" s="3" t="str">
        <f t="shared" si="3"/>
        <v>S2S PREMIUM</v>
      </c>
      <c r="AE70" s="3" t="str">
        <f>VLOOKUP(E70,'[1]Nómina Agentes'!$C:$D,2,0)</f>
        <v>DE VUONO FACUNDO SANTIAGO</v>
      </c>
      <c r="AF70" s="5">
        <f t="shared" si="4"/>
        <v>0.6875</v>
      </c>
      <c r="AG70" s="5">
        <f t="shared" si="5"/>
        <v>0.70833333333333337</v>
      </c>
    </row>
    <row r="71" spans="1:33" x14ac:dyDescent="0.25">
      <c r="A71" s="1">
        <v>45567</v>
      </c>
      <c r="B71">
        <v>925</v>
      </c>
      <c r="C71" t="s">
        <v>42</v>
      </c>
      <c r="D71" t="s">
        <v>147</v>
      </c>
      <c r="E71">
        <v>605632</v>
      </c>
      <c r="F71" s="2">
        <v>0.60416666666666663</v>
      </c>
      <c r="G71" t="s">
        <v>6</v>
      </c>
      <c r="H71" s="2">
        <v>0.625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 s="3" t="str">
        <f t="shared" si="3"/>
        <v>S2S PREMIUM</v>
      </c>
      <c r="AE71" s="3" t="str">
        <f>VLOOKUP(E71,'[1]Nómina Agentes'!$C:$D,2,0)</f>
        <v>MANFREDI RUTH MELINA</v>
      </c>
      <c r="AF71" s="5">
        <f t="shared" si="4"/>
        <v>0.60416666666666663</v>
      </c>
      <c r="AG71" s="5">
        <f t="shared" si="5"/>
        <v>0.625</v>
      </c>
    </row>
    <row r="72" spans="1:33" x14ac:dyDescent="0.25">
      <c r="A72" s="1">
        <v>45567</v>
      </c>
      <c r="B72">
        <v>925</v>
      </c>
      <c r="C72" t="s">
        <v>42</v>
      </c>
      <c r="D72" t="s">
        <v>147</v>
      </c>
      <c r="E72">
        <v>605632</v>
      </c>
      <c r="F72" s="2">
        <v>0.625</v>
      </c>
      <c r="G72" t="s">
        <v>6</v>
      </c>
      <c r="H72" s="2">
        <v>0.64583333333333337</v>
      </c>
      <c r="I72">
        <v>442</v>
      </c>
      <c r="J72">
        <v>0</v>
      </c>
      <c r="K72">
        <v>0</v>
      </c>
      <c r="L72">
        <v>23</v>
      </c>
      <c r="M72">
        <v>0</v>
      </c>
      <c r="N72">
        <v>0</v>
      </c>
      <c r="O72">
        <v>0</v>
      </c>
      <c r="P72">
        <v>36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5</v>
      </c>
      <c r="AC72">
        <v>3</v>
      </c>
      <c r="AD72" s="3" t="str">
        <f t="shared" si="3"/>
        <v>S2S PREMIUM</v>
      </c>
      <c r="AE72" s="3" t="str">
        <f>VLOOKUP(E72,'[1]Nómina Agentes'!$C:$D,2,0)</f>
        <v>MANFREDI RUTH MELINA</v>
      </c>
      <c r="AF72" s="5">
        <f t="shared" si="4"/>
        <v>0.625</v>
      </c>
      <c r="AG72" s="5">
        <f t="shared" si="5"/>
        <v>0.64583333333333337</v>
      </c>
    </row>
    <row r="73" spans="1:33" x14ac:dyDescent="0.25">
      <c r="A73" s="1">
        <v>45567</v>
      </c>
      <c r="B73">
        <v>925</v>
      </c>
      <c r="C73" t="s">
        <v>42</v>
      </c>
      <c r="D73" t="s">
        <v>147</v>
      </c>
      <c r="E73">
        <v>605632</v>
      </c>
      <c r="F73" s="2">
        <v>0.64583333333333337</v>
      </c>
      <c r="G73" t="s">
        <v>6</v>
      </c>
      <c r="H73" s="2">
        <v>0.66666666666666663</v>
      </c>
      <c r="I73">
        <v>572</v>
      </c>
      <c r="J73">
        <v>0</v>
      </c>
      <c r="K73">
        <v>0</v>
      </c>
      <c r="L73">
        <v>16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4</v>
      </c>
      <c r="AC73">
        <v>0</v>
      </c>
      <c r="AD73" s="3" t="str">
        <f t="shared" si="3"/>
        <v>S2S PREMIUM</v>
      </c>
      <c r="AE73" s="3" t="str">
        <f>VLOOKUP(E73,'[1]Nómina Agentes'!$C:$D,2,0)</f>
        <v>MANFREDI RUTH MELINA</v>
      </c>
      <c r="AF73" s="5">
        <f t="shared" si="4"/>
        <v>0.64583333333333337</v>
      </c>
      <c r="AG73" s="5">
        <f t="shared" si="5"/>
        <v>0.66666666666666663</v>
      </c>
    </row>
    <row r="74" spans="1:33" x14ac:dyDescent="0.25">
      <c r="A74" s="1">
        <v>45567</v>
      </c>
      <c r="B74">
        <v>925</v>
      </c>
      <c r="C74" t="s">
        <v>42</v>
      </c>
      <c r="D74" t="s">
        <v>147</v>
      </c>
      <c r="E74">
        <v>605632</v>
      </c>
      <c r="F74" s="2">
        <v>0.75</v>
      </c>
      <c r="G74" t="s">
        <v>6</v>
      </c>
      <c r="H74" s="2">
        <v>0.77083333333333337</v>
      </c>
      <c r="I74">
        <v>642</v>
      </c>
      <c r="J74">
        <v>0</v>
      </c>
      <c r="K74">
        <v>0</v>
      </c>
      <c r="L74">
        <v>12</v>
      </c>
      <c r="M74">
        <v>0</v>
      </c>
      <c r="N74">
        <v>0</v>
      </c>
      <c r="O74">
        <v>0</v>
      </c>
      <c r="P74">
        <v>140</v>
      </c>
      <c r="Q74">
        <v>115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3</v>
      </c>
      <c r="AC74">
        <v>3</v>
      </c>
      <c r="AD74" s="3" t="str">
        <f t="shared" si="3"/>
        <v>S2S PREMIUM</v>
      </c>
      <c r="AE74" s="3" t="str">
        <f>VLOOKUP(E74,'[1]Nómina Agentes'!$C:$D,2,0)</f>
        <v>MANFREDI RUTH MELINA</v>
      </c>
      <c r="AF74" s="5">
        <f t="shared" si="4"/>
        <v>0.75</v>
      </c>
      <c r="AG74" s="5">
        <f t="shared" si="5"/>
        <v>0.77083333333333337</v>
      </c>
    </row>
    <row r="75" spans="1:33" x14ac:dyDescent="0.25">
      <c r="A75" s="1">
        <v>45567</v>
      </c>
      <c r="B75">
        <v>925</v>
      </c>
      <c r="C75" t="s">
        <v>42</v>
      </c>
      <c r="D75" t="s">
        <v>147</v>
      </c>
      <c r="E75">
        <v>605632</v>
      </c>
      <c r="F75" s="2">
        <v>0.8125</v>
      </c>
      <c r="G75" t="s">
        <v>6</v>
      </c>
      <c r="H75" s="2">
        <v>0.83333333333333337</v>
      </c>
      <c r="I75">
        <v>727</v>
      </c>
      <c r="J75">
        <v>0</v>
      </c>
      <c r="K75">
        <v>0</v>
      </c>
      <c r="L75">
        <v>22</v>
      </c>
      <c r="M75">
        <v>0</v>
      </c>
      <c r="N75">
        <v>0</v>
      </c>
      <c r="O75">
        <v>0</v>
      </c>
      <c r="P75">
        <v>84</v>
      </c>
      <c r="Q75">
        <v>75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6</v>
      </c>
      <c r="AC75">
        <v>6</v>
      </c>
      <c r="AD75" s="3" t="str">
        <f t="shared" si="3"/>
        <v>S2S PREMIUM</v>
      </c>
      <c r="AE75" s="3" t="str">
        <f>VLOOKUP(E75,'[1]Nómina Agentes'!$C:$D,2,0)</f>
        <v>MANFREDI RUTH MELINA</v>
      </c>
      <c r="AF75" s="5">
        <f t="shared" si="4"/>
        <v>0.8125</v>
      </c>
      <c r="AG75" s="5">
        <f t="shared" si="5"/>
        <v>0.83333333333333337</v>
      </c>
    </row>
    <row r="76" spans="1:33" x14ac:dyDescent="0.25">
      <c r="A76" s="1">
        <v>45567</v>
      </c>
      <c r="B76">
        <v>925</v>
      </c>
      <c r="C76" t="s">
        <v>42</v>
      </c>
      <c r="D76" t="s">
        <v>147</v>
      </c>
      <c r="E76">
        <v>605632</v>
      </c>
      <c r="F76" s="2">
        <v>0.79166666666666663</v>
      </c>
      <c r="G76" t="s">
        <v>6</v>
      </c>
      <c r="H76" s="2">
        <v>0.8125</v>
      </c>
      <c r="I76">
        <v>727</v>
      </c>
      <c r="J76">
        <v>0</v>
      </c>
      <c r="K76">
        <v>0</v>
      </c>
      <c r="L76">
        <v>16</v>
      </c>
      <c r="M76">
        <v>0</v>
      </c>
      <c r="N76">
        <v>0</v>
      </c>
      <c r="O76">
        <v>0</v>
      </c>
      <c r="P76">
        <v>253</v>
      </c>
      <c r="Q76">
        <v>209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5</v>
      </c>
      <c r="AC76">
        <v>5</v>
      </c>
      <c r="AD76" s="3" t="str">
        <f t="shared" si="3"/>
        <v>S2S PREMIUM</v>
      </c>
      <c r="AE76" s="3" t="str">
        <f>VLOOKUP(E76,'[1]Nómina Agentes'!$C:$D,2,0)</f>
        <v>MANFREDI RUTH MELINA</v>
      </c>
      <c r="AF76" s="5">
        <f t="shared" si="4"/>
        <v>0.79166666666666663</v>
      </c>
      <c r="AG76" s="5">
        <f t="shared" si="5"/>
        <v>0.8125</v>
      </c>
    </row>
    <row r="77" spans="1:33" x14ac:dyDescent="0.25">
      <c r="A77" s="1">
        <v>45567</v>
      </c>
      <c r="B77">
        <v>925</v>
      </c>
      <c r="C77" t="s">
        <v>42</v>
      </c>
      <c r="D77" t="s">
        <v>147</v>
      </c>
      <c r="E77">
        <v>605632</v>
      </c>
      <c r="F77" s="2">
        <v>0.77083333333333337</v>
      </c>
      <c r="G77" t="s">
        <v>6</v>
      </c>
      <c r="H77" s="2">
        <v>0.79166666666666663</v>
      </c>
      <c r="I77">
        <v>838</v>
      </c>
      <c r="J77">
        <v>0</v>
      </c>
      <c r="K77">
        <v>0</v>
      </c>
      <c r="L77">
        <v>20</v>
      </c>
      <c r="M77">
        <v>0</v>
      </c>
      <c r="N77">
        <v>0</v>
      </c>
      <c r="O77">
        <v>0</v>
      </c>
      <c r="P77">
        <v>297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4</v>
      </c>
      <c r="AC77">
        <v>2</v>
      </c>
      <c r="AD77" s="3" t="str">
        <f t="shared" si="3"/>
        <v>S2S PREMIUM</v>
      </c>
      <c r="AE77" s="3" t="str">
        <f>VLOOKUP(E77,'[1]Nómina Agentes'!$C:$D,2,0)</f>
        <v>MANFREDI RUTH MELINA</v>
      </c>
      <c r="AF77" s="5">
        <f t="shared" si="4"/>
        <v>0.77083333333333337</v>
      </c>
      <c r="AG77" s="5">
        <f t="shared" si="5"/>
        <v>0.79166666666666663</v>
      </c>
    </row>
    <row r="78" spans="1:33" x14ac:dyDescent="0.25">
      <c r="A78" s="1">
        <v>45567</v>
      </c>
      <c r="B78">
        <v>924</v>
      </c>
      <c r="C78" t="s">
        <v>43</v>
      </c>
      <c r="D78" t="s">
        <v>46</v>
      </c>
      <c r="E78">
        <v>605676</v>
      </c>
      <c r="F78" s="2">
        <v>0.58333333333333337</v>
      </c>
      <c r="G78" t="s">
        <v>6</v>
      </c>
      <c r="H78" s="2">
        <v>0.60416666666666663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1</v>
      </c>
      <c r="AC78">
        <v>1</v>
      </c>
      <c r="AD78" s="3" t="str">
        <f t="shared" si="3"/>
        <v>S2S NO PREMIUM</v>
      </c>
      <c r="AE78" s="3" t="str">
        <f>VLOOKUP(E78,'[1]Nómina Agentes'!$C:$D,2,0)</f>
        <v>CUBILLA MARLENE ARACELI</v>
      </c>
      <c r="AF78" s="5">
        <f t="shared" si="4"/>
        <v>0.58333333333333337</v>
      </c>
      <c r="AG78" s="5">
        <f t="shared" si="5"/>
        <v>0.60416666666666663</v>
      </c>
    </row>
    <row r="79" spans="1:33" x14ac:dyDescent="0.25">
      <c r="A79" s="1">
        <v>45567</v>
      </c>
      <c r="B79">
        <v>925</v>
      </c>
      <c r="C79" t="s">
        <v>42</v>
      </c>
      <c r="D79" t="s">
        <v>126</v>
      </c>
      <c r="E79">
        <v>605694</v>
      </c>
      <c r="F79" s="2">
        <v>0.625</v>
      </c>
      <c r="G79" t="s">
        <v>6</v>
      </c>
      <c r="H79" s="2">
        <v>0.64583333333333337</v>
      </c>
      <c r="I79">
        <v>587</v>
      </c>
      <c r="J79">
        <v>0</v>
      </c>
      <c r="K79">
        <v>0</v>
      </c>
      <c r="L79">
        <v>9</v>
      </c>
      <c r="M79">
        <v>0</v>
      </c>
      <c r="N79">
        <v>0</v>
      </c>
      <c r="O79">
        <v>0</v>
      </c>
      <c r="P79">
        <v>33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2</v>
      </c>
      <c r="AC79">
        <v>2</v>
      </c>
      <c r="AD79" s="3" t="str">
        <f t="shared" si="3"/>
        <v>S2S PREMIUM</v>
      </c>
      <c r="AE79" s="3" t="str">
        <f>VLOOKUP(E79,'[1]Nómina Agentes'!$C:$D,2,0)</f>
        <v>GILLES MORENA</v>
      </c>
      <c r="AF79" s="5">
        <f t="shared" si="4"/>
        <v>0.625</v>
      </c>
      <c r="AG79" s="5">
        <f t="shared" si="5"/>
        <v>0.64583333333333337</v>
      </c>
    </row>
    <row r="80" spans="1:33" x14ac:dyDescent="0.25">
      <c r="A80" s="1">
        <v>45567</v>
      </c>
      <c r="B80">
        <v>925</v>
      </c>
      <c r="C80" t="s">
        <v>42</v>
      </c>
      <c r="D80" t="s">
        <v>126</v>
      </c>
      <c r="E80">
        <v>605694</v>
      </c>
      <c r="F80" s="2">
        <v>0.58333333333333337</v>
      </c>
      <c r="G80" t="s">
        <v>6</v>
      </c>
      <c r="H80" s="2">
        <v>0.60416666666666663</v>
      </c>
      <c r="I80">
        <v>657</v>
      </c>
      <c r="J80">
        <v>0</v>
      </c>
      <c r="K80">
        <v>0</v>
      </c>
      <c r="L80">
        <v>24</v>
      </c>
      <c r="M80">
        <v>0</v>
      </c>
      <c r="N80">
        <v>0</v>
      </c>
      <c r="O80">
        <v>0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4</v>
      </c>
      <c r="AC80">
        <v>3</v>
      </c>
      <c r="AD80" s="3" t="str">
        <f t="shared" si="3"/>
        <v>S2S PREMIUM</v>
      </c>
      <c r="AE80" s="3" t="str">
        <f>VLOOKUP(E80,'[1]Nómina Agentes'!$C:$D,2,0)</f>
        <v>GILLES MORENA</v>
      </c>
      <c r="AF80" s="5">
        <f t="shared" si="4"/>
        <v>0.58333333333333337</v>
      </c>
      <c r="AG80" s="5">
        <f t="shared" si="5"/>
        <v>0.60416666666666663</v>
      </c>
    </row>
    <row r="81" spans="1:33" x14ac:dyDescent="0.25">
      <c r="A81" s="1">
        <v>45567</v>
      </c>
      <c r="B81">
        <v>925</v>
      </c>
      <c r="C81" t="s">
        <v>42</v>
      </c>
      <c r="D81" t="s">
        <v>126</v>
      </c>
      <c r="E81">
        <v>605694</v>
      </c>
      <c r="F81" s="2">
        <v>0.60416666666666663</v>
      </c>
      <c r="G81" t="s">
        <v>6</v>
      </c>
      <c r="H81" s="2">
        <v>0.625</v>
      </c>
      <c r="I81">
        <v>803</v>
      </c>
      <c r="J81">
        <v>0</v>
      </c>
      <c r="K81">
        <v>0</v>
      </c>
      <c r="L81">
        <v>15</v>
      </c>
      <c r="M81">
        <v>0</v>
      </c>
      <c r="N81">
        <v>0</v>
      </c>
      <c r="O81">
        <v>0</v>
      </c>
      <c r="P81">
        <v>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4</v>
      </c>
      <c r="AC81">
        <v>3</v>
      </c>
      <c r="AD81" s="3" t="str">
        <f t="shared" si="3"/>
        <v>S2S PREMIUM</v>
      </c>
      <c r="AE81" s="3" t="str">
        <f>VLOOKUP(E81,'[1]Nómina Agentes'!$C:$D,2,0)</f>
        <v>GILLES MORENA</v>
      </c>
      <c r="AF81" s="5">
        <f t="shared" si="4"/>
        <v>0.60416666666666663</v>
      </c>
      <c r="AG81" s="5">
        <f t="shared" si="5"/>
        <v>0.625</v>
      </c>
    </row>
    <row r="82" spans="1:33" x14ac:dyDescent="0.25">
      <c r="A82" s="1">
        <v>45567</v>
      </c>
      <c r="B82">
        <v>925</v>
      </c>
      <c r="C82" t="s">
        <v>42</v>
      </c>
      <c r="D82" t="s">
        <v>44</v>
      </c>
      <c r="E82">
        <v>605696</v>
      </c>
      <c r="F82" s="2">
        <v>0.625</v>
      </c>
      <c r="G82" t="s">
        <v>6</v>
      </c>
      <c r="H82" s="2">
        <v>0.64583333333333337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 s="3" t="str">
        <f t="shared" si="3"/>
        <v>S2S PREMIUM</v>
      </c>
      <c r="AE82" s="3" t="str">
        <f>VLOOKUP(E82,'[1]Nómina Agentes'!$C:$D,2,0)</f>
        <v>MARTINEZ IGNACIO</v>
      </c>
      <c r="AF82" s="5">
        <f t="shared" si="4"/>
        <v>0.625</v>
      </c>
      <c r="AG82" s="5">
        <f t="shared" si="5"/>
        <v>0.64583333333333337</v>
      </c>
    </row>
    <row r="83" spans="1:33" x14ac:dyDescent="0.25">
      <c r="A83" s="1">
        <v>45567</v>
      </c>
      <c r="B83">
        <v>925</v>
      </c>
      <c r="C83" t="s">
        <v>42</v>
      </c>
      <c r="D83" t="s">
        <v>44</v>
      </c>
      <c r="E83">
        <v>605696</v>
      </c>
      <c r="F83" s="2">
        <v>0.60416666666666663</v>
      </c>
      <c r="G83" t="s">
        <v>6</v>
      </c>
      <c r="H83" s="2">
        <v>0.625</v>
      </c>
      <c r="I83">
        <v>172</v>
      </c>
      <c r="J83">
        <v>0</v>
      </c>
      <c r="K83">
        <v>0</v>
      </c>
      <c r="L83">
        <v>4</v>
      </c>
      <c r="M83">
        <v>0</v>
      </c>
      <c r="N83">
        <v>0</v>
      </c>
      <c r="O83">
        <v>0</v>
      </c>
      <c r="P83">
        <v>2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1</v>
      </c>
      <c r="AC83">
        <v>1</v>
      </c>
      <c r="AD83" s="3" t="str">
        <f t="shared" si="3"/>
        <v>S2S PREMIUM</v>
      </c>
      <c r="AE83" s="3" t="str">
        <f>VLOOKUP(E83,'[1]Nómina Agentes'!$C:$D,2,0)</f>
        <v>MARTINEZ IGNACIO</v>
      </c>
      <c r="AF83" s="5">
        <f t="shared" si="4"/>
        <v>0.60416666666666663</v>
      </c>
      <c r="AG83" s="5">
        <f t="shared" si="5"/>
        <v>0.625</v>
      </c>
    </row>
    <row r="84" spans="1:33" x14ac:dyDescent="0.25">
      <c r="A84" s="1">
        <v>45567</v>
      </c>
      <c r="B84">
        <v>925</v>
      </c>
      <c r="C84" t="s">
        <v>42</v>
      </c>
      <c r="D84" t="s">
        <v>44</v>
      </c>
      <c r="E84">
        <v>605696</v>
      </c>
      <c r="F84" s="2">
        <v>0.58333333333333337</v>
      </c>
      <c r="G84" t="s">
        <v>6</v>
      </c>
      <c r="H84" s="2">
        <v>0.60416666666666663</v>
      </c>
      <c r="I84">
        <v>1077</v>
      </c>
      <c r="J84">
        <v>0</v>
      </c>
      <c r="K84">
        <v>0</v>
      </c>
      <c r="L84">
        <v>11</v>
      </c>
      <c r="M84">
        <v>0</v>
      </c>
      <c r="N84">
        <v>0</v>
      </c>
      <c r="O84">
        <v>0</v>
      </c>
      <c r="P84">
        <v>3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3</v>
      </c>
      <c r="AC84">
        <v>3</v>
      </c>
      <c r="AD84" s="3" t="str">
        <f t="shared" si="3"/>
        <v>S2S PREMIUM</v>
      </c>
      <c r="AE84" s="3" t="str">
        <f>VLOOKUP(E84,'[1]Nómina Agentes'!$C:$D,2,0)</f>
        <v>MARTINEZ IGNACIO</v>
      </c>
      <c r="AF84" s="5">
        <f t="shared" si="4"/>
        <v>0.58333333333333337</v>
      </c>
      <c r="AG84" s="5">
        <f t="shared" si="5"/>
        <v>0.60416666666666663</v>
      </c>
    </row>
    <row r="85" spans="1:33" x14ac:dyDescent="0.25">
      <c r="A85" s="1">
        <v>45567</v>
      </c>
      <c r="B85">
        <v>924</v>
      </c>
      <c r="C85" t="s">
        <v>43</v>
      </c>
      <c r="D85" t="s">
        <v>148</v>
      </c>
      <c r="E85">
        <v>605698</v>
      </c>
      <c r="F85" s="2">
        <v>0.64583333333333337</v>
      </c>
      <c r="G85" t="s">
        <v>6</v>
      </c>
      <c r="H85" s="2">
        <v>0.66666666666666663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 s="3" t="str">
        <f t="shared" si="3"/>
        <v>S2S NO PREMIUM</v>
      </c>
      <c r="AE85" s="3" t="str">
        <f>VLOOKUP(E85,'[1]Nómina Agentes'!$C:$D,2,0)</f>
        <v>SOLIS MELINA ALEJANDRA</v>
      </c>
      <c r="AF85" s="5">
        <f t="shared" si="4"/>
        <v>0.64583333333333337</v>
      </c>
      <c r="AG85" s="5">
        <f t="shared" si="5"/>
        <v>0.66666666666666663</v>
      </c>
    </row>
    <row r="86" spans="1:33" x14ac:dyDescent="0.25">
      <c r="A86" s="1">
        <v>45567</v>
      </c>
      <c r="B86">
        <v>924</v>
      </c>
      <c r="C86" t="s">
        <v>43</v>
      </c>
      <c r="D86" t="s">
        <v>148</v>
      </c>
      <c r="E86">
        <v>605698</v>
      </c>
      <c r="F86" s="2">
        <v>0.8125</v>
      </c>
      <c r="G86" t="s">
        <v>6</v>
      </c>
      <c r="H86" s="2">
        <v>0.83333333333333337</v>
      </c>
      <c r="I86">
        <v>530</v>
      </c>
      <c r="J86">
        <v>0</v>
      </c>
      <c r="K86">
        <v>0</v>
      </c>
      <c r="L86">
        <v>15</v>
      </c>
      <c r="M86">
        <v>0</v>
      </c>
      <c r="N86">
        <v>0</v>
      </c>
      <c r="O86">
        <v>0</v>
      </c>
      <c r="P86">
        <v>116</v>
      </c>
      <c r="Q86">
        <v>73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4</v>
      </c>
      <c r="AC86">
        <v>4</v>
      </c>
      <c r="AD86" s="3" t="str">
        <f t="shared" si="3"/>
        <v>S2S NO PREMIUM</v>
      </c>
      <c r="AE86" s="3" t="str">
        <f>VLOOKUP(E86,'[1]Nómina Agentes'!$C:$D,2,0)</f>
        <v>SOLIS MELINA ALEJANDRA</v>
      </c>
      <c r="AF86" s="5">
        <f t="shared" si="4"/>
        <v>0.8125</v>
      </c>
      <c r="AG86" s="5">
        <f t="shared" si="5"/>
        <v>0.83333333333333337</v>
      </c>
    </row>
    <row r="87" spans="1:33" x14ac:dyDescent="0.25">
      <c r="A87" s="1">
        <v>45567</v>
      </c>
      <c r="B87">
        <v>924</v>
      </c>
      <c r="C87" t="s">
        <v>43</v>
      </c>
      <c r="D87" t="s">
        <v>148</v>
      </c>
      <c r="E87">
        <v>605698</v>
      </c>
      <c r="F87" s="2">
        <v>0.77083333333333337</v>
      </c>
      <c r="G87" t="s">
        <v>6</v>
      </c>
      <c r="H87" s="2">
        <v>0.79166666666666663</v>
      </c>
      <c r="I87">
        <v>652</v>
      </c>
      <c r="J87">
        <v>131</v>
      </c>
      <c r="K87">
        <v>0</v>
      </c>
      <c r="L87">
        <v>15</v>
      </c>
      <c r="M87">
        <v>0</v>
      </c>
      <c r="N87">
        <v>0</v>
      </c>
      <c r="O87">
        <v>0</v>
      </c>
      <c r="P87">
        <v>43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4</v>
      </c>
      <c r="AC87">
        <v>3</v>
      </c>
      <c r="AD87" s="3" t="str">
        <f t="shared" si="3"/>
        <v>S2S NO PREMIUM</v>
      </c>
      <c r="AE87" s="3" t="str">
        <f>VLOOKUP(E87,'[1]Nómina Agentes'!$C:$D,2,0)</f>
        <v>SOLIS MELINA ALEJANDRA</v>
      </c>
      <c r="AF87" s="5">
        <f t="shared" si="4"/>
        <v>0.77083333333333337</v>
      </c>
      <c r="AG87" s="5">
        <f t="shared" si="5"/>
        <v>0.79166666666666663</v>
      </c>
    </row>
    <row r="88" spans="1:33" x14ac:dyDescent="0.25">
      <c r="A88" s="1">
        <v>45567</v>
      </c>
      <c r="B88">
        <v>924</v>
      </c>
      <c r="C88" t="s">
        <v>43</v>
      </c>
      <c r="D88" t="s">
        <v>148</v>
      </c>
      <c r="E88">
        <v>605698</v>
      </c>
      <c r="F88" s="2">
        <v>0.79166666666666663</v>
      </c>
      <c r="G88" t="s">
        <v>6</v>
      </c>
      <c r="H88" s="2">
        <v>0.8125</v>
      </c>
      <c r="I88">
        <v>853</v>
      </c>
      <c r="J88">
        <v>168</v>
      </c>
      <c r="K88">
        <v>0</v>
      </c>
      <c r="L88">
        <v>15</v>
      </c>
      <c r="M88">
        <v>0</v>
      </c>
      <c r="N88">
        <v>0</v>
      </c>
      <c r="O88">
        <v>0</v>
      </c>
      <c r="P88">
        <v>150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3</v>
      </c>
      <c r="AC88">
        <v>2</v>
      </c>
      <c r="AD88" s="3" t="str">
        <f t="shared" si="3"/>
        <v>S2S NO PREMIUM</v>
      </c>
      <c r="AE88" s="3" t="str">
        <f>VLOOKUP(E88,'[1]Nómina Agentes'!$C:$D,2,0)</f>
        <v>SOLIS MELINA ALEJANDRA</v>
      </c>
      <c r="AF88" s="5">
        <f t="shared" si="4"/>
        <v>0.79166666666666663</v>
      </c>
      <c r="AG88" s="5">
        <f t="shared" si="5"/>
        <v>0.8125</v>
      </c>
    </row>
    <row r="89" spans="1:33" x14ac:dyDescent="0.25">
      <c r="A89" s="1">
        <v>45567</v>
      </c>
      <c r="B89">
        <v>924</v>
      </c>
      <c r="C89" t="s">
        <v>43</v>
      </c>
      <c r="D89" t="s">
        <v>148</v>
      </c>
      <c r="E89">
        <v>605698</v>
      </c>
      <c r="F89" s="2">
        <v>0.70833333333333337</v>
      </c>
      <c r="G89" t="s">
        <v>6</v>
      </c>
      <c r="H89" s="2">
        <v>0.72916666666666663</v>
      </c>
      <c r="I89">
        <v>923</v>
      </c>
      <c r="J89">
        <v>278</v>
      </c>
      <c r="K89">
        <v>0</v>
      </c>
      <c r="L89">
        <v>26</v>
      </c>
      <c r="M89">
        <v>0</v>
      </c>
      <c r="N89">
        <v>0</v>
      </c>
      <c r="O89">
        <v>0</v>
      </c>
      <c r="P89">
        <v>289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7</v>
      </c>
      <c r="AC89">
        <v>7</v>
      </c>
      <c r="AD89" s="3" t="str">
        <f t="shared" si="3"/>
        <v>S2S NO PREMIUM</v>
      </c>
      <c r="AE89" s="3" t="str">
        <f>VLOOKUP(E89,'[1]Nómina Agentes'!$C:$D,2,0)</f>
        <v>SOLIS MELINA ALEJANDRA</v>
      </c>
      <c r="AF89" s="5">
        <f t="shared" si="4"/>
        <v>0.70833333333333337</v>
      </c>
      <c r="AG89" s="5">
        <f t="shared" si="5"/>
        <v>0.72916666666666663</v>
      </c>
    </row>
    <row r="90" spans="1:33" x14ac:dyDescent="0.25">
      <c r="A90" s="1">
        <v>45567</v>
      </c>
      <c r="B90">
        <v>924</v>
      </c>
      <c r="C90" t="s">
        <v>43</v>
      </c>
      <c r="D90" t="s">
        <v>148</v>
      </c>
      <c r="E90">
        <v>605698</v>
      </c>
      <c r="F90" s="2">
        <v>0.72916666666666663</v>
      </c>
      <c r="G90" t="s">
        <v>6</v>
      </c>
      <c r="H90" s="2">
        <v>0.75</v>
      </c>
      <c r="I90">
        <v>1161</v>
      </c>
      <c r="J90">
        <v>132</v>
      </c>
      <c r="K90">
        <v>0</v>
      </c>
      <c r="L90">
        <v>16</v>
      </c>
      <c r="M90">
        <v>0</v>
      </c>
      <c r="N90">
        <v>0</v>
      </c>
      <c r="O90">
        <v>0</v>
      </c>
      <c r="P90">
        <v>126</v>
      </c>
      <c r="Q90">
        <v>65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4</v>
      </c>
      <c r="AC90">
        <v>4</v>
      </c>
      <c r="AD90" s="3" t="str">
        <f t="shared" si="3"/>
        <v>S2S NO PREMIUM</v>
      </c>
      <c r="AE90" s="3" t="str">
        <f>VLOOKUP(E90,'[1]Nómina Agentes'!$C:$D,2,0)</f>
        <v>SOLIS MELINA ALEJANDRA</v>
      </c>
      <c r="AF90" s="5">
        <f t="shared" si="4"/>
        <v>0.72916666666666663</v>
      </c>
      <c r="AG90" s="5">
        <f t="shared" si="5"/>
        <v>0.75</v>
      </c>
    </row>
    <row r="91" spans="1:33" x14ac:dyDescent="0.25">
      <c r="A91" s="1">
        <v>45567</v>
      </c>
      <c r="B91">
        <v>924</v>
      </c>
      <c r="C91" t="s">
        <v>43</v>
      </c>
      <c r="D91" t="s">
        <v>148</v>
      </c>
      <c r="E91">
        <v>605698</v>
      </c>
      <c r="F91" s="2">
        <v>0.75</v>
      </c>
      <c r="G91" t="s">
        <v>6</v>
      </c>
      <c r="H91" s="2">
        <v>0.77083333333333337</v>
      </c>
      <c r="I91">
        <v>1221</v>
      </c>
      <c r="J91">
        <v>262</v>
      </c>
      <c r="K91">
        <v>0</v>
      </c>
      <c r="L91">
        <v>18</v>
      </c>
      <c r="M91">
        <v>0</v>
      </c>
      <c r="N91">
        <v>0</v>
      </c>
      <c r="O91">
        <v>0</v>
      </c>
      <c r="P91">
        <v>53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6</v>
      </c>
      <c r="AC91">
        <v>6</v>
      </c>
      <c r="AD91" s="3" t="str">
        <f t="shared" si="3"/>
        <v>S2S NO PREMIUM</v>
      </c>
      <c r="AE91" s="3" t="str">
        <f>VLOOKUP(E91,'[1]Nómina Agentes'!$C:$D,2,0)</f>
        <v>SOLIS MELINA ALEJANDRA</v>
      </c>
      <c r="AF91" s="5">
        <f t="shared" si="4"/>
        <v>0.75</v>
      </c>
      <c r="AG91" s="5">
        <f t="shared" si="5"/>
        <v>0.77083333333333337</v>
      </c>
    </row>
    <row r="92" spans="1:33" x14ac:dyDescent="0.25">
      <c r="A92" s="1">
        <v>45567</v>
      </c>
      <c r="B92">
        <v>924</v>
      </c>
      <c r="C92" t="s">
        <v>43</v>
      </c>
      <c r="D92" t="s">
        <v>148</v>
      </c>
      <c r="E92">
        <v>605698</v>
      </c>
      <c r="F92" s="2">
        <v>0.66666666666666663</v>
      </c>
      <c r="G92" t="s">
        <v>6</v>
      </c>
      <c r="H92" s="2">
        <v>0.6875</v>
      </c>
      <c r="I92">
        <v>1279</v>
      </c>
      <c r="J92">
        <v>0</v>
      </c>
      <c r="K92">
        <v>0</v>
      </c>
      <c r="L92">
        <v>25</v>
      </c>
      <c r="M92">
        <v>0</v>
      </c>
      <c r="N92">
        <v>0</v>
      </c>
      <c r="O92">
        <v>0</v>
      </c>
      <c r="P92">
        <v>6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5</v>
      </c>
      <c r="AC92">
        <v>5</v>
      </c>
      <c r="AD92" s="3" t="str">
        <f t="shared" si="3"/>
        <v>S2S NO PREMIUM</v>
      </c>
      <c r="AE92" s="3" t="str">
        <f>VLOOKUP(E92,'[1]Nómina Agentes'!$C:$D,2,0)</f>
        <v>SOLIS MELINA ALEJANDRA</v>
      </c>
      <c r="AF92" s="5">
        <f t="shared" si="4"/>
        <v>0.66666666666666663</v>
      </c>
      <c r="AG92" s="5">
        <f t="shared" si="5"/>
        <v>0.6875</v>
      </c>
    </row>
    <row r="93" spans="1:33" x14ac:dyDescent="0.25">
      <c r="A93" s="1">
        <v>45567</v>
      </c>
      <c r="B93">
        <v>924</v>
      </c>
      <c r="C93" t="s">
        <v>43</v>
      </c>
      <c r="D93" t="s">
        <v>148</v>
      </c>
      <c r="E93">
        <v>605698</v>
      </c>
      <c r="F93" s="2">
        <v>0.6875</v>
      </c>
      <c r="G93" t="s">
        <v>6</v>
      </c>
      <c r="H93" s="2">
        <v>0.70833333333333337</v>
      </c>
      <c r="I93">
        <v>1307</v>
      </c>
      <c r="J93">
        <v>93</v>
      </c>
      <c r="K93">
        <v>0</v>
      </c>
      <c r="L93">
        <v>12</v>
      </c>
      <c r="M93">
        <v>0</v>
      </c>
      <c r="N93">
        <v>0</v>
      </c>
      <c r="O93">
        <v>0</v>
      </c>
      <c r="P93">
        <v>57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3</v>
      </c>
      <c r="AC93">
        <v>2</v>
      </c>
      <c r="AD93" s="3" t="str">
        <f t="shared" si="3"/>
        <v>S2S NO PREMIUM</v>
      </c>
      <c r="AE93" s="3" t="str">
        <f>VLOOKUP(E93,'[1]Nómina Agentes'!$C:$D,2,0)</f>
        <v>SOLIS MELINA ALEJANDRA</v>
      </c>
      <c r="AF93" s="5">
        <f t="shared" si="4"/>
        <v>0.6875</v>
      </c>
      <c r="AG93" s="5">
        <f t="shared" si="5"/>
        <v>0.70833333333333337</v>
      </c>
    </row>
    <row r="94" spans="1:33" x14ac:dyDescent="0.25">
      <c r="A94" s="1">
        <v>45567</v>
      </c>
      <c r="B94">
        <v>925</v>
      </c>
      <c r="C94" t="s">
        <v>42</v>
      </c>
      <c r="D94" t="s">
        <v>70</v>
      </c>
      <c r="E94">
        <v>605760</v>
      </c>
      <c r="F94" s="2">
        <v>0.625</v>
      </c>
      <c r="G94" t="s">
        <v>6</v>
      </c>
      <c r="H94" s="2">
        <v>0.64583333333333337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 s="3" t="str">
        <f t="shared" si="3"/>
        <v>S2S PREMIUM</v>
      </c>
      <c r="AE94" s="3" t="str">
        <f>VLOOKUP(E94,'[1]Nómina Agentes'!$C:$D,2,0)</f>
        <v>CUELLAR JOEL ADRIAN</v>
      </c>
      <c r="AF94" s="5">
        <f t="shared" si="4"/>
        <v>0.625</v>
      </c>
      <c r="AG94" s="5">
        <f t="shared" si="5"/>
        <v>0.64583333333333337</v>
      </c>
    </row>
    <row r="95" spans="1:33" x14ac:dyDescent="0.25">
      <c r="A95" s="1">
        <v>45567</v>
      </c>
      <c r="B95">
        <v>925</v>
      </c>
      <c r="C95" t="s">
        <v>42</v>
      </c>
      <c r="D95" t="s">
        <v>70</v>
      </c>
      <c r="E95">
        <v>605760</v>
      </c>
      <c r="F95" s="2">
        <v>0.60416666666666663</v>
      </c>
      <c r="G95" t="s">
        <v>6</v>
      </c>
      <c r="H95" s="2">
        <v>0.625</v>
      </c>
      <c r="I95">
        <v>568</v>
      </c>
      <c r="J95">
        <v>0</v>
      </c>
      <c r="K95">
        <v>0</v>
      </c>
      <c r="L95">
        <v>8</v>
      </c>
      <c r="M95">
        <v>0</v>
      </c>
      <c r="N95">
        <v>0</v>
      </c>
      <c r="O95">
        <v>0</v>
      </c>
      <c r="P95">
        <v>4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3</v>
      </c>
      <c r="AC95">
        <v>3</v>
      </c>
      <c r="AD95" s="3" t="str">
        <f t="shared" si="3"/>
        <v>S2S PREMIUM</v>
      </c>
      <c r="AE95" s="3" t="str">
        <f>VLOOKUP(E95,'[1]Nómina Agentes'!$C:$D,2,0)</f>
        <v>CUELLAR JOEL ADRIAN</v>
      </c>
      <c r="AF95" s="5">
        <f t="shared" si="4"/>
        <v>0.60416666666666663</v>
      </c>
      <c r="AG95" s="5">
        <f t="shared" si="5"/>
        <v>0.625</v>
      </c>
    </row>
    <row r="96" spans="1:33" x14ac:dyDescent="0.25">
      <c r="A96" s="1">
        <v>45567</v>
      </c>
      <c r="B96">
        <v>925</v>
      </c>
      <c r="C96" t="s">
        <v>42</v>
      </c>
      <c r="D96" t="s">
        <v>70</v>
      </c>
      <c r="E96">
        <v>605760</v>
      </c>
      <c r="F96" s="2">
        <v>0.58333333333333337</v>
      </c>
      <c r="G96" t="s">
        <v>6</v>
      </c>
      <c r="H96" s="2">
        <v>0.60416666666666663</v>
      </c>
      <c r="I96">
        <v>914</v>
      </c>
      <c r="J96">
        <v>0</v>
      </c>
      <c r="K96">
        <v>0</v>
      </c>
      <c r="L96">
        <v>17</v>
      </c>
      <c r="M96">
        <v>0</v>
      </c>
      <c r="N96">
        <v>0</v>
      </c>
      <c r="O96">
        <v>0</v>
      </c>
      <c r="P96">
        <v>4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4</v>
      </c>
      <c r="AC96">
        <v>4</v>
      </c>
      <c r="AD96" s="3" t="str">
        <f t="shared" si="3"/>
        <v>S2S PREMIUM</v>
      </c>
      <c r="AE96" s="3" t="str">
        <f>VLOOKUP(E96,'[1]Nómina Agentes'!$C:$D,2,0)</f>
        <v>CUELLAR JOEL ADRIAN</v>
      </c>
      <c r="AF96" s="5">
        <f t="shared" si="4"/>
        <v>0.58333333333333337</v>
      </c>
      <c r="AG96" s="5">
        <f t="shared" si="5"/>
        <v>0.60416666666666663</v>
      </c>
    </row>
    <row r="97" spans="1:33" x14ac:dyDescent="0.25">
      <c r="A97" s="1">
        <v>45567</v>
      </c>
      <c r="B97">
        <v>925</v>
      </c>
      <c r="C97" t="s">
        <v>42</v>
      </c>
      <c r="D97" t="s">
        <v>118</v>
      </c>
      <c r="E97">
        <v>605763</v>
      </c>
      <c r="F97" s="2">
        <v>0.64583333333333337</v>
      </c>
      <c r="G97" t="s">
        <v>6</v>
      </c>
      <c r="H97" s="2">
        <v>0.66666666666666663</v>
      </c>
      <c r="I97">
        <v>135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1</v>
      </c>
      <c r="AC97">
        <v>1</v>
      </c>
      <c r="AD97" s="3" t="str">
        <f t="shared" si="3"/>
        <v>S2S PREMIUM</v>
      </c>
      <c r="AE97" s="3" t="str">
        <f>VLOOKUP(E97,'[1]Nómina Agentes'!$C:$D,2,0)</f>
        <v>FRAGA NICOLAS</v>
      </c>
      <c r="AF97" s="5">
        <f t="shared" si="4"/>
        <v>0.64583333333333337</v>
      </c>
      <c r="AG97" s="5">
        <f t="shared" si="5"/>
        <v>0.66666666666666663</v>
      </c>
    </row>
    <row r="98" spans="1:33" x14ac:dyDescent="0.25">
      <c r="A98" s="1">
        <v>45567</v>
      </c>
      <c r="B98">
        <v>925</v>
      </c>
      <c r="C98" t="s">
        <v>42</v>
      </c>
      <c r="D98" t="s">
        <v>118</v>
      </c>
      <c r="E98">
        <v>605763</v>
      </c>
      <c r="F98" s="2">
        <v>0.66666666666666663</v>
      </c>
      <c r="G98" t="s">
        <v>6</v>
      </c>
      <c r="H98" s="2">
        <v>0.6875</v>
      </c>
      <c r="I98">
        <v>776</v>
      </c>
      <c r="J98">
        <v>0</v>
      </c>
      <c r="K98">
        <v>0</v>
      </c>
      <c r="L98">
        <v>12</v>
      </c>
      <c r="M98">
        <v>0</v>
      </c>
      <c r="N98">
        <v>0</v>
      </c>
      <c r="O98">
        <v>0</v>
      </c>
      <c r="P98">
        <v>30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3</v>
      </c>
      <c r="AC98">
        <v>3</v>
      </c>
      <c r="AD98" s="3" t="str">
        <f t="shared" si="3"/>
        <v>S2S PREMIUM</v>
      </c>
      <c r="AE98" s="3" t="str">
        <f>VLOOKUP(E98,'[1]Nómina Agentes'!$C:$D,2,0)</f>
        <v>FRAGA NICOLAS</v>
      </c>
      <c r="AF98" s="5">
        <f t="shared" si="4"/>
        <v>0.66666666666666663</v>
      </c>
      <c r="AG98" s="5">
        <f t="shared" si="5"/>
        <v>0.6875</v>
      </c>
    </row>
    <row r="99" spans="1:33" x14ac:dyDescent="0.25">
      <c r="A99" s="1">
        <v>45567</v>
      </c>
      <c r="B99">
        <v>925</v>
      </c>
      <c r="C99" t="s">
        <v>42</v>
      </c>
      <c r="D99" t="s">
        <v>118</v>
      </c>
      <c r="E99">
        <v>605763</v>
      </c>
      <c r="F99" s="2">
        <v>0.58333333333333337</v>
      </c>
      <c r="G99" t="s">
        <v>6</v>
      </c>
      <c r="H99" s="2">
        <v>0.60416666666666663</v>
      </c>
      <c r="I99">
        <v>805</v>
      </c>
      <c r="J99">
        <v>0</v>
      </c>
      <c r="K99">
        <v>0</v>
      </c>
      <c r="L99">
        <v>18</v>
      </c>
      <c r="M99">
        <v>0</v>
      </c>
      <c r="N99">
        <v>0</v>
      </c>
      <c r="O99">
        <v>0</v>
      </c>
      <c r="P99">
        <v>110</v>
      </c>
      <c r="Q99">
        <v>104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3</v>
      </c>
      <c r="AC99">
        <v>2</v>
      </c>
      <c r="AD99" s="3" t="str">
        <f t="shared" si="3"/>
        <v>S2S PREMIUM</v>
      </c>
      <c r="AE99" s="3" t="str">
        <f>VLOOKUP(E99,'[1]Nómina Agentes'!$C:$D,2,0)</f>
        <v>FRAGA NICOLAS</v>
      </c>
      <c r="AF99" s="5">
        <f t="shared" si="4"/>
        <v>0.58333333333333337</v>
      </c>
      <c r="AG99" s="5">
        <f t="shared" si="5"/>
        <v>0.60416666666666663</v>
      </c>
    </row>
    <row r="100" spans="1:33" x14ac:dyDescent="0.25">
      <c r="A100" s="1">
        <v>45567</v>
      </c>
      <c r="B100">
        <v>925</v>
      </c>
      <c r="C100" t="s">
        <v>42</v>
      </c>
      <c r="D100" t="s">
        <v>118</v>
      </c>
      <c r="E100">
        <v>605763</v>
      </c>
      <c r="F100" s="2">
        <v>0.625</v>
      </c>
      <c r="G100" t="s">
        <v>6</v>
      </c>
      <c r="H100" s="2">
        <v>0.64583333333333337</v>
      </c>
      <c r="I100">
        <v>839</v>
      </c>
      <c r="J100">
        <v>0</v>
      </c>
      <c r="K100">
        <v>0</v>
      </c>
      <c r="L100">
        <v>17</v>
      </c>
      <c r="M100">
        <v>0</v>
      </c>
      <c r="N100">
        <v>0</v>
      </c>
      <c r="O100">
        <v>0</v>
      </c>
      <c r="P100">
        <v>113</v>
      </c>
      <c r="Q100">
        <v>58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4</v>
      </c>
      <c r="AC100">
        <v>3</v>
      </c>
      <c r="AD100" s="3" t="str">
        <f t="shared" si="3"/>
        <v>S2S PREMIUM</v>
      </c>
      <c r="AE100" s="3" t="str">
        <f>VLOOKUP(E100,'[1]Nómina Agentes'!$C:$D,2,0)</f>
        <v>FRAGA NICOLAS</v>
      </c>
      <c r="AF100" s="5">
        <f t="shared" si="4"/>
        <v>0.625</v>
      </c>
      <c r="AG100" s="5">
        <f t="shared" si="5"/>
        <v>0.64583333333333337</v>
      </c>
    </row>
    <row r="101" spans="1:33" x14ac:dyDescent="0.25">
      <c r="A101" s="1">
        <v>45567</v>
      </c>
      <c r="B101">
        <v>925</v>
      </c>
      <c r="C101" t="s">
        <v>42</v>
      </c>
      <c r="D101" t="s">
        <v>118</v>
      </c>
      <c r="E101">
        <v>605763</v>
      </c>
      <c r="F101" s="2">
        <v>0.70833333333333337</v>
      </c>
      <c r="G101" t="s">
        <v>6</v>
      </c>
      <c r="H101" s="2">
        <v>0.72916666666666663</v>
      </c>
      <c r="I101">
        <v>902</v>
      </c>
      <c r="J101">
        <v>0</v>
      </c>
      <c r="K101">
        <v>0</v>
      </c>
      <c r="L101">
        <v>16</v>
      </c>
      <c r="M101">
        <v>0</v>
      </c>
      <c r="N101">
        <v>0</v>
      </c>
      <c r="O101">
        <v>0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4</v>
      </c>
      <c r="AC101">
        <v>2</v>
      </c>
      <c r="AD101" s="3" t="str">
        <f t="shared" si="3"/>
        <v>S2S PREMIUM</v>
      </c>
      <c r="AE101" s="3" t="str">
        <f>VLOOKUP(E101,'[1]Nómina Agentes'!$C:$D,2,0)</f>
        <v>FRAGA NICOLAS</v>
      </c>
      <c r="AF101" s="5">
        <f t="shared" si="4"/>
        <v>0.70833333333333337</v>
      </c>
      <c r="AG101" s="5">
        <f t="shared" si="5"/>
        <v>0.72916666666666663</v>
      </c>
    </row>
    <row r="102" spans="1:33" x14ac:dyDescent="0.25">
      <c r="A102" s="1">
        <v>45567</v>
      </c>
      <c r="B102">
        <v>925</v>
      </c>
      <c r="C102" t="s">
        <v>42</v>
      </c>
      <c r="D102" t="s">
        <v>118</v>
      </c>
      <c r="E102">
        <v>605763</v>
      </c>
      <c r="F102" s="2">
        <v>0.6875</v>
      </c>
      <c r="G102" t="s">
        <v>6</v>
      </c>
      <c r="H102" s="2">
        <v>0.70833333333333337</v>
      </c>
      <c r="I102">
        <v>1142</v>
      </c>
      <c r="J102">
        <v>0</v>
      </c>
      <c r="K102">
        <v>0</v>
      </c>
      <c r="L102">
        <v>24</v>
      </c>
      <c r="M102">
        <v>0</v>
      </c>
      <c r="N102">
        <v>0</v>
      </c>
      <c r="O102">
        <v>0</v>
      </c>
      <c r="P102">
        <v>75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6</v>
      </c>
      <c r="AC102">
        <v>5</v>
      </c>
      <c r="AD102" s="3" t="str">
        <f t="shared" si="3"/>
        <v>S2S PREMIUM</v>
      </c>
      <c r="AE102" s="3" t="str">
        <f>VLOOKUP(E102,'[1]Nómina Agentes'!$C:$D,2,0)</f>
        <v>FRAGA NICOLAS</v>
      </c>
      <c r="AF102" s="5">
        <f t="shared" si="4"/>
        <v>0.6875</v>
      </c>
      <c r="AG102" s="5">
        <f t="shared" si="5"/>
        <v>0.70833333333333337</v>
      </c>
    </row>
    <row r="103" spans="1:33" x14ac:dyDescent="0.25">
      <c r="A103" s="1">
        <v>45567</v>
      </c>
      <c r="B103">
        <v>925</v>
      </c>
      <c r="C103" t="s">
        <v>42</v>
      </c>
      <c r="D103" t="s">
        <v>118</v>
      </c>
      <c r="E103">
        <v>605763</v>
      </c>
      <c r="F103" s="2">
        <v>0.60416666666666663</v>
      </c>
      <c r="G103" t="s">
        <v>6</v>
      </c>
      <c r="H103" s="2">
        <v>0.625</v>
      </c>
      <c r="I103">
        <v>1194</v>
      </c>
      <c r="J103">
        <v>0</v>
      </c>
      <c r="K103">
        <v>0</v>
      </c>
      <c r="L103">
        <v>8</v>
      </c>
      <c r="M103">
        <v>0</v>
      </c>
      <c r="N103">
        <v>0</v>
      </c>
      <c r="O103">
        <v>0</v>
      </c>
      <c r="P103">
        <v>112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2</v>
      </c>
      <c r="AC103">
        <v>2</v>
      </c>
      <c r="AD103" s="3" t="str">
        <f t="shared" si="3"/>
        <v>S2S PREMIUM</v>
      </c>
      <c r="AE103" s="3" t="str">
        <f>VLOOKUP(E103,'[1]Nómina Agentes'!$C:$D,2,0)</f>
        <v>FRAGA NICOLAS</v>
      </c>
      <c r="AF103" s="5">
        <f t="shared" si="4"/>
        <v>0.60416666666666663</v>
      </c>
      <c r="AG103" s="5">
        <f t="shared" si="5"/>
        <v>0.625</v>
      </c>
    </row>
    <row r="104" spans="1:33" x14ac:dyDescent="0.25">
      <c r="A104" s="1">
        <v>45567</v>
      </c>
      <c r="B104">
        <v>924</v>
      </c>
      <c r="C104" t="s">
        <v>43</v>
      </c>
      <c r="D104" t="s">
        <v>149</v>
      </c>
      <c r="E104">
        <v>605766</v>
      </c>
      <c r="F104" s="2">
        <v>0.79166666666666663</v>
      </c>
      <c r="G104" t="s">
        <v>6</v>
      </c>
      <c r="H104" s="2">
        <v>0.8125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 s="3" t="str">
        <f t="shared" si="3"/>
        <v>S2S NO PREMIUM</v>
      </c>
      <c r="AE104" s="3" t="str">
        <f>VLOOKUP(E104,'[1]Nómina Agentes'!$C:$D,2,0)</f>
        <v>ZAPATA VAGNINI MARTINA</v>
      </c>
      <c r="AF104" s="5">
        <f t="shared" si="4"/>
        <v>0.79166666666666663</v>
      </c>
      <c r="AG104" s="5">
        <f t="shared" si="5"/>
        <v>0.8125</v>
      </c>
    </row>
    <row r="105" spans="1:33" x14ac:dyDescent="0.25">
      <c r="A105" s="1">
        <v>45567</v>
      </c>
      <c r="B105">
        <v>924</v>
      </c>
      <c r="C105" t="s">
        <v>43</v>
      </c>
      <c r="D105" t="s">
        <v>149</v>
      </c>
      <c r="E105">
        <v>605766</v>
      </c>
      <c r="F105" s="2">
        <v>0.8125</v>
      </c>
      <c r="G105" t="s">
        <v>6</v>
      </c>
      <c r="H105" s="2">
        <v>0.83333333333333337</v>
      </c>
      <c r="I105">
        <v>651</v>
      </c>
      <c r="J105">
        <v>0</v>
      </c>
      <c r="K105">
        <v>0</v>
      </c>
      <c r="L105">
        <v>12</v>
      </c>
      <c r="M105">
        <v>0</v>
      </c>
      <c r="N105">
        <v>0</v>
      </c>
      <c r="O105">
        <v>0</v>
      </c>
      <c r="P105">
        <v>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3</v>
      </c>
      <c r="AC105">
        <v>2</v>
      </c>
      <c r="AD105" s="3" t="str">
        <f t="shared" si="3"/>
        <v>S2S NO PREMIUM</v>
      </c>
      <c r="AE105" s="3" t="str">
        <f>VLOOKUP(E105,'[1]Nómina Agentes'!$C:$D,2,0)</f>
        <v>ZAPATA VAGNINI MARTINA</v>
      </c>
      <c r="AF105" s="5">
        <f t="shared" si="4"/>
        <v>0.8125</v>
      </c>
      <c r="AG105" s="5">
        <f t="shared" si="5"/>
        <v>0.83333333333333337</v>
      </c>
    </row>
    <row r="106" spans="1:33" x14ac:dyDescent="0.25">
      <c r="A106" s="1">
        <v>45567</v>
      </c>
      <c r="B106">
        <v>924</v>
      </c>
      <c r="C106" t="s">
        <v>43</v>
      </c>
      <c r="D106" t="s">
        <v>149</v>
      </c>
      <c r="E106">
        <v>605766</v>
      </c>
      <c r="F106" s="2">
        <v>0.625</v>
      </c>
      <c r="G106" t="s">
        <v>6</v>
      </c>
      <c r="H106" s="2">
        <v>0.64583333333333337</v>
      </c>
      <c r="I106">
        <v>757</v>
      </c>
      <c r="J106">
        <v>0</v>
      </c>
      <c r="K106">
        <v>0</v>
      </c>
      <c r="L106">
        <v>19</v>
      </c>
      <c r="M106">
        <v>0</v>
      </c>
      <c r="N106">
        <v>0</v>
      </c>
      <c r="O106">
        <v>0</v>
      </c>
      <c r="P106">
        <v>3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3</v>
      </c>
      <c r="AC106">
        <v>3</v>
      </c>
      <c r="AD106" s="3" t="str">
        <f t="shared" si="3"/>
        <v>S2S NO PREMIUM</v>
      </c>
      <c r="AE106" s="3" t="str">
        <f>VLOOKUP(E106,'[1]Nómina Agentes'!$C:$D,2,0)</f>
        <v>ZAPATA VAGNINI MARTINA</v>
      </c>
      <c r="AF106" s="5">
        <f t="shared" si="4"/>
        <v>0.625</v>
      </c>
      <c r="AG106" s="5">
        <f t="shared" si="5"/>
        <v>0.64583333333333337</v>
      </c>
    </row>
    <row r="107" spans="1:33" x14ac:dyDescent="0.25">
      <c r="A107" s="1">
        <v>45567</v>
      </c>
      <c r="B107">
        <v>924</v>
      </c>
      <c r="C107" t="s">
        <v>43</v>
      </c>
      <c r="D107" t="s">
        <v>149</v>
      </c>
      <c r="E107">
        <v>605766</v>
      </c>
      <c r="F107" s="2">
        <v>0.77083333333333337</v>
      </c>
      <c r="G107" t="s">
        <v>6</v>
      </c>
      <c r="H107" s="2">
        <v>0.79166666666666663</v>
      </c>
      <c r="I107">
        <v>814</v>
      </c>
      <c r="J107">
        <v>88</v>
      </c>
      <c r="K107">
        <v>0</v>
      </c>
      <c r="L107">
        <v>16</v>
      </c>
      <c r="M107">
        <v>0</v>
      </c>
      <c r="N107">
        <v>0</v>
      </c>
      <c r="O107">
        <v>0</v>
      </c>
      <c r="P107">
        <v>13</v>
      </c>
      <c r="Q107">
        <v>10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5</v>
      </c>
      <c r="AC107">
        <v>3</v>
      </c>
      <c r="AD107" s="3" t="str">
        <f t="shared" si="3"/>
        <v>S2S NO PREMIUM</v>
      </c>
      <c r="AE107" s="3" t="str">
        <f>VLOOKUP(E107,'[1]Nómina Agentes'!$C:$D,2,0)</f>
        <v>ZAPATA VAGNINI MARTINA</v>
      </c>
      <c r="AF107" s="5">
        <f t="shared" si="4"/>
        <v>0.77083333333333337</v>
      </c>
      <c r="AG107" s="5">
        <f t="shared" si="5"/>
        <v>0.79166666666666663</v>
      </c>
    </row>
    <row r="108" spans="1:33" x14ac:dyDescent="0.25">
      <c r="A108" s="1">
        <v>45567</v>
      </c>
      <c r="B108">
        <v>924</v>
      </c>
      <c r="C108" t="s">
        <v>43</v>
      </c>
      <c r="D108" t="s">
        <v>149</v>
      </c>
      <c r="E108">
        <v>605766</v>
      </c>
      <c r="F108" s="2">
        <v>0.75</v>
      </c>
      <c r="G108" t="s">
        <v>6</v>
      </c>
      <c r="H108" s="2">
        <v>0.77083333333333337</v>
      </c>
      <c r="I108">
        <v>996</v>
      </c>
      <c r="J108">
        <v>0</v>
      </c>
      <c r="K108">
        <v>0</v>
      </c>
      <c r="L108">
        <v>16</v>
      </c>
      <c r="M108">
        <v>0</v>
      </c>
      <c r="N108">
        <v>0</v>
      </c>
      <c r="O108">
        <v>0</v>
      </c>
      <c r="P108">
        <v>3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4</v>
      </c>
      <c r="AC108">
        <v>3</v>
      </c>
      <c r="AD108" s="3" t="str">
        <f t="shared" si="3"/>
        <v>S2S NO PREMIUM</v>
      </c>
      <c r="AE108" s="3" t="str">
        <f>VLOOKUP(E108,'[1]Nómina Agentes'!$C:$D,2,0)</f>
        <v>ZAPATA VAGNINI MARTINA</v>
      </c>
      <c r="AF108" s="5">
        <f t="shared" si="4"/>
        <v>0.75</v>
      </c>
      <c r="AG108" s="5">
        <f t="shared" si="5"/>
        <v>0.77083333333333337</v>
      </c>
    </row>
    <row r="109" spans="1:33" x14ac:dyDescent="0.25">
      <c r="A109" s="1">
        <v>45567</v>
      </c>
      <c r="B109">
        <v>924</v>
      </c>
      <c r="C109" t="s">
        <v>43</v>
      </c>
      <c r="D109" t="s">
        <v>149</v>
      </c>
      <c r="E109">
        <v>605766</v>
      </c>
      <c r="F109" s="2">
        <v>0.64583333333333337</v>
      </c>
      <c r="G109" t="s">
        <v>6</v>
      </c>
      <c r="H109" s="2">
        <v>0.66666666666666663</v>
      </c>
      <c r="I109">
        <v>999</v>
      </c>
      <c r="J109">
        <v>0</v>
      </c>
      <c r="K109">
        <v>0</v>
      </c>
      <c r="L109">
        <v>21</v>
      </c>
      <c r="M109">
        <v>0</v>
      </c>
      <c r="N109">
        <v>0</v>
      </c>
      <c r="O109">
        <v>0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5</v>
      </c>
      <c r="AC109">
        <v>2</v>
      </c>
      <c r="AD109" s="3" t="str">
        <f t="shared" si="3"/>
        <v>S2S NO PREMIUM</v>
      </c>
      <c r="AE109" s="3" t="str">
        <f>VLOOKUP(E109,'[1]Nómina Agentes'!$C:$D,2,0)</f>
        <v>ZAPATA VAGNINI MARTINA</v>
      </c>
      <c r="AF109" s="5">
        <f t="shared" si="4"/>
        <v>0.64583333333333337</v>
      </c>
      <c r="AG109" s="5">
        <f t="shared" si="5"/>
        <v>0.66666666666666663</v>
      </c>
    </row>
    <row r="110" spans="1:33" x14ac:dyDescent="0.25">
      <c r="A110" s="1">
        <v>45567</v>
      </c>
      <c r="B110">
        <v>924</v>
      </c>
      <c r="C110" t="s">
        <v>43</v>
      </c>
      <c r="D110" t="s">
        <v>149</v>
      </c>
      <c r="E110">
        <v>605766</v>
      </c>
      <c r="F110" s="2">
        <v>0.70833333333333337</v>
      </c>
      <c r="G110" t="s">
        <v>6</v>
      </c>
      <c r="H110" s="2">
        <v>0.72916666666666663</v>
      </c>
      <c r="I110">
        <v>1176</v>
      </c>
      <c r="J110">
        <v>0</v>
      </c>
      <c r="K110">
        <v>0</v>
      </c>
      <c r="L110">
        <v>28</v>
      </c>
      <c r="M110">
        <v>0</v>
      </c>
      <c r="N110">
        <v>0</v>
      </c>
      <c r="O110">
        <v>0</v>
      </c>
      <c r="P110">
        <v>5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5</v>
      </c>
      <c r="AC110">
        <v>4</v>
      </c>
      <c r="AD110" s="3" t="str">
        <f t="shared" si="3"/>
        <v>S2S NO PREMIUM</v>
      </c>
      <c r="AE110" s="3" t="str">
        <f>VLOOKUP(E110,'[1]Nómina Agentes'!$C:$D,2,0)</f>
        <v>ZAPATA VAGNINI MARTINA</v>
      </c>
      <c r="AF110" s="5">
        <f t="shared" si="4"/>
        <v>0.70833333333333337</v>
      </c>
      <c r="AG110" s="5">
        <f t="shared" si="5"/>
        <v>0.72916666666666663</v>
      </c>
    </row>
    <row r="111" spans="1:33" x14ac:dyDescent="0.25">
      <c r="A111" s="1">
        <v>45567</v>
      </c>
      <c r="B111">
        <v>924</v>
      </c>
      <c r="C111" t="s">
        <v>43</v>
      </c>
      <c r="D111" t="s">
        <v>149</v>
      </c>
      <c r="E111">
        <v>605766</v>
      </c>
      <c r="F111" s="2">
        <v>0.72916666666666663</v>
      </c>
      <c r="G111" t="s">
        <v>6</v>
      </c>
      <c r="H111" s="2">
        <v>0.75</v>
      </c>
      <c r="I111">
        <v>1206</v>
      </c>
      <c r="J111">
        <v>120</v>
      </c>
      <c r="K111">
        <v>0</v>
      </c>
      <c r="L111">
        <v>21</v>
      </c>
      <c r="M111">
        <v>0</v>
      </c>
      <c r="N111">
        <v>0</v>
      </c>
      <c r="O111">
        <v>0</v>
      </c>
      <c r="P111">
        <v>5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5</v>
      </c>
      <c r="AC111">
        <v>5</v>
      </c>
      <c r="AD111" s="3" t="str">
        <f t="shared" si="3"/>
        <v>S2S NO PREMIUM</v>
      </c>
      <c r="AE111" s="3" t="str">
        <f>VLOOKUP(E111,'[1]Nómina Agentes'!$C:$D,2,0)</f>
        <v>ZAPATA VAGNINI MARTINA</v>
      </c>
      <c r="AF111" s="5">
        <f t="shared" si="4"/>
        <v>0.72916666666666663</v>
      </c>
      <c r="AG111" s="5">
        <f t="shared" si="5"/>
        <v>0.75</v>
      </c>
    </row>
    <row r="112" spans="1:33" x14ac:dyDescent="0.25">
      <c r="A112" s="1">
        <v>45567</v>
      </c>
      <c r="B112">
        <v>924</v>
      </c>
      <c r="C112" t="s">
        <v>43</v>
      </c>
      <c r="D112" t="s">
        <v>149</v>
      </c>
      <c r="E112">
        <v>605766</v>
      </c>
      <c r="F112" s="2">
        <v>0.66666666666666663</v>
      </c>
      <c r="G112" t="s">
        <v>6</v>
      </c>
      <c r="H112" s="2">
        <v>0.6875</v>
      </c>
      <c r="I112">
        <v>1278</v>
      </c>
      <c r="J112">
        <v>0</v>
      </c>
      <c r="K112">
        <v>0</v>
      </c>
      <c r="L112">
        <v>22</v>
      </c>
      <c r="M112">
        <v>0</v>
      </c>
      <c r="N112">
        <v>0</v>
      </c>
      <c r="O112">
        <v>0</v>
      </c>
      <c r="P112">
        <v>36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5</v>
      </c>
      <c r="AC112">
        <v>3</v>
      </c>
      <c r="AD112" s="3" t="str">
        <f t="shared" si="3"/>
        <v>S2S NO PREMIUM</v>
      </c>
      <c r="AE112" s="3" t="str">
        <f>VLOOKUP(E112,'[1]Nómina Agentes'!$C:$D,2,0)</f>
        <v>ZAPATA VAGNINI MARTINA</v>
      </c>
      <c r="AF112" s="5">
        <f t="shared" si="4"/>
        <v>0.66666666666666663</v>
      </c>
      <c r="AG112" s="5">
        <f t="shared" si="5"/>
        <v>0.6875</v>
      </c>
    </row>
    <row r="113" spans="1:33" x14ac:dyDescent="0.25">
      <c r="A113" s="1">
        <v>45567</v>
      </c>
      <c r="B113">
        <v>924</v>
      </c>
      <c r="C113" t="s">
        <v>43</v>
      </c>
      <c r="D113" t="s">
        <v>149</v>
      </c>
      <c r="E113">
        <v>605766</v>
      </c>
      <c r="F113" s="2">
        <v>0.6875</v>
      </c>
      <c r="G113" t="s">
        <v>6</v>
      </c>
      <c r="H113" s="2">
        <v>0.70833333333333337</v>
      </c>
      <c r="I113">
        <v>1305</v>
      </c>
      <c r="J113">
        <v>0</v>
      </c>
      <c r="K113">
        <v>0</v>
      </c>
      <c r="L113">
        <v>24</v>
      </c>
      <c r="M113">
        <v>0</v>
      </c>
      <c r="N113">
        <v>0</v>
      </c>
      <c r="O113">
        <v>0</v>
      </c>
      <c r="P113">
        <v>6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7</v>
      </c>
      <c r="AC113">
        <v>4</v>
      </c>
      <c r="AD113" s="3" t="str">
        <f t="shared" si="3"/>
        <v>S2S NO PREMIUM</v>
      </c>
      <c r="AE113" s="3" t="str">
        <f>VLOOKUP(E113,'[1]Nómina Agentes'!$C:$D,2,0)</f>
        <v>ZAPATA VAGNINI MARTINA</v>
      </c>
      <c r="AF113" s="5">
        <f t="shared" si="4"/>
        <v>0.6875</v>
      </c>
      <c r="AG113" s="5">
        <f t="shared" si="5"/>
        <v>0.70833333333333337</v>
      </c>
    </row>
    <row r="114" spans="1:33" x14ac:dyDescent="0.25">
      <c r="A114" s="1">
        <v>45567</v>
      </c>
      <c r="B114">
        <v>924</v>
      </c>
      <c r="C114" t="s">
        <v>43</v>
      </c>
      <c r="D114" t="s">
        <v>107</v>
      </c>
      <c r="E114">
        <v>605768</v>
      </c>
      <c r="F114" s="2">
        <v>0.625</v>
      </c>
      <c r="G114" t="s">
        <v>6</v>
      </c>
      <c r="H114" s="2">
        <v>0.64583333333333337</v>
      </c>
      <c r="I114">
        <v>119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1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1</v>
      </c>
      <c r="AC114">
        <v>1</v>
      </c>
      <c r="AD114" s="3" t="str">
        <f t="shared" si="3"/>
        <v>S2S NO PREMIUM</v>
      </c>
      <c r="AE114" s="3" t="str">
        <f>VLOOKUP(E114,'[1]Nómina Agentes'!$C:$D,2,0)</f>
        <v>FRIAS BRENDA ANTONELA</v>
      </c>
      <c r="AF114" s="5">
        <f t="shared" si="4"/>
        <v>0.625</v>
      </c>
      <c r="AG114" s="5">
        <f t="shared" si="5"/>
        <v>0.64583333333333337</v>
      </c>
    </row>
    <row r="115" spans="1:33" x14ac:dyDescent="0.25">
      <c r="A115" s="1">
        <v>45567</v>
      </c>
      <c r="B115">
        <v>924</v>
      </c>
      <c r="C115" t="s">
        <v>43</v>
      </c>
      <c r="D115" t="s">
        <v>107</v>
      </c>
      <c r="E115">
        <v>605768</v>
      </c>
      <c r="F115" s="2">
        <v>0.60416666666666663</v>
      </c>
      <c r="G115" t="s">
        <v>6</v>
      </c>
      <c r="H115" s="2">
        <v>0.625</v>
      </c>
      <c r="I115">
        <v>531</v>
      </c>
      <c r="J115">
        <v>0</v>
      </c>
      <c r="K115">
        <v>0</v>
      </c>
      <c r="L115">
        <v>13</v>
      </c>
      <c r="M115">
        <v>0</v>
      </c>
      <c r="N115">
        <v>0</v>
      </c>
      <c r="O115">
        <v>0</v>
      </c>
      <c r="P115">
        <v>535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2</v>
      </c>
      <c r="AC115">
        <v>2</v>
      </c>
      <c r="AD115" s="3" t="str">
        <f t="shared" si="3"/>
        <v>S2S NO PREMIUM</v>
      </c>
      <c r="AE115" s="3" t="str">
        <f>VLOOKUP(E115,'[1]Nómina Agentes'!$C:$D,2,0)</f>
        <v>FRIAS BRENDA ANTONELA</v>
      </c>
      <c r="AF115" s="5">
        <f t="shared" si="4"/>
        <v>0.60416666666666663</v>
      </c>
      <c r="AG115" s="5">
        <f t="shared" si="5"/>
        <v>0.625</v>
      </c>
    </row>
    <row r="116" spans="1:33" x14ac:dyDescent="0.25">
      <c r="A116" s="1">
        <v>45567</v>
      </c>
      <c r="B116">
        <v>924</v>
      </c>
      <c r="C116" t="s">
        <v>43</v>
      </c>
      <c r="D116" t="s">
        <v>107</v>
      </c>
      <c r="E116">
        <v>605768</v>
      </c>
      <c r="F116" s="2">
        <v>0.58333333333333337</v>
      </c>
      <c r="G116" t="s">
        <v>6</v>
      </c>
      <c r="H116" s="2">
        <v>0.60416666666666663</v>
      </c>
      <c r="I116">
        <v>721</v>
      </c>
      <c r="J116">
        <v>0</v>
      </c>
      <c r="K116">
        <v>0</v>
      </c>
      <c r="L116">
        <v>12</v>
      </c>
      <c r="M116">
        <v>0</v>
      </c>
      <c r="N116">
        <v>0</v>
      </c>
      <c r="O116">
        <v>0</v>
      </c>
      <c r="P116">
        <v>181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3</v>
      </c>
      <c r="AC116">
        <v>2</v>
      </c>
      <c r="AD116" s="3" t="str">
        <f t="shared" si="3"/>
        <v>S2S NO PREMIUM</v>
      </c>
      <c r="AE116" s="3" t="str">
        <f>VLOOKUP(E116,'[1]Nómina Agentes'!$C:$D,2,0)</f>
        <v>FRIAS BRENDA ANTONELA</v>
      </c>
      <c r="AF116" s="5">
        <f t="shared" si="4"/>
        <v>0.58333333333333337</v>
      </c>
      <c r="AG116" s="5">
        <f t="shared" si="5"/>
        <v>0.60416666666666663</v>
      </c>
    </row>
    <row r="117" spans="1:33" x14ac:dyDescent="0.25">
      <c r="A117" s="1">
        <v>45567</v>
      </c>
      <c r="B117">
        <v>925</v>
      </c>
      <c r="C117" t="s">
        <v>42</v>
      </c>
      <c r="D117" t="s">
        <v>71</v>
      </c>
      <c r="E117">
        <v>605769</v>
      </c>
      <c r="F117" s="2">
        <v>0.58333333333333337</v>
      </c>
      <c r="G117" t="s">
        <v>6</v>
      </c>
      <c r="H117" s="2">
        <v>0.60416666666666663</v>
      </c>
      <c r="I117">
        <v>596</v>
      </c>
      <c r="J117">
        <v>0</v>
      </c>
      <c r="K117">
        <v>0</v>
      </c>
      <c r="L117">
        <v>13</v>
      </c>
      <c r="M117">
        <v>0</v>
      </c>
      <c r="N117">
        <v>0</v>
      </c>
      <c r="O117">
        <v>0</v>
      </c>
      <c r="P117">
        <v>3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3</v>
      </c>
      <c r="AC117">
        <v>3</v>
      </c>
      <c r="AD117" s="3" t="str">
        <f t="shared" si="3"/>
        <v>S2S PREMIUM</v>
      </c>
      <c r="AE117" s="3" t="str">
        <f>VLOOKUP(E117,'[1]Nómina Agentes'!$C:$D,2,0)</f>
        <v>SOSA VALENTINA</v>
      </c>
      <c r="AF117" s="5">
        <f t="shared" si="4"/>
        <v>0.58333333333333337</v>
      </c>
      <c r="AG117" s="5">
        <f t="shared" si="5"/>
        <v>0.60416666666666663</v>
      </c>
    </row>
    <row r="118" spans="1:33" x14ac:dyDescent="0.25">
      <c r="A118" s="1">
        <v>45567</v>
      </c>
      <c r="B118">
        <v>925</v>
      </c>
      <c r="C118" t="s">
        <v>42</v>
      </c>
      <c r="D118" t="s">
        <v>71</v>
      </c>
      <c r="E118">
        <v>605769</v>
      </c>
      <c r="F118" s="2">
        <v>0.60416666666666663</v>
      </c>
      <c r="G118" t="s">
        <v>6</v>
      </c>
      <c r="H118" s="2">
        <v>0.625</v>
      </c>
      <c r="I118">
        <v>788</v>
      </c>
      <c r="J118">
        <v>0</v>
      </c>
      <c r="K118">
        <v>0</v>
      </c>
      <c r="L118">
        <v>13</v>
      </c>
      <c r="M118">
        <v>0</v>
      </c>
      <c r="N118">
        <v>0</v>
      </c>
      <c r="O118">
        <v>0</v>
      </c>
      <c r="P118">
        <v>1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3</v>
      </c>
      <c r="AC118">
        <v>2</v>
      </c>
      <c r="AD118" s="3" t="str">
        <f t="shared" si="3"/>
        <v>S2S PREMIUM</v>
      </c>
      <c r="AE118" s="3" t="str">
        <f>VLOOKUP(E118,'[1]Nómina Agentes'!$C:$D,2,0)</f>
        <v>SOSA VALENTINA</v>
      </c>
      <c r="AF118" s="5">
        <f t="shared" si="4"/>
        <v>0.60416666666666663</v>
      </c>
      <c r="AG118" s="5">
        <f t="shared" si="5"/>
        <v>0.625</v>
      </c>
    </row>
    <row r="119" spans="1:33" x14ac:dyDescent="0.25">
      <c r="A119" s="1">
        <v>45567</v>
      </c>
      <c r="B119">
        <v>924</v>
      </c>
      <c r="C119" t="s">
        <v>43</v>
      </c>
      <c r="D119" t="s">
        <v>150</v>
      </c>
      <c r="E119">
        <v>605774</v>
      </c>
      <c r="F119" s="2">
        <v>0.60416666666666663</v>
      </c>
      <c r="G119" t="s">
        <v>6</v>
      </c>
      <c r="H119" s="2">
        <v>0.625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 s="3" t="str">
        <f t="shared" si="3"/>
        <v>S2S NO PREMIUM</v>
      </c>
      <c r="AE119" s="3" t="str">
        <f>VLOOKUP(E119,'[1]Nómina Agentes'!$C:$D,2,0)</f>
        <v>CASTRO CRISTIAN NICOLAS</v>
      </c>
      <c r="AF119" s="5">
        <f t="shared" si="4"/>
        <v>0.60416666666666663</v>
      </c>
      <c r="AG119" s="5">
        <f t="shared" si="5"/>
        <v>0.625</v>
      </c>
    </row>
    <row r="120" spans="1:33" x14ac:dyDescent="0.25">
      <c r="A120" s="1">
        <v>45567</v>
      </c>
      <c r="B120">
        <v>924</v>
      </c>
      <c r="C120" t="s">
        <v>43</v>
      </c>
      <c r="D120" t="s">
        <v>150</v>
      </c>
      <c r="E120">
        <v>605774</v>
      </c>
      <c r="F120" s="2">
        <v>0.8125</v>
      </c>
      <c r="G120" t="s">
        <v>6</v>
      </c>
      <c r="H120" s="2">
        <v>0.83333333333333337</v>
      </c>
      <c r="I120">
        <v>649</v>
      </c>
      <c r="J120">
        <v>0</v>
      </c>
      <c r="K120">
        <v>0</v>
      </c>
      <c r="L120">
        <v>17</v>
      </c>
      <c r="M120">
        <v>0</v>
      </c>
      <c r="N120">
        <v>0</v>
      </c>
      <c r="O120">
        <v>0</v>
      </c>
      <c r="P120">
        <v>4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3</v>
      </c>
      <c r="AC120">
        <v>3</v>
      </c>
      <c r="AD120" s="3" t="str">
        <f t="shared" si="3"/>
        <v>S2S NO PREMIUM</v>
      </c>
      <c r="AE120" s="3" t="str">
        <f>VLOOKUP(E120,'[1]Nómina Agentes'!$C:$D,2,0)</f>
        <v>CASTRO CRISTIAN NICOLAS</v>
      </c>
      <c r="AF120" s="5">
        <f t="shared" si="4"/>
        <v>0.8125</v>
      </c>
      <c r="AG120" s="5">
        <f t="shared" si="5"/>
        <v>0.83333333333333337</v>
      </c>
    </row>
    <row r="121" spans="1:33" x14ac:dyDescent="0.25">
      <c r="A121" s="1">
        <v>45567</v>
      </c>
      <c r="B121">
        <v>924</v>
      </c>
      <c r="C121" t="s">
        <v>43</v>
      </c>
      <c r="D121" t="s">
        <v>150</v>
      </c>
      <c r="E121">
        <v>605774</v>
      </c>
      <c r="F121" s="2">
        <v>0.625</v>
      </c>
      <c r="G121" t="s">
        <v>6</v>
      </c>
      <c r="H121" s="2">
        <v>0.64583333333333337</v>
      </c>
      <c r="I121">
        <v>699</v>
      </c>
      <c r="J121">
        <v>9</v>
      </c>
      <c r="K121">
        <v>0</v>
      </c>
      <c r="L121">
        <v>19</v>
      </c>
      <c r="M121">
        <v>0</v>
      </c>
      <c r="N121">
        <v>0</v>
      </c>
      <c r="O121">
        <v>0</v>
      </c>
      <c r="P121">
        <v>3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4</v>
      </c>
      <c r="AC121">
        <v>3</v>
      </c>
      <c r="AD121" s="3" t="str">
        <f t="shared" si="3"/>
        <v>S2S NO PREMIUM</v>
      </c>
      <c r="AE121" s="3" t="str">
        <f>VLOOKUP(E121,'[1]Nómina Agentes'!$C:$D,2,0)</f>
        <v>CASTRO CRISTIAN NICOLAS</v>
      </c>
      <c r="AF121" s="5">
        <f t="shared" si="4"/>
        <v>0.625</v>
      </c>
      <c r="AG121" s="5">
        <f t="shared" si="5"/>
        <v>0.64583333333333337</v>
      </c>
    </row>
    <row r="122" spans="1:33" x14ac:dyDescent="0.25">
      <c r="A122" s="1">
        <v>45567</v>
      </c>
      <c r="B122">
        <v>924</v>
      </c>
      <c r="C122" t="s">
        <v>43</v>
      </c>
      <c r="D122" t="s">
        <v>150</v>
      </c>
      <c r="E122">
        <v>605774</v>
      </c>
      <c r="F122" s="2">
        <v>0.79166666666666663</v>
      </c>
      <c r="G122" t="s">
        <v>6</v>
      </c>
      <c r="H122" s="2">
        <v>0.8125</v>
      </c>
      <c r="I122">
        <v>906</v>
      </c>
      <c r="J122">
        <v>0</v>
      </c>
      <c r="K122">
        <v>0</v>
      </c>
      <c r="L122">
        <v>13</v>
      </c>
      <c r="M122">
        <v>0</v>
      </c>
      <c r="N122">
        <v>0</v>
      </c>
      <c r="O122">
        <v>0</v>
      </c>
      <c r="P122">
        <v>3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3</v>
      </c>
      <c r="AC122">
        <v>3</v>
      </c>
      <c r="AD122" s="3" t="str">
        <f t="shared" si="3"/>
        <v>S2S NO PREMIUM</v>
      </c>
      <c r="AE122" s="3" t="str">
        <f>VLOOKUP(E122,'[1]Nómina Agentes'!$C:$D,2,0)</f>
        <v>CASTRO CRISTIAN NICOLAS</v>
      </c>
      <c r="AF122" s="5">
        <f t="shared" si="4"/>
        <v>0.79166666666666663</v>
      </c>
      <c r="AG122" s="5">
        <f t="shared" si="5"/>
        <v>0.8125</v>
      </c>
    </row>
    <row r="123" spans="1:33" x14ac:dyDescent="0.25">
      <c r="A123" s="1">
        <v>45567</v>
      </c>
      <c r="B123">
        <v>924</v>
      </c>
      <c r="C123" t="s">
        <v>43</v>
      </c>
      <c r="D123" t="s">
        <v>150</v>
      </c>
      <c r="E123">
        <v>605774</v>
      </c>
      <c r="F123" s="2">
        <v>0.64583333333333337</v>
      </c>
      <c r="G123" t="s">
        <v>6</v>
      </c>
      <c r="H123" s="2">
        <v>0.66666666666666663</v>
      </c>
      <c r="I123">
        <v>949</v>
      </c>
      <c r="J123">
        <v>0</v>
      </c>
      <c r="K123">
        <v>0</v>
      </c>
      <c r="L123">
        <v>26</v>
      </c>
      <c r="M123">
        <v>0</v>
      </c>
      <c r="N123">
        <v>0</v>
      </c>
      <c r="O123">
        <v>0</v>
      </c>
      <c r="P123">
        <v>5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5</v>
      </c>
      <c r="AC123">
        <v>4</v>
      </c>
      <c r="AD123" s="3" t="str">
        <f t="shared" si="3"/>
        <v>S2S NO PREMIUM</v>
      </c>
      <c r="AE123" s="3" t="str">
        <f>VLOOKUP(E123,'[1]Nómina Agentes'!$C:$D,2,0)</f>
        <v>CASTRO CRISTIAN NICOLAS</v>
      </c>
      <c r="AF123" s="5">
        <f t="shared" si="4"/>
        <v>0.64583333333333337</v>
      </c>
      <c r="AG123" s="5">
        <f t="shared" si="5"/>
        <v>0.66666666666666663</v>
      </c>
    </row>
    <row r="124" spans="1:33" x14ac:dyDescent="0.25">
      <c r="A124" s="1">
        <v>45567</v>
      </c>
      <c r="B124">
        <v>924</v>
      </c>
      <c r="C124" t="s">
        <v>43</v>
      </c>
      <c r="D124" t="s">
        <v>150</v>
      </c>
      <c r="E124">
        <v>605774</v>
      </c>
      <c r="F124" s="2">
        <v>0.77083333333333337</v>
      </c>
      <c r="G124" t="s">
        <v>6</v>
      </c>
      <c r="H124" s="2">
        <v>0.79166666666666663</v>
      </c>
      <c r="I124">
        <v>1019</v>
      </c>
      <c r="J124">
        <v>0</v>
      </c>
      <c r="K124">
        <v>0</v>
      </c>
      <c r="L124">
        <v>20</v>
      </c>
      <c r="M124">
        <v>0</v>
      </c>
      <c r="N124">
        <v>0</v>
      </c>
      <c r="O124">
        <v>0</v>
      </c>
      <c r="P124">
        <v>4</v>
      </c>
      <c r="Q124">
        <v>1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5</v>
      </c>
      <c r="AC124">
        <v>4</v>
      </c>
      <c r="AD124" s="3" t="str">
        <f t="shared" si="3"/>
        <v>S2S NO PREMIUM</v>
      </c>
      <c r="AE124" s="3" t="str">
        <f>VLOOKUP(E124,'[1]Nómina Agentes'!$C:$D,2,0)</f>
        <v>CASTRO CRISTIAN NICOLAS</v>
      </c>
      <c r="AF124" s="5">
        <f t="shared" si="4"/>
        <v>0.77083333333333337</v>
      </c>
      <c r="AG124" s="5">
        <f t="shared" si="5"/>
        <v>0.79166666666666663</v>
      </c>
    </row>
    <row r="125" spans="1:33" x14ac:dyDescent="0.25">
      <c r="A125" s="1">
        <v>45567</v>
      </c>
      <c r="B125">
        <v>924</v>
      </c>
      <c r="C125" t="s">
        <v>43</v>
      </c>
      <c r="D125" t="s">
        <v>150</v>
      </c>
      <c r="E125">
        <v>605774</v>
      </c>
      <c r="F125" s="2">
        <v>0.6875</v>
      </c>
      <c r="G125" t="s">
        <v>6</v>
      </c>
      <c r="H125" s="2">
        <v>0.70833333333333337</v>
      </c>
      <c r="I125">
        <v>1383</v>
      </c>
      <c r="J125">
        <v>0</v>
      </c>
      <c r="K125">
        <v>0</v>
      </c>
      <c r="L125">
        <v>24</v>
      </c>
      <c r="M125">
        <v>0</v>
      </c>
      <c r="N125">
        <v>0</v>
      </c>
      <c r="O125">
        <v>0</v>
      </c>
      <c r="P125">
        <v>5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6</v>
      </c>
      <c r="AC125">
        <v>4</v>
      </c>
      <c r="AD125" s="3" t="str">
        <f t="shared" si="3"/>
        <v>S2S NO PREMIUM</v>
      </c>
      <c r="AE125" s="3" t="str">
        <f>VLOOKUP(E125,'[1]Nómina Agentes'!$C:$D,2,0)</f>
        <v>CASTRO CRISTIAN NICOLAS</v>
      </c>
      <c r="AF125" s="5">
        <f t="shared" si="4"/>
        <v>0.6875</v>
      </c>
      <c r="AG125" s="5">
        <f t="shared" si="5"/>
        <v>0.70833333333333337</v>
      </c>
    </row>
    <row r="126" spans="1:33" x14ac:dyDescent="0.25">
      <c r="A126" s="1">
        <v>45567</v>
      </c>
      <c r="B126">
        <v>924</v>
      </c>
      <c r="C126" t="s">
        <v>43</v>
      </c>
      <c r="D126" t="s">
        <v>150</v>
      </c>
      <c r="E126">
        <v>605774</v>
      </c>
      <c r="F126" s="2">
        <v>0.70833333333333337</v>
      </c>
      <c r="G126" t="s">
        <v>6</v>
      </c>
      <c r="H126" s="2">
        <v>0.72916666666666663</v>
      </c>
      <c r="I126">
        <v>1383</v>
      </c>
      <c r="J126">
        <v>0</v>
      </c>
      <c r="K126">
        <v>0</v>
      </c>
      <c r="L126">
        <v>16</v>
      </c>
      <c r="M126">
        <v>0</v>
      </c>
      <c r="N126">
        <v>0</v>
      </c>
      <c r="O126">
        <v>0</v>
      </c>
      <c r="P126">
        <v>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4</v>
      </c>
      <c r="AC126">
        <v>4</v>
      </c>
      <c r="AD126" s="3" t="str">
        <f t="shared" si="3"/>
        <v>S2S NO PREMIUM</v>
      </c>
      <c r="AE126" s="3" t="str">
        <f>VLOOKUP(E126,'[1]Nómina Agentes'!$C:$D,2,0)</f>
        <v>CASTRO CRISTIAN NICOLAS</v>
      </c>
      <c r="AF126" s="5">
        <f t="shared" si="4"/>
        <v>0.70833333333333337</v>
      </c>
      <c r="AG126" s="5">
        <f t="shared" si="5"/>
        <v>0.72916666666666663</v>
      </c>
    </row>
    <row r="127" spans="1:33" x14ac:dyDescent="0.25">
      <c r="A127" s="1">
        <v>45567</v>
      </c>
      <c r="B127">
        <v>924</v>
      </c>
      <c r="C127" t="s">
        <v>43</v>
      </c>
      <c r="D127" t="s">
        <v>150</v>
      </c>
      <c r="E127">
        <v>605774</v>
      </c>
      <c r="F127" s="2">
        <v>0.72916666666666663</v>
      </c>
      <c r="G127" t="s">
        <v>6</v>
      </c>
      <c r="H127" s="2">
        <v>0.75</v>
      </c>
      <c r="I127">
        <v>1388</v>
      </c>
      <c r="J127">
        <v>0</v>
      </c>
      <c r="K127">
        <v>0</v>
      </c>
      <c r="L127">
        <v>16</v>
      </c>
      <c r="M127">
        <v>0</v>
      </c>
      <c r="N127">
        <v>0</v>
      </c>
      <c r="O127">
        <v>0</v>
      </c>
      <c r="P127">
        <v>108</v>
      </c>
      <c r="Q127">
        <v>57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4</v>
      </c>
      <c r="AC127">
        <v>4</v>
      </c>
      <c r="AD127" s="3" t="str">
        <f t="shared" ref="AD127:AD190" si="6">UPPER(C127)</f>
        <v>S2S NO PREMIUM</v>
      </c>
      <c r="AE127" s="3" t="str">
        <f>VLOOKUP(E127,'[1]Nómina Agentes'!$C:$D,2,0)</f>
        <v>CASTRO CRISTIAN NICOLAS</v>
      </c>
      <c r="AF127" s="5">
        <f t="shared" ref="AF127:AF190" si="7">F127</f>
        <v>0.72916666666666663</v>
      </c>
      <c r="AG127" s="5">
        <f t="shared" ref="AG127:AG190" si="8">H127</f>
        <v>0.75</v>
      </c>
    </row>
    <row r="128" spans="1:33" x14ac:dyDescent="0.25">
      <c r="A128" s="1">
        <v>45567</v>
      </c>
      <c r="B128">
        <v>924</v>
      </c>
      <c r="C128" t="s">
        <v>43</v>
      </c>
      <c r="D128" t="s">
        <v>150</v>
      </c>
      <c r="E128">
        <v>605774</v>
      </c>
      <c r="F128" s="2">
        <v>0.66666666666666663</v>
      </c>
      <c r="G128" t="s">
        <v>6</v>
      </c>
      <c r="H128" s="2">
        <v>0.6875</v>
      </c>
      <c r="I128">
        <v>1420</v>
      </c>
      <c r="J128">
        <v>0</v>
      </c>
      <c r="K128">
        <v>0</v>
      </c>
      <c r="L128">
        <v>22</v>
      </c>
      <c r="M128">
        <v>0</v>
      </c>
      <c r="N128">
        <v>0</v>
      </c>
      <c r="O128">
        <v>0</v>
      </c>
      <c r="P128">
        <v>6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5</v>
      </c>
      <c r="AC128">
        <v>5</v>
      </c>
      <c r="AD128" s="3" t="str">
        <f t="shared" si="6"/>
        <v>S2S NO PREMIUM</v>
      </c>
      <c r="AE128" s="3" t="str">
        <f>VLOOKUP(E128,'[1]Nómina Agentes'!$C:$D,2,0)</f>
        <v>CASTRO CRISTIAN NICOLAS</v>
      </c>
      <c r="AF128" s="5">
        <f t="shared" si="7"/>
        <v>0.66666666666666663</v>
      </c>
      <c r="AG128" s="5">
        <f t="shared" si="8"/>
        <v>0.6875</v>
      </c>
    </row>
    <row r="129" spans="1:33" x14ac:dyDescent="0.25">
      <c r="A129" s="1">
        <v>45567</v>
      </c>
      <c r="B129">
        <v>924</v>
      </c>
      <c r="C129" t="s">
        <v>43</v>
      </c>
      <c r="D129" t="s">
        <v>150</v>
      </c>
      <c r="E129">
        <v>605774</v>
      </c>
      <c r="F129" s="2">
        <v>0.75</v>
      </c>
      <c r="G129" t="s">
        <v>6</v>
      </c>
      <c r="H129" s="2">
        <v>0.77083333333333337</v>
      </c>
      <c r="I129">
        <v>1464</v>
      </c>
      <c r="J129">
        <v>0</v>
      </c>
      <c r="K129">
        <v>0</v>
      </c>
      <c r="L129">
        <v>25</v>
      </c>
      <c r="M129">
        <v>0</v>
      </c>
      <c r="N129">
        <v>0</v>
      </c>
      <c r="O129">
        <v>0</v>
      </c>
      <c r="P129">
        <v>7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7</v>
      </c>
      <c r="AC129">
        <v>5</v>
      </c>
      <c r="AD129" s="3" t="str">
        <f t="shared" si="6"/>
        <v>S2S NO PREMIUM</v>
      </c>
      <c r="AE129" s="3" t="str">
        <f>VLOOKUP(E129,'[1]Nómina Agentes'!$C:$D,2,0)</f>
        <v>CASTRO CRISTIAN NICOLAS</v>
      </c>
      <c r="AF129" s="5">
        <f t="shared" si="7"/>
        <v>0.75</v>
      </c>
      <c r="AG129" s="5">
        <f t="shared" si="8"/>
        <v>0.77083333333333337</v>
      </c>
    </row>
    <row r="130" spans="1:33" x14ac:dyDescent="0.25">
      <c r="A130" s="1">
        <v>45567</v>
      </c>
      <c r="B130">
        <v>925</v>
      </c>
      <c r="C130" t="s">
        <v>42</v>
      </c>
      <c r="D130" t="s">
        <v>151</v>
      </c>
      <c r="E130">
        <v>605794</v>
      </c>
      <c r="F130" s="2">
        <v>0.625</v>
      </c>
      <c r="G130" t="s">
        <v>6</v>
      </c>
      <c r="H130" s="2">
        <v>0.64583333333333337</v>
      </c>
      <c r="I130">
        <v>626</v>
      </c>
      <c r="J130">
        <v>0</v>
      </c>
      <c r="K130">
        <v>0</v>
      </c>
      <c r="L130">
        <v>20</v>
      </c>
      <c r="M130">
        <v>0</v>
      </c>
      <c r="N130">
        <v>0</v>
      </c>
      <c r="O130">
        <v>0</v>
      </c>
      <c r="P130">
        <v>60</v>
      </c>
      <c r="Q130">
        <v>41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4</v>
      </c>
      <c r="AC130">
        <v>3</v>
      </c>
      <c r="AD130" s="3" t="str">
        <f t="shared" si="6"/>
        <v>S2S PREMIUM</v>
      </c>
      <c r="AE130" s="3" t="str">
        <f>VLOOKUP(E130,'[1]Nómina Agentes'!$C:$D,2,0)</f>
        <v>VAZQUEZ ROSSI SOFIA ANAHI</v>
      </c>
      <c r="AF130" s="5">
        <f t="shared" si="7"/>
        <v>0.625</v>
      </c>
      <c r="AG130" s="5">
        <f t="shared" si="8"/>
        <v>0.64583333333333337</v>
      </c>
    </row>
    <row r="131" spans="1:33" x14ac:dyDescent="0.25">
      <c r="A131" s="1">
        <v>45567</v>
      </c>
      <c r="B131">
        <v>925</v>
      </c>
      <c r="C131" t="s">
        <v>42</v>
      </c>
      <c r="D131" t="s">
        <v>151</v>
      </c>
      <c r="E131">
        <v>605794</v>
      </c>
      <c r="F131" s="2">
        <v>0.64583333333333337</v>
      </c>
      <c r="G131" t="s">
        <v>6</v>
      </c>
      <c r="H131" s="2">
        <v>0.66666666666666663</v>
      </c>
      <c r="I131">
        <v>627</v>
      </c>
      <c r="J131">
        <v>0</v>
      </c>
      <c r="K131">
        <v>0</v>
      </c>
      <c r="L131">
        <v>16</v>
      </c>
      <c r="M131">
        <v>0</v>
      </c>
      <c r="N131">
        <v>0</v>
      </c>
      <c r="O131">
        <v>0</v>
      </c>
      <c r="P131">
        <v>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5</v>
      </c>
      <c r="AC131">
        <v>4</v>
      </c>
      <c r="AD131" s="3" t="str">
        <f t="shared" si="6"/>
        <v>S2S PREMIUM</v>
      </c>
      <c r="AE131" s="3" t="str">
        <f>VLOOKUP(E131,'[1]Nómina Agentes'!$C:$D,2,0)</f>
        <v>VAZQUEZ ROSSI SOFIA ANAHI</v>
      </c>
      <c r="AF131" s="5">
        <f t="shared" si="7"/>
        <v>0.64583333333333337</v>
      </c>
      <c r="AG131" s="5">
        <f t="shared" si="8"/>
        <v>0.66666666666666663</v>
      </c>
    </row>
    <row r="132" spans="1:33" x14ac:dyDescent="0.25">
      <c r="A132" s="1">
        <v>45567</v>
      </c>
      <c r="B132">
        <v>925</v>
      </c>
      <c r="C132" t="s">
        <v>42</v>
      </c>
      <c r="D132" t="s">
        <v>151</v>
      </c>
      <c r="E132">
        <v>605794</v>
      </c>
      <c r="F132" s="2">
        <v>0.77083333333333337</v>
      </c>
      <c r="G132" t="s">
        <v>6</v>
      </c>
      <c r="H132" s="2">
        <v>0.79166666666666663</v>
      </c>
      <c r="I132">
        <v>697</v>
      </c>
      <c r="J132">
        <v>0</v>
      </c>
      <c r="K132">
        <v>0</v>
      </c>
      <c r="L132">
        <v>24</v>
      </c>
      <c r="M132">
        <v>0</v>
      </c>
      <c r="N132">
        <v>0</v>
      </c>
      <c r="O132">
        <v>0</v>
      </c>
      <c r="P132">
        <v>238</v>
      </c>
      <c r="Q132">
        <v>136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5</v>
      </c>
      <c r="AC132">
        <v>5</v>
      </c>
      <c r="AD132" s="3" t="str">
        <f t="shared" si="6"/>
        <v>S2S PREMIUM</v>
      </c>
      <c r="AE132" s="3" t="str">
        <f>VLOOKUP(E132,'[1]Nómina Agentes'!$C:$D,2,0)</f>
        <v>VAZQUEZ ROSSI SOFIA ANAHI</v>
      </c>
      <c r="AF132" s="5">
        <f t="shared" si="7"/>
        <v>0.77083333333333337</v>
      </c>
      <c r="AG132" s="5">
        <f t="shared" si="8"/>
        <v>0.79166666666666663</v>
      </c>
    </row>
    <row r="133" spans="1:33" x14ac:dyDescent="0.25">
      <c r="A133" s="1">
        <v>45567</v>
      </c>
      <c r="B133">
        <v>925</v>
      </c>
      <c r="C133" t="s">
        <v>42</v>
      </c>
      <c r="D133" t="s">
        <v>151</v>
      </c>
      <c r="E133">
        <v>605794</v>
      </c>
      <c r="F133" s="2">
        <v>0.79166666666666663</v>
      </c>
      <c r="G133" t="s">
        <v>6</v>
      </c>
      <c r="H133" s="2">
        <v>0.8125</v>
      </c>
      <c r="I133">
        <v>779</v>
      </c>
      <c r="J133">
        <v>0</v>
      </c>
      <c r="K133">
        <v>0</v>
      </c>
      <c r="L133">
        <v>24</v>
      </c>
      <c r="M133">
        <v>0</v>
      </c>
      <c r="N133">
        <v>0</v>
      </c>
      <c r="O133">
        <v>0</v>
      </c>
      <c r="P133">
        <v>397</v>
      </c>
      <c r="Q133">
        <v>167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7</v>
      </c>
      <c r="AC133">
        <v>7</v>
      </c>
      <c r="AD133" s="3" t="str">
        <f t="shared" si="6"/>
        <v>S2S PREMIUM</v>
      </c>
      <c r="AE133" s="3" t="str">
        <f>VLOOKUP(E133,'[1]Nómina Agentes'!$C:$D,2,0)</f>
        <v>VAZQUEZ ROSSI SOFIA ANAHI</v>
      </c>
      <c r="AF133" s="5">
        <f t="shared" si="7"/>
        <v>0.79166666666666663</v>
      </c>
      <c r="AG133" s="5">
        <f t="shared" si="8"/>
        <v>0.8125</v>
      </c>
    </row>
    <row r="134" spans="1:33" x14ac:dyDescent="0.25">
      <c r="A134" s="1">
        <v>45567</v>
      </c>
      <c r="B134">
        <v>925</v>
      </c>
      <c r="C134" t="s">
        <v>42</v>
      </c>
      <c r="D134" t="s">
        <v>151</v>
      </c>
      <c r="E134">
        <v>605794</v>
      </c>
      <c r="F134" s="2">
        <v>0.75</v>
      </c>
      <c r="G134" t="s">
        <v>6</v>
      </c>
      <c r="H134" s="2">
        <v>0.77083333333333337</v>
      </c>
      <c r="I134">
        <v>796</v>
      </c>
      <c r="J134">
        <v>0</v>
      </c>
      <c r="K134">
        <v>0</v>
      </c>
      <c r="L134">
        <v>14</v>
      </c>
      <c r="M134">
        <v>0</v>
      </c>
      <c r="N134">
        <v>0</v>
      </c>
      <c r="O134">
        <v>0</v>
      </c>
      <c r="P134">
        <v>101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3</v>
      </c>
      <c r="AC134">
        <v>3</v>
      </c>
      <c r="AD134" s="3" t="str">
        <f t="shared" si="6"/>
        <v>S2S PREMIUM</v>
      </c>
      <c r="AE134" s="3" t="str">
        <f>VLOOKUP(E134,'[1]Nómina Agentes'!$C:$D,2,0)</f>
        <v>VAZQUEZ ROSSI SOFIA ANAHI</v>
      </c>
      <c r="AF134" s="5">
        <f t="shared" si="7"/>
        <v>0.75</v>
      </c>
      <c r="AG134" s="5">
        <f t="shared" si="8"/>
        <v>0.77083333333333337</v>
      </c>
    </row>
    <row r="135" spans="1:33" x14ac:dyDescent="0.25">
      <c r="A135" s="1">
        <v>45567</v>
      </c>
      <c r="B135">
        <v>925</v>
      </c>
      <c r="C135" t="s">
        <v>42</v>
      </c>
      <c r="D135" t="s">
        <v>151</v>
      </c>
      <c r="E135">
        <v>605794</v>
      </c>
      <c r="F135" s="2">
        <v>0.8125</v>
      </c>
      <c r="G135" t="s">
        <v>6</v>
      </c>
      <c r="H135" s="2">
        <v>0.83333333333333337</v>
      </c>
      <c r="I135">
        <v>869</v>
      </c>
      <c r="J135">
        <v>0</v>
      </c>
      <c r="K135">
        <v>0</v>
      </c>
      <c r="L135">
        <v>24</v>
      </c>
      <c r="M135">
        <v>0</v>
      </c>
      <c r="N135">
        <v>0</v>
      </c>
      <c r="O135">
        <v>0</v>
      </c>
      <c r="P135">
        <v>227</v>
      </c>
      <c r="Q135">
        <v>34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6</v>
      </c>
      <c r="AC135">
        <v>6</v>
      </c>
      <c r="AD135" s="3" t="str">
        <f t="shared" si="6"/>
        <v>S2S PREMIUM</v>
      </c>
      <c r="AE135" s="3" t="str">
        <f>VLOOKUP(E135,'[1]Nómina Agentes'!$C:$D,2,0)</f>
        <v>VAZQUEZ ROSSI SOFIA ANAHI</v>
      </c>
      <c r="AF135" s="5">
        <f t="shared" si="7"/>
        <v>0.8125</v>
      </c>
      <c r="AG135" s="5">
        <f t="shared" si="8"/>
        <v>0.83333333333333337</v>
      </c>
    </row>
    <row r="136" spans="1:33" x14ac:dyDescent="0.25">
      <c r="A136" s="1">
        <v>45567</v>
      </c>
      <c r="B136">
        <v>925</v>
      </c>
      <c r="C136" t="s">
        <v>42</v>
      </c>
      <c r="D136" t="s">
        <v>108</v>
      </c>
      <c r="E136">
        <v>605826</v>
      </c>
      <c r="F136" s="2">
        <v>0.60416666666666663</v>
      </c>
      <c r="G136" t="s">
        <v>6</v>
      </c>
      <c r="H136" s="2">
        <v>0.625</v>
      </c>
      <c r="I136">
        <v>566</v>
      </c>
      <c r="J136">
        <v>72</v>
      </c>
      <c r="K136">
        <v>0</v>
      </c>
      <c r="L136">
        <v>12</v>
      </c>
      <c r="M136">
        <v>0</v>
      </c>
      <c r="N136">
        <v>0</v>
      </c>
      <c r="O136">
        <v>0</v>
      </c>
      <c r="P136">
        <v>90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3</v>
      </c>
      <c r="AC136">
        <v>2</v>
      </c>
      <c r="AD136" s="3" t="str">
        <f t="shared" si="6"/>
        <v>S2S PREMIUM</v>
      </c>
      <c r="AE136" s="3" t="str">
        <f>VLOOKUP(E136,'[1]Nómina Agentes'!$C:$D,2,0)</f>
        <v>GONZALEZ CANDELA</v>
      </c>
      <c r="AF136" s="5">
        <f t="shared" si="7"/>
        <v>0.60416666666666663</v>
      </c>
      <c r="AG136" s="5">
        <f t="shared" si="8"/>
        <v>0.625</v>
      </c>
    </row>
    <row r="137" spans="1:33" x14ac:dyDescent="0.25">
      <c r="A137" s="1">
        <v>45567</v>
      </c>
      <c r="B137">
        <v>925</v>
      </c>
      <c r="C137" t="s">
        <v>42</v>
      </c>
      <c r="D137" t="s">
        <v>108</v>
      </c>
      <c r="E137">
        <v>605826</v>
      </c>
      <c r="F137" s="2">
        <v>0.58333333333333337</v>
      </c>
      <c r="G137" t="s">
        <v>6</v>
      </c>
      <c r="H137" s="2">
        <v>0.60416666666666663</v>
      </c>
      <c r="I137">
        <v>582</v>
      </c>
      <c r="J137">
        <v>125</v>
      </c>
      <c r="K137">
        <v>0</v>
      </c>
      <c r="L137">
        <v>16</v>
      </c>
      <c r="M137">
        <v>0</v>
      </c>
      <c r="N137">
        <v>0</v>
      </c>
      <c r="O137">
        <v>0</v>
      </c>
      <c r="P137">
        <v>374</v>
      </c>
      <c r="Q137">
        <v>115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5</v>
      </c>
      <c r="AC137">
        <v>5</v>
      </c>
      <c r="AD137" s="3" t="str">
        <f t="shared" si="6"/>
        <v>S2S PREMIUM</v>
      </c>
      <c r="AE137" s="3" t="str">
        <f>VLOOKUP(E137,'[1]Nómina Agentes'!$C:$D,2,0)</f>
        <v>GONZALEZ CANDELA</v>
      </c>
      <c r="AF137" s="5">
        <f t="shared" si="7"/>
        <v>0.58333333333333337</v>
      </c>
      <c r="AG137" s="5">
        <f t="shared" si="8"/>
        <v>0.60416666666666663</v>
      </c>
    </row>
    <row r="138" spans="1:33" x14ac:dyDescent="0.25">
      <c r="A138" s="1">
        <v>45567</v>
      </c>
      <c r="B138">
        <v>924</v>
      </c>
      <c r="C138" t="s">
        <v>43</v>
      </c>
      <c r="D138" t="s">
        <v>152</v>
      </c>
      <c r="E138">
        <v>605882</v>
      </c>
      <c r="F138" s="2">
        <v>0.77083333333333337</v>
      </c>
      <c r="G138" t="s">
        <v>6</v>
      </c>
      <c r="H138" s="2">
        <v>0.79166666666666663</v>
      </c>
      <c r="I138">
        <v>423</v>
      </c>
      <c r="J138">
        <v>0</v>
      </c>
      <c r="K138">
        <v>0</v>
      </c>
      <c r="L138">
        <v>15</v>
      </c>
      <c r="M138">
        <v>0</v>
      </c>
      <c r="N138">
        <v>0</v>
      </c>
      <c r="O138">
        <v>0</v>
      </c>
      <c r="P138">
        <v>4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4</v>
      </c>
      <c r="AC138">
        <v>4</v>
      </c>
      <c r="AD138" s="3" t="str">
        <f t="shared" si="6"/>
        <v>S2S NO PREMIUM</v>
      </c>
      <c r="AE138" s="3" t="str">
        <f>VLOOKUP(E138,'[1]Nómina Agentes'!$C:$D,2,0)</f>
        <v>ESPINOZA CIELO</v>
      </c>
      <c r="AF138" s="5">
        <f t="shared" si="7"/>
        <v>0.77083333333333337</v>
      </c>
      <c r="AG138" s="5">
        <f t="shared" si="8"/>
        <v>0.79166666666666663</v>
      </c>
    </row>
    <row r="139" spans="1:33" x14ac:dyDescent="0.25">
      <c r="A139" s="1">
        <v>45567</v>
      </c>
      <c r="B139">
        <v>924</v>
      </c>
      <c r="C139" t="s">
        <v>43</v>
      </c>
      <c r="D139" t="s">
        <v>152</v>
      </c>
      <c r="E139">
        <v>605882</v>
      </c>
      <c r="F139" s="2">
        <v>0.8125</v>
      </c>
      <c r="G139" t="s">
        <v>6</v>
      </c>
      <c r="H139" s="2">
        <v>0.83333333333333337</v>
      </c>
      <c r="I139">
        <v>467</v>
      </c>
      <c r="J139">
        <v>50</v>
      </c>
      <c r="K139">
        <v>0</v>
      </c>
      <c r="L139">
        <v>16</v>
      </c>
      <c r="M139">
        <v>0</v>
      </c>
      <c r="N139">
        <v>0</v>
      </c>
      <c r="O139">
        <v>0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4</v>
      </c>
      <c r="AC139">
        <v>3</v>
      </c>
      <c r="AD139" s="3" t="str">
        <f t="shared" si="6"/>
        <v>S2S NO PREMIUM</v>
      </c>
      <c r="AE139" s="3" t="str">
        <f>VLOOKUP(E139,'[1]Nómina Agentes'!$C:$D,2,0)</f>
        <v>ESPINOZA CIELO</v>
      </c>
      <c r="AF139" s="5">
        <f t="shared" si="7"/>
        <v>0.8125</v>
      </c>
      <c r="AG139" s="5">
        <f t="shared" si="8"/>
        <v>0.83333333333333337</v>
      </c>
    </row>
    <row r="140" spans="1:33" x14ac:dyDescent="0.25">
      <c r="A140" s="1">
        <v>45567</v>
      </c>
      <c r="B140">
        <v>924</v>
      </c>
      <c r="C140" t="s">
        <v>43</v>
      </c>
      <c r="D140" t="s">
        <v>152</v>
      </c>
      <c r="E140">
        <v>605882</v>
      </c>
      <c r="F140" s="2">
        <v>0.75</v>
      </c>
      <c r="G140" t="s">
        <v>6</v>
      </c>
      <c r="H140" s="2">
        <v>0.77083333333333337</v>
      </c>
      <c r="I140">
        <v>685</v>
      </c>
      <c r="J140">
        <v>178</v>
      </c>
      <c r="K140">
        <v>0</v>
      </c>
      <c r="L140">
        <v>20</v>
      </c>
      <c r="M140">
        <v>0</v>
      </c>
      <c r="N140">
        <v>0</v>
      </c>
      <c r="O140">
        <v>0</v>
      </c>
      <c r="P140">
        <v>120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4</v>
      </c>
      <c r="AC140">
        <v>4</v>
      </c>
      <c r="AD140" s="3" t="str">
        <f t="shared" si="6"/>
        <v>S2S NO PREMIUM</v>
      </c>
      <c r="AE140" s="3" t="str">
        <f>VLOOKUP(E140,'[1]Nómina Agentes'!$C:$D,2,0)</f>
        <v>ESPINOZA CIELO</v>
      </c>
      <c r="AF140" s="5">
        <f t="shared" si="7"/>
        <v>0.75</v>
      </c>
      <c r="AG140" s="5">
        <f t="shared" si="8"/>
        <v>0.77083333333333337</v>
      </c>
    </row>
    <row r="141" spans="1:33" x14ac:dyDescent="0.25">
      <c r="A141" s="1">
        <v>45567</v>
      </c>
      <c r="B141">
        <v>924</v>
      </c>
      <c r="C141" t="s">
        <v>43</v>
      </c>
      <c r="D141" t="s">
        <v>152</v>
      </c>
      <c r="E141">
        <v>605882</v>
      </c>
      <c r="F141" s="2">
        <v>0.79166666666666663</v>
      </c>
      <c r="G141" t="s">
        <v>6</v>
      </c>
      <c r="H141" s="2">
        <v>0.8125</v>
      </c>
      <c r="I141">
        <v>1100</v>
      </c>
      <c r="J141">
        <v>5</v>
      </c>
      <c r="K141">
        <v>0</v>
      </c>
      <c r="L141">
        <v>15</v>
      </c>
      <c r="M141">
        <v>0</v>
      </c>
      <c r="N141">
        <v>0</v>
      </c>
      <c r="O141">
        <v>0</v>
      </c>
      <c r="P141">
        <v>3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3</v>
      </c>
      <c r="AC141">
        <v>3</v>
      </c>
      <c r="AD141" s="3" t="str">
        <f t="shared" si="6"/>
        <v>S2S NO PREMIUM</v>
      </c>
      <c r="AE141" s="3" t="str">
        <f>VLOOKUP(E141,'[1]Nómina Agentes'!$C:$D,2,0)</f>
        <v>ESPINOZA CIELO</v>
      </c>
      <c r="AF141" s="5">
        <f t="shared" si="7"/>
        <v>0.79166666666666663</v>
      </c>
      <c r="AG141" s="5">
        <f t="shared" si="8"/>
        <v>0.8125</v>
      </c>
    </row>
    <row r="142" spans="1:33" x14ac:dyDescent="0.25">
      <c r="A142" s="1">
        <v>45567</v>
      </c>
      <c r="B142">
        <v>924</v>
      </c>
      <c r="C142" t="s">
        <v>43</v>
      </c>
      <c r="D142" t="s">
        <v>82</v>
      </c>
      <c r="E142">
        <v>605901</v>
      </c>
      <c r="F142" s="2">
        <v>0.64583333333333337</v>
      </c>
      <c r="G142" t="s">
        <v>6</v>
      </c>
      <c r="H142" s="2">
        <v>0.66666666666666663</v>
      </c>
      <c r="I142">
        <v>220</v>
      </c>
      <c r="J142">
        <v>131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1</v>
      </c>
      <c r="AC142">
        <v>1</v>
      </c>
      <c r="AD142" s="3" t="str">
        <f t="shared" si="6"/>
        <v>S2S NO PREMIUM</v>
      </c>
      <c r="AE142" s="3" t="str">
        <f>VLOOKUP(E142,'[1]Nómina Agentes'!$C:$D,2,0)</f>
        <v>CASTILLO CUEVA LUCIANA</v>
      </c>
      <c r="AF142" s="5">
        <f t="shared" si="7"/>
        <v>0.64583333333333337</v>
      </c>
      <c r="AG142" s="5">
        <f t="shared" si="8"/>
        <v>0.66666666666666663</v>
      </c>
    </row>
    <row r="143" spans="1:33" x14ac:dyDescent="0.25">
      <c r="A143" s="1">
        <v>45567</v>
      </c>
      <c r="B143">
        <v>924</v>
      </c>
      <c r="C143" t="s">
        <v>43</v>
      </c>
      <c r="D143" t="s">
        <v>82</v>
      </c>
      <c r="E143">
        <v>605901</v>
      </c>
      <c r="F143" s="2">
        <v>0.70833333333333337</v>
      </c>
      <c r="G143" t="s">
        <v>6</v>
      </c>
      <c r="H143" s="2">
        <v>0.72916666666666663</v>
      </c>
      <c r="I143">
        <v>232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</v>
      </c>
      <c r="AC143">
        <v>1</v>
      </c>
      <c r="AD143" s="3" t="str">
        <f t="shared" si="6"/>
        <v>S2S NO PREMIUM</v>
      </c>
      <c r="AE143" s="3" t="str">
        <f>VLOOKUP(E143,'[1]Nómina Agentes'!$C:$D,2,0)</f>
        <v>CASTILLO CUEVA LUCIANA</v>
      </c>
      <c r="AF143" s="5">
        <f t="shared" si="7"/>
        <v>0.70833333333333337</v>
      </c>
      <c r="AG143" s="5">
        <f t="shared" si="8"/>
        <v>0.72916666666666663</v>
      </c>
    </row>
    <row r="144" spans="1:33" x14ac:dyDescent="0.25">
      <c r="A144" s="1">
        <v>45567</v>
      </c>
      <c r="B144">
        <v>924</v>
      </c>
      <c r="C144" t="s">
        <v>43</v>
      </c>
      <c r="D144" t="s">
        <v>82</v>
      </c>
      <c r="E144">
        <v>605901</v>
      </c>
      <c r="F144" s="2">
        <v>0.60416666666666663</v>
      </c>
      <c r="G144" t="s">
        <v>6</v>
      </c>
      <c r="H144" s="2">
        <v>0.625</v>
      </c>
      <c r="I144">
        <v>855</v>
      </c>
      <c r="J144">
        <v>0</v>
      </c>
      <c r="K144">
        <v>0</v>
      </c>
      <c r="L144">
        <v>19</v>
      </c>
      <c r="M144">
        <v>0</v>
      </c>
      <c r="N144">
        <v>0</v>
      </c>
      <c r="O144">
        <v>0</v>
      </c>
      <c r="P144">
        <v>1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3</v>
      </c>
      <c r="AC144">
        <v>1</v>
      </c>
      <c r="AD144" s="3" t="str">
        <f t="shared" si="6"/>
        <v>S2S NO PREMIUM</v>
      </c>
      <c r="AE144" s="3" t="str">
        <f>VLOOKUP(E144,'[1]Nómina Agentes'!$C:$D,2,0)</f>
        <v>CASTILLO CUEVA LUCIANA</v>
      </c>
      <c r="AF144" s="5">
        <f t="shared" si="7"/>
        <v>0.60416666666666663</v>
      </c>
      <c r="AG144" s="5">
        <f t="shared" si="8"/>
        <v>0.625</v>
      </c>
    </row>
    <row r="145" spans="1:33" x14ac:dyDescent="0.25">
      <c r="A145" s="1">
        <v>45567</v>
      </c>
      <c r="B145">
        <v>924</v>
      </c>
      <c r="C145" t="s">
        <v>43</v>
      </c>
      <c r="D145" t="s">
        <v>82</v>
      </c>
      <c r="E145">
        <v>605901</v>
      </c>
      <c r="F145" s="2">
        <v>0.58333333333333337</v>
      </c>
      <c r="G145" t="s">
        <v>6</v>
      </c>
      <c r="H145" s="2">
        <v>0.60416666666666663</v>
      </c>
      <c r="I145">
        <v>897</v>
      </c>
      <c r="J145">
        <v>107</v>
      </c>
      <c r="K145">
        <v>0</v>
      </c>
      <c r="L145">
        <v>31</v>
      </c>
      <c r="M145">
        <v>0</v>
      </c>
      <c r="N145">
        <v>0</v>
      </c>
      <c r="O145">
        <v>0</v>
      </c>
      <c r="P145">
        <v>3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3</v>
      </c>
      <c r="AC145">
        <v>3</v>
      </c>
      <c r="AD145" s="3" t="str">
        <f t="shared" si="6"/>
        <v>S2S NO PREMIUM</v>
      </c>
      <c r="AE145" s="3" t="str">
        <f>VLOOKUP(E145,'[1]Nómina Agentes'!$C:$D,2,0)</f>
        <v>CASTILLO CUEVA LUCIANA</v>
      </c>
      <c r="AF145" s="5">
        <f t="shared" si="7"/>
        <v>0.58333333333333337</v>
      </c>
      <c r="AG145" s="5">
        <f t="shared" si="8"/>
        <v>0.60416666666666663</v>
      </c>
    </row>
    <row r="146" spans="1:33" x14ac:dyDescent="0.25">
      <c r="A146" s="1">
        <v>45567</v>
      </c>
      <c r="B146">
        <v>924</v>
      </c>
      <c r="C146" t="s">
        <v>43</v>
      </c>
      <c r="D146" t="s">
        <v>82</v>
      </c>
      <c r="E146">
        <v>605901</v>
      </c>
      <c r="F146" s="2">
        <v>0.66666666666666663</v>
      </c>
      <c r="G146" t="s">
        <v>6</v>
      </c>
      <c r="H146" s="2">
        <v>0.6875</v>
      </c>
      <c r="I146">
        <v>1032</v>
      </c>
      <c r="J146">
        <v>128</v>
      </c>
      <c r="K146">
        <v>0</v>
      </c>
      <c r="L146">
        <v>35</v>
      </c>
      <c r="M146">
        <v>0</v>
      </c>
      <c r="N146">
        <v>0</v>
      </c>
      <c r="O146">
        <v>0</v>
      </c>
      <c r="P146">
        <v>4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4</v>
      </c>
      <c r="AC146">
        <v>4</v>
      </c>
      <c r="AD146" s="3" t="str">
        <f t="shared" si="6"/>
        <v>S2S NO PREMIUM</v>
      </c>
      <c r="AE146" s="3" t="str">
        <f>VLOOKUP(E146,'[1]Nómina Agentes'!$C:$D,2,0)</f>
        <v>CASTILLO CUEVA LUCIANA</v>
      </c>
      <c r="AF146" s="5">
        <f t="shared" si="7"/>
        <v>0.66666666666666663</v>
      </c>
      <c r="AG146" s="5">
        <f t="shared" si="8"/>
        <v>0.6875</v>
      </c>
    </row>
    <row r="147" spans="1:33" x14ac:dyDescent="0.25">
      <c r="A147" s="1">
        <v>45567</v>
      </c>
      <c r="B147">
        <v>924</v>
      </c>
      <c r="C147" t="s">
        <v>43</v>
      </c>
      <c r="D147" t="s">
        <v>82</v>
      </c>
      <c r="E147">
        <v>605901</v>
      </c>
      <c r="F147" s="2">
        <v>0.6875</v>
      </c>
      <c r="G147" t="s">
        <v>6</v>
      </c>
      <c r="H147" s="2">
        <v>0.70833333333333337</v>
      </c>
      <c r="I147">
        <v>1142</v>
      </c>
      <c r="J147">
        <v>0</v>
      </c>
      <c r="K147">
        <v>0</v>
      </c>
      <c r="L147">
        <v>30</v>
      </c>
      <c r="M147">
        <v>0</v>
      </c>
      <c r="N147">
        <v>0</v>
      </c>
      <c r="O147">
        <v>0</v>
      </c>
      <c r="P147">
        <v>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5</v>
      </c>
      <c r="AC147">
        <v>2</v>
      </c>
      <c r="AD147" s="3" t="str">
        <f t="shared" si="6"/>
        <v>S2S NO PREMIUM</v>
      </c>
      <c r="AE147" s="3" t="str">
        <f>VLOOKUP(E147,'[1]Nómina Agentes'!$C:$D,2,0)</f>
        <v>CASTILLO CUEVA LUCIANA</v>
      </c>
      <c r="AF147" s="5">
        <f t="shared" si="7"/>
        <v>0.6875</v>
      </c>
      <c r="AG147" s="5">
        <f t="shared" si="8"/>
        <v>0.70833333333333337</v>
      </c>
    </row>
    <row r="148" spans="1:33" x14ac:dyDescent="0.25">
      <c r="A148" s="1">
        <v>45567</v>
      </c>
      <c r="B148">
        <v>924</v>
      </c>
      <c r="C148" t="s">
        <v>43</v>
      </c>
      <c r="D148" t="s">
        <v>82</v>
      </c>
      <c r="E148">
        <v>605901</v>
      </c>
      <c r="F148" s="2">
        <v>0.625</v>
      </c>
      <c r="G148" t="s">
        <v>6</v>
      </c>
      <c r="H148" s="2">
        <v>0.64583333333333337</v>
      </c>
      <c r="I148">
        <v>1155</v>
      </c>
      <c r="J148">
        <v>0</v>
      </c>
      <c r="K148">
        <v>0</v>
      </c>
      <c r="L148">
        <v>15</v>
      </c>
      <c r="M148">
        <v>0</v>
      </c>
      <c r="N148">
        <v>0</v>
      </c>
      <c r="O148">
        <v>0</v>
      </c>
      <c r="P148">
        <v>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2</v>
      </c>
      <c r="AC148">
        <v>2</v>
      </c>
      <c r="AD148" s="3" t="str">
        <f t="shared" si="6"/>
        <v>S2S NO PREMIUM</v>
      </c>
      <c r="AE148" s="3" t="str">
        <f>VLOOKUP(E148,'[1]Nómina Agentes'!$C:$D,2,0)</f>
        <v>CASTILLO CUEVA LUCIANA</v>
      </c>
      <c r="AF148" s="5">
        <f t="shared" si="7"/>
        <v>0.625</v>
      </c>
      <c r="AG148" s="5">
        <f t="shared" si="8"/>
        <v>0.64583333333333337</v>
      </c>
    </row>
    <row r="149" spans="1:33" x14ac:dyDescent="0.25">
      <c r="A149" s="1">
        <v>45567</v>
      </c>
      <c r="B149">
        <v>925</v>
      </c>
      <c r="C149" t="s">
        <v>42</v>
      </c>
      <c r="D149" t="s">
        <v>153</v>
      </c>
      <c r="E149">
        <v>605911</v>
      </c>
      <c r="F149" s="2">
        <v>0.60416666666666663</v>
      </c>
      <c r="G149" t="s">
        <v>6</v>
      </c>
      <c r="H149" s="2">
        <v>0.625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 s="3" t="str">
        <f t="shared" si="6"/>
        <v>S2S PREMIUM</v>
      </c>
      <c r="AE149" s="3" t="str">
        <f>VLOOKUP(E149,'[1]Nómina Agentes'!$C:$D,2,0)</f>
        <v>INFANTE ENZO</v>
      </c>
      <c r="AF149" s="5">
        <f t="shared" si="7"/>
        <v>0.60416666666666663</v>
      </c>
      <c r="AG149" s="5">
        <f t="shared" si="8"/>
        <v>0.625</v>
      </c>
    </row>
    <row r="150" spans="1:33" x14ac:dyDescent="0.25">
      <c r="A150" s="1">
        <v>45567</v>
      </c>
      <c r="B150">
        <v>925</v>
      </c>
      <c r="C150" t="s">
        <v>42</v>
      </c>
      <c r="D150" t="s">
        <v>153</v>
      </c>
      <c r="E150">
        <v>605911</v>
      </c>
      <c r="F150" s="2">
        <v>0.79166666666666663</v>
      </c>
      <c r="G150" t="s">
        <v>6</v>
      </c>
      <c r="H150" s="2">
        <v>0.8125</v>
      </c>
      <c r="I150">
        <v>146</v>
      </c>
      <c r="J150">
        <v>23</v>
      </c>
      <c r="K150">
        <v>0</v>
      </c>
      <c r="L150">
        <v>4</v>
      </c>
      <c r="M150">
        <v>0</v>
      </c>
      <c r="N150">
        <v>0</v>
      </c>
      <c r="O150">
        <v>0</v>
      </c>
      <c r="P150">
        <v>1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1</v>
      </c>
      <c r="AC150">
        <v>1</v>
      </c>
      <c r="AD150" s="3" t="str">
        <f t="shared" si="6"/>
        <v>S2S PREMIUM</v>
      </c>
      <c r="AE150" s="3" t="str">
        <f>VLOOKUP(E150,'[1]Nómina Agentes'!$C:$D,2,0)</f>
        <v>INFANTE ENZO</v>
      </c>
      <c r="AF150" s="5">
        <f t="shared" si="7"/>
        <v>0.79166666666666663</v>
      </c>
      <c r="AG150" s="5">
        <f t="shared" si="8"/>
        <v>0.8125</v>
      </c>
    </row>
    <row r="151" spans="1:33" x14ac:dyDescent="0.25">
      <c r="A151" s="1">
        <v>45567</v>
      </c>
      <c r="B151">
        <v>925</v>
      </c>
      <c r="C151" t="s">
        <v>42</v>
      </c>
      <c r="D151" t="s">
        <v>153</v>
      </c>
      <c r="E151">
        <v>605911</v>
      </c>
      <c r="F151" s="2">
        <v>0.75</v>
      </c>
      <c r="G151" t="s">
        <v>6</v>
      </c>
      <c r="H151" s="2">
        <v>0.77083333333333337</v>
      </c>
      <c r="I151">
        <v>350</v>
      </c>
      <c r="J151">
        <v>0</v>
      </c>
      <c r="K151">
        <v>0</v>
      </c>
      <c r="L151">
        <v>12</v>
      </c>
      <c r="M151">
        <v>0</v>
      </c>
      <c r="N151">
        <v>0</v>
      </c>
      <c r="O151">
        <v>0</v>
      </c>
      <c r="P151">
        <v>3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2</v>
      </c>
      <c r="AC151">
        <v>1</v>
      </c>
      <c r="AD151" s="3" t="str">
        <f t="shared" si="6"/>
        <v>S2S PREMIUM</v>
      </c>
      <c r="AE151" s="3" t="str">
        <f>VLOOKUP(E151,'[1]Nómina Agentes'!$C:$D,2,0)</f>
        <v>INFANTE ENZO</v>
      </c>
      <c r="AF151" s="5">
        <f t="shared" si="7"/>
        <v>0.75</v>
      </c>
      <c r="AG151" s="5">
        <f t="shared" si="8"/>
        <v>0.77083333333333337</v>
      </c>
    </row>
    <row r="152" spans="1:33" x14ac:dyDescent="0.25">
      <c r="A152" s="1">
        <v>45567</v>
      </c>
      <c r="B152">
        <v>925</v>
      </c>
      <c r="C152" t="s">
        <v>42</v>
      </c>
      <c r="D152" t="s">
        <v>153</v>
      </c>
      <c r="E152">
        <v>605911</v>
      </c>
      <c r="F152" s="2">
        <v>0.64583333333333337</v>
      </c>
      <c r="G152" t="s">
        <v>6</v>
      </c>
      <c r="H152" s="2">
        <v>0.66666666666666663</v>
      </c>
      <c r="I152">
        <v>499</v>
      </c>
      <c r="J152">
        <v>0</v>
      </c>
      <c r="K152">
        <v>0</v>
      </c>
      <c r="L152">
        <v>8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2</v>
      </c>
      <c r="AC152">
        <v>1</v>
      </c>
      <c r="AD152" s="3" t="str">
        <f t="shared" si="6"/>
        <v>S2S PREMIUM</v>
      </c>
      <c r="AE152" s="3" t="str">
        <f>VLOOKUP(E152,'[1]Nómina Agentes'!$C:$D,2,0)</f>
        <v>INFANTE ENZO</v>
      </c>
      <c r="AF152" s="5">
        <f t="shared" si="7"/>
        <v>0.64583333333333337</v>
      </c>
      <c r="AG152" s="5">
        <f t="shared" si="8"/>
        <v>0.66666666666666663</v>
      </c>
    </row>
    <row r="153" spans="1:33" x14ac:dyDescent="0.25">
      <c r="A153" s="1">
        <v>45567</v>
      </c>
      <c r="B153">
        <v>925</v>
      </c>
      <c r="C153" t="s">
        <v>42</v>
      </c>
      <c r="D153" t="s">
        <v>153</v>
      </c>
      <c r="E153">
        <v>605911</v>
      </c>
      <c r="F153" s="2">
        <v>0.625</v>
      </c>
      <c r="G153" t="s">
        <v>6</v>
      </c>
      <c r="H153" s="2">
        <v>0.64583333333333337</v>
      </c>
      <c r="I153">
        <v>577</v>
      </c>
      <c r="J153">
        <v>0</v>
      </c>
      <c r="K153">
        <v>0</v>
      </c>
      <c r="L153">
        <v>9</v>
      </c>
      <c r="M153">
        <v>0</v>
      </c>
      <c r="N153">
        <v>0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2</v>
      </c>
      <c r="AC153">
        <v>1</v>
      </c>
      <c r="AD153" s="3" t="str">
        <f t="shared" si="6"/>
        <v>S2S PREMIUM</v>
      </c>
      <c r="AE153" s="3" t="str">
        <f>VLOOKUP(E153,'[1]Nómina Agentes'!$C:$D,2,0)</f>
        <v>INFANTE ENZO</v>
      </c>
      <c r="AF153" s="5">
        <f t="shared" si="7"/>
        <v>0.625</v>
      </c>
      <c r="AG153" s="5">
        <f t="shared" si="8"/>
        <v>0.64583333333333337</v>
      </c>
    </row>
    <row r="154" spans="1:33" x14ac:dyDescent="0.25">
      <c r="A154" s="1">
        <v>45567</v>
      </c>
      <c r="B154">
        <v>925</v>
      </c>
      <c r="C154" t="s">
        <v>42</v>
      </c>
      <c r="D154" t="s">
        <v>153</v>
      </c>
      <c r="E154">
        <v>605911</v>
      </c>
      <c r="F154" s="2">
        <v>0.77083333333333337</v>
      </c>
      <c r="G154" t="s">
        <v>6</v>
      </c>
      <c r="H154" s="2">
        <v>0.79166666666666663</v>
      </c>
      <c r="I154">
        <v>683</v>
      </c>
      <c r="J154">
        <v>0</v>
      </c>
      <c r="K154">
        <v>0</v>
      </c>
      <c r="L154">
        <v>16</v>
      </c>
      <c r="M154">
        <v>0</v>
      </c>
      <c r="N154">
        <v>0</v>
      </c>
      <c r="O154">
        <v>0</v>
      </c>
      <c r="P154">
        <v>4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5</v>
      </c>
      <c r="AC154">
        <v>5</v>
      </c>
      <c r="AD154" s="3" t="str">
        <f t="shared" si="6"/>
        <v>S2S PREMIUM</v>
      </c>
      <c r="AE154" s="3" t="str">
        <f>VLOOKUP(E154,'[1]Nómina Agentes'!$C:$D,2,0)</f>
        <v>INFANTE ENZO</v>
      </c>
      <c r="AF154" s="5">
        <f t="shared" si="7"/>
        <v>0.77083333333333337</v>
      </c>
      <c r="AG154" s="5">
        <f t="shared" si="8"/>
        <v>0.79166666666666663</v>
      </c>
    </row>
    <row r="155" spans="1:33" x14ac:dyDescent="0.25">
      <c r="A155" s="1">
        <v>45567</v>
      </c>
      <c r="B155">
        <v>925</v>
      </c>
      <c r="C155" t="s">
        <v>42</v>
      </c>
      <c r="D155" t="s">
        <v>153</v>
      </c>
      <c r="E155">
        <v>605911</v>
      </c>
      <c r="F155" s="2">
        <v>0.8125</v>
      </c>
      <c r="G155" t="s">
        <v>6</v>
      </c>
      <c r="H155" s="2">
        <v>0.83333333333333337</v>
      </c>
      <c r="I155">
        <v>687</v>
      </c>
      <c r="J155">
        <v>3</v>
      </c>
      <c r="K155">
        <v>0</v>
      </c>
      <c r="L155">
        <v>15</v>
      </c>
      <c r="M155">
        <v>0</v>
      </c>
      <c r="N155">
        <v>0</v>
      </c>
      <c r="O155">
        <v>0</v>
      </c>
      <c r="P155">
        <v>68</v>
      </c>
      <c r="Q155">
        <v>36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3</v>
      </c>
      <c r="AC155">
        <v>3</v>
      </c>
      <c r="AD155" s="3" t="str">
        <f t="shared" si="6"/>
        <v>S2S PREMIUM</v>
      </c>
      <c r="AE155" s="3" t="str">
        <f>VLOOKUP(E155,'[1]Nómina Agentes'!$C:$D,2,0)</f>
        <v>INFANTE ENZO</v>
      </c>
      <c r="AF155" s="5">
        <f t="shared" si="7"/>
        <v>0.8125</v>
      </c>
      <c r="AG155" s="5">
        <f t="shared" si="8"/>
        <v>0.83333333333333337</v>
      </c>
    </row>
    <row r="156" spans="1:33" x14ac:dyDescent="0.25">
      <c r="A156" s="1">
        <v>45567</v>
      </c>
      <c r="B156">
        <v>925</v>
      </c>
      <c r="C156" t="s">
        <v>42</v>
      </c>
      <c r="D156" t="s">
        <v>83</v>
      </c>
      <c r="E156">
        <v>605912</v>
      </c>
      <c r="F156" s="2">
        <v>0.60416666666666663</v>
      </c>
      <c r="G156" t="s">
        <v>6</v>
      </c>
      <c r="H156" s="2">
        <v>0.625</v>
      </c>
      <c r="I156">
        <v>489</v>
      </c>
      <c r="J156">
        <v>43</v>
      </c>
      <c r="K156">
        <v>0</v>
      </c>
      <c r="L156">
        <v>27</v>
      </c>
      <c r="M156">
        <v>0</v>
      </c>
      <c r="N156">
        <v>0</v>
      </c>
      <c r="O156">
        <v>0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4</v>
      </c>
      <c r="AC156">
        <v>3</v>
      </c>
      <c r="AD156" s="3" t="str">
        <f t="shared" si="6"/>
        <v>S2S PREMIUM</v>
      </c>
      <c r="AE156" s="3" t="str">
        <f>VLOOKUP(E156,'[1]Nómina Agentes'!$C:$D,2,0)</f>
        <v>SOSA LUCIA CELESTE</v>
      </c>
      <c r="AF156" s="5">
        <f t="shared" si="7"/>
        <v>0.60416666666666663</v>
      </c>
      <c r="AG156" s="5">
        <f t="shared" si="8"/>
        <v>0.625</v>
      </c>
    </row>
    <row r="157" spans="1:33" x14ac:dyDescent="0.25">
      <c r="A157" s="1">
        <v>45567</v>
      </c>
      <c r="B157">
        <v>925</v>
      </c>
      <c r="C157" t="s">
        <v>42</v>
      </c>
      <c r="D157" t="s">
        <v>83</v>
      </c>
      <c r="E157">
        <v>605912</v>
      </c>
      <c r="F157" s="2">
        <v>0.58333333333333337</v>
      </c>
      <c r="G157" t="s">
        <v>6</v>
      </c>
      <c r="H157" s="2">
        <v>0.60416666666666663</v>
      </c>
      <c r="I157">
        <v>598</v>
      </c>
      <c r="J157">
        <v>86</v>
      </c>
      <c r="K157">
        <v>0</v>
      </c>
      <c r="L157">
        <v>20</v>
      </c>
      <c r="M157">
        <v>0</v>
      </c>
      <c r="N157">
        <v>0</v>
      </c>
      <c r="O157">
        <v>0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4</v>
      </c>
      <c r="AC157">
        <v>3</v>
      </c>
      <c r="AD157" s="3" t="str">
        <f t="shared" si="6"/>
        <v>S2S PREMIUM</v>
      </c>
      <c r="AE157" s="3" t="str">
        <f>VLOOKUP(E157,'[1]Nómina Agentes'!$C:$D,2,0)</f>
        <v>SOSA LUCIA CELESTE</v>
      </c>
      <c r="AF157" s="5">
        <f t="shared" si="7"/>
        <v>0.58333333333333337</v>
      </c>
      <c r="AG157" s="5">
        <f t="shared" si="8"/>
        <v>0.60416666666666663</v>
      </c>
    </row>
    <row r="158" spans="1:33" x14ac:dyDescent="0.25">
      <c r="A158" s="1">
        <v>45567</v>
      </c>
      <c r="B158">
        <v>925</v>
      </c>
      <c r="C158" t="s">
        <v>42</v>
      </c>
      <c r="D158" t="s">
        <v>127</v>
      </c>
      <c r="E158">
        <v>605957</v>
      </c>
      <c r="F158" s="2">
        <v>0.625</v>
      </c>
      <c r="G158" t="s">
        <v>6</v>
      </c>
      <c r="H158" s="2">
        <v>0.64583333333333337</v>
      </c>
      <c r="I158">
        <v>27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258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1</v>
      </c>
      <c r="AC158">
        <v>1</v>
      </c>
      <c r="AD158" s="3" t="str">
        <f t="shared" si="6"/>
        <v>S2S PREMIUM</v>
      </c>
      <c r="AE158" s="3" t="str">
        <f>VLOOKUP(E158,'[1]Nómina Agentes'!$C:$D,2,0)</f>
        <v>VARGAS CAROLINA MELANY</v>
      </c>
      <c r="AF158" s="5">
        <f t="shared" si="7"/>
        <v>0.625</v>
      </c>
      <c r="AG158" s="5">
        <f t="shared" si="8"/>
        <v>0.64583333333333337</v>
      </c>
    </row>
    <row r="159" spans="1:33" x14ac:dyDescent="0.25">
      <c r="A159" s="1">
        <v>45567</v>
      </c>
      <c r="B159">
        <v>925</v>
      </c>
      <c r="C159" t="s">
        <v>42</v>
      </c>
      <c r="D159" t="s">
        <v>127</v>
      </c>
      <c r="E159">
        <v>605957</v>
      </c>
      <c r="F159" s="2">
        <v>0.60416666666666663</v>
      </c>
      <c r="G159" t="s">
        <v>6</v>
      </c>
      <c r="H159" s="2">
        <v>0.625</v>
      </c>
      <c r="I159">
        <v>674</v>
      </c>
      <c r="J159">
        <v>0</v>
      </c>
      <c r="K159">
        <v>0</v>
      </c>
      <c r="L159">
        <v>13</v>
      </c>
      <c r="M159">
        <v>0</v>
      </c>
      <c r="N159">
        <v>0</v>
      </c>
      <c r="O159">
        <v>0</v>
      </c>
      <c r="P159">
        <v>99</v>
      </c>
      <c r="Q159">
        <v>278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3</v>
      </c>
      <c r="AC159">
        <v>1</v>
      </c>
      <c r="AD159" s="3" t="str">
        <f t="shared" si="6"/>
        <v>S2S PREMIUM</v>
      </c>
      <c r="AE159" s="3" t="str">
        <f>VLOOKUP(E159,'[1]Nómina Agentes'!$C:$D,2,0)</f>
        <v>VARGAS CAROLINA MELANY</v>
      </c>
      <c r="AF159" s="5">
        <f t="shared" si="7"/>
        <v>0.60416666666666663</v>
      </c>
      <c r="AG159" s="5">
        <f t="shared" si="8"/>
        <v>0.625</v>
      </c>
    </row>
    <row r="160" spans="1:33" x14ac:dyDescent="0.25">
      <c r="A160" s="1">
        <v>45567</v>
      </c>
      <c r="B160">
        <v>925</v>
      </c>
      <c r="C160" t="s">
        <v>42</v>
      </c>
      <c r="D160" t="s">
        <v>127</v>
      </c>
      <c r="E160">
        <v>605957</v>
      </c>
      <c r="F160" s="2">
        <v>0.58333333333333337</v>
      </c>
      <c r="G160" t="s">
        <v>6</v>
      </c>
      <c r="H160" s="2">
        <v>0.60416666666666663</v>
      </c>
      <c r="I160">
        <v>685</v>
      </c>
      <c r="J160">
        <v>0</v>
      </c>
      <c r="K160">
        <v>0</v>
      </c>
      <c r="L160">
        <v>19</v>
      </c>
      <c r="M160">
        <v>0</v>
      </c>
      <c r="N160">
        <v>0</v>
      </c>
      <c r="O160">
        <v>0</v>
      </c>
      <c r="P160">
        <v>5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4</v>
      </c>
      <c r="AC160">
        <v>4</v>
      </c>
      <c r="AD160" s="3" t="str">
        <f t="shared" si="6"/>
        <v>S2S PREMIUM</v>
      </c>
      <c r="AE160" s="3" t="str">
        <f>VLOOKUP(E160,'[1]Nómina Agentes'!$C:$D,2,0)</f>
        <v>VARGAS CAROLINA MELANY</v>
      </c>
      <c r="AF160" s="5">
        <f t="shared" si="7"/>
        <v>0.58333333333333337</v>
      </c>
      <c r="AG160" s="5">
        <f t="shared" si="8"/>
        <v>0.60416666666666663</v>
      </c>
    </row>
    <row r="161" spans="1:33" x14ac:dyDescent="0.25">
      <c r="A161" s="1">
        <v>45567</v>
      </c>
      <c r="B161">
        <v>925</v>
      </c>
      <c r="C161" t="s">
        <v>42</v>
      </c>
      <c r="D161" t="s">
        <v>59</v>
      </c>
      <c r="E161">
        <v>605969</v>
      </c>
      <c r="F161" s="2">
        <v>0.60416666666666663</v>
      </c>
      <c r="G161" t="s">
        <v>6</v>
      </c>
      <c r="H161" s="2">
        <v>0.625</v>
      </c>
      <c r="I161">
        <v>541</v>
      </c>
      <c r="J161">
        <v>0</v>
      </c>
      <c r="K161">
        <v>0</v>
      </c>
      <c r="L161">
        <v>17</v>
      </c>
      <c r="M161">
        <v>0</v>
      </c>
      <c r="N161">
        <v>0</v>
      </c>
      <c r="O161">
        <v>0</v>
      </c>
      <c r="P161">
        <v>3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4</v>
      </c>
      <c r="AC161">
        <v>3</v>
      </c>
      <c r="AD161" s="3" t="str">
        <f t="shared" si="6"/>
        <v>S2S PREMIUM</v>
      </c>
      <c r="AE161" s="3" t="str">
        <f>VLOOKUP(E161,'[1]Nómina Agentes'!$C:$D,2,0)</f>
        <v>DEMARCO FIDEL</v>
      </c>
      <c r="AF161" s="5">
        <f t="shared" si="7"/>
        <v>0.60416666666666663</v>
      </c>
      <c r="AG161" s="5">
        <f t="shared" si="8"/>
        <v>0.625</v>
      </c>
    </row>
    <row r="162" spans="1:33" x14ac:dyDescent="0.25">
      <c r="A162" s="1">
        <v>45567</v>
      </c>
      <c r="B162">
        <v>925</v>
      </c>
      <c r="C162" t="s">
        <v>42</v>
      </c>
      <c r="D162" t="s">
        <v>59</v>
      </c>
      <c r="E162">
        <v>605969</v>
      </c>
      <c r="F162" s="2">
        <v>0.58333333333333337</v>
      </c>
      <c r="G162" t="s">
        <v>6</v>
      </c>
      <c r="H162" s="2">
        <v>0.60416666666666663</v>
      </c>
      <c r="I162">
        <v>630</v>
      </c>
      <c r="J162">
        <v>0</v>
      </c>
      <c r="K162">
        <v>0</v>
      </c>
      <c r="L162">
        <v>16</v>
      </c>
      <c r="M162">
        <v>0</v>
      </c>
      <c r="N162">
        <v>0</v>
      </c>
      <c r="O162">
        <v>0</v>
      </c>
      <c r="P162">
        <v>170</v>
      </c>
      <c r="Q162">
        <v>122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4</v>
      </c>
      <c r="AC162">
        <v>1</v>
      </c>
      <c r="AD162" s="3" t="str">
        <f t="shared" si="6"/>
        <v>S2S PREMIUM</v>
      </c>
      <c r="AE162" s="3" t="str">
        <f>VLOOKUP(E162,'[1]Nómina Agentes'!$C:$D,2,0)</f>
        <v>DEMARCO FIDEL</v>
      </c>
      <c r="AF162" s="5">
        <f t="shared" si="7"/>
        <v>0.58333333333333337</v>
      </c>
      <c r="AG162" s="5">
        <f t="shared" si="8"/>
        <v>0.60416666666666663</v>
      </c>
    </row>
    <row r="163" spans="1:33" x14ac:dyDescent="0.25">
      <c r="A163" s="1">
        <v>45567</v>
      </c>
      <c r="B163">
        <v>924</v>
      </c>
      <c r="C163" t="s">
        <v>43</v>
      </c>
      <c r="D163" t="s">
        <v>109</v>
      </c>
      <c r="E163">
        <v>605982</v>
      </c>
      <c r="F163" s="2">
        <v>0.60416666666666663</v>
      </c>
      <c r="G163" t="s">
        <v>6</v>
      </c>
      <c r="H163" s="2">
        <v>0.625</v>
      </c>
      <c r="I163">
        <v>596</v>
      </c>
      <c r="J163">
        <v>251</v>
      </c>
      <c r="K163">
        <v>0</v>
      </c>
      <c r="L163">
        <v>14</v>
      </c>
      <c r="M163">
        <v>0</v>
      </c>
      <c r="N163">
        <v>0</v>
      </c>
      <c r="O163">
        <v>0</v>
      </c>
      <c r="P163">
        <v>25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</v>
      </c>
      <c r="AC163">
        <v>2</v>
      </c>
      <c r="AD163" s="3" t="str">
        <f t="shared" si="6"/>
        <v>S2S NO PREMIUM</v>
      </c>
      <c r="AE163" s="3" t="str">
        <f>VLOOKUP(E163,'[1]Nómina Agentes'!$C:$D,2,0)</f>
        <v>WETZEL IGNACIO EZEQUIEL</v>
      </c>
      <c r="AF163" s="5">
        <f t="shared" si="7"/>
        <v>0.60416666666666663</v>
      </c>
      <c r="AG163" s="5">
        <f t="shared" si="8"/>
        <v>0.625</v>
      </c>
    </row>
    <row r="164" spans="1:33" x14ac:dyDescent="0.25">
      <c r="A164" s="1">
        <v>45567</v>
      </c>
      <c r="B164">
        <v>924</v>
      </c>
      <c r="C164" t="s">
        <v>43</v>
      </c>
      <c r="D164" t="s">
        <v>109</v>
      </c>
      <c r="E164">
        <v>605982</v>
      </c>
      <c r="F164" s="2">
        <v>0.625</v>
      </c>
      <c r="G164" t="s">
        <v>6</v>
      </c>
      <c r="H164" s="2">
        <v>0.64583333333333337</v>
      </c>
      <c r="I164">
        <v>1038</v>
      </c>
      <c r="J164">
        <v>0</v>
      </c>
      <c r="K164">
        <v>0</v>
      </c>
      <c r="L164">
        <v>9</v>
      </c>
      <c r="M164">
        <v>0</v>
      </c>
      <c r="N164">
        <v>0</v>
      </c>
      <c r="O164">
        <v>0</v>
      </c>
      <c r="P164">
        <v>137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3</v>
      </c>
      <c r="AC164">
        <v>0</v>
      </c>
      <c r="AD164" s="3" t="str">
        <f t="shared" si="6"/>
        <v>S2S NO PREMIUM</v>
      </c>
      <c r="AE164" s="3" t="str">
        <f>VLOOKUP(E164,'[1]Nómina Agentes'!$C:$D,2,0)</f>
        <v>WETZEL IGNACIO EZEQUIEL</v>
      </c>
      <c r="AF164" s="5">
        <f t="shared" si="7"/>
        <v>0.625</v>
      </c>
      <c r="AG164" s="5">
        <f t="shared" si="8"/>
        <v>0.64583333333333337</v>
      </c>
    </row>
    <row r="165" spans="1:33" x14ac:dyDescent="0.25">
      <c r="A165" s="1">
        <v>45567</v>
      </c>
      <c r="B165">
        <v>924</v>
      </c>
      <c r="C165" t="s">
        <v>43</v>
      </c>
      <c r="D165" t="s">
        <v>109</v>
      </c>
      <c r="E165">
        <v>605982</v>
      </c>
      <c r="F165" s="2">
        <v>0.58333333333333337</v>
      </c>
      <c r="G165" t="s">
        <v>6</v>
      </c>
      <c r="H165" s="2">
        <v>0.60416666666666663</v>
      </c>
      <c r="I165">
        <v>1093</v>
      </c>
      <c r="J165">
        <v>0</v>
      </c>
      <c r="K165">
        <v>0</v>
      </c>
      <c r="L165">
        <v>12</v>
      </c>
      <c r="M165">
        <v>0</v>
      </c>
      <c r="N165">
        <v>0</v>
      </c>
      <c r="O165">
        <v>0</v>
      </c>
      <c r="P165">
        <v>95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3</v>
      </c>
      <c r="AC165">
        <v>1</v>
      </c>
      <c r="AD165" s="3" t="str">
        <f t="shared" si="6"/>
        <v>S2S NO PREMIUM</v>
      </c>
      <c r="AE165" s="3" t="str">
        <f>VLOOKUP(E165,'[1]Nómina Agentes'!$C:$D,2,0)</f>
        <v>WETZEL IGNACIO EZEQUIEL</v>
      </c>
      <c r="AF165" s="5">
        <f t="shared" si="7"/>
        <v>0.58333333333333337</v>
      </c>
      <c r="AG165" s="5">
        <f t="shared" si="8"/>
        <v>0.60416666666666663</v>
      </c>
    </row>
    <row r="166" spans="1:33" x14ac:dyDescent="0.25">
      <c r="A166" s="1">
        <v>45567</v>
      </c>
      <c r="B166">
        <v>925</v>
      </c>
      <c r="C166" t="s">
        <v>42</v>
      </c>
      <c r="D166" t="s">
        <v>154</v>
      </c>
      <c r="E166">
        <v>605986</v>
      </c>
      <c r="F166" s="2">
        <v>0.75</v>
      </c>
      <c r="G166" t="s">
        <v>6</v>
      </c>
      <c r="H166" s="2">
        <v>0.77083333333333337</v>
      </c>
      <c r="I166">
        <v>132</v>
      </c>
      <c r="J166">
        <v>0</v>
      </c>
      <c r="K166">
        <v>0</v>
      </c>
      <c r="L166">
        <v>4</v>
      </c>
      <c r="M166">
        <v>0</v>
      </c>
      <c r="N166">
        <v>0</v>
      </c>
      <c r="O166">
        <v>0</v>
      </c>
      <c r="P166">
        <v>200</v>
      </c>
      <c r="Q166">
        <v>184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C166">
        <v>0</v>
      </c>
      <c r="AD166" s="3" t="str">
        <f t="shared" si="6"/>
        <v>S2S PREMIUM</v>
      </c>
      <c r="AE166" s="3" t="str">
        <f>VLOOKUP(E166,'[1]Nómina Agentes'!$C:$D,2,0)</f>
        <v>BENITEZ LOURDES ROCIO</v>
      </c>
      <c r="AF166" s="5">
        <f t="shared" si="7"/>
        <v>0.75</v>
      </c>
      <c r="AG166" s="5">
        <f t="shared" si="8"/>
        <v>0.77083333333333337</v>
      </c>
    </row>
    <row r="167" spans="1:33" x14ac:dyDescent="0.25">
      <c r="A167" s="1">
        <v>45567</v>
      </c>
      <c r="B167">
        <v>925</v>
      </c>
      <c r="C167" t="s">
        <v>42</v>
      </c>
      <c r="D167" t="s">
        <v>84</v>
      </c>
      <c r="E167">
        <v>606019</v>
      </c>
      <c r="F167" s="2">
        <v>0.58333333333333337</v>
      </c>
      <c r="G167" t="s">
        <v>6</v>
      </c>
      <c r="H167" s="2">
        <v>0.60416666666666663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 s="3" t="str">
        <f t="shared" si="6"/>
        <v>S2S PREMIUM</v>
      </c>
      <c r="AE167" s="3" t="str">
        <f>VLOOKUP(E167,'[1]Nómina Agentes'!$C:$D,2,0)</f>
        <v>VERGARA TAMARA</v>
      </c>
      <c r="AF167" s="5">
        <f t="shared" si="7"/>
        <v>0.58333333333333337</v>
      </c>
      <c r="AG167" s="5">
        <f t="shared" si="8"/>
        <v>0.60416666666666663</v>
      </c>
    </row>
    <row r="168" spans="1:33" x14ac:dyDescent="0.25">
      <c r="A168" s="1">
        <v>45567</v>
      </c>
      <c r="B168">
        <v>925</v>
      </c>
      <c r="C168" t="s">
        <v>42</v>
      </c>
      <c r="D168" t="s">
        <v>84</v>
      </c>
      <c r="E168">
        <v>606019</v>
      </c>
      <c r="F168" s="2">
        <v>0.60416666666666663</v>
      </c>
      <c r="G168" t="s">
        <v>6</v>
      </c>
      <c r="H168" s="2">
        <v>0.625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 s="3" t="str">
        <f t="shared" si="6"/>
        <v>S2S PREMIUM</v>
      </c>
      <c r="AE168" s="3" t="str">
        <f>VLOOKUP(E168,'[1]Nómina Agentes'!$C:$D,2,0)</f>
        <v>VERGARA TAMARA</v>
      </c>
      <c r="AF168" s="5">
        <f t="shared" si="7"/>
        <v>0.60416666666666663</v>
      </c>
      <c r="AG168" s="5">
        <f t="shared" si="8"/>
        <v>0.625</v>
      </c>
    </row>
    <row r="169" spans="1:33" x14ac:dyDescent="0.25">
      <c r="A169" s="1">
        <v>45567</v>
      </c>
      <c r="B169">
        <v>925</v>
      </c>
      <c r="C169" t="s">
        <v>42</v>
      </c>
      <c r="D169" t="s">
        <v>155</v>
      </c>
      <c r="E169">
        <v>606026</v>
      </c>
      <c r="F169" s="2">
        <v>0.64583333333333337</v>
      </c>
      <c r="G169" t="s">
        <v>6</v>
      </c>
      <c r="H169" s="2">
        <v>0.66666666666666663</v>
      </c>
      <c r="I169">
        <v>522</v>
      </c>
      <c r="J169">
        <v>0</v>
      </c>
      <c r="K169">
        <v>0</v>
      </c>
      <c r="L169">
        <v>16</v>
      </c>
      <c r="M169">
        <v>0</v>
      </c>
      <c r="N169">
        <v>0</v>
      </c>
      <c r="O169">
        <v>0</v>
      </c>
      <c r="P169">
        <v>174</v>
      </c>
      <c r="Q169">
        <v>46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5</v>
      </c>
      <c r="AC169">
        <v>4</v>
      </c>
      <c r="AD169" s="3" t="str">
        <f t="shared" si="6"/>
        <v>S2S PREMIUM</v>
      </c>
      <c r="AE169" s="3" t="str">
        <f>VLOOKUP(E169,'[1]Nómina Agentes'!$C:$D,2,0)</f>
        <v>OLIVARES MIRIAM DANIELA</v>
      </c>
      <c r="AF169" s="5">
        <f t="shared" si="7"/>
        <v>0.64583333333333337</v>
      </c>
      <c r="AG169" s="5">
        <f t="shared" si="8"/>
        <v>0.66666666666666663</v>
      </c>
    </row>
    <row r="170" spans="1:33" x14ac:dyDescent="0.25">
      <c r="A170" s="1">
        <v>45567</v>
      </c>
      <c r="B170">
        <v>925</v>
      </c>
      <c r="C170" t="s">
        <v>42</v>
      </c>
      <c r="D170" t="s">
        <v>155</v>
      </c>
      <c r="E170">
        <v>606026</v>
      </c>
      <c r="F170" s="2">
        <v>0.75</v>
      </c>
      <c r="G170" t="s">
        <v>6</v>
      </c>
      <c r="H170" s="2">
        <v>0.77083333333333337</v>
      </c>
      <c r="I170">
        <v>808</v>
      </c>
      <c r="J170">
        <v>0</v>
      </c>
      <c r="K170">
        <v>0</v>
      </c>
      <c r="L170">
        <v>11</v>
      </c>
      <c r="M170">
        <v>0</v>
      </c>
      <c r="N170">
        <v>0</v>
      </c>
      <c r="O170">
        <v>0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3</v>
      </c>
      <c r="AC170">
        <v>2</v>
      </c>
      <c r="AD170" s="3" t="str">
        <f t="shared" si="6"/>
        <v>S2S PREMIUM</v>
      </c>
      <c r="AE170" s="3" t="str">
        <f>VLOOKUP(E170,'[1]Nómina Agentes'!$C:$D,2,0)</f>
        <v>OLIVARES MIRIAM DANIELA</v>
      </c>
      <c r="AF170" s="5">
        <f t="shared" si="7"/>
        <v>0.75</v>
      </c>
      <c r="AG170" s="5">
        <f t="shared" si="8"/>
        <v>0.77083333333333337</v>
      </c>
    </row>
    <row r="171" spans="1:33" x14ac:dyDescent="0.25">
      <c r="A171" s="1">
        <v>45567</v>
      </c>
      <c r="B171">
        <v>925</v>
      </c>
      <c r="C171" t="s">
        <v>42</v>
      </c>
      <c r="D171" t="s">
        <v>155</v>
      </c>
      <c r="E171">
        <v>606026</v>
      </c>
      <c r="F171" s="2">
        <v>0.77083333333333337</v>
      </c>
      <c r="G171" t="s">
        <v>6</v>
      </c>
      <c r="H171" s="2">
        <v>0.79166666666666663</v>
      </c>
      <c r="I171">
        <v>944</v>
      </c>
      <c r="J171">
        <v>0</v>
      </c>
      <c r="K171">
        <v>0</v>
      </c>
      <c r="L171">
        <v>24</v>
      </c>
      <c r="M171">
        <v>0</v>
      </c>
      <c r="N171">
        <v>0</v>
      </c>
      <c r="O171">
        <v>0</v>
      </c>
      <c r="P171">
        <v>5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5</v>
      </c>
      <c r="AC171">
        <v>4</v>
      </c>
      <c r="AD171" s="3" t="str">
        <f t="shared" si="6"/>
        <v>S2S PREMIUM</v>
      </c>
      <c r="AE171" s="3" t="str">
        <f>VLOOKUP(E171,'[1]Nómina Agentes'!$C:$D,2,0)</f>
        <v>OLIVARES MIRIAM DANIELA</v>
      </c>
      <c r="AF171" s="5">
        <f t="shared" si="7"/>
        <v>0.77083333333333337</v>
      </c>
      <c r="AG171" s="5">
        <f t="shared" si="8"/>
        <v>0.79166666666666663</v>
      </c>
    </row>
    <row r="172" spans="1:33" x14ac:dyDescent="0.25">
      <c r="A172" s="1">
        <v>45567</v>
      </c>
      <c r="B172">
        <v>925</v>
      </c>
      <c r="C172" t="s">
        <v>42</v>
      </c>
      <c r="D172" t="s">
        <v>155</v>
      </c>
      <c r="E172">
        <v>606026</v>
      </c>
      <c r="F172" s="2">
        <v>0.625</v>
      </c>
      <c r="G172" t="s">
        <v>6</v>
      </c>
      <c r="H172" s="2">
        <v>0.64583333333333337</v>
      </c>
      <c r="I172">
        <v>1043</v>
      </c>
      <c r="J172">
        <v>0</v>
      </c>
      <c r="K172">
        <v>0</v>
      </c>
      <c r="L172">
        <v>23</v>
      </c>
      <c r="M172">
        <v>0</v>
      </c>
      <c r="N172">
        <v>0</v>
      </c>
      <c r="O172">
        <v>0</v>
      </c>
      <c r="P172">
        <v>2</v>
      </c>
      <c r="Q172">
        <v>84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2</v>
      </c>
      <c r="AC172">
        <v>2</v>
      </c>
      <c r="AD172" s="3" t="str">
        <f t="shared" si="6"/>
        <v>S2S PREMIUM</v>
      </c>
      <c r="AE172" s="3" t="str">
        <f>VLOOKUP(E172,'[1]Nómina Agentes'!$C:$D,2,0)</f>
        <v>OLIVARES MIRIAM DANIELA</v>
      </c>
      <c r="AF172" s="5">
        <f t="shared" si="7"/>
        <v>0.625</v>
      </c>
      <c r="AG172" s="5">
        <f t="shared" si="8"/>
        <v>0.64583333333333337</v>
      </c>
    </row>
    <row r="173" spans="1:33" x14ac:dyDescent="0.25">
      <c r="A173" s="1">
        <v>45567</v>
      </c>
      <c r="B173">
        <v>925</v>
      </c>
      <c r="C173" t="s">
        <v>42</v>
      </c>
      <c r="D173" t="s">
        <v>155</v>
      </c>
      <c r="E173">
        <v>606026</v>
      </c>
      <c r="F173" s="2">
        <v>0.79166666666666663</v>
      </c>
      <c r="G173" t="s">
        <v>6</v>
      </c>
      <c r="H173" s="2">
        <v>0.8125</v>
      </c>
      <c r="I173">
        <v>1086</v>
      </c>
      <c r="J173">
        <v>0</v>
      </c>
      <c r="K173">
        <v>0</v>
      </c>
      <c r="L173">
        <v>20</v>
      </c>
      <c r="M173">
        <v>0</v>
      </c>
      <c r="N173">
        <v>0</v>
      </c>
      <c r="O173">
        <v>0</v>
      </c>
      <c r="P173">
        <v>4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5</v>
      </c>
      <c r="AC173">
        <v>4</v>
      </c>
      <c r="AD173" s="3" t="str">
        <f t="shared" si="6"/>
        <v>S2S PREMIUM</v>
      </c>
      <c r="AE173" s="3" t="str">
        <f>VLOOKUP(E173,'[1]Nómina Agentes'!$C:$D,2,0)</f>
        <v>OLIVARES MIRIAM DANIELA</v>
      </c>
      <c r="AF173" s="5">
        <f t="shared" si="7"/>
        <v>0.79166666666666663</v>
      </c>
      <c r="AG173" s="5">
        <f t="shared" si="8"/>
        <v>0.8125</v>
      </c>
    </row>
    <row r="174" spans="1:33" x14ac:dyDescent="0.25">
      <c r="A174" s="1">
        <v>45567</v>
      </c>
      <c r="B174">
        <v>925</v>
      </c>
      <c r="C174" t="s">
        <v>42</v>
      </c>
      <c r="D174" t="s">
        <v>155</v>
      </c>
      <c r="E174">
        <v>606026</v>
      </c>
      <c r="F174" s="2">
        <v>0.8125</v>
      </c>
      <c r="G174" t="s">
        <v>6</v>
      </c>
      <c r="H174" s="2">
        <v>0.83333333333333337</v>
      </c>
      <c r="I174">
        <v>1090</v>
      </c>
      <c r="J174">
        <v>0</v>
      </c>
      <c r="K174">
        <v>0</v>
      </c>
      <c r="L174">
        <v>11</v>
      </c>
      <c r="M174">
        <v>0</v>
      </c>
      <c r="N174">
        <v>0</v>
      </c>
      <c r="O174">
        <v>0</v>
      </c>
      <c r="P174">
        <v>262</v>
      </c>
      <c r="Q174">
        <v>202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4</v>
      </c>
      <c r="AC174">
        <v>4</v>
      </c>
      <c r="AD174" s="3" t="str">
        <f t="shared" si="6"/>
        <v>S2S PREMIUM</v>
      </c>
      <c r="AE174" s="3" t="str">
        <f>VLOOKUP(E174,'[1]Nómina Agentes'!$C:$D,2,0)</f>
        <v>OLIVARES MIRIAM DANIELA</v>
      </c>
      <c r="AF174" s="5">
        <f t="shared" si="7"/>
        <v>0.8125</v>
      </c>
      <c r="AG174" s="5">
        <f t="shared" si="8"/>
        <v>0.83333333333333337</v>
      </c>
    </row>
    <row r="175" spans="1:33" x14ac:dyDescent="0.25">
      <c r="A175" s="1">
        <v>45567</v>
      </c>
      <c r="B175">
        <v>924</v>
      </c>
      <c r="C175" t="s">
        <v>43</v>
      </c>
      <c r="D175" t="s">
        <v>85</v>
      </c>
      <c r="E175">
        <v>606030</v>
      </c>
      <c r="F175" s="2">
        <v>0.58333333333333337</v>
      </c>
      <c r="G175" t="s">
        <v>6</v>
      </c>
      <c r="H175" s="2">
        <v>0.60416666666666663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 s="3" t="str">
        <f t="shared" si="6"/>
        <v>S2S NO PREMIUM</v>
      </c>
      <c r="AE175" s="3" t="str">
        <f>VLOOKUP(E175,'[1]Nómina Agentes'!$C:$D,2,0)</f>
        <v>FONFRIA VALENTINO</v>
      </c>
      <c r="AF175" s="5">
        <f t="shared" si="7"/>
        <v>0.58333333333333337</v>
      </c>
      <c r="AG175" s="5">
        <f t="shared" si="8"/>
        <v>0.60416666666666663</v>
      </c>
    </row>
    <row r="176" spans="1:33" x14ac:dyDescent="0.25">
      <c r="A176" s="1">
        <v>45567</v>
      </c>
      <c r="B176">
        <v>924</v>
      </c>
      <c r="C176" t="s">
        <v>43</v>
      </c>
      <c r="D176" t="s">
        <v>85</v>
      </c>
      <c r="E176">
        <v>606030</v>
      </c>
      <c r="F176" s="2">
        <v>0.625</v>
      </c>
      <c r="G176" t="s">
        <v>6</v>
      </c>
      <c r="H176" s="2">
        <v>0.64583333333333337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2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1</v>
      </c>
      <c r="AC176">
        <v>1</v>
      </c>
      <c r="AD176" s="3" t="str">
        <f t="shared" si="6"/>
        <v>S2S NO PREMIUM</v>
      </c>
      <c r="AE176" s="3" t="str">
        <f>VLOOKUP(E176,'[1]Nómina Agentes'!$C:$D,2,0)</f>
        <v>FONFRIA VALENTINO</v>
      </c>
      <c r="AF176" s="5">
        <f t="shared" si="7"/>
        <v>0.625</v>
      </c>
      <c r="AG176" s="5">
        <f t="shared" si="8"/>
        <v>0.64583333333333337</v>
      </c>
    </row>
    <row r="177" spans="1:33" x14ac:dyDescent="0.25">
      <c r="A177" s="1">
        <v>45567</v>
      </c>
      <c r="B177">
        <v>924</v>
      </c>
      <c r="C177" t="s">
        <v>43</v>
      </c>
      <c r="D177" t="s">
        <v>85</v>
      </c>
      <c r="E177">
        <v>606030</v>
      </c>
      <c r="F177" s="2">
        <v>0.60416666666666663</v>
      </c>
      <c r="G177" t="s">
        <v>6</v>
      </c>
      <c r="H177" s="2">
        <v>0.625</v>
      </c>
      <c r="I177">
        <v>939</v>
      </c>
      <c r="J177">
        <v>0</v>
      </c>
      <c r="K177">
        <v>0</v>
      </c>
      <c r="L177">
        <v>8</v>
      </c>
      <c r="M177">
        <v>0</v>
      </c>
      <c r="N177">
        <v>0</v>
      </c>
      <c r="O177">
        <v>0</v>
      </c>
      <c r="P177">
        <v>1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1</v>
      </c>
      <c r="AC177">
        <v>1</v>
      </c>
      <c r="AD177" s="3" t="str">
        <f t="shared" si="6"/>
        <v>S2S NO PREMIUM</v>
      </c>
      <c r="AE177" s="3" t="str">
        <f>VLOOKUP(E177,'[1]Nómina Agentes'!$C:$D,2,0)</f>
        <v>FONFRIA VALENTINO</v>
      </c>
      <c r="AF177" s="5">
        <f t="shared" si="7"/>
        <v>0.60416666666666663</v>
      </c>
      <c r="AG177" s="5">
        <f t="shared" si="8"/>
        <v>0.625</v>
      </c>
    </row>
    <row r="178" spans="1:33" x14ac:dyDescent="0.25">
      <c r="A178" s="1">
        <v>45567</v>
      </c>
      <c r="B178">
        <v>924</v>
      </c>
      <c r="C178" t="s">
        <v>43</v>
      </c>
      <c r="D178" t="s">
        <v>156</v>
      </c>
      <c r="E178">
        <v>606031</v>
      </c>
      <c r="F178" s="2">
        <v>0.8125</v>
      </c>
      <c r="G178" t="s">
        <v>6</v>
      </c>
      <c r="H178" s="2">
        <v>0.83333333333333337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 s="3" t="str">
        <f t="shared" si="6"/>
        <v>S2S NO PREMIUM</v>
      </c>
      <c r="AE178" s="3" t="str">
        <f>VLOOKUP(E178,'[1]Nómina Agentes'!$C:$D,2,0)</f>
        <v>CEJAS MAYRA</v>
      </c>
      <c r="AF178" s="5">
        <f t="shared" si="7"/>
        <v>0.8125</v>
      </c>
      <c r="AG178" s="5">
        <f t="shared" si="8"/>
        <v>0.83333333333333337</v>
      </c>
    </row>
    <row r="179" spans="1:33" x14ac:dyDescent="0.25">
      <c r="A179" s="1">
        <v>45567</v>
      </c>
      <c r="B179">
        <v>924</v>
      </c>
      <c r="C179" t="s">
        <v>43</v>
      </c>
      <c r="D179" t="s">
        <v>156</v>
      </c>
      <c r="E179">
        <v>606031</v>
      </c>
      <c r="F179" s="2">
        <v>0.79166666666666663</v>
      </c>
      <c r="G179" t="s">
        <v>6</v>
      </c>
      <c r="H179" s="2">
        <v>0.8125</v>
      </c>
      <c r="I179">
        <v>676</v>
      </c>
      <c r="J179">
        <v>0</v>
      </c>
      <c r="K179">
        <v>0</v>
      </c>
      <c r="L179">
        <v>16</v>
      </c>
      <c r="M179">
        <v>0</v>
      </c>
      <c r="N179">
        <v>0</v>
      </c>
      <c r="O179">
        <v>0</v>
      </c>
      <c r="P179">
        <v>3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4</v>
      </c>
      <c r="AC179">
        <v>3</v>
      </c>
      <c r="AD179" s="3" t="str">
        <f t="shared" si="6"/>
        <v>S2S NO PREMIUM</v>
      </c>
      <c r="AE179" s="3" t="str">
        <f>VLOOKUP(E179,'[1]Nómina Agentes'!$C:$D,2,0)</f>
        <v>CEJAS MAYRA</v>
      </c>
      <c r="AF179" s="5">
        <f t="shared" si="7"/>
        <v>0.79166666666666663</v>
      </c>
      <c r="AG179" s="5">
        <f t="shared" si="8"/>
        <v>0.8125</v>
      </c>
    </row>
    <row r="180" spans="1:33" x14ac:dyDescent="0.25">
      <c r="A180" s="1">
        <v>45567</v>
      </c>
      <c r="B180">
        <v>924</v>
      </c>
      <c r="C180" t="s">
        <v>43</v>
      </c>
      <c r="D180" t="s">
        <v>156</v>
      </c>
      <c r="E180">
        <v>606031</v>
      </c>
      <c r="F180" s="2">
        <v>0.625</v>
      </c>
      <c r="G180" t="s">
        <v>6</v>
      </c>
      <c r="H180" s="2">
        <v>0.64583333333333337</v>
      </c>
      <c r="I180">
        <v>728</v>
      </c>
      <c r="J180">
        <v>175</v>
      </c>
      <c r="K180">
        <v>0</v>
      </c>
      <c r="L180">
        <v>20</v>
      </c>
      <c r="M180">
        <v>0</v>
      </c>
      <c r="N180">
        <v>0</v>
      </c>
      <c r="O180">
        <v>0</v>
      </c>
      <c r="P180">
        <v>2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3</v>
      </c>
      <c r="AC180">
        <v>2</v>
      </c>
      <c r="AD180" s="3" t="str">
        <f t="shared" si="6"/>
        <v>S2S NO PREMIUM</v>
      </c>
      <c r="AE180" s="3" t="str">
        <f>VLOOKUP(E180,'[1]Nómina Agentes'!$C:$D,2,0)</f>
        <v>CEJAS MAYRA</v>
      </c>
      <c r="AF180" s="5">
        <f t="shared" si="7"/>
        <v>0.625</v>
      </c>
      <c r="AG180" s="5">
        <f t="shared" si="8"/>
        <v>0.64583333333333337</v>
      </c>
    </row>
    <row r="181" spans="1:33" x14ac:dyDescent="0.25">
      <c r="A181" s="1">
        <v>45567</v>
      </c>
      <c r="B181">
        <v>924</v>
      </c>
      <c r="C181" t="s">
        <v>43</v>
      </c>
      <c r="D181" t="s">
        <v>156</v>
      </c>
      <c r="E181">
        <v>606031</v>
      </c>
      <c r="F181" s="2">
        <v>0.77083333333333337</v>
      </c>
      <c r="G181" t="s">
        <v>6</v>
      </c>
      <c r="H181" s="2">
        <v>0.79166666666666663</v>
      </c>
      <c r="I181">
        <v>1202</v>
      </c>
      <c r="J181">
        <v>0</v>
      </c>
      <c r="K181">
        <v>0</v>
      </c>
      <c r="L181">
        <v>8</v>
      </c>
      <c r="M181">
        <v>0</v>
      </c>
      <c r="N181">
        <v>0</v>
      </c>
      <c r="O181">
        <v>0</v>
      </c>
      <c r="P181">
        <v>76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</v>
      </c>
      <c r="AC181">
        <v>2</v>
      </c>
      <c r="AD181" s="3" t="str">
        <f t="shared" si="6"/>
        <v>S2S NO PREMIUM</v>
      </c>
      <c r="AE181" s="3" t="str">
        <f>VLOOKUP(E181,'[1]Nómina Agentes'!$C:$D,2,0)</f>
        <v>CEJAS MAYRA</v>
      </c>
      <c r="AF181" s="5">
        <f t="shared" si="7"/>
        <v>0.77083333333333337</v>
      </c>
      <c r="AG181" s="5">
        <f t="shared" si="8"/>
        <v>0.79166666666666663</v>
      </c>
    </row>
    <row r="182" spans="1:33" x14ac:dyDescent="0.25">
      <c r="A182" s="1">
        <v>45567</v>
      </c>
      <c r="B182">
        <v>924</v>
      </c>
      <c r="C182" t="s">
        <v>43</v>
      </c>
      <c r="D182" t="s">
        <v>156</v>
      </c>
      <c r="E182">
        <v>606031</v>
      </c>
      <c r="F182" s="2">
        <v>0.75</v>
      </c>
      <c r="G182" t="s">
        <v>6</v>
      </c>
      <c r="H182" s="2">
        <v>0.77083333333333337</v>
      </c>
      <c r="I182">
        <v>1352</v>
      </c>
      <c r="J182">
        <v>55</v>
      </c>
      <c r="K182">
        <v>0</v>
      </c>
      <c r="L182">
        <v>23</v>
      </c>
      <c r="M182">
        <v>0</v>
      </c>
      <c r="N182">
        <v>0</v>
      </c>
      <c r="O182">
        <v>0</v>
      </c>
      <c r="P182">
        <v>4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4</v>
      </c>
      <c r="AC182">
        <v>4</v>
      </c>
      <c r="AD182" s="3" t="str">
        <f t="shared" si="6"/>
        <v>S2S NO PREMIUM</v>
      </c>
      <c r="AE182" s="3" t="str">
        <f>VLOOKUP(E182,'[1]Nómina Agentes'!$C:$D,2,0)</f>
        <v>CEJAS MAYRA</v>
      </c>
      <c r="AF182" s="5">
        <f t="shared" si="7"/>
        <v>0.75</v>
      </c>
      <c r="AG182" s="5">
        <f t="shared" si="8"/>
        <v>0.77083333333333337</v>
      </c>
    </row>
    <row r="183" spans="1:33" x14ac:dyDescent="0.25">
      <c r="A183" s="1">
        <v>45567</v>
      </c>
      <c r="B183">
        <v>925</v>
      </c>
      <c r="C183" t="s">
        <v>42</v>
      </c>
      <c r="D183" t="s">
        <v>157</v>
      </c>
      <c r="E183">
        <v>606039</v>
      </c>
      <c r="F183" s="2">
        <v>0.66666666666666663</v>
      </c>
      <c r="G183" t="s">
        <v>6</v>
      </c>
      <c r="H183" s="2">
        <v>0.6875</v>
      </c>
      <c r="I183">
        <v>92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1</v>
      </c>
      <c r="AC183">
        <v>1</v>
      </c>
      <c r="AD183" s="3" t="str">
        <f t="shared" si="6"/>
        <v>S2S PREMIUM</v>
      </c>
      <c r="AE183" s="3" t="str">
        <f>VLOOKUP(E183,'[1]Nómina Agentes'!$C:$D,2,0)</f>
        <v>GOMEZ ENCISO MONICA</v>
      </c>
      <c r="AF183" s="5">
        <f t="shared" si="7"/>
        <v>0.66666666666666663</v>
      </c>
      <c r="AG183" s="5">
        <f t="shared" si="8"/>
        <v>0.6875</v>
      </c>
    </row>
    <row r="184" spans="1:33" x14ac:dyDescent="0.25">
      <c r="A184" s="1">
        <v>45567</v>
      </c>
      <c r="B184">
        <v>925</v>
      </c>
      <c r="C184" t="s">
        <v>42</v>
      </c>
      <c r="D184" t="s">
        <v>157</v>
      </c>
      <c r="E184">
        <v>606039</v>
      </c>
      <c r="F184" s="2">
        <v>0.625</v>
      </c>
      <c r="G184" t="s">
        <v>6</v>
      </c>
      <c r="H184" s="2">
        <v>0.64583333333333337</v>
      </c>
      <c r="I184">
        <v>700</v>
      </c>
      <c r="J184">
        <v>0</v>
      </c>
      <c r="K184">
        <v>0</v>
      </c>
      <c r="L184">
        <v>14</v>
      </c>
      <c r="M184">
        <v>0</v>
      </c>
      <c r="N184">
        <v>0</v>
      </c>
      <c r="O184">
        <v>0</v>
      </c>
      <c r="P184">
        <v>2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3</v>
      </c>
      <c r="AC184">
        <v>2</v>
      </c>
      <c r="AD184" s="3" t="str">
        <f t="shared" si="6"/>
        <v>S2S PREMIUM</v>
      </c>
      <c r="AE184" s="3" t="str">
        <f>VLOOKUP(E184,'[1]Nómina Agentes'!$C:$D,2,0)</f>
        <v>GOMEZ ENCISO MONICA</v>
      </c>
      <c r="AF184" s="5">
        <f t="shared" si="7"/>
        <v>0.625</v>
      </c>
      <c r="AG184" s="5">
        <f t="shared" si="8"/>
        <v>0.64583333333333337</v>
      </c>
    </row>
    <row r="185" spans="1:33" x14ac:dyDescent="0.25">
      <c r="A185" s="1">
        <v>45567</v>
      </c>
      <c r="B185">
        <v>925</v>
      </c>
      <c r="C185" t="s">
        <v>42</v>
      </c>
      <c r="D185" t="s">
        <v>157</v>
      </c>
      <c r="E185">
        <v>606039</v>
      </c>
      <c r="F185" s="2">
        <v>0.64583333333333337</v>
      </c>
      <c r="G185" t="s">
        <v>6</v>
      </c>
      <c r="H185" s="2">
        <v>0.66666666666666663</v>
      </c>
      <c r="I185">
        <v>728</v>
      </c>
      <c r="J185">
        <v>0</v>
      </c>
      <c r="K185">
        <v>0</v>
      </c>
      <c r="L185">
        <v>16</v>
      </c>
      <c r="M185">
        <v>0</v>
      </c>
      <c r="N185">
        <v>0</v>
      </c>
      <c r="O185">
        <v>0</v>
      </c>
      <c r="P185">
        <v>2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3</v>
      </c>
      <c r="AC185">
        <v>2</v>
      </c>
      <c r="AD185" s="3" t="str">
        <f t="shared" si="6"/>
        <v>S2S PREMIUM</v>
      </c>
      <c r="AE185" s="3" t="str">
        <f>VLOOKUP(E185,'[1]Nómina Agentes'!$C:$D,2,0)</f>
        <v>GOMEZ ENCISO MONICA</v>
      </c>
      <c r="AF185" s="5">
        <f t="shared" si="7"/>
        <v>0.64583333333333337</v>
      </c>
      <c r="AG185" s="5">
        <f t="shared" si="8"/>
        <v>0.66666666666666663</v>
      </c>
    </row>
    <row r="186" spans="1:33" x14ac:dyDescent="0.25">
      <c r="A186" s="1">
        <v>45567</v>
      </c>
      <c r="B186">
        <v>925</v>
      </c>
      <c r="C186" t="s">
        <v>42</v>
      </c>
      <c r="D186" t="s">
        <v>157</v>
      </c>
      <c r="E186">
        <v>606039</v>
      </c>
      <c r="F186" s="2">
        <v>0.75</v>
      </c>
      <c r="G186" t="s">
        <v>6</v>
      </c>
      <c r="H186" s="2">
        <v>0.77083333333333337</v>
      </c>
      <c r="I186">
        <v>916</v>
      </c>
      <c r="J186">
        <v>0</v>
      </c>
      <c r="K186">
        <v>0</v>
      </c>
      <c r="L186">
        <v>13</v>
      </c>
      <c r="M186">
        <v>0</v>
      </c>
      <c r="N186">
        <v>0</v>
      </c>
      <c r="O186">
        <v>0</v>
      </c>
      <c r="P186">
        <v>3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</v>
      </c>
      <c r="AC186">
        <v>3</v>
      </c>
      <c r="AD186" s="3" t="str">
        <f t="shared" si="6"/>
        <v>S2S PREMIUM</v>
      </c>
      <c r="AE186" s="3" t="str">
        <f>VLOOKUP(E186,'[1]Nómina Agentes'!$C:$D,2,0)</f>
        <v>GOMEZ ENCISO MONICA</v>
      </c>
      <c r="AF186" s="5">
        <f t="shared" si="7"/>
        <v>0.75</v>
      </c>
      <c r="AG186" s="5">
        <f t="shared" si="8"/>
        <v>0.77083333333333337</v>
      </c>
    </row>
    <row r="187" spans="1:33" x14ac:dyDescent="0.25">
      <c r="A187" s="1">
        <v>45567</v>
      </c>
      <c r="B187">
        <v>925</v>
      </c>
      <c r="C187" t="s">
        <v>42</v>
      </c>
      <c r="D187" t="s">
        <v>157</v>
      </c>
      <c r="E187">
        <v>606039</v>
      </c>
      <c r="F187" s="2">
        <v>0.8125</v>
      </c>
      <c r="G187" t="s">
        <v>6</v>
      </c>
      <c r="H187" s="2">
        <v>0.83333333333333337</v>
      </c>
      <c r="I187">
        <v>1103</v>
      </c>
      <c r="J187">
        <v>0</v>
      </c>
      <c r="K187">
        <v>0</v>
      </c>
      <c r="L187">
        <v>12</v>
      </c>
      <c r="M187">
        <v>0</v>
      </c>
      <c r="N187">
        <v>0</v>
      </c>
      <c r="O187">
        <v>0</v>
      </c>
      <c r="P187">
        <v>287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4</v>
      </c>
      <c r="AC187">
        <v>4</v>
      </c>
      <c r="AD187" s="3" t="str">
        <f t="shared" si="6"/>
        <v>S2S PREMIUM</v>
      </c>
      <c r="AE187" s="3" t="str">
        <f>VLOOKUP(E187,'[1]Nómina Agentes'!$C:$D,2,0)</f>
        <v>GOMEZ ENCISO MONICA</v>
      </c>
      <c r="AF187" s="5">
        <f t="shared" si="7"/>
        <v>0.8125</v>
      </c>
      <c r="AG187" s="5">
        <f t="shared" si="8"/>
        <v>0.83333333333333337</v>
      </c>
    </row>
    <row r="188" spans="1:33" x14ac:dyDescent="0.25">
      <c r="A188" s="1">
        <v>45567</v>
      </c>
      <c r="B188">
        <v>925</v>
      </c>
      <c r="C188" t="s">
        <v>42</v>
      </c>
      <c r="D188" t="s">
        <v>157</v>
      </c>
      <c r="E188">
        <v>606039</v>
      </c>
      <c r="F188" s="2">
        <v>0.77083333333333337</v>
      </c>
      <c r="G188" t="s">
        <v>6</v>
      </c>
      <c r="H188" s="2">
        <v>0.79166666666666663</v>
      </c>
      <c r="I188">
        <v>1174</v>
      </c>
      <c r="J188">
        <v>0</v>
      </c>
      <c r="K188">
        <v>0</v>
      </c>
      <c r="L188">
        <v>18</v>
      </c>
      <c r="M188">
        <v>0</v>
      </c>
      <c r="N188">
        <v>0</v>
      </c>
      <c r="O188">
        <v>0</v>
      </c>
      <c r="P188">
        <v>3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4</v>
      </c>
      <c r="AC188">
        <v>3</v>
      </c>
      <c r="AD188" s="3" t="str">
        <f t="shared" si="6"/>
        <v>S2S PREMIUM</v>
      </c>
      <c r="AE188" s="3" t="str">
        <f>VLOOKUP(E188,'[1]Nómina Agentes'!$C:$D,2,0)</f>
        <v>GOMEZ ENCISO MONICA</v>
      </c>
      <c r="AF188" s="5">
        <f t="shared" si="7"/>
        <v>0.77083333333333337</v>
      </c>
      <c r="AG188" s="5">
        <f t="shared" si="8"/>
        <v>0.79166666666666663</v>
      </c>
    </row>
    <row r="189" spans="1:33" x14ac:dyDescent="0.25">
      <c r="A189" s="1">
        <v>45567</v>
      </c>
      <c r="B189">
        <v>925</v>
      </c>
      <c r="C189" t="s">
        <v>42</v>
      </c>
      <c r="D189" t="s">
        <v>157</v>
      </c>
      <c r="E189">
        <v>606039</v>
      </c>
      <c r="F189" s="2">
        <v>0.79166666666666663</v>
      </c>
      <c r="G189" t="s">
        <v>6</v>
      </c>
      <c r="H189" s="2">
        <v>0.8125</v>
      </c>
      <c r="I189">
        <v>1400</v>
      </c>
      <c r="J189">
        <v>0</v>
      </c>
      <c r="K189">
        <v>0</v>
      </c>
      <c r="L189">
        <v>20</v>
      </c>
      <c r="M189">
        <v>0</v>
      </c>
      <c r="N189">
        <v>0</v>
      </c>
      <c r="O189">
        <v>0</v>
      </c>
      <c r="P189">
        <v>4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5</v>
      </c>
      <c r="AC189">
        <v>5</v>
      </c>
      <c r="AD189" s="3" t="str">
        <f t="shared" si="6"/>
        <v>S2S PREMIUM</v>
      </c>
      <c r="AE189" s="3" t="str">
        <f>VLOOKUP(E189,'[1]Nómina Agentes'!$C:$D,2,0)</f>
        <v>GOMEZ ENCISO MONICA</v>
      </c>
      <c r="AF189" s="5">
        <f t="shared" si="7"/>
        <v>0.79166666666666663</v>
      </c>
      <c r="AG189" s="5">
        <f t="shared" si="8"/>
        <v>0.8125</v>
      </c>
    </row>
    <row r="190" spans="1:33" x14ac:dyDescent="0.25">
      <c r="A190" s="1">
        <v>45567</v>
      </c>
      <c r="B190">
        <v>925</v>
      </c>
      <c r="C190" t="s">
        <v>42</v>
      </c>
      <c r="D190" t="s">
        <v>72</v>
      </c>
      <c r="E190">
        <v>606049</v>
      </c>
      <c r="F190" s="2">
        <v>0.60416666666666663</v>
      </c>
      <c r="G190" t="s">
        <v>6</v>
      </c>
      <c r="H190" s="2">
        <v>0.625</v>
      </c>
      <c r="I190">
        <v>551</v>
      </c>
      <c r="J190">
        <v>0</v>
      </c>
      <c r="K190">
        <v>0</v>
      </c>
      <c r="L190">
        <v>18</v>
      </c>
      <c r="M190">
        <v>0</v>
      </c>
      <c r="N190">
        <v>0</v>
      </c>
      <c r="O190">
        <v>0</v>
      </c>
      <c r="P190">
        <v>3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3</v>
      </c>
      <c r="AC190">
        <v>3</v>
      </c>
      <c r="AD190" s="3" t="str">
        <f t="shared" si="6"/>
        <v>S2S PREMIUM</v>
      </c>
      <c r="AE190" s="3" t="str">
        <f>VLOOKUP(E190,'[1]Nómina Agentes'!$C:$D,2,0)</f>
        <v>NAVARRO BRUNO OCTAVIO</v>
      </c>
      <c r="AF190" s="5">
        <f t="shared" si="7"/>
        <v>0.60416666666666663</v>
      </c>
      <c r="AG190" s="5">
        <f t="shared" si="8"/>
        <v>0.625</v>
      </c>
    </row>
    <row r="191" spans="1:33" x14ac:dyDescent="0.25">
      <c r="A191" s="1">
        <v>45567</v>
      </c>
      <c r="B191">
        <v>925</v>
      </c>
      <c r="C191" t="s">
        <v>42</v>
      </c>
      <c r="D191" t="s">
        <v>72</v>
      </c>
      <c r="E191">
        <v>606049</v>
      </c>
      <c r="F191" s="2">
        <v>0.58333333333333337</v>
      </c>
      <c r="G191" t="s">
        <v>6</v>
      </c>
      <c r="H191" s="2">
        <v>0.60416666666666663</v>
      </c>
      <c r="I191">
        <v>758</v>
      </c>
      <c r="J191">
        <v>0</v>
      </c>
      <c r="K191">
        <v>0</v>
      </c>
      <c r="L191">
        <v>12</v>
      </c>
      <c r="M191">
        <v>0</v>
      </c>
      <c r="N191">
        <v>0</v>
      </c>
      <c r="O191">
        <v>0</v>
      </c>
      <c r="P191">
        <v>493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3</v>
      </c>
      <c r="AC191">
        <v>3</v>
      </c>
      <c r="AD191" s="3" t="str">
        <f t="shared" ref="AD191:AD254" si="9">UPPER(C191)</f>
        <v>S2S PREMIUM</v>
      </c>
      <c r="AE191" s="3" t="str">
        <f>VLOOKUP(E191,'[1]Nómina Agentes'!$C:$D,2,0)</f>
        <v>NAVARRO BRUNO OCTAVIO</v>
      </c>
      <c r="AF191" s="5">
        <f t="shared" ref="AF191:AF254" si="10">F191</f>
        <v>0.58333333333333337</v>
      </c>
      <c r="AG191" s="5">
        <f t="shared" ref="AG191:AG254" si="11">H191</f>
        <v>0.60416666666666663</v>
      </c>
    </row>
    <row r="192" spans="1:33" x14ac:dyDescent="0.25">
      <c r="A192" s="1">
        <v>45567</v>
      </c>
      <c r="B192">
        <v>925</v>
      </c>
      <c r="C192" t="s">
        <v>42</v>
      </c>
      <c r="D192" t="s">
        <v>158</v>
      </c>
      <c r="E192">
        <v>606058</v>
      </c>
      <c r="F192" s="2">
        <v>0.64583333333333337</v>
      </c>
      <c r="G192" t="s">
        <v>6</v>
      </c>
      <c r="H192" s="2">
        <v>0.66666666666666663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 s="3" t="str">
        <f t="shared" si="9"/>
        <v>S2S PREMIUM</v>
      </c>
      <c r="AE192" s="3" t="str">
        <f>VLOOKUP(E192,'[1]Nómina Agentes'!$C:$D,2,0)</f>
        <v>PEREZ LOURDES</v>
      </c>
      <c r="AF192" s="5">
        <f t="shared" si="10"/>
        <v>0.64583333333333337</v>
      </c>
      <c r="AG192" s="5">
        <f t="shared" si="11"/>
        <v>0.66666666666666663</v>
      </c>
    </row>
    <row r="193" spans="1:33" x14ac:dyDescent="0.25">
      <c r="A193" s="1">
        <v>45567</v>
      </c>
      <c r="B193">
        <v>925</v>
      </c>
      <c r="C193" t="s">
        <v>42</v>
      </c>
      <c r="D193" t="s">
        <v>158</v>
      </c>
      <c r="E193">
        <v>606058</v>
      </c>
      <c r="F193" s="2">
        <v>0.77083333333333337</v>
      </c>
      <c r="G193" t="s">
        <v>6</v>
      </c>
      <c r="H193" s="2">
        <v>0.79166666666666663</v>
      </c>
      <c r="I193">
        <v>600</v>
      </c>
      <c r="J193">
        <v>0</v>
      </c>
      <c r="K193">
        <v>0</v>
      </c>
      <c r="L193">
        <v>12</v>
      </c>
      <c r="M193">
        <v>0</v>
      </c>
      <c r="N193">
        <v>0</v>
      </c>
      <c r="O193">
        <v>0</v>
      </c>
      <c r="P193">
        <v>77</v>
      </c>
      <c r="Q193">
        <v>54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</v>
      </c>
      <c r="AC193">
        <v>3</v>
      </c>
      <c r="AD193" s="3" t="str">
        <f t="shared" si="9"/>
        <v>S2S PREMIUM</v>
      </c>
      <c r="AE193" s="3" t="str">
        <f>VLOOKUP(E193,'[1]Nómina Agentes'!$C:$D,2,0)</f>
        <v>PEREZ LOURDES</v>
      </c>
      <c r="AF193" s="5">
        <f t="shared" si="10"/>
        <v>0.77083333333333337</v>
      </c>
      <c r="AG193" s="5">
        <f t="shared" si="11"/>
        <v>0.79166666666666663</v>
      </c>
    </row>
    <row r="194" spans="1:33" x14ac:dyDescent="0.25">
      <c r="A194" s="1">
        <v>45567</v>
      </c>
      <c r="B194">
        <v>925</v>
      </c>
      <c r="C194" t="s">
        <v>42</v>
      </c>
      <c r="D194" t="s">
        <v>158</v>
      </c>
      <c r="E194">
        <v>606058</v>
      </c>
      <c r="F194" s="2">
        <v>0.75</v>
      </c>
      <c r="G194" t="s">
        <v>6</v>
      </c>
      <c r="H194" s="2">
        <v>0.77083333333333337</v>
      </c>
      <c r="I194">
        <v>660</v>
      </c>
      <c r="J194">
        <v>70</v>
      </c>
      <c r="K194">
        <v>0</v>
      </c>
      <c r="L194">
        <v>25</v>
      </c>
      <c r="M194">
        <v>0</v>
      </c>
      <c r="N194">
        <v>0</v>
      </c>
      <c r="O194">
        <v>0</v>
      </c>
      <c r="P194">
        <v>117</v>
      </c>
      <c r="Q194">
        <v>78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6</v>
      </c>
      <c r="AC194">
        <v>6</v>
      </c>
      <c r="AD194" s="3" t="str">
        <f t="shared" si="9"/>
        <v>S2S PREMIUM</v>
      </c>
      <c r="AE194" s="3" t="str">
        <f>VLOOKUP(E194,'[1]Nómina Agentes'!$C:$D,2,0)</f>
        <v>PEREZ LOURDES</v>
      </c>
      <c r="AF194" s="5">
        <f t="shared" si="10"/>
        <v>0.75</v>
      </c>
      <c r="AG194" s="5">
        <f t="shared" si="11"/>
        <v>0.77083333333333337</v>
      </c>
    </row>
    <row r="195" spans="1:33" x14ac:dyDescent="0.25">
      <c r="A195" s="1">
        <v>45567</v>
      </c>
      <c r="B195">
        <v>925</v>
      </c>
      <c r="C195" t="s">
        <v>42</v>
      </c>
      <c r="D195" t="s">
        <v>158</v>
      </c>
      <c r="E195">
        <v>606058</v>
      </c>
      <c r="F195" s="2">
        <v>0.8125</v>
      </c>
      <c r="G195" t="s">
        <v>6</v>
      </c>
      <c r="H195" s="2">
        <v>0.83333333333333337</v>
      </c>
      <c r="I195">
        <v>760</v>
      </c>
      <c r="J195">
        <v>43</v>
      </c>
      <c r="K195">
        <v>0</v>
      </c>
      <c r="L195">
        <v>16</v>
      </c>
      <c r="M195">
        <v>0</v>
      </c>
      <c r="N195">
        <v>0</v>
      </c>
      <c r="O195">
        <v>0</v>
      </c>
      <c r="P195">
        <v>409</v>
      </c>
      <c r="Q195">
        <v>240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</v>
      </c>
      <c r="AC195">
        <v>3</v>
      </c>
      <c r="AD195" s="3" t="str">
        <f t="shared" si="9"/>
        <v>S2S PREMIUM</v>
      </c>
      <c r="AE195" s="3" t="str">
        <f>VLOOKUP(E195,'[1]Nómina Agentes'!$C:$D,2,0)</f>
        <v>PEREZ LOURDES</v>
      </c>
      <c r="AF195" s="5">
        <f t="shared" si="10"/>
        <v>0.8125</v>
      </c>
      <c r="AG195" s="5">
        <f t="shared" si="11"/>
        <v>0.83333333333333337</v>
      </c>
    </row>
    <row r="196" spans="1:33" x14ac:dyDescent="0.25">
      <c r="A196" s="1">
        <v>45567</v>
      </c>
      <c r="B196">
        <v>925</v>
      </c>
      <c r="C196" t="s">
        <v>42</v>
      </c>
      <c r="D196" t="s">
        <v>158</v>
      </c>
      <c r="E196">
        <v>606058</v>
      </c>
      <c r="F196" s="2">
        <v>0.70833333333333337</v>
      </c>
      <c r="G196" t="s">
        <v>6</v>
      </c>
      <c r="H196" s="2">
        <v>0.72916666666666663</v>
      </c>
      <c r="I196">
        <v>825</v>
      </c>
      <c r="J196">
        <v>0</v>
      </c>
      <c r="K196">
        <v>0</v>
      </c>
      <c r="L196">
        <v>20</v>
      </c>
      <c r="M196">
        <v>0</v>
      </c>
      <c r="N196">
        <v>0</v>
      </c>
      <c r="O196">
        <v>0</v>
      </c>
      <c r="P196">
        <v>123</v>
      </c>
      <c r="Q196">
        <v>115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6</v>
      </c>
      <c r="AC196">
        <v>4</v>
      </c>
      <c r="AD196" s="3" t="str">
        <f t="shared" si="9"/>
        <v>S2S PREMIUM</v>
      </c>
      <c r="AE196" s="3" t="str">
        <f>VLOOKUP(E196,'[1]Nómina Agentes'!$C:$D,2,0)</f>
        <v>PEREZ LOURDES</v>
      </c>
      <c r="AF196" s="5">
        <f t="shared" si="10"/>
        <v>0.70833333333333337</v>
      </c>
      <c r="AG196" s="5">
        <f t="shared" si="11"/>
        <v>0.72916666666666663</v>
      </c>
    </row>
    <row r="197" spans="1:33" x14ac:dyDescent="0.25">
      <c r="A197" s="1">
        <v>45567</v>
      </c>
      <c r="B197">
        <v>925</v>
      </c>
      <c r="C197" t="s">
        <v>42</v>
      </c>
      <c r="D197" t="s">
        <v>158</v>
      </c>
      <c r="E197">
        <v>606058</v>
      </c>
      <c r="F197" s="2">
        <v>0.66666666666666663</v>
      </c>
      <c r="G197" t="s">
        <v>6</v>
      </c>
      <c r="H197" s="2">
        <v>0.6875</v>
      </c>
      <c r="I197">
        <v>1035</v>
      </c>
      <c r="J197">
        <v>0</v>
      </c>
      <c r="K197">
        <v>0</v>
      </c>
      <c r="L197">
        <v>14</v>
      </c>
      <c r="M197">
        <v>0</v>
      </c>
      <c r="N197">
        <v>0</v>
      </c>
      <c r="O197">
        <v>0</v>
      </c>
      <c r="P197">
        <v>2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3</v>
      </c>
      <c r="AC197">
        <v>2</v>
      </c>
      <c r="AD197" s="3" t="str">
        <f t="shared" si="9"/>
        <v>S2S PREMIUM</v>
      </c>
      <c r="AE197" s="3" t="str">
        <f>VLOOKUP(E197,'[1]Nómina Agentes'!$C:$D,2,0)</f>
        <v>PEREZ LOURDES</v>
      </c>
      <c r="AF197" s="5">
        <f t="shared" si="10"/>
        <v>0.66666666666666663</v>
      </c>
      <c r="AG197" s="5">
        <f t="shared" si="11"/>
        <v>0.6875</v>
      </c>
    </row>
    <row r="198" spans="1:33" x14ac:dyDescent="0.25">
      <c r="A198" s="1">
        <v>45567</v>
      </c>
      <c r="B198">
        <v>925</v>
      </c>
      <c r="C198" t="s">
        <v>42</v>
      </c>
      <c r="D198" t="s">
        <v>158</v>
      </c>
      <c r="E198">
        <v>606058</v>
      </c>
      <c r="F198" s="2">
        <v>0.79166666666666663</v>
      </c>
      <c r="G198" t="s">
        <v>6</v>
      </c>
      <c r="H198" s="2">
        <v>0.8125</v>
      </c>
      <c r="I198">
        <v>1099</v>
      </c>
      <c r="J198">
        <v>0</v>
      </c>
      <c r="K198">
        <v>0</v>
      </c>
      <c r="L198">
        <v>24</v>
      </c>
      <c r="M198">
        <v>0</v>
      </c>
      <c r="N198">
        <v>0</v>
      </c>
      <c r="O198">
        <v>0</v>
      </c>
      <c r="P198">
        <v>8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7</v>
      </c>
      <c r="AC198">
        <v>7</v>
      </c>
      <c r="AD198" s="3" t="str">
        <f t="shared" si="9"/>
        <v>S2S PREMIUM</v>
      </c>
      <c r="AE198" s="3" t="str">
        <f>VLOOKUP(E198,'[1]Nómina Agentes'!$C:$D,2,0)</f>
        <v>PEREZ LOURDES</v>
      </c>
      <c r="AF198" s="5">
        <f t="shared" si="10"/>
        <v>0.79166666666666663</v>
      </c>
      <c r="AG198" s="5">
        <f t="shared" si="11"/>
        <v>0.8125</v>
      </c>
    </row>
    <row r="199" spans="1:33" x14ac:dyDescent="0.25">
      <c r="A199" s="1">
        <v>45567</v>
      </c>
      <c r="B199">
        <v>925</v>
      </c>
      <c r="C199" t="s">
        <v>42</v>
      </c>
      <c r="D199" t="s">
        <v>158</v>
      </c>
      <c r="E199">
        <v>606058</v>
      </c>
      <c r="F199" s="2">
        <v>0.6875</v>
      </c>
      <c r="G199" t="s">
        <v>6</v>
      </c>
      <c r="H199" s="2">
        <v>0.70833333333333337</v>
      </c>
      <c r="I199">
        <v>1269</v>
      </c>
      <c r="J199">
        <v>84</v>
      </c>
      <c r="K199">
        <v>0</v>
      </c>
      <c r="L199">
        <v>17</v>
      </c>
      <c r="M199">
        <v>0</v>
      </c>
      <c r="N199">
        <v>0</v>
      </c>
      <c r="O199">
        <v>0</v>
      </c>
      <c r="P199">
        <v>52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</v>
      </c>
      <c r="AC199">
        <v>2</v>
      </c>
      <c r="AD199" s="3" t="str">
        <f t="shared" si="9"/>
        <v>S2S PREMIUM</v>
      </c>
      <c r="AE199" s="3" t="str">
        <f>VLOOKUP(E199,'[1]Nómina Agentes'!$C:$D,2,0)</f>
        <v>PEREZ LOURDES</v>
      </c>
      <c r="AF199" s="5">
        <f t="shared" si="10"/>
        <v>0.6875</v>
      </c>
      <c r="AG199" s="5">
        <f t="shared" si="11"/>
        <v>0.70833333333333337</v>
      </c>
    </row>
    <row r="200" spans="1:33" x14ac:dyDescent="0.25">
      <c r="A200" s="1">
        <v>45567</v>
      </c>
      <c r="B200">
        <v>925</v>
      </c>
      <c r="C200" t="s">
        <v>42</v>
      </c>
      <c r="D200" t="s">
        <v>158</v>
      </c>
      <c r="E200">
        <v>606058</v>
      </c>
      <c r="F200" s="2">
        <v>0.72916666666666663</v>
      </c>
      <c r="G200" t="s">
        <v>6</v>
      </c>
      <c r="H200" s="2">
        <v>0.75</v>
      </c>
      <c r="I200">
        <v>1356</v>
      </c>
      <c r="J200">
        <v>266</v>
      </c>
      <c r="K200">
        <v>0</v>
      </c>
      <c r="L200">
        <v>8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1</v>
      </c>
      <c r="AC200">
        <v>1</v>
      </c>
      <c r="AD200" s="3" t="str">
        <f t="shared" si="9"/>
        <v>S2S PREMIUM</v>
      </c>
      <c r="AE200" s="3" t="str">
        <f>VLOOKUP(E200,'[1]Nómina Agentes'!$C:$D,2,0)</f>
        <v>PEREZ LOURDES</v>
      </c>
      <c r="AF200" s="5">
        <f t="shared" si="10"/>
        <v>0.72916666666666663</v>
      </c>
      <c r="AG200" s="5">
        <f t="shared" si="11"/>
        <v>0.75</v>
      </c>
    </row>
    <row r="201" spans="1:33" x14ac:dyDescent="0.25">
      <c r="A201" s="1">
        <v>45567</v>
      </c>
      <c r="B201">
        <v>925</v>
      </c>
      <c r="C201" t="s">
        <v>42</v>
      </c>
      <c r="D201" t="s">
        <v>128</v>
      </c>
      <c r="E201">
        <v>606123</v>
      </c>
      <c r="F201" s="2">
        <v>0.70833333333333337</v>
      </c>
      <c r="G201" t="s">
        <v>6</v>
      </c>
      <c r="H201" s="2">
        <v>0.72916666666666663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 s="3" t="str">
        <f t="shared" si="9"/>
        <v>S2S PREMIUM</v>
      </c>
      <c r="AE201" s="3" t="str">
        <f>VLOOKUP(E201,'[1]Nómina Agentes'!$C:$D,2,0)</f>
        <v>MENGUEZ LUKA PATRICIO</v>
      </c>
      <c r="AF201" s="5">
        <f t="shared" si="10"/>
        <v>0.70833333333333337</v>
      </c>
      <c r="AG201" s="5">
        <f t="shared" si="11"/>
        <v>0.72916666666666663</v>
      </c>
    </row>
    <row r="202" spans="1:33" x14ac:dyDescent="0.25">
      <c r="A202" s="1">
        <v>45567</v>
      </c>
      <c r="B202">
        <v>925</v>
      </c>
      <c r="C202" t="s">
        <v>42</v>
      </c>
      <c r="D202" t="s">
        <v>128</v>
      </c>
      <c r="E202">
        <v>606123</v>
      </c>
      <c r="F202" s="2">
        <v>0.66666666666666663</v>
      </c>
      <c r="G202" t="s">
        <v>6</v>
      </c>
      <c r="H202" s="2">
        <v>0.6875</v>
      </c>
      <c r="I202">
        <v>133</v>
      </c>
      <c r="J202">
        <v>0</v>
      </c>
      <c r="K202">
        <v>0</v>
      </c>
      <c r="L202">
        <v>4</v>
      </c>
      <c r="M202">
        <v>0</v>
      </c>
      <c r="N202">
        <v>0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1</v>
      </c>
      <c r="AC202">
        <v>1</v>
      </c>
      <c r="AD202" s="3" t="str">
        <f t="shared" si="9"/>
        <v>S2S PREMIUM</v>
      </c>
      <c r="AE202" s="3" t="str">
        <f>VLOOKUP(E202,'[1]Nómina Agentes'!$C:$D,2,0)</f>
        <v>MENGUEZ LUKA PATRICIO</v>
      </c>
      <c r="AF202" s="5">
        <f t="shared" si="10"/>
        <v>0.66666666666666663</v>
      </c>
      <c r="AG202" s="5">
        <f t="shared" si="11"/>
        <v>0.6875</v>
      </c>
    </row>
    <row r="203" spans="1:33" x14ac:dyDescent="0.25">
      <c r="A203" s="1">
        <v>45567</v>
      </c>
      <c r="B203">
        <v>925</v>
      </c>
      <c r="C203" t="s">
        <v>42</v>
      </c>
      <c r="D203" t="s">
        <v>128</v>
      </c>
      <c r="E203">
        <v>606123</v>
      </c>
      <c r="F203" s="2">
        <v>0.64583333333333337</v>
      </c>
      <c r="G203" t="s">
        <v>6</v>
      </c>
      <c r="H203" s="2">
        <v>0.66666666666666663</v>
      </c>
      <c r="I203">
        <v>275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84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1</v>
      </c>
      <c r="AC203">
        <v>1</v>
      </c>
      <c r="AD203" s="3" t="str">
        <f t="shared" si="9"/>
        <v>S2S PREMIUM</v>
      </c>
      <c r="AE203" s="3" t="str">
        <f>VLOOKUP(E203,'[1]Nómina Agentes'!$C:$D,2,0)</f>
        <v>MENGUEZ LUKA PATRICIO</v>
      </c>
      <c r="AF203" s="5">
        <f t="shared" si="10"/>
        <v>0.64583333333333337</v>
      </c>
      <c r="AG203" s="5">
        <f t="shared" si="11"/>
        <v>0.66666666666666663</v>
      </c>
    </row>
    <row r="204" spans="1:33" x14ac:dyDescent="0.25">
      <c r="A204" s="1">
        <v>45567</v>
      </c>
      <c r="B204">
        <v>925</v>
      </c>
      <c r="C204" t="s">
        <v>42</v>
      </c>
      <c r="D204" t="s">
        <v>128</v>
      </c>
      <c r="E204">
        <v>606123</v>
      </c>
      <c r="F204" s="2">
        <v>0.60416666666666663</v>
      </c>
      <c r="G204" t="s">
        <v>6</v>
      </c>
      <c r="H204" s="2">
        <v>0.625</v>
      </c>
      <c r="I204">
        <v>380</v>
      </c>
      <c r="J204">
        <v>0</v>
      </c>
      <c r="K204">
        <v>0</v>
      </c>
      <c r="L204">
        <v>13</v>
      </c>
      <c r="M204">
        <v>0</v>
      </c>
      <c r="N204">
        <v>0</v>
      </c>
      <c r="O204">
        <v>0</v>
      </c>
      <c r="P204">
        <v>3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3</v>
      </c>
      <c r="AC204">
        <v>2</v>
      </c>
      <c r="AD204" s="3" t="str">
        <f t="shared" si="9"/>
        <v>S2S PREMIUM</v>
      </c>
      <c r="AE204" s="3" t="str">
        <f>VLOOKUP(E204,'[1]Nómina Agentes'!$C:$D,2,0)</f>
        <v>MENGUEZ LUKA PATRICIO</v>
      </c>
      <c r="AF204" s="5">
        <f t="shared" si="10"/>
        <v>0.60416666666666663</v>
      </c>
      <c r="AG204" s="5">
        <f t="shared" si="11"/>
        <v>0.625</v>
      </c>
    </row>
    <row r="205" spans="1:33" x14ac:dyDescent="0.25">
      <c r="A205" s="1">
        <v>45567</v>
      </c>
      <c r="B205">
        <v>925</v>
      </c>
      <c r="C205" t="s">
        <v>42</v>
      </c>
      <c r="D205" t="s">
        <v>128</v>
      </c>
      <c r="E205">
        <v>606123</v>
      </c>
      <c r="F205" s="2">
        <v>0.6875</v>
      </c>
      <c r="G205" t="s">
        <v>6</v>
      </c>
      <c r="H205" s="2">
        <v>0.70833333333333337</v>
      </c>
      <c r="I205">
        <v>398</v>
      </c>
      <c r="J205">
        <v>0</v>
      </c>
      <c r="K205">
        <v>0</v>
      </c>
      <c r="L205">
        <v>12</v>
      </c>
      <c r="M205">
        <v>0</v>
      </c>
      <c r="N205">
        <v>0</v>
      </c>
      <c r="O205">
        <v>0</v>
      </c>
      <c r="P205">
        <v>49</v>
      </c>
      <c r="Q205">
        <v>44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3</v>
      </c>
      <c r="AC205">
        <v>3</v>
      </c>
      <c r="AD205" s="3" t="str">
        <f t="shared" si="9"/>
        <v>S2S PREMIUM</v>
      </c>
      <c r="AE205" s="3" t="str">
        <f>VLOOKUP(E205,'[1]Nómina Agentes'!$C:$D,2,0)</f>
        <v>MENGUEZ LUKA PATRICIO</v>
      </c>
      <c r="AF205" s="5">
        <f t="shared" si="10"/>
        <v>0.6875</v>
      </c>
      <c r="AG205" s="5">
        <f t="shared" si="11"/>
        <v>0.70833333333333337</v>
      </c>
    </row>
    <row r="206" spans="1:33" x14ac:dyDescent="0.25">
      <c r="A206" s="1">
        <v>45567</v>
      </c>
      <c r="B206">
        <v>925</v>
      </c>
      <c r="C206" t="s">
        <v>42</v>
      </c>
      <c r="D206" t="s">
        <v>128</v>
      </c>
      <c r="E206">
        <v>606123</v>
      </c>
      <c r="F206" s="2">
        <v>0.58333333333333337</v>
      </c>
      <c r="G206" t="s">
        <v>6</v>
      </c>
      <c r="H206" s="2">
        <v>0.60416666666666663</v>
      </c>
      <c r="I206">
        <v>414</v>
      </c>
      <c r="J206">
        <v>0</v>
      </c>
      <c r="K206">
        <v>0</v>
      </c>
      <c r="L206">
        <v>12</v>
      </c>
      <c r="M206">
        <v>0</v>
      </c>
      <c r="N206">
        <v>0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</v>
      </c>
      <c r="AC206">
        <v>1</v>
      </c>
      <c r="AD206" s="3" t="str">
        <f t="shared" si="9"/>
        <v>S2S PREMIUM</v>
      </c>
      <c r="AE206" s="3" t="str">
        <f>VLOOKUP(E206,'[1]Nómina Agentes'!$C:$D,2,0)</f>
        <v>MENGUEZ LUKA PATRICIO</v>
      </c>
      <c r="AF206" s="5">
        <f t="shared" si="10"/>
        <v>0.58333333333333337</v>
      </c>
      <c r="AG206" s="5">
        <f t="shared" si="11"/>
        <v>0.60416666666666663</v>
      </c>
    </row>
    <row r="207" spans="1:33" x14ac:dyDescent="0.25">
      <c r="A207" s="1">
        <v>45567</v>
      </c>
      <c r="B207">
        <v>925</v>
      </c>
      <c r="C207" t="s">
        <v>42</v>
      </c>
      <c r="D207" t="s">
        <v>128</v>
      </c>
      <c r="E207">
        <v>606123</v>
      </c>
      <c r="F207" s="2">
        <v>0.625</v>
      </c>
      <c r="G207" t="s">
        <v>6</v>
      </c>
      <c r="H207" s="2">
        <v>0.64583333333333337</v>
      </c>
      <c r="I207">
        <v>597</v>
      </c>
      <c r="J207">
        <v>0</v>
      </c>
      <c r="K207">
        <v>0</v>
      </c>
      <c r="L207">
        <v>13</v>
      </c>
      <c r="M207">
        <v>0</v>
      </c>
      <c r="N207">
        <v>0</v>
      </c>
      <c r="O207">
        <v>0</v>
      </c>
      <c r="P207">
        <v>212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2</v>
      </c>
      <c r="AC207">
        <v>2</v>
      </c>
      <c r="AD207" s="3" t="str">
        <f t="shared" si="9"/>
        <v>S2S PREMIUM</v>
      </c>
      <c r="AE207" s="3" t="str">
        <f>VLOOKUP(E207,'[1]Nómina Agentes'!$C:$D,2,0)</f>
        <v>MENGUEZ LUKA PATRICIO</v>
      </c>
      <c r="AF207" s="5">
        <f t="shared" si="10"/>
        <v>0.625</v>
      </c>
      <c r="AG207" s="5">
        <f t="shared" si="11"/>
        <v>0.64583333333333337</v>
      </c>
    </row>
    <row r="208" spans="1:33" x14ac:dyDescent="0.25">
      <c r="A208" s="1">
        <v>45567</v>
      </c>
      <c r="B208">
        <v>925</v>
      </c>
      <c r="C208" t="s">
        <v>42</v>
      </c>
      <c r="D208" t="s">
        <v>73</v>
      </c>
      <c r="E208">
        <v>606142</v>
      </c>
      <c r="F208" s="2">
        <v>0.60416666666666663</v>
      </c>
      <c r="G208" t="s">
        <v>6</v>
      </c>
      <c r="H208" s="2">
        <v>0.625</v>
      </c>
      <c r="I208">
        <v>460</v>
      </c>
      <c r="J208">
        <v>256</v>
      </c>
      <c r="K208">
        <v>0</v>
      </c>
      <c r="L208">
        <v>8</v>
      </c>
      <c r="M208">
        <v>0</v>
      </c>
      <c r="N208">
        <v>0</v>
      </c>
      <c r="O208">
        <v>0</v>
      </c>
      <c r="P208">
        <v>2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</v>
      </c>
      <c r="AC208">
        <v>2</v>
      </c>
      <c r="AD208" s="3" t="str">
        <f t="shared" si="9"/>
        <v>S2S PREMIUM</v>
      </c>
      <c r="AE208" s="3" t="str">
        <f>VLOOKUP(E208,'[1]Nómina Agentes'!$C:$D,2,0)</f>
        <v>MARAZ AYELEN JACQUELINE</v>
      </c>
      <c r="AF208" s="5">
        <f t="shared" si="10"/>
        <v>0.60416666666666663</v>
      </c>
      <c r="AG208" s="5">
        <f t="shared" si="11"/>
        <v>0.625</v>
      </c>
    </row>
    <row r="209" spans="1:33" x14ac:dyDescent="0.25">
      <c r="A209" s="1">
        <v>45567</v>
      </c>
      <c r="B209">
        <v>925</v>
      </c>
      <c r="C209" t="s">
        <v>42</v>
      </c>
      <c r="D209" t="s">
        <v>73</v>
      </c>
      <c r="E209">
        <v>606142</v>
      </c>
      <c r="F209" s="2">
        <v>0.58333333333333337</v>
      </c>
      <c r="G209" t="s">
        <v>6</v>
      </c>
      <c r="H209" s="2">
        <v>0.60416666666666663</v>
      </c>
      <c r="I209">
        <v>1075</v>
      </c>
      <c r="J209">
        <v>0</v>
      </c>
      <c r="K209">
        <v>0</v>
      </c>
      <c r="L209">
        <v>13</v>
      </c>
      <c r="M209">
        <v>0</v>
      </c>
      <c r="N209">
        <v>0</v>
      </c>
      <c r="O209">
        <v>0</v>
      </c>
      <c r="P209">
        <v>89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2</v>
      </c>
      <c r="AC209">
        <v>1</v>
      </c>
      <c r="AD209" s="3" t="str">
        <f t="shared" si="9"/>
        <v>S2S PREMIUM</v>
      </c>
      <c r="AE209" s="3" t="str">
        <f>VLOOKUP(E209,'[1]Nómina Agentes'!$C:$D,2,0)</f>
        <v>MARAZ AYELEN JACQUELINE</v>
      </c>
      <c r="AF209" s="5">
        <f t="shared" si="10"/>
        <v>0.58333333333333337</v>
      </c>
      <c r="AG209" s="5">
        <f t="shared" si="11"/>
        <v>0.60416666666666663</v>
      </c>
    </row>
    <row r="210" spans="1:33" x14ac:dyDescent="0.25">
      <c r="A210" s="1">
        <v>45567</v>
      </c>
      <c r="B210">
        <v>924</v>
      </c>
      <c r="C210" t="s">
        <v>43</v>
      </c>
      <c r="D210" t="s">
        <v>159</v>
      </c>
      <c r="E210">
        <v>606210</v>
      </c>
      <c r="F210" s="2">
        <v>0.64583333333333337</v>
      </c>
      <c r="G210" t="s">
        <v>6</v>
      </c>
      <c r="H210" s="2">
        <v>0.66666666666666663</v>
      </c>
      <c r="I210">
        <v>76</v>
      </c>
      <c r="J210">
        <v>0</v>
      </c>
      <c r="K210">
        <v>0</v>
      </c>
      <c r="L210">
        <v>6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 s="3" t="str">
        <f t="shared" si="9"/>
        <v>S2S NO PREMIUM</v>
      </c>
      <c r="AE210" s="3" t="str">
        <f>VLOOKUP(E210,'[1]Nómina Agentes'!$C:$D,2,0)</f>
        <v>CANTEROS JOHANNA ANAHI</v>
      </c>
      <c r="AF210" s="5">
        <f t="shared" si="10"/>
        <v>0.64583333333333337</v>
      </c>
      <c r="AG210" s="5">
        <f t="shared" si="11"/>
        <v>0.66666666666666663</v>
      </c>
    </row>
    <row r="211" spans="1:33" x14ac:dyDescent="0.25">
      <c r="A211" s="1">
        <v>45567</v>
      </c>
      <c r="B211">
        <v>924</v>
      </c>
      <c r="C211" t="s">
        <v>43</v>
      </c>
      <c r="D211" t="s">
        <v>159</v>
      </c>
      <c r="E211">
        <v>606210</v>
      </c>
      <c r="F211" s="2">
        <v>0.8125</v>
      </c>
      <c r="G211" t="s">
        <v>6</v>
      </c>
      <c r="H211" s="2">
        <v>0.83333333333333337</v>
      </c>
      <c r="I211">
        <v>659</v>
      </c>
      <c r="J211">
        <v>0</v>
      </c>
      <c r="K211">
        <v>0</v>
      </c>
      <c r="L211">
        <v>22</v>
      </c>
      <c r="M211">
        <v>0</v>
      </c>
      <c r="N211">
        <v>0</v>
      </c>
      <c r="O211">
        <v>0</v>
      </c>
      <c r="P211">
        <v>1</v>
      </c>
      <c r="Q211">
        <v>114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</v>
      </c>
      <c r="AC211">
        <v>1</v>
      </c>
      <c r="AD211" s="3" t="str">
        <f t="shared" si="9"/>
        <v>S2S NO PREMIUM</v>
      </c>
      <c r="AE211" s="3" t="str">
        <f>VLOOKUP(E211,'[1]Nómina Agentes'!$C:$D,2,0)</f>
        <v>CANTEROS JOHANNA ANAHI</v>
      </c>
      <c r="AF211" s="5">
        <f t="shared" si="10"/>
        <v>0.8125</v>
      </c>
      <c r="AG211" s="5">
        <f t="shared" si="11"/>
        <v>0.83333333333333337</v>
      </c>
    </row>
    <row r="212" spans="1:33" x14ac:dyDescent="0.25">
      <c r="A212" s="1">
        <v>45567</v>
      </c>
      <c r="B212">
        <v>924</v>
      </c>
      <c r="C212" t="s">
        <v>43</v>
      </c>
      <c r="D212" t="s">
        <v>159</v>
      </c>
      <c r="E212">
        <v>606210</v>
      </c>
      <c r="F212" s="2">
        <v>0.79166666666666663</v>
      </c>
      <c r="G212" t="s">
        <v>6</v>
      </c>
      <c r="H212" s="2">
        <v>0.8125</v>
      </c>
      <c r="I212">
        <v>775</v>
      </c>
      <c r="J212">
        <v>0</v>
      </c>
      <c r="K212">
        <v>0</v>
      </c>
      <c r="L212">
        <v>41</v>
      </c>
      <c r="M212">
        <v>0</v>
      </c>
      <c r="N212">
        <v>0</v>
      </c>
      <c r="O212">
        <v>0</v>
      </c>
      <c r="P212">
        <v>5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4</v>
      </c>
      <c r="AC212">
        <v>4</v>
      </c>
      <c r="AD212" s="3" t="str">
        <f t="shared" si="9"/>
        <v>S2S NO PREMIUM</v>
      </c>
      <c r="AE212" s="3" t="str">
        <f>VLOOKUP(E212,'[1]Nómina Agentes'!$C:$D,2,0)</f>
        <v>CANTEROS JOHANNA ANAHI</v>
      </c>
      <c r="AF212" s="5">
        <f t="shared" si="10"/>
        <v>0.79166666666666663</v>
      </c>
      <c r="AG212" s="5">
        <f t="shared" si="11"/>
        <v>0.8125</v>
      </c>
    </row>
    <row r="213" spans="1:33" x14ac:dyDescent="0.25">
      <c r="A213" s="1">
        <v>45567</v>
      </c>
      <c r="B213">
        <v>924</v>
      </c>
      <c r="C213" t="s">
        <v>43</v>
      </c>
      <c r="D213" t="s">
        <v>159</v>
      </c>
      <c r="E213">
        <v>606210</v>
      </c>
      <c r="F213" s="2">
        <v>0.77083333333333337</v>
      </c>
      <c r="G213" t="s">
        <v>6</v>
      </c>
      <c r="H213" s="2">
        <v>0.79166666666666663</v>
      </c>
      <c r="I213">
        <v>834</v>
      </c>
      <c r="J213">
        <v>0</v>
      </c>
      <c r="K213">
        <v>0</v>
      </c>
      <c r="L213">
        <v>20</v>
      </c>
      <c r="M213">
        <v>0</v>
      </c>
      <c r="N213">
        <v>0</v>
      </c>
      <c r="O213">
        <v>0</v>
      </c>
      <c r="P213">
        <v>2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3</v>
      </c>
      <c r="AC213">
        <v>2</v>
      </c>
      <c r="AD213" s="3" t="str">
        <f t="shared" si="9"/>
        <v>S2S NO PREMIUM</v>
      </c>
      <c r="AE213" s="3" t="str">
        <f>VLOOKUP(E213,'[1]Nómina Agentes'!$C:$D,2,0)</f>
        <v>CANTEROS JOHANNA ANAHI</v>
      </c>
      <c r="AF213" s="5">
        <f t="shared" si="10"/>
        <v>0.77083333333333337</v>
      </c>
      <c r="AG213" s="5">
        <f t="shared" si="11"/>
        <v>0.79166666666666663</v>
      </c>
    </row>
    <row r="214" spans="1:33" x14ac:dyDescent="0.25">
      <c r="A214" s="1">
        <v>45567</v>
      </c>
      <c r="B214">
        <v>924</v>
      </c>
      <c r="C214" t="s">
        <v>43</v>
      </c>
      <c r="D214" t="s">
        <v>159</v>
      </c>
      <c r="E214">
        <v>606210</v>
      </c>
      <c r="F214" s="2">
        <v>0.66666666666666663</v>
      </c>
      <c r="G214" t="s">
        <v>6</v>
      </c>
      <c r="H214" s="2">
        <v>0.6875</v>
      </c>
      <c r="I214">
        <v>1301</v>
      </c>
      <c r="J214">
        <v>0</v>
      </c>
      <c r="K214">
        <v>0</v>
      </c>
      <c r="L214">
        <v>17</v>
      </c>
      <c r="M214">
        <v>0</v>
      </c>
      <c r="N214">
        <v>0</v>
      </c>
      <c r="O214">
        <v>0</v>
      </c>
      <c r="P214">
        <v>4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</v>
      </c>
      <c r="AC214">
        <v>4</v>
      </c>
      <c r="AD214" s="3" t="str">
        <f t="shared" si="9"/>
        <v>S2S NO PREMIUM</v>
      </c>
      <c r="AE214" s="3" t="str">
        <f>VLOOKUP(E214,'[1]Nómina Agentes'!$C:$D,2,0)</f>
        <v>CANTEROS JOHANNA ANAHI</v>
      </c>
      <c r="AF214" s="5">
        <f t="shared" si="10"/>
        <v>0.66666666666666663</v>
      </c>
      <c r="AG214" s="5">
        <f t="shared" si="11"/>
        <v>0.6875</v>
      </c>
    </row>
    <row r="215" spans="1:33" x14ac:dyDescent="0.25">
      <c r="A215" s="1">
        <v>45567</v>
      </c>
      <c r="B215">
        <v>924</v>
      </c>
      <c r="C215" t="s">
        <v>43</v>
      </c>
      <c r="D215" t="s">
        <v>159</v>
      </c>
      <c r="E215">
        <v>606210</v>
      </c>
      <c r="F215" s="2">
        <v>0.72916666666666663</v>
      </c>
      <c r="G215" t="s">
        <v>6</v>
      </c>
      <c r="H215" s="2">
        <v>0.75</v>
      </c>
      <c r="I215">
        <v>1419</v>
      </c>
      <c r="J215">
        <v>0</v>
      </c>
      <c r="K215">
        <v>0</v>
      </c>
      <c r="L215">
        <v>20</v>
      </c>
      <c r="M215">
        <v>0</v>
      </c>
      <c r="N215">
        <v>0</v>
      </c>
      <c r="O215">
        <v>0</v>
      </c>
      <c r="P215">
        <v>78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5</v>
      </c>
      <c r="AC215">
        <v>4</v>
      </c>
      <c r="AD215" s="3" t="str">
        <f t="shared" si="9"/>
        <v>S2S NO PREMIUM</v>
      </c>
      <c r="AE215" s="3" t="str">
        <f>VLOOKUP(E215,'[1]Nómina Agentes'!$C:$D,2,0)</f>
        <v>CANTEROS JOHANNA ANAHI</v>
      </c>
      <c r="AF215" s="5">
        <f t="shared" si="10"/>
        <v>0.72916666666666663</v>
      </c>
      <c r="AG215" s="5">
        <f t="shared" si="11"/>
        <v>0.75</v>
      </c>
    </row>
    <row r="216" spans="1:33" x14ac:dyDescent="0.25">
      <c r="A216" s="1">
        <v>45567</v>
      </c>
      <c r="B216">
        <v>924</v>
      </c>
      <c r="C216" t="s">
        <v>43</v>
      </c>
      <c r="D216" t="s">
        <v>159</v>
      </c>
      <c r="E216">
        <v>606210</v>
      </c>
      <c r="F216" s="2">
        <v>0.6875</v>
      </c>
      <c r="G216" t="s">
        <v>6</v>
      </c>
      <c r="H216" s="2">
        <v>0.70833333333333337</v>
      </c>
      <c r="I216">
        <v>1421</v>
      </c>
      <c r="J216">
        <v>0</v>
      </c>
      <c r="K216">
        <v>0</v>
      </c>
      <c r="L216">
        <v>21</v>
      </c>
      <c r="M216">
        <v>0</v>
      </c>
      <c r="N216">
        <v>0</v>
      </c>
      <c r="O216">
        <v>0</v>
      </c>
      <c r="P216">
        <v>6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5</v>
      </c>
      <c r="AC216">
        <v>5</v>
      </c>
      <c r="AD216" s="3" t="str">
        <f t="shared" si="9"/>
        <v>S2S NO PREMIUM</v>
      </c>
      <c r="AE216" s="3" t="str">
        <f>VLOOKUP(E216,'[1]Nómina Agentes'!$C:$D,2,0)</f>
        <v>CANTEROS JOHANNA ANAHI</v>
      </c>
      <c r="AF216" s="5">
        <f t="shared" si="10"/>
        <v>0.6875</v>
      </c>
      <c r="AG216" s="5">
        <f t="shared" si="11"/>
        <v>0.70833333333333337</v>
      </c>
    </row>
    <row r="217" spans="1:33" x14ac:dyDescent="0.25">
      <c r="A217" s="1">
        <v>45567</v>
      </c>
      <c r="B217">
        <v>924</v>
      </c>
      <c r="C217" t="s">
        <v>43</v>
      </c>
      <c r="D217" t="s">
        <v>159</v>
      </c>
      <c r="E217">
        <v>606210</v>
      </c>
      <c r="F217" s="2">
        <v>0.70833333333333337</v>
      </c>
      <c r="G217" t="s">
        <v>6</v>
      </c>
      <c r="H217" s="2">
        <v>0.72916666666666663</v>
      </c>
      <c r="I217">
        <v>1452</v>
      </c>
      <c r="J217">
        <v>0</v>
      </c>
      <c r="K217">
        <v>0</v>
      </c>
      <c r="L217">
        <v>13</v>
      </c>
      <c r="M217">
        <v>0</v>
      </c>
      <c r="N217">
        <v>0</v>
      </c>
      <c r="O217">
        <v>0</v>
      </c>
      <c r="P217">
        <v>47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3</v>
      </c>
      <c r="AC217">
        <v>3</v>
      </c>
      <c r="AD217" s="3" t="str">
        <f t="shared" si="9"/>
        <v>S2S NO PREMIUM</v>
      </c>
      <c r="AE217" s="3" t="str">
        <f>VLOOKUP(E217,'[1]Nómina Agentes'!$C:$D,2,0)</f>
        <v>CANTEROS JOHANNA ANAHI</v>
      </c>
      <c r="AF217" s="5">
        <f t="shared" si="10"/>
        <v>0.70833333333333337</v>
      </c>
      <c r="AG217" s="5">
        <f t="shared" si="11"/>
        <v>0.72916666666666663</v>
      </c>
    </row>
    <row r="218" spans="1:33" x14ac:dyDescent="0.25">
      <c r="A218" s="1">
        <v>45567</v>
      </c>
      <c r="B218">
        <v>924</v>
      </c>
      <c r="C218" t="s">
        <v>43</v>
      </c>
      <c r="D218" t="s">
        <v>159</v>
      </c>
      <c r="E218">
        <v>606210</v>
      </c>
      <c r="F218" s="2">
        <v>0.75</v>
      </c>
      <c r="G218" t="s">
        <v>6</v>
      </c>
      <c r="H218" s="2">
        <v>0.77083333333333337</v>
      </c>
      <c r="I218">
        <v>1552</v>
      </c>
      <c r="J218">
        <v>0</v>
      </c>
      <c r="K218">
        <v>0</v>
      </c>
      <c r="L218">
        <v>23</v>
      </c>
      <c r="M218">
        <v>0</v>
      </c>
      <c r="N218">
        <v>0</v>
      </c>
      <c r="O218">
        <v>0</v>
      </c>
      <c r="P218">
        <v>4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5</v>
      </c>
      <c r="AC218">
        <v>4</v>
      </c>
      <c r="AD218" s="3" t="str">
        <f t="shared" si="9"/>
        <v>S2S NO PREMIUM</v>
      </c>
      <c r="AE218" s="3" t="str">
        <f>VLOOKUP(E218,'[1]Nómina Agentes'!$C:$D,2,0)</f>
        <v>CANTEROS JOHANNA ANAHI</v>
      </c>
      <c r="AF218" s="5">
        <f t="shared" si="10"/>
        <v>0.75</v>
      </c>
      <c r="AG218" s="5">
        <f t="shared" si="11"/>
        <v>0.77083333333333337</v>
      </c>
    </row>
    <row r="219" spans="1:33" x14ac:dyDescent="0.25">
      <c r="A219" s="1">
        <v>45567</v>
      </c>
      <c r="B219">
        <v>924</v>
      </c>
      <c r="C219" t="s">
        <v>43</v>
      </c>
      <c r="D219" t="s">
        <v>160</v>
      </c>
      <c r="E219">
        <v>606216</v>
      </c>
      <c r="F219" s="2">
        <v>0.625</v>
      </c>
      <c r="G219" t="s">
        <v>6</v>
      </c>
      <c r="H219" s="2">
        <v>0.64583333333333337</v>
      </c>
      <c r="I219">
        <v>377</v>
      </c>
      <c r="J219">
        <v>0</v>
      </c>
      <c r="K219">
        <v>0</v>
      </c>
      <c r="L219">
        <v>17</v>
      </c>
      <c r="M219">
        <v>0</v>
      </c>
      <c r="N219">
        <v>0</v>
      </c>
      <c r="O219">
        <v>0</v>
      </c>
      <c r="P219">
        <v>93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3</v>
      </c>
      <c r="AC219">
        <v>3</v>
      </c>
      <c r="AD219" s="3" t="str">
        <f t="shared" si="9"/>
        <v>S2S NO PREMIUM</v>
      </c>
      <c r="AE219" s="3" t="str">
        <f>VLOOKUP(E219,'[1]Nómina Agentes'!$C:$D,2,0)</f>
        <v>GOMEZ BRUNO NAHUEL</v>
      </c>
      <c r="AF219" s="5">
        <f t="shared" si="10"/>
        <v>0.625</v>
      </c>
      <c r="AG219" s="5">
        <f t="shared" si="11"/>
        <v>0.64583333333333337</v>
      </c>
    </row>
    <row r="220" spans="1:33" x14ac:dyDescent="0.25">
      <c r="A220" s="1">
        <v>45567</v>
      </c>
      <c r="B220">
        <v>925</v>
      </c>
      <c r="C220" t="s">
        <v>42</v>
      </c>
      <c r="D220" t="s">
        <v>161</v>
      </c>
      <c r="E220">
        <v>606219</v>
      </c>
      <c r="F220" s="2">
        <v>0.64583333333333337</v>
      </c>
      <c r="G220" t="s">
        <v>6</v>
      </c>
      <c r="H220" s="2">
        <v>0.66666666666666663</v>
      </c>
      <c r="I220">
        <v>83</v>
      </c>
      <c r="J220">
        <v>9</v>
      </c>
      <c r="K220">
        <v>0</v>
      </c>
      <c r="L220">
        <v>4</v>
      </c>
      <c r="M220">
        <v>0</v>
      </c>
      <c r="N220">
        <v>0</v>
      </c>
      <c r="O220">
        <v>0</v>
      </c>
      <c r="P220">
        <v>1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1</v>
      </c>
      <c r="AC220">
        <v>1</v>
      </c>
      <c r="AD220" s="3" t="str">
        <f t="shared" si="9"/>
        <v>S2S PREMIUM</v>
      </c>
      <c r="AE220" s="3" t="str">
        <f>VLOOKUP(E220,'[1]Nómina Agentes'!$C:$D,2,0)</f>
        <v>MAIZ CAMILA</v>
      </c>
      <c r="AF220" s="5">
        <f t="shared" si="10"/>
        <v>0.64583333333333337</v>
      </c>
      <c r="AG220" s="5">
        <f t="shared" si="11"/>
        <v>0.66666666666666663</v>
      </c>
    </row>
    <row r="221" spans="1:33" x14ac:dyDescent="0.25">
      <c r="A221" s="1">
        <v>45567</v>
      </c>
      <c r="B221">
        <v>925</v>
      </c>
      <c r="C221" t="s">
        <v>42</v>
      </c>
      <c r="D221" t="s">
        <v>161</v>
      </c>
      <c r="E221">
        <v>606219</v>
      </c>
      <c r="F221" s="2">
        <v>0.75</v>
      </c>
      <c r="G221" t="s">
        <v>6</v>
      </c>
      <c r="H221" s="2">
        <v>0.77083333333333337</v>
      </c>
      <c r="I221">
        <v>219</v>
      </c>
      <c r="J221">
        <v>46</v>
      </c>
      <c r="K221">
        <v>0</v>
      </c>
      <c r="L221">
        <v>8</v>
      </c>
      <c r="M221">
        <v>0</v>
      </c>
      <c r="N221">
        <v>0</v>
      </c>
      <c r="O221">
        <v>0</v>
      </c>
      <c r="P221">
        <v>143</v>
      </c>
      <c r="Q221">
        <v>52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2</v>
      </c>
      <c r="AC221">
        <v>2</v>
      </c>
      <c r="AD221" s="3" t="str">
        <f t="shared" si="9"/>
        <v>S2S PREMIUM</v>
      </c>
      <c r="AE221" s="3" t="str">
        <f>VLOOKUP(E221,'[1]Nómina Agentes'!$C:$D,2,0)</f>
        <v>MAIZ CAMILA</v>
      </c>
      <c r="AF221" s="5">
        <f t="shared" si="10"/>
        <v>0.75</v>
      </c>
      <c r="AG221" s="5">
        <f t="shared" si="11"/>
        <v>0.77083333333333337</v>
      </c>
    </row>
    <row r="222" spans="1:33" x14ac:dyDescent="0.25">
      <c r="A222" s="1">
        <v>45567</v>
      </c>
      <c r="B222">
        <v>925</v>
      </c>
      <c r="C222" t="s">
        <v>42</v>
      </c>
      <c r="D222" t="s">
        <v>161</v>
      </c>
      <c r="E222">
        <v>606219</v>
      </c>
      <c r="F222" s="2">
        <v>0.8125</v>
      </c>
      <c r="G222" t="s">
        <v>6</v>
      </c>
      <c r="H222" s="2">
        <v>0.83333333333333337</v>
      </c>
      <c r="I222">
        <v>335</v>
      </c>
      <c r="J222">
        <v>63</v>
      </c>
      <c r="K222">
        <v>0</v>
      </c>
      <c r="L222">
        <v>16</v>
      </c>
      <c r="M222">
        <v>0</v>
      </c>
      <c r="N222">
        <v>0</v>
      </c>
      <c r="O222">
        <v>0</v>
      </c>
      <c r="P222">
        <v>268</v>
      </c>
      <c r="Q222">
        <v>177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4</v>
      </c>
      <c r="AC222">
        <v>2</v>
      </c>
      <c r="AD222" s="3" t="str">
        <f t="shared" si="9"/>
        <v>S2S PREMIUM</v>
      </c>
      <c r="AE222" s="3" t="str">
        <f>VLOOKUP(E222,'[1]Nómina Agentes'!$C:$D,2,0)</f>
        <v>MAIZ CAMILA</v>
      </c>
      <c r="AF222" s="5">
        <f t="shared" si="10"/>
        <v>0.8125</v>
      </c>
      <c r="AG222" s="5">
        <f t="shared" si="11"/>
        <v>0.83333333333333337</v>
      </c>
    </row>
    <row r="223" spans="1:33" x14ac:dyDescent="0.25">
      <c r="A223" s="1">
        <v>45567</v>
      </c>
      <c r="B223">
        <v>925</v>
      </c>
      <c r="C223" t="s">
        <v>42</v>
      </c>
      <c r="D223" t="s">
        <v>161</v>
      </c>
      <c r="E223">
        <v>606219</v>
      </c>
      <c r="F223" s="2">
        <v>0.625</v>
      </c>
      <c r="G223" t="s">
        <v>6</v>
      </c>
      <c r="H223" s="2">
        <v>0.64583333333333337</v>
      </c>
      <c r="I223">
        <v>446</v>
      </c>
      <c r="J223">
        <v>123</v>
      </c>
      <c r="K223">
        <v>0</v>
      </c>
      <c r="L223">
        <v>8</v>
      </c>
      <c r="M223">
        <v>0</v>
      </c>
      <c r="N223">
        <v>0</v>
      </c>
      <c r="O223">
        <v>0</v>
      </c>
      <c r="P223">
        <v>121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2</v>
      </c>
      <c r="AC223">
        <v>1</v>
      </c>
      <c r="AD223" s="3" t="str">
        <f t="shared" si="9"/>
        <v>S2S PREMIUM</v>
      </c>
      <c r="AE223" s="3" t="str">
        <f>VLOOKUP(E223,'[1]Nómina Agentes'!$C:$D,2,0)</f>
        <v>MAIZ CAMILA</v>
      </c>
      <c r="AF223" s="5">
        <f t="shared" si="10"/>
        <v>0.625</v>
      </c>
      <c r="AG223" s="5">
        <f t="shared" si="11"/>
        <v>0.64583333333333337</v>
      </c>
    </row>
    <row r="224" spans="1:33" x14ac:dyDescent="0.25">
      <c r="A224" s="1">
        <v>45567</v>
      </c>
      <c r="B224">
        <v>925</v>
      </c>
      <c r="C224" t="s">
        <v>42</v>
      </c>
      <c r="D224" t="s">
        <v>161</v>
      </c>
      <c r="E224">
        <v>606219</v>
      </c>
      <c r="F224" s="2">
        <v>0.77083333333333337</v>
      </c>
      <c r="G224" t="s">
        <v>6</v>
      </c>
      <c r="H224" s="2">
        <v>0.79166666666666663</v>
      </c>
      <c r="I224">
        <v>651</v>
      </c>
      <c r="J224">
        <v>23</v>
      </c>
      <c r="K224">
        <v>0</v>
      </c>
      <c r="L224">
        <v>20</v>
      </c>
      <c r="M224">
        <v>0</v>
      </c>
      <c r="N224">
        <v>0</v>
      </c>
      <c r="O224">
        <v>0</v>
      </c>
      <c r="P224">
        <v>135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4</v>
      </c>
      <c r="AC224">
        <v>3</v>
      </c>
      <c r="AD224" s="3" t="str">
        <f t="shared" si="9"/>
        <v>S2S PREMIUM</v>
      </c>
      <c r="AE224" s="3" t="str">
        <f>VLOOKUP(E224,'[1]Nómina Agentes'!$C:$D,2,0)</f>
        <v>MAIZ CAMILA</v>
      </c>
      <c r="AF224" s="5">
        <f t="shared" si="10"/>
        <v>0.77083333333333337</v>
      </c>
      <c r="AG224" s="5">
        <f t="shared" si="11"/>
        <v>0.79166666666666663</v>
      </c>
    </row>
    <row r="225" spans="1:33" x14ac:dyDescent="0.25">
      <c r="A225" s="1">
        <v>45567</v>
      </c>
      <c r="B225">
        <v>925</v>
      </c>
      <c r="C225" t="s">
        <v>42</v>
      </c>
      <c r="D225" t="s">
        <v>161</v>
      </c>
      <c r="E225">
        <v>606219</v>
      </c>
      <c r="F225" s="2">
        <v>0.79166666666666663</v>
      </c>
      <c r="G225" t="s">
        <v>6</v>
      </c>
      <c r="H225" s="2">
        <v>0.8125</v>
      </c>
      <c r="I225">
        <v>771</v>
      </c>
      <c r="J225">
        <v>202</v>
      </c>
      <c r="K225">
        <v>0</v>
      </c>
      <c r="L225">
        <v>24</v>
      </c>
      <c r="M225">
        <v>0</v>
      </c>
      <c r="N225">
        <v>0</v>
      </c>
      <c r="O225">
        <v>0</v>
      </c>
      <c r="P225">
        <v>60</v>
      </c>
      <c r="Q225">
        <v>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7</v>
      </c>
      <c r="AC225">
        <v>3</v>
      </c>
      <c r="AD225" s="3" t="str">
        <f t="shared" si="9"/>
        <v>S2S PREMIUM</v>
      </c>
      <c r="AE225" s="3" t="str">
        <f>VLOOKUP(E225,'[1]Nómina Agentes'!$C:$D,2,0)</f>
        <v>MAIZ CAMILA</v>
      </c>
      <c r="AF225" s="5">
        <f t="shared" si="10"/>
        <v>0.79166666666666663</v>
      </c>
      <c r="AG225" s="5">
        <f t="shared" si="11"/>
        <v>0.8125</v>
      </c>
    </row>
    <row r="226" spans="1:33" x14ac:dyDescent="0.25">
      <c r="A226" s="1">
        <v>45567</v>
      </c>
      <c r="B226">
        <v>924</v>
      </c>
      <c r="C226" t="s">
        <v>43</v>
      </c>
      <c r="D226" t="s">
        <v>47</v>
      </c>
      <c r="E226">
        <v>606227</v>
      </c>
      <c r="F226" s="2">
        <v>0.625</v>
      </c>
      <c r="G226" t="s">
        <v>6</v>
      </c>
      <c r="H226" s="2">
        <v>0.64583333333333337</v>
      </c>
      <c r="I226">
        <v>32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1</v>
      </c>
      <c r="AC226">
        <v>1</v>
      </c>
      <c r="AD226" s="3" t="str">
        <f t="shared" si="9"/>
        <v>S2S NO PREMIUM</v>
      </c>
      <c r="AE226" s="3" t="str">
        <f>VLOOKUP(E226,'[1]Nómina Agentes'!$C:$D,2,0)</f>
        <v>NARBONA SUSAN ABRIL</v>
      </c>
      <c r="AF226" s="5">
        <f t="shared" si="10"/>
        <v>0.625</v>
      </c>
      <c r="AG226" s="5">
        <f t="shared" si="11"/>
        <v>0.64583333333333337</v>
      </c>
    </row>
    <row r="227" spans="1:33" x14ac:dyDescent="0.25">
      <c r="A227" s="1">
        <v>45567</v>
      </c>
      <c r="B227">
        <v>924</v>
      </c>
      <c r="C227" t="s">
        <v>43</v>
      </c>
      <c r="D227" t="s">
        <v>47</v>
      </c>
      <c r="E227">
        <v>606227</v>
      </c>
      <c r="F227" s="2">
        <v>0.64583333333333337</v>
      </c>
      <c r="G227" t="s">
        <v>6</v>
      </c>
      <c r="H227" s="2">
        <v>0.66666666666666663</v>
      </c>
      <c r="I227">
        <v>1167</v>
      </c>
      <c r="J227">
        <v>0</v>
      </c>
      <c r="K227">
        <v>0</v>
      </c>
      <c r="L227">
        <v>16</v>
      </c>
      <c r="M227">
        <v>0</v>
      </c>
      <c r="N227">
        <v>0</v>
      </c>
      <c r="O227">
        <v>0</v>
      </c>
      <c r="P227">
        <v>2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3</v>
      </c>
      <c r="AC227">
        <v>2</v>
      </c>
      <c r="AD227" s="3" t="str">
        <f t="shared" si="9"/>
        <v>S2S NO PREMIUM</v>
      </c>
      <c r="AE227" s="3" t="str">
        <f>VLOOKUP(E227,'[1]Nómina Agentes'!$C:$D,2,0)</f>
        <v>NARBONA SUSAN ABRIL</v>
      </c>
      <c r="AF227" s="5">
        <f t="shared" si="10"/>
        <v>0.64583333333333337</v>
      </c>
      <c r="AG227" s="5">
        <f t="shared" si="11"/>
        <v>0.66666666666666663</v>
      </c>
    </row>
    <row r="228" spans="1:33" x14ac:dyDescent="0.25">
      <c r="A228" s="1">
        <v>45567</v>
      </c>
      <c r="B228">
        <v>924</v>
      </c>
      <c r="C228" t="s">
        <v>43</v>
      </c>
      <c r="D228" t="s">
        <v>47</v>
      </c>
      <c r="E228">
        <v>606227</v>
      </c>
      <c r="F228" s="2">
        <v>0.6875</v>
      </c>
      <c r="G228" t="s">
        <v>6</v>
      </c>
      <c r="H228" s="2">
        <v>0.70833333333333337</v>
      </c>
      <c r="I228">
        <v>1236</v>
      </c>
      <c r="J228">
        <v>0</v>
      </c>
      <c r="K228">
        <v>0</v>
      </c>
      <c r="L228">
        <v>21</v>
      </c>
      <c r="M228">
        <v>0</v>
      </c>
      <c r="N228">
        <v>0</v>
      </c>
      <c r="O228">
        <v>0</v>
      </c>
      <c r="P228">
        <v>5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6</v>
      </c>
      <c r="AC228">
        <v>3</v>
      </c>
      <c r="AD228" s="3" t="str">
        <f t="shared" si="9"/>
        <v>S2S NO PREMIUM</v>
      </c>
      <c r="AE228" s="3" t="str">
        <f>VLOOKUP(E228,'[1]Nómina Agentes'!$C:$D,2,0)</f>
        <v>NARBONA SUSAN ABRIL</v>
      </c>
      <c r="AF228" s="5">
        <f t="shared" si="10"/>
        <v>0.6875</v>
      </c>
      <c r="AG228" s="5">
        <f t="shared" si="11"/>
        <v>0.70833333333333337</v>
      </c>
    </row>
    <row r="229" spans="1:33" x14ac:dyDescent="0.25">
      <c r="A229" s="1">
        <v>45567</v>
      </c>
      <c r="B229">
        <v>924</v>
      </c>
      <c r="C229" t="s">
        <v>43</v>
      </c>
      <c r="D229" t="s">
        <v>47</v>
      </c>
      <c r="E229">
        <v>606227</v>
      </c>
      <c r="F229" s="2">
        <v>0.60416666666666663</v>
      </c>
      <c r="G229" t="s">
        <v>6</v>
      </c>
      <c r="H229" s="2">
        <v>0.625</v>
      </c>
      <c r="I229">
        <v>1267</v>
      </c>
      <c r="J229">
        <v>0</v>
      </c>
      <c r="K229">
        <v>0</v>
      </c>
      <c r="L229">
        <v>9</v>
      </c>
      <c r="M229">
        <v>0</v>
      </c>
      <c r="N229">
        <v>0</v>
      </c>
      <c r="O229">
        <v>0</v>
      </c>
      <c r="P229">
        <v>2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2</v>
      </c>
      <c r="AC229">
        <v>2</v>
      </c>
      <c r="AD229" s="3" t="str">
        <f t="shared" si="9"/>
        <v>S2S NO PREMIUM</v>
      </c>
      <c r="AE229" s="3" t="str">
        <f>VLOOKUP(E229,'[1]Nómina Agentes'!$C:$D,2,0)</f>
        <v>NARBONA SUSAN ABRIL</v>
      </c>
      <c r="AF229" s="5">
        <f t="shared" si="10"/>
        <v>0.60416666666666663</v>
      </c>
      <c r="AG229" s="5">
        <f t="shared" si="11"/>
        <v>0.625</v>
      </c>
    </row>
    <row r="230" spans="1:33" x14ac:dyDescent="0.25">
      <c r="A230" s="1">
        <v>45567</v>
      </c>
      <c r="B230">
        <v>924</v>
      </c>
      <c r="C230" t="s">
        <v>43</v>
      </c>
      <c r="D230" t="s">
        <v>47</v>
      </c>
      <c r="E230">
        <v>606227</v>
      </c>
      <c r="F230" s="2">
        <v>0.58333333333333337</v>
      </c>
      <c r="G230" t="s">
        <v>6</v>
      </c>
      <c r="H230" s="2">
        <v>0.60416666666666663</v>
      </c>
      <c r="I230">
        <v>1267</v>
      </c>
      <c r="J230">
        <v>72</v>
      </c>
      <c r="K230">
        <v>0</v>
      </c>
      <c r="L230">
        <v>13</v>
      </c>
      <c r="M230">
        <v>0</v>
      </c>
      <c r="N230">
        <v>0</v>
      </c>
      <c r="O230">
        <v>0</v>
      </c>
      <c r="P230">
        <v>1</v>
      </c>
      <c r="Q230">
        <v>1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</v>
      </c>
      <c r="AC230">
        <v>1</v>
      </c>
      <c r="AD230" s="3" t="str">
        <f t="shared" si="9"/>
        <v>S2S NO PREMIUM</v>
      </c>
      <c r="AE230" s="3" t="str">
        <f>VLOOKUP(E230,'[1]Nómina Agentes'!$C:$D,2,0)</f>
        <v>NARBONA SUSAN ABRIL</v>
      </c>
      <c r="AF230" s="5">
        <f t="shared" si="10"/>
        <v>0.58333333333333337</v>
      </c>
      <c r="AG230" s="5">
        <f t="shared" si="11"/>
        <v>0.60416666666666663</v>
      </c>
    </row>
    <row r="231" spans="1:33" x14ac:dyDescent="0.25">
      <c r="A231" s="1">
        <v>45567</v>
      </c>
      <c r="B231">
        <v>924</v>
      </c>
      <c r="C231" t="s">
        <v>43</v>
      </c>
      <c r="D231" t="s">
        <v>47</v>
      </c>
      <c r="E231">
        <v>606227</v>
      </c>
      <c r="F231" s="2">
        <v>0.66666666666666663</v>
      </c>
      <c r="G231" t="s">
        <v>6</v>
      </c>
      <c r="H231" s="2">
        <v>0.6875</v>
      </c>
      <c r="I231">
        <v>1417</v>
      </c>
      <c r="J231">
        <v>0</v>
      </c>
      <c r="K231">
        <v>0</v>
      </c>
      <c r="L231">
        <v>17</v>
      </c>
      <c r="M231">
        <v>0</v>
      </c>
      <c r="N231">
        <v>0</v>
      </c>
      <c r="O231">
        <v>0</v>
      </c>
      <c r="P231">
        <v>67</v>
      </c>
      <c r="Q231">
        <v>61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4</v>
      </c>
      <c r="AC231">
        <v>3</v>
      </c>
      <c r="AD231" s="3" t="str">
        <f t="shared" si="9"/>
        <v>S2S NO PREMIUM</v>
      </c>
      <c r="AE231" s="3" t="str">
        <f>VLOOKUP(E231,'[1]Nómina Agentes'!$C:$D,2,0)</f>
        <v>NARBONA SUSAN ABRIL</v>
      </c>
      <c r="AF231" s="5">
        <f t="shared" si="10"/>
        <v>0.66666666666666663</v>
      </c>
      <c r="AG231" s="5">
        <f t="shared" si="11"/>
        <v>0.6875</v>
      </c>
    </row>
    <row r="232" spans="1:33" x14ac:dyDescent="0.25">
      <c r="A232" s="1">
        <v>45567</v>
      </c>
      <c r="B232">
        <v>924</v>
      </c>
      <c r="C232" t="s">
        <v>43</v>
      </c>
      <c r="D232" t="s">
        <v>110</v>
      </c>
      <c r="E232">
        <v>606239</v>
      </c>
      <c r="F232" s="2">
        <v>0.60416666666666663</v>
      </c>
      <c r="G232" t="s">
        <v>6</v>
      </c>
      <c r="H232" s="2">
        <v>0.625</v>
      </c>
      <c r="I232">
        <v>88</v>
      </c>
      <c r="J232">
        <v>0</v>
      </c>
      <c r="K232">
        <v>0</v>
      </c>
      <c r="L232">
        <v>4</v>
      </c>
      <c r="M232">
        <v>0</v>
      </c>
      <c r="N232">
        <v>0</v>
      </c>
      <c r="O232">
        <v>0</v>
      </c>
      <c r="P232">
        <v>1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1</v>
      </c>
      <c r="AC232">
        <v>0</v>
      </c>
      <c r="AD232" s="3" t="str">
        <f t="shared" si="9"/>
        <v>S2S NO PREMIUM</v>
      </c>
      <c r="AE232" s="3" t="str">
        <f>VLOOKUP(E232,'[1]Nómina Agentes'!$C:$D,2,0)</f>
        <v>TORRES LUNA</v>
      </c>
      <c r="AF232" s="5">
        <f t="shared" si="10"/>
        <v>0.60416666666666663</v>
      </c>
      <c r="AG232" s="5">
        <f t="shared" si="11"/>
        <v>0.625</v>
      </c>
    </row>
    <row r="233" spans="1:33" x14ac:dyDescent="0.25">
      <c r="A233" s="1">
        <v>45567</v>
      </c>
      <c r="B233">
        <v>924</v>
      </c>
      <c r="C233" t="s">
        <v>43</v>
      </c>
      <c r="D233" t="s">
        <v>110</v>
      </c>
      <c r="E233">
        <v>606239</v>
      </c>
      <c r="F233" s="2">
        <v>0.58333333333333337</v>
      </c>
      <c r="G233" t="s">
        <v>6</v>
      </c>
      <c r="H233" s="2">
        <v>0.60416666666666663</v>
      </c>
      <c r="I233">
        <v>413</v>
      </c>
      <c r="J233">
        <v>0</v>
      </c>
      <c r="K233">
        <v>0</v>
      </c>
      <c r="L233">
        <v>12</v>
      </c>
      <c r="M233">
        <v>0</v>
      </c>
      <c r="N233">
        <v>0</v>
      </c>
      <c r="O233">
        <v>0</v>
      </c>
      <c r="P233">
        <v>3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3</v>
      </c>
      <c r="AC233">
        <v>3</v>
      </c>
      <c r="AD233" s="3" t="str">
        <f t="shared" si="9"/>
        <v>S2S NO PREMIUM</v>
      </c>
      <c r="AE233" s="3" t="str">
        <f>VLOOKUP(E233,'[1]Nómina Agentes'!$C:$D,2,0)</f>
        <v>TORRES LUNA</v>
      </c>
      <c r="AF233" s="5">
        <f t="shared" si="10"/>
        <v>0.58333333333333337</v>
      </c>
      <c r="AG233" s="5">
        <f t="shared" si="11"/>
        <v>0.60416666666666663</v>
      </c>
    </row>
    <row r="234" spans="1:33" x14ac:dyDescent="0.25">
      <c r="A234" s="1">
        <v>45567</v>
      </c>
      <c r="B234">
        <v>924</v>
      </c>
      <c r="C234" t="s">
        <v>43</v>
      </c>
      <c r="D234" t="s">
        <v>162</v>
      </c>
      <c r="E234">
        <v>606249</v>
      </c>
      <c r="F234" s="2">
        <v>0.79166666666666663</v>
      </c>
      <c r="G234" t="s">
        <v>6</v>
      </c>
      <c r="H234" s="2">
        <v>0.8125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 s="3" t="str">
        <f t="shared" si="9"/>
        <v>S2S NO PREMIUM</v>
      </c>
      <c r="AE234" s="3" t="str">
        <f>VLOOKUP(E234,'[1]Nómina Agentes'!$C:$D,2,0)</f>
        <v>DURO CANDELA MILAGROS</v>
      </c>
      <c r="AF234" s="5">
        <f t="shared" si="10"/>
        <v>0.79166666666666663</v>
      </c>
      <c r="AG234" s="5">
        <f t="shared" si="11"/>
        <v>0.8125</v>
      </c>
    </row>
    <row r="235" spans="1:33" x14ac:dyDescent="0.25">
      <c r="A235" s="1">
        <v>45567</v>
      </c>
      <c r="B235">
        <v>924</v>
      </c>
      <c r="C235" t="s">
        <v>43</v>
      </c>
      <c r="D235" t="s">
        <v>162</v>
      </c>
      <c r="E235">
        <v>606249</v>
      </c>
      <c r="F235" s="2">
        <v>0.77083333333333337</v>
      </c>
      <c r="G235" t="s">
        <v>6</v>
      </c>
      <c r="H235" s="2">
        <v>0.79166666666666663</v>
      </c>
      <c r="I235">
        <v>320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2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1</v>
      </c>
      <c r="AC235">
        <v>1</v>
      </c>
      <c r="AD235" s="3" t="str">
        <f t="shared" si="9"/>
        <v>S2S NO PREMIUM</v>
      </c>
      <c r="AE235" s="3" t="str">
        <f>VLOOKUP(E235,'[1]Nómina Agentes'!$C:$D,2,0)</f>
        <v>DURO CANDELA MILAGROS</v>
      </c>
      <c r="AF235" s="5">
        <f t="shared" si="10"/>
        <v>0.77083333333333337</v>
      </c>
      <c r="AG235" s="5">
        <f t="shared" si="11"/>
        <v>0.79166666666666663</v>
      </c>
    </row>
    <row r="236" spans="1:33" x14ac:dyDescent="0.25">
      <c r="A236" s="1">
        <v>45567</v>
      </c>
      <c r="B236">
        <v>924</v>
      </c>
      <c r="C236" t="s">
        <v>43</v>
      </c>
      <c r="D236" t="s">
        <v>162</v>
      </c>
      <c r="E236">
        <v>606249</v>
      </c>
      <c r="F236" s="2">
        <v>0.72916666666666663</v>
      </c>
      <c r="G236" t="s">
        <v>6</v>
      </c>
      <c r="H236" s="2">
        <v>0.75</v>
      </c>
      <c r="I236">
        <v>478</v>
      </c>
      <c r="J236">
        <v>0</v>
      </c>
      <c r="K236">
        <v>0</v>
      </c>
      <c r="L236">
        <v>17</v>
      </c>
      <c r="M236">
        <v>0</v>
      </c>
      <c r="N236">
        <v>0</v>
      </c>
      <c r="O236">
        <v>0</v>
      </c>
      <c r="P236">
        <v>3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5</v>
      </c>
      <c r="AC236">
        <v>4</v>
      </c>
      <c r="AD236" s="3" t="str">
        <f t="shared" si="9"/>
        <v>S2S NO PREMIUM</v>
      </c>
      <c r="AE236" s="3" t="str">
        <f>VLOOKUP(E236,'[1]Nómina Agentes'!$C:$D,2,0)</f>
        <v>DURO CANDELA MILAGROS</v>
      </c>
      <c r="AF236" s="5">
        <f t="shared" si="10"/>
        <v>0.72916666666666663</v>
      </c>
      <c r="AG236" s="5">
        <f t="shared" si="11"/>
        <v>0.75</v>
      </c>
    </row>
    <row r="237" spans="1:33" x14ac:dyDescent="0.25">
      <c r="A237" s="1">
        <v>45567</v>
      </c>
      <c r="B237">
        <v>924</v>
      </c>
      <c r="C237" t="s">
        <v>43</v>
      </c>
      <c r="D237" t="s">
        <v>162</v>
      </c>
      <c r="E237">
        <v>606249</v>
      </c>
      <c r="F237" s="2">
        <v>0.8125</v>
      </c>
      <c r="G237" t="s">
        <v>6</v>
      </c>
      <c r="H237" s="2">
        <v>0.83333333333333337</v>
      </c>
      <c r="I237">
        <v>515</v>
      </c>
      <c r="J237">
        <v>0</v>
      </c>
      <c r="K237">
        <v>0</v>
      </c>
      <c r="L237">
        <v>8</v>
      </c>
      <c r="M237">
        <v>0</v>
      </c>
      <c r="N237">
        <v>0</v>
      </c>
      <c r="O237">
        <v>0</v>
      </c>
      <c r="P237">
        <v>2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2</v>
      </c>
      <c r="AC237">
        <v>2</v>
      </c>
      <c r="AD237" s="3" t="str">
        <f t="shared" si="9"/>
        <v>S2S NO PREMIUM</v>
      </c>
      <c r="AE237" s="3" t="str">
        <f>VLOOKUP(E237,'[1]Nómina Agentes'!$C:$D,2,0)</f>
        <v>DURO CANDELA MILAGROS</v>
      </c>
      <c r="AF237" s="5">
        <f t="shared" si="10"/>
        <v>0.8125</v>
      </c>
      <c r="AG237" s="5">
        <f t="shared" si="11"/>
        <v>0.83333333333333337</v>
      </c>
    </row>
    <row r="238" spans="1:33" x14ac:dyDescent="0.25">
      <c r="A238" s="1">
        <v>45567</v>
      </c>
      <c r="B238">
        <v>924</v>
      </c>
      <c r="C238" t="s">
        <v>43</v>
      </c>
      <c r="D238" t="s">
        <v>162</v>
      </c>
      <c r="E238">
        <v>606249</v>
      </c>
      <c r="F238" s="2">
        <v>0.625</v>
      </c>
      <c r="G238" t="s">
        <v>6</v>
      </c>
      <c r="H238" s="2">
        <v>0.64583333333333337</v>
      </c>
      <c r="I238">
        <v>601</v>
      </c>
      <c r="J238">
        <v>0</v>
      </c>
      <c r="K238">
        <v>0</v>
      </c>
      <c r="L238">
        <v>21</v>
      </c>
      <c r="M238">
        <v>0</v>
      </c>
      <c r="N238">
        <v>0</v>
      </c>
      <c r="O238">
        <v>0</v>
      </c>
      <c r="P238">
        <v>136</v>
      </c>
      <c r="Q238">
        <v>130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4</v>
      </c>
      <c r="AC238">
        <v>3</v>
      </c>
      <c r="AD238" s="3" t="str">
        <f t="shared" si="9"/>
        <v>S2S NO PREMIUM</v>
      </c>
      <c r="AE238" s="3" t="str">
        <f>VLOOKUP(E238,'[1]Nómina Agentes'!$C:$D,2,0)</f>
        <v>DURO CANDELA MILAGROS</v>
      </c>
      <c r="AF238" s="5">
        <f t="shared" si="10"/>
        <v>0.625</v>
      </c>
      <c r="AG238" s="5">
        <f t="shared" si="11"/>
        <v>0.64583333333333337</v>
      </c>
    </row>
    <row r="239" spans="1:33" x14ac:dyDescent="0.25">
      <c r="A239" s="1">
        <v>45567</v>
      </c>
      <c r="B239">
        <v>924</v>
      </c>
      <c r="C239" t="s">
        <v>43</v>
      </c>
      <c r="D239" t="s">
        <v>162</v>
      </c>
      <c r="E239">
        <v>606249</v>
      </c>
      <c r="F239" s="2">
        <v>0.70833333333333337</v>
      </c>
      <c r="G239" t="s">
        <v>6</v>
      </c>
      <c r="H239" s="2">
        <v>0.72916666666666663</v>
      </c>
      <c r="I239">
        <v>779</v>
      </c>
      <c r="J239">
        <v>0</v>
      </c>
      <c r="K239">
        <v>0</v>
      </c>
      <c r="L239">
        <v>26</v>
      </c>
      <c r="M239">
        <v>0</v>
      </c>
      <c r="N239">
        <v>0</v>
      </c>
      <c r="O239">
        <v>0</v>
      </c>
      <c r="P239">
        <v>5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6</v>
      </c>
      <c r="AC239">
        <v>5</v>
      </c>
      <c r="AD239" s="3" t="str">
        <f t="shared" si="9"/>
        <v>S2S NO PREMIUM</v>
      </c>
      <c r="AE239" s="3" t="str">
        <f>VLOOKUP(E239,'[1]Nómina Agentes'!$C:$D,2,0)</f>
        <v>DURO CANDELA MILAGROS</v>
      </c>
      <c r="AF239" s="5">
        <f t="shared" si="10"/>
        <v>0.70833333333333337</v>
      </c>
      <c r="AG239" s="5">
        <f t="shared" si="11"/>
        <v>0.72916666666666663</v>
      </c>
    </row>
    <row r="240" spans="1:33" x14ac:dyDescent="0.25">
      <c r="A240" s="1">
        <v>45567</v>
      </c>
      <c r="B240">
        <v>924</v>
      </c>
      <c r="C240" t="s">
        <v>43</v>
      </c>
      <c r="D240" t="s">
        <v>162</v>
      </c>
      <c r="E240">
        <v>606249</v>
      </c>
      <c r="F240" s="2">
        <v>0.64583333333333337</v>
      </c>
      <c r="G240" t="s">
        <v>6</v>
      </c>
      <c r="H240" s="2">
        <v>0.66666666666666663</v>
      </c>
      <c r="I240">
        <v>860</v>
      </c>
      <c r="J240">
        <v>0</v>
      </c>
      <c r="K240">
        <v>0</v>
      </c>
      <c r="L240">
        <v>25</v>
      </c>
      <c r="M240">
        <v>0</v>
      </c>
      <c r="N240">
        <v>0</v>
      </c>
      <c r="O240">
        <v>0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5</v>
      </c>
      <c r="AC240">
        <v>3</v>
      </c>
      <c r="AD240" s="3" t="str">
        <f t="shared" si="9"/>
        <v>S2S NO PREMIUM</v>
      </c>
      <c r="AE240" s="3" t="str">
        <f>VLOOKUP(E240,'[1]Nómina Agentes'!$C:$D,2,0)</f>
        <v>DURO CANDELA MILAGROS</v>
      </c>
      <c r="AF240" s="5">
        <f t="shared" si="10"/>
        <v>0.64583333333333337</v>
      </c>
      <c r="AG240" s="5">
        <f t="shared" si="11"/>
        <v>0.66666666666666663</v>
      </c>
    </row>
    <row r="241" spans="1:33" x14ac:dyDescent="0.25">
      <c r="A241" s="1">
        <v>45567</v>
      </c>
      <c r="B241">
        <v>924</v>
      </c>
      <c r="C241" t="s">
        <v>43</v>
      </c>
      <c r="D241" t="s">
        <v>162</v>
      </c>
      <c r="E241">
        <v>606249</v>
      </c>
      <c r="F241" s="2">
        <v>0.6875</v>
      </c>
      <c r="G241" t="s">
        <v>6</v>
      </c>
      <c r="H241" s="2">
        <v>0.70833333333333337</v>
      </c>
      <c r="I241">
        <v>1083</v>
      </c>
      <c r="J241">
        <v>0</v>
      </c>
      <c r="K241">
        <v>0</v>
      </c>
      <c r="L241">
        <v>32</v>
      </c>
      <c r="M241">
        <v>0</v>
      </c>
      <c r="N241">
        <v>0</v>
      </c>
      <c r="O241">
        <v>0</v>
      </c>
      <c r="P241">
        <v>7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8</v>
      </c>
      <c r="AC241">
        <v>7</v>
      </c>
      <c r="AD241" s="3" t="str">
        <f t="shared" si="9"/>
        <v>S2S NO PREMIUM</v>
      </c>
      <c r="AE241" s="3" t="str">
        <f>VLOOKUP(E241,'[1]Nómina Agentes'!$C:$D,2,0)</f>
        <v>DURO CANDELA MILAGROS</v>
      </c>
      <c r="AF241" s="5">
        <f t="shared" si="10"/>
        <v>0.6875</v>
      </c>
      <c r="AG241" s="5">
        <f t="shared" si="11"/>
        <v>0.70833333333333337</v>
      </c>
    </row>
    <row r="242" spans="1:33" x14ac:dyDescent="0.25">
      <c r="A242" s="1">
        <v>45567</v>
      </c>
      <c r="B242">
        <v>924</v>
      </c>
      <c r="C242" t="s">
        <v>43</v>
      </c>
      <c r="D242" t="s">
        <v>162</v>
      </c>
      <c r="E242">
        <v>606249</v>
      </c>
      <c r="F242" s="2">
        <v>0.66666666666666663</v>
      </c>
      <c r="G242" t="s">
        <v>6</v>
      </c>
      <c r="H242" s="2">
        <v>0.6875</v>
      </c>
      <c r="I242">
        <v>1176</v>
      </c>
      <c r="J242">
        <v>0</v>
      </c>
      <c r="K242">
        <v>0</v>
      </c>
      <c r="L242">
        <v>20</v>
      </c>
      <c r="M242">
        <v>0</v>
      </c>
      <c r="N242">
        <v>0</v>
      </c>
      <c r="O242">
        <v>0</v>
      </c>
      <c r="P242">
        <v>101</v>
      </c>
      <c r="Q242">
        <v>89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5</v>
      </c>
      <c r="AC242">
        <v>3</v>
      </c>
      <c r="AD242" s="3" t="str">
        <f t="shared" si="9"/>
        <v>S2S NO PREMIUM</v>
      </c>
      <c r="AE242" s="3" t="str">
        <f>VLOOKUP(E242,'[1]Nómina Agentes'!$C:$D,2,0)</f>
        <v>DURO CANDELA MILAGROS</v>
      </c>
      <c r="AF242" s="5">
        <f t="shared" si="10"/>
        <v>0.66666666666666663</v>
      </c>
      <c r="AG242" s="5">
        <f t="shared" si="11"/>
        <v>0.6875</v>
      </c>
    </row>
    <row r="243" spans="1:33" x14ac:dyDescent="0.25">
      <c r="A243" s="1">
        <v>45567</v>
      </c>
      <c r="B243">
        <v>924</v>
      </c>
      <c r="C243" t="s">
        <v>43</v>
      </c>
      <c r="D243" t="s">
        <v>162</v>
      </c>
      <c r="E243">
        <v>606249</v>
      </c>
      <c r="F243" s="2">
        <v>0.75</v>
      </c>
      <c r="G243" t="s">
        <v>6</v>
      </c>
      <c r="H243" s="2">
        <v>0.77083333333333337</v>
      </c>
      <c r="I243">
        <v>1614</v>
      </c>
      <c r="J243">
        <v>0</v>
      </c>
      <c r="K243">
        <v>0</v>
      </c>
      <c r="L243">
        <v>29</v>
      </c>
      <c r="M243">
        <v>0</v>
      </c>
      <c r="N243">
        <v>0</v>
      </c>
      <c r="O243">
        <v>0</v>
      </c>
      <c r="P243">
        <v>6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6</v>
      </c>
      <c r="AC243">
        <v>6</v>
      </c>
      <c r="AD243" s="3" t="str">
        <f t="shared" si="9"/>
        <v>S2S NO PREMIUM</v>
      </c>
      <c r="AE243" s="3" t="str">
        <f>VLOOKUP(E243,'[1]Nómina Agentes'!$C:$D,2,0)</f>
        <v>DURO CANDELA MILAGROS</v>
      </c>
      <c r="AF243" s="5">
        <f t="shared" si="10"/>
        <v>0.75</v>
      </c>
      <c r="AG243" s="5">
        <f t="shared" si="11"/>
        <v>0.77083333333333337</v>
      </c>
    </row>
    <row r="244" spans="1:33" x14ac:dyDescent="0.25">
      <c r="A244" s="1">
        <v>45567</v>
      </c>
      <c r="B244">
        <v>924</v>
      </c>
      <c r="C244" t="s">
        <v>43</v>
      </c>
      <c r="D244" t="s">
        <v>119</v>
      </c>
      <c r="E244">
        <v>606264</v>
      </c>
      <c r="F244" s="2">
        <v>0.625</v>
      </c>
      <c r="G244" t="s">
        <v>6</v>
      </c>
      <c r="H244" s="2">
        <v>0.64583333333333337</v>
      </c>
      <c r="I244">
        <v>750</v>
      </c>
      <c r="J244">
        <v>0</v>
      </c>
      <c r="K244">
        <v>0</v>
      </c>
      <c r="L244">
        <v>13</v>
      </c>
      <c r="M244">
        <v>0</v>
      </c>
      <c r="N244">
        <v>0</v>
      </c>
      <c r="O244">
        <v>0</v>
      </c>
      <c r="P244">
        <v>63</v>
      </c>
      <c r="Q244">
        <v>58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4</v>
      </c>
      <c r="AC244">
        <v>4</v>
      </c>
      <c r="AD244" s="3" t="str">
        <f t="shared" si="9"/>
        <v>S2S NO PREMIUM</v>
      </c>
      <c r="AE244" s="3" t="str">
        <f>VLOOKUP(E244,'[1]Nómina Agentes'!$C:$D,2,0)</f>
        <v>ACOSTA SEBASTIAN</v>
      </c>
      <c r="AF244" s="5">
        <f t="shared" si="10"/>
        <v>0.625</v>
      </c>
      <c r="AG244" s="5">
        <f t="shared" si="11"/>
        <v>0.64583333333333337</v>
      </c>
    </row>
    <row r="245" spans="1:33" x14ac:dyDescent="0.25">
      <c r="A245" s="1">
        <v>45567</v>
      </c>
      <c r="B245">
        <v>924</v>
      </c>
      <c r="C245" t="s">
        <v>43</v>
      </c>
      <c r="D245" t="s">
        <v>119</v>
      </c>
      <c r="E245">
        <v>606264</v>
      </c>
      <c r="F245" s="2">
        <v>0.60416666666666663</v>
      </c>
      <c r="G245" t="s">
        <v>6</v>
      </c>
      <c r="H245" s="2">
        <v>0.625</v>
      </c>
      <c r="I245">
        <v>904</v>
      </c>
      <c r="J245">
        <v>0</v>
      </c>
      <c r="K245">
        <v>0</v>
      </c>
      <c r="L245">
        <v>12</v>
      </c>
      <c r="M245">
        <v>0</v>
      </c>
      <c r="N245">
        <v>0</v>
      </c>
      <c r="O245">
        <v>0</v>
      </c>
      <c r="P245">
        <v>4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3</v>
      </c>
      <c r="AC245">
        <v>3</v>
      </c>
      <c r="AD245" s="3" t="str">
        <f t="shared" si="9"/>
        <v>S2S NO PREMIUM</v>
      </c>
      <c r="AE245" s="3" t="str">
        <f>VLOOKUP(E245,'[1]Nómina Agentes'!$C:$D,2,0)</f>
        <v>ACOSTA SEBASTIAN</v>
      </c>
      <c r="AF245" s="5">
        <f t="shared" si="10"/>
        <v>0.60416666666666663</v>
      </c>
      <c r="AG245" s="5">
        <f t="shared" si="11"/>
        <v>0.625</v>
      </c>
    </row>
    <row r="246" spans="1:33" x14ac:dyDescent="0.25">
      <c r="A246" s="1">
        <v>45567</v>
      </c>
      <c r="B246">
        <v>924</v>
      </c>
      <c r="C246" t="s">
        <v>43</v>
      </c>
      <c r="D246" t="s">
        <v>119</v>
      </c>
      <c r="E246">
        <v>606264</v>
      </c>
      <c r="F246" s="2">
        <v>0.58333333333333337</v>
      </c>
      <c r="G246" t="s">
        <v>6</v>
      </c>
      <c r="H246" s="2">
        <v>0.60416666666666663</v>
      </c>
      <c r="I246">
        <v>976</v>
      </c>
      <c r="J246">
        <v>0</v>
      </c>
      <c r="K246">
        <v>0</v>
      </c>
      <c r="L246">
        <v>19</v>
      </c>
      <c r="M246">
        <v>0</v>
      </c>
      <c r="N246">
        <v>0</v>
      </c>
      <c r="O246">
        <v>0</v>
      </c>
      <c r="P246">
        <v>3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3</v>
      </c>
      <c r="AC246">
        <v>3</v>
      </c>
      <c r="AD246" s="3" t="str">
        <f t="shared" si="9"/>
        <v>S2S NO PREMIUM</v>
      </c>
      <c r="AE246" s="3" t="str">
        <f>VLOOKUP(E246,'[1]Nómina Agentes'!$C:$D,2,0)</f>
        <v>ACOSTA SEBASTIAN</v>
      </c>
      <c r="AF246" s="5">
        <f t="shared" si="10"/>
        <v>0.58333333333333337</v>
      </c>
      <c r="AG246" s="5">
        <f t="shared" si="11"/>
        <v>0.60416666666666663</v>
      </c>
    </row>
    <row r="247" spans="1:33" x14ac:dyDescent="0.25">
      <c r="A247" s="1">
        <v>45567</v>
      </c>
      <c r="B247">
        <v>925</v>
      </c>
      <c r="C247" t="s">
        <v>42</v>
      </c>
      <c r="D247" t="s">
        <v>163</v>
      </c>
      <c r="E247">
        <v>606285</v>
      </c>
      <c r="F247" s="2">
        <v>0.64583333333333337</v>
      </c>
      <c r="G247" t="s">
        <v>6</v>
      </c>
      <c r="H247" s="2">
        <v>0.66666666666666663</v>
      </c>
      <c r="I247">
        <v>220</v>
      </c>
      <c r="J247">
        <v>0</v>
      </c>
      <c r="K247">
        <v>0</v>
      </c>
      <c r="L247">
        <v>8</v>
      </c>
      <c r="M247">
        <v>0</v>
      </c>
      <c r="N247">
        <v>0</v>
      </c>
      <c r="O247">
        <v>0</v>
      </c>
      <c r="P247">
        <v>2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2</v>
      </c>
      <c r="AC247">
        <v>2</v>
      </c>
      <c r="AD247" s="3" t="str">
        <f t="shared" si="9"/>
        <v>S2S PREMIUM</v>
      </c>
      <c r="AE247" s="3" t="str">
        <f>VLOOKUP(E247,'[1]Nómina Agentes'!$C:$D,2,0)</f>
        <v>PAEZ LUCAS ENZO GREGORIO</v>
      </c>
      <c r="AF247" s="5">
        <f t="shared" si="10"/>
        <v>0.64583333333333337</v>
      </c>
      <c r="AG247" s="5">
        <f t="shared" si="11"/>
        <v>0.66666666666666663</v>
      </c>
    </row>
    <row r="248" spans="1:33" x14ac:dyDescent="0.25">
      <c r="A248" s="1">
        <v>45567</v>
      </c>
      <c r="B248">
        <v>925</v>
      </c>
      <c r="C248" t="s">
        <v>42</v>
      </c>
      <c r="D248" t="s">
        <v>163</v>
      </c>
      <c r="E248">
        <v>606285</v>
      </c>
      <c r="F248" s="2">
        <v>0.625</v>
      </c>
      <c r="G248" t="s">
        <v>6</v>
      </c>
      <c r="H248" s="2">
        <v>0.64583333333333337</v>
      </c>
      <c r="I248">
        <v>366</v>
      </c>
      <c r="J248">
        <v>0</v>
      </c>
      <c r="K248">
        <v>0</v>
      </c>
      <c r="L248">
        <v>16</v>
      </c>
      <c r="M248">
        <v>0</v>
      </c>
      <c r="N248">
        <v>0</v>
      </c>
      <c r="O248">
        <v>0</v>
      </c>
      <c r="P248">
        <v>192</v>
      </c>
      <c r="Q248">
        <v>147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</v>
      </c>
      <c r="AC248">
        <v>2</v>
      </c>
      <c r="AD248" s="3" t="str">
        <f t="shared" si="9"/>
        <v>S2S PREMIUM</v>
      </c>
      <c r="AE248" s="3" t="str">
        <f>VLOOKUP(E248,'[1]Nómina Agentes'!$C:$D,2,0)</f>
        <v>PAEZ LUCAS ENZO GREGORIO</v>
      </c>
      <c r="AF248" s="5">
        <f t="shared" si="10"/>
        <v>0.625</v>
      </c>
      <c r="AG248" s="5">
        <f t="shared" si="11"/>
        <v>0.64583333333333337</v>
      </c>
    </row>
    <row r="249" spans="1:33" x14ac:dyDescent="0.25">
      <c r="A249" s="1">
        <v>45567</v>
      </c>
      <c r="B249">
        <v>925</v>
      </c>
      <c r="C249" t="s">
        <v>42</v>
      </c>
      <c r="D249" t="s">
        <v>163</v>
      </c>
      <c r="E249">
        <v>606285</v>
      </c>
      <c r="F249" s="2">
        <v>0.75</v>
      </c>
      <c r="G249" t="s">
        <v>6</v>
      </c>
      <c r="H249" s="2">
        <v>0.77083333333333337</v>
      </c>
      <c r="I249">
        <v>481</v>
      </c>
      <c r="J249">
        <v>0</v>
      </c>
      <c r="K249">
        <v>0</v>
      </c>
      <c r="L249">
        <v>12</v>
      </c>
      <c r="M249">
        <v>0</v>
      </c>
      <c r="N249">
        <v>0</v>
      </c>
      <c r="O249">
        <v>0</v>
      </c>
      <c r="P249">
        <v>2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2</v>
      </c>
      <c r="AC249">
        <v>2</v>
      </c>
      <c r="AD249" s="3" t="str">
        <f t="shared" si="9"/>
        <v>S2S PREMIUM</v>
      </c>
      <c r="AE249" s="3" t="str">
        <f>VLOOKUP(E249,'[1]Nómina Agentes'!$C:$D,2,0)</f>
        <v>PAEZ LUCAS ENZO GREGORIO</v>
      </c>
      <c r="AF249" s="5">
        <f t="shared" si="10"/>
        <v>0.75</v>
      </c>
      <c r="AG249" s="5">
        <f t="shared" si="11"/>
        <v>0.77083333333333337</v>
      </c>
    </row>
    <row r="250" spans="1:33" x14ac:dyDescent="0.25">
      <c r="A250" s="1">
        <v>45567</v>
      </c>
      <c r="B250">
        <v>925</v>
      </c>
      <c r="C250" t="s">
        <v>42</v>
      </c>
      <c r="D250" t="s">
        <v>163</v>
      </c>
      <c r="E250">
        <v>606285</v>
      </c>
      <c r="F250" s="2">
        <v>0.77083333333333337</v>
      </c>
      <c r="G250" t="s">
        <v>6</v>
      </c>
      <c r="H250" s="2">
        <v>0.79166666666666663</v>
      </c>
      <c r="I250">
        <v>573</v>
      </c>
      <c r="J250">
        <v>0</v>
      </c>
      <c r="K250">
        <v>0</v>
      </c>
      <c r="L250">
        <v>8</v>
      </c>
      <c r="M250">
        <v>0</v>
      </c>
      <c r="N250">
        <v>0</v>
      </c>
      <c r="O250">
        <v>0</v>
      </c>
      <c r="P250">
        <v>110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2</v>
      </c>
      <c r="AC250">
        <v>1</v>
      </c>
      <c r="AD250" s="3" t="str">
        <f t="shared" si="9"/>
        <v>S2S PREMIUM</v>
      </c>
      <c r="AE250" s="3" t="str">
        <f>VLOOKUP(E250,'[1]Nómina Agentes'!$C:$D,2,0)</f>
        <v>PAEZ LUCAS ENZO GREGORIO</v>
      </c>
      <c r="AF250" s="5">
        <f t="shared" si="10"/>
        <v>0.77083333333333337</v>
      </c>
      <c r="AG250" s="5">
        <f t="shared" si="11"/>
        <v>0.79166666666666663</v>
      </c>
    </row>
    <row r="251" spans="1:33" x14ac:dyDescent="0.25">
      <c r="A251" s="1">
        <v>45567</v>
      </c>
      <c r="B251">
        <v>925</v>
      </c>
      <c r="C251" t="s">
        <v>42</v>
      </c>
      <c r="D251" t="s">
        <v>163</v>
      </c>
      <c r="E251">
        <v>606285</v>
      </c>
      <c r="F251" s="2">
        <v>0.8125</v>
      </c>
      <c r="G251" t="s">
        <v>6</v>
      </c>
      <c r="H251" s="2">
        <v>0.83333333333333337</v>
      </c>
      <c r="I251">
        <v>650</v>
      </c>
      <c r="J251">
        <v>0</v>
      </c>
      <c r="K251">
        <v>0</v>
      </c>
      <c r="L251">
        <v>17</v>
      </c>
      <c r="M251">
        <v>0</v>
      </c>
      <c r="N251">
        <v>0</v>
      </c>
      <c r="O251">
        <v>0</v>
      </c>
      <c r="P251">
        <v>2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3</v>
      </c>
      <c r="AC251">
        <v>2</v>
      </c>
      <c r="AD251" s="3" t="str">
        <f t="shared" si="9"/>
        <v>S2S PREMIUM</v>
      </c>
      <c r="AE251" s="3" t="str">
        <f>VLOOKUP(E251,'[1]Nómina Agentes'!$C:$D,2,0)</f>
        <v>PAEZ LUCAS ENZO GREGORIO</v>
      </c>
      <c r="AF251" s="5">
        <f t="shared" si="10"/>
        <v>0.8125</v>
      </c>
      <c r="AG251" s="5">
        <f t="shared" si="11"/>
        <v>0.83333333333333337</v>
      </c>
    </row>
    <row r="252" spans="1:33" x14ac:dyDescent="0.25">
      <c r="A252" s="1">
        <v>45567</v>
      </c>
      <c r="B252">
        <v>925</v>
      </c>
      <c r="C252" t="s">
        <v>42</v>
      </c>
      <c r="D252" t="s">
        <v>163</v>
      </c>
      <c r="E252">
        <v>606285</v>
      </c>
      <c r="F252" s="2">
        <v>0.79166666666666663</v>
      </c>
      <c r="G252" t="s">
        <v>6</v>
      </c>
      <c r="H252" s="2">
        <v>0.8125</v>
      </c>
      <c r="I252">
        <v>733</v>
      </c>
      <c r="J252">
        <v>77</v>
      </c>
      <c r="K252">
        <v>0</v>
      </c>
      <c r="L252">
        <v>16</v>
      </c>
      <c r="M252">
        <v>0</v>
      </c>
      <c r="N252">
        <v>0</v>
      </c>
      <c r="O252">
        <v>0</v>
      </c>
      <c r="P252">
        <v>1169</v>
      </c>
      <c r="Q252">
        <v>131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5</v>
      </c>
      <c r="AC252">
        <v>5</v>
      </c>
      <c r="AD252" s="3" t="str">
        <f t="shared" si="9"/>
        <v>S2S PREMIUM</v>
      </c>
      <c r="AE252" s="3" t="str">
        <f>VLOOKUP(E252,'[1]Nómina Agentes'!$C:$D,2,0)</f>
        <v>PAEZ LUCAS ENZO GREGORIO</v>
      </c>
      <c r="AF252" s="5">
        <f t="shared" si="10"/>
        <v>0.79166666666666663</v>
      </c>
      <c r="AG252" s="5">
        <f t="shared" si="11"/>
        <v>0.8125</v>
      </c>
    </row>
    <row r="253" spans="1:33" x14ac:dyDescent="0.25">
      <c r="A253" s="1">
        <v>45567</v>
      </c>
      <c r="B253">
        <v>924</v>
      </c>
      <c r="C253" t="s">
        <v>43</v>
      </c>
      <c r="D253" t="s">
        <v>164</v>
      </c>
      <c r="E253">
        <v>606286</v>
      </c>
      <c r="F253" s="2">
        <v>0.64583333333333337</v>
      </c>
      <c r="G253" t="s">
        <v>6</v>
      </c>
      <c r="H253" s="2">
        <v>0.66666666666666663</v>
      </c>
      <c r="I253">
        <v>41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1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</v>
      </c>
      <c r="AC253">
        <v>1</v>
      </c>
      <c r="AD253" s="3" t="str">
        <f t="shared" si="9"/>
        <v>S2S NO PREMIUM</v>
      </c>
      <c r="AE253" s="3" t="str">
        <f>VLOOKUP(E253,'[1]Nómina Agentes'!$C:$D,2,0)</f>
        <v>ROMITO AGOSTINA BELEN</v>
      </c>
      <c r="AF253" s="5">
        <f t="shared" si="10"/>
        <v>0.64583333333333337</v>
      </c>
      <c r="AG253" s="5">
        <f t="shared" si="11"/>
        <v>0.66666666666666663</v>
      </c>
    </row>
    <row r="254" spans="1:33" x14ac:dyDescent="0.25">
      <c r="A254" s="1">
        <v>45567</v>
      </c>
      <c r="B254">
        <v>924</v>
      </c>
      <c r="C254" t="s">
        <v>43</v>
      </c>
      <c r="D254" t="s">
        <v>164</v>
      </c>
      <c r="E254">
        <v>606286</v>
      </c>
      <c r="F254" s="2">
        <v>0.625</v>
      </c>
      <c r="G254" t="s">
        <v>6</v>
      </c>
      <c r="H254" s="2">
        <v>0.64583333333333337</v>
      </c>
      <c r="I254">
        <v>612</v>
      </c>
      <c r="J254">
        <v>0</v>
      </c>
      <c r="K254">
        <v>0</v>
      </c>
      <c r="L254">
        <v>16</v>
      </c>
      <c r="M254">
        <v>0</v>
      </c>
      <c r="N254">
        <v>0</v>
      </c>
      <c r="O254">
        <v>0</v>
      </c>
      <c r="P254">
        <v>3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3</v>
      </c>
      <c r="AC254">
        <v>3</v>
      </c>
      <c r="AD254" s="3" t="str">
        <f t="shared" si="9"/>
        <v>S2S NO PREMIUM</v>
      </c>
      <c r="AE254" s="3" t="str">
        <f>VLOOKUP(E254,'[1]Nómina Agentes'!$C:$D,2,0)</f>
        <v>ROMITO AGOSTINA BELEN</v>
      </c>
      <c r="AF254" s="5">
        <f t="shared" si="10"/>
        <v>0.625</v>
      </c>
      <c r="AG254" s="5">
        <f t="shared" si="11"/>
        <v>0.64583333333333337</v>
      </c>
    </row>
    <row r="255" spans="1:33" x14ac:dyDescent="0.25">
      <c r="A255" s="1">
        <v>45567</v>
      </c>
      <c r="B255">
        <v>925</v>
      </c>
      <c r="C255" t="s">
        <v>42</v>
      </c>
      <c r="D255" t="s">
        <v>165</v>
      </c>
      <c r="E255">
        <v>606288</v>
      </c>
      <c r="F255" s="2">
        <v>0.8125</v>
      </c>
      <c r="G255" t="s">
        <v>6</v>
      </c>
      <c r="H255" s="2">
        <v>0.83333333333333337</v>
      </c>
      <c r="I255">
        <v>760</v>
      </c>
      <c r="J255">
        <v>0</v>
      </c>
      <c r="K255">
        <v>0</v>
      </c>
      <c r="L255">
        <v>20</v>
      </c>
      <c r="M255">
        <v>0</v>
      </c>
      <c r="N255">
        <v>0</v>
      </c>
      <c r="O255">
        <v>0</v>
      </c>
      <c r="P255">
        <v>251</v>
      </c>
      <c r="Q255">
        <v>149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5</v>
      </c>
      <c r="AC255">
        <v>4</v>
      </c>
      <c r="AD255" s="3" t="str">
        <f t="shared" ref="AD255:AD318" si="12">UPPER(C255)</f>
        <v>S2S PREMIUM</v>
      </c>
      <c r="AE255" s="3" t="str">
        <f>VLOOKUP(E255,'[1]Nómina Agentes'!$C:$D,2,0)</f>
        <v>OJEDA MAYRA ALEJANDRA</v>
      </c>
      <c r="AF255" s="5">
        <f t="shared" ref="AF255:AF318" si="13">F255</f>
        <v>0.8125</v>
      </c>
      <c r="AG255" s="5">
        <f t="shared" ref="AG255:AG318" si="14">H255</f>
        <v>0.83333333333333337</v>
      </c>
    </row>
    <row r="256" spans="1:33" x14ac:dyDescent="0.25">
      <c r="A256" s="1">
        <v>45567</v>
      </c>
      <c r="B256">
        <v>925</v>
      </c>
      <c r="C256" t="s">
        <v>42</v>
      </c>
      <c r="D256" t="s">
        <v>165</v>
      </c>
      <c r="E256">
        <v>606288</v>
      </c>
      <c r="F256" s="2">
        <v>0.75</v>
      </c>
      <c r="G256" t="s">
        <v>6</v>
      </c>
      <c r="H256" s="2">
        <v>0.77083333333333337</v>
      </c>
      <c r="I256">
        <v>938</v>
      </c>
      <c r="J256">
        <v>0</v>
      </c>
      <c r="K256">
        <v>0</v>
      </c>
      <c r="L256">
        <v>13</v>
      </c>
      <c r="M256">
        <v>0</v>
      </c>
      <c r="N256">
        <v>0</v>
      </c>
      <c r="O256">
        <v>0</v>
      </c>
      <c r="P256">
        <v>157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2</v>
      </c>
      <c r="AC256">
        <v>2</v>
      </c>
      <c r="AD256" s="3" t="str">
        <f t="shared" si="12"/>
        <v>S2S PREMIUM</v>
      </c>
      <c r="AE256" s="3" t="str">
        <f>VLOOKUP(E256,'[1]Nómina Agentes'!$C:$D,2,0)</f>
        <v>OJEDA MAYRA ALEJANDRA</v>
      </c>
      <c r="AF256" s="5">
        <f t="shared" si="13"/>
        <v>0.75</v>
      </c>
      <c r="AG256" s="5">
        <f t="shared" si="14"/>
        <v>0.77083333333333337</v>
      </c>
    </row>
    <row r="257" spans="1:33" x14ac:dyDescent="0.25">
      <c r="A257" s="1">
        <v>45567</v>
      </c>
      <c r="B257">
        <v>925</v>
      </c>
      <c r="C257" t="s">
        <v>42</v>
      </c>
      <c r="D257" t="s">
        <v>165</v>
      </c>
      <c r="E257">
        <v>606288</v>
      </c>
      <c r="F257" s="2">
        <v>0.79166666666666663</v>
      </c>
      <c r="G257" t="s">
        <v>6</v>
      </c>
      <c r="H257" s="2">
        <v>0.8125</v>
      </c>
      <c r="I257">
        <v>1092</v>
      </c>
      <c r="J257">
        <v>0</v>
      </c>
      <c r="K257">
        <v>0</v>
      </c>
      <c r="L257">
        <v>16</v>
      </c>
      <c r="M257">
        <v>0</v>
      </c>
      <c r="N257">
        <v>0</v>
      </c>
      <c r="O257">
        <v>0</v>
      </c>
      <c r="P257">
        <v>245</v>
      </c>
      <c r="Q257">
        <v>59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4</v>
      </c>
      <c r="AC257">
        <v>3</v>
      </c>
      <c r="AD257" s="3" t="str">
        <f t="shared" si="12"/>
        <v>S2S PREMIUM</v>
      </c>
      <c r="AE257" s="3" t="str">
        <f>VLOOKUP(E257,'[1]Nómina Agentes'!$C:$D,2,0)</f>
        <v>OJEDA MAYRA ALEJANDRA</v>
      </c>
      <c r="AF257" s="5">
        <f t="shared" si="13"/>
        <v>0.79166666666666663</v>
      </c>
      <c r="AG257" s="5">
        <f t="shared" si="14"/>
        <v>0.8125</v>
      </c>
    </row>
    <row r="258" spans="1:33" x14ac:dyDescent="0.25">
      <c r="A258" s="1">
        <v>45567</v>
      </c>
      <c r="B258">
        <v>925</v>
      </c>
      <c r="C258" t="s">
        <v>42</v>
      </c>
      <c r="D258" t="s">
        <v>165</v>
      </c>
      <c r="E258">
        <v>606288</v>
      </c>
      <c r="F258" s="2">
        <v>0.77083333333333337</v>
      </c>
      <c r="G258" t="s">
        <v>6</v>
      </c>
      <c r="H258" s="2">
        <v>0.79166666666666663</v>
      </c>
      <c r="I258">
        <v>1146</v>
      </c>
      <c r="J258">
        <v>0</v>
      </c>
      <c r="K258">
        <v>0</v>
      </c>
      <c r="L258">
        <v>16</v>
      </c>
      <c r="M258">
        <v>0</v>
      </c>
      <c r="N258">
        <v>0</v>
      </c>
      <c r="O258">
        <v>0</v>
      </c>
      <c r="P258">
        <v>2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3</v>
      </c>
      <c r="AC258">
        <v>2</v>
      </c>
      <c r="AD258" s="3" t="str">
        <f t="shared" si="12"/>
        <v>S2S PREMIUM</v>
      </c>
      <c r="AE258" s="3" t="str">
        <f>VLOOKUP(E258,'[1]Nómina Agentes'!$C:$D,2,0)</f>
        <v>OJEDA MAYRA ALEJANDRA</v>
      </c>
      <c r="AF258" s="5">
        <f t="shared" si="13"/>
        <v>0.77083333333333337</v>
      </c>
      <c r="AG258" s="5">
        <f t="shared" si="14"/>
        <v>0.79166666666666663</v>
      </c>
    </row>
    <row r="259" spans="1:33" x14ac:dyDescent="0.25">
      <c r="A259" s="1">
        <v>45567</v>
      </c>
      <c r="B259">
        <v>924</v>
      </c>
      <c r="C259" t="s">
        <v>43</v>
      </c>
      <c r="D259" t="s">
        <v>61</v>
      </c>
      <c r="E259">
        <v>606291</v>
      </c>
      <c r="F259" s="2">
        <v>0.66666666666666663</v>
      </c>
      <c r="G259" t="s">
        <v>6</v>
      </c>
      <c r="H259" s="2">
        <v>0.6875</v>
      </c>
      <c r="I259">
        <v>540</v>
      </c>
      <c r="J259">
        <v>4</v>
      </c>
      <c r="K259">
        <v>0</v>
      </c>
      <c r="L259">
        <v>14</v>
      </c>
      <c r="M259">
        <v>0</v>
      </c>
      <c r="N259">
        <v>0</v>
      </c>
      <c r="O259">
        <v>0</v>
      </c>
      <c r="P259">
        <v>3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4</v>
      </c>
      <c r="AC259">
        <v>3</v>
      </c>
      <c r="AD259" s="3" t="str">
        <f t="shared" si="12"/>
        <v>S2S NO PREMIUM</v>
      </c>
      <c r="AE259" s="3" t="str">
        <f>VLOOKUP(E259,'[1]Nómina Agentes'!$C:$D,2,0)</f>
        <v>LOPEZ CAROLINA</v>
      </c>
      <c r="AF259" s="5">
        <f t="shared" si="13"/>
        <v>0.66666666666666663</v>
      </c>
      <c r="AG259" s="5">
        <f t="shared" si="14"/>
        <v>0.6875</v>
      </c>
    </row>
    <row r="260" spans="1:33" x14ac:dyDescent="0.25">
      <c r="A260" s="1">
        <v>45567</v>
      </c>
      <c r="B260">
        <v>924</v>
      </c>
      <c r="C260" t="s">
        <v>43</v>
      </c>
      <c r="D260" t="s">
        <v>61</v>
      </c>
      <c r="E260">
        <v>606291</v>
      </c>
      <c r="F260" s="2">
        <v>0.6875</v>
      </c>
      <c r="G260" t="s">
        <v>6</v>
      </c>
      <c r="H260" s="2">
        <v>0.70833333333333337</v>
      </c>
      <c r="I260">
        <v>999</v>
      </c>
      <c r="J260">
        <v>0</v>
      </c>
      <c r="K260">
        <v>0</v>
      </c>
      <c r="L260">
        <v>12</v>
      </c>
      <c r="M260">
        <v>0</v>
      </c>
      <c r="N260">
        <v>0</v>
      </c>
      <c r="O260">
        <v>0</v>
      </c>
      <c r="P260">
        <v>3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2</v>
      </c>
      <c r="AC260">
        <v>2</v>
      </c>
      <c r="AD260" s="3" t="str">
        <f t="shared" si="12"/>
        <v>S2S NO PREMIUM</v>
      </c>
      <c r="AE260" s="3" t="str">
        <f>VLOOKUP(E260,'[1]Nómina Agentes'!$C:$D,2,0)</f>
        <v>LOPEZ CAROLINA</v>
      </c>
      <c r="AF260" s="5">
        <f t="shared" si="13"/>
        <v>0.6875</v>
      </c>
      <c r="AG260" s="5">
        <f t="shared" si="14"/>
        <v>0.70833333333333337</v>
      </c>
    </row>
    <row r="261" spans="1:33" x14ac:dyDescent="0.25">
      <c r="A261" s="1">
        <v>45567</v>
      </c>
      <c r="B261">
        <v>924</v>
      </c>
      <c r="C261" t="s">
        <v>43</v>
      </c>
      <c r="D261" t="s">
        <v>61</v>
      </c>
      <c r="E261">
        <v>606291</v>
      </c>
      <c r="F261" s="2">
        <v>0.60416666666666663</v>
      </c>
      <c r="G261" t="s">
        <v>6</v>
      </c>
      <c r="H261" s="2">
        <v>0.625</v>
      </c>
      <c r="I261">
        <v>1008</v>
      </c>
      <c r="J261">
        <v>192</v>
      </c>
      <c r="K261">
        <v>0</v>
      </c>
      <c r="L261">
        <v>18</v>
      </c>
      <c r="M261">
        <v>0</v>
      </c>
      <c r="N261">
        <v>0</v>
      </c>
      <c r="O261">
        <v>0</v>
      </c>
      <c r="P261">
        <v>3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</v>
      </c>
      <c r="AC261">
        <v>2</v>
      </c>
      <c r="AD261" s="3" t="str">
        <f t="shared" si="12"/>
        <v>S2S NO PREMIUM</v>
      </c>
      <c r="AE261" s="3" t="str">
        <f>VLOOKUP(E261,'[1]Nómina Agentes'!$C:$D,2,0)</f>
        <v>LOPEZ CAROLINA</v>
      </c>
      <c r="AF261" s="5">
        <f t="shared" si="13"/>
        <v>0.60416666666666663</v>
      </c>
      <c r="AG261" s="5">
        <f t="shared" si="14"/>
        <v>0.625</v>
      </c>
    </row>
    <row r="262" spans="1:33" x14ac:dyDescent="0.25">
      <c r="A262" s="1">
        <v>45567</v>
      </c>
      <c r="B262">
        <v>924</v>
      </c>
      <c r="C262" t="s">
        <v>43</v>
      </c>
      <c r="D262" t="s">
        <v>61</v>
      </c>
      <c r="E262">
        <v>606291</v>
      </c>
      <c r="F262" s="2">
        <v>0.58333333333333337</v>
      </c>
      <c r="G262" t="s">
        <v>6</v>
      </c>
      <c r="H262" s="2">
        <v>0.60416666666666663</v>
      </c>
      <c r="I262">
        <v>1045</v>
      </c>
      <c r="J262">
        <v>44</v>
      </c>
      <c r="K262">
        <v>0</v>
      </c>
      <c r="L262">
        <v>9</v>
      </c>
      <c r="M262">
        <v>0</v>
      </c>
      <c r="N262">
        <v>0</v>
      </c>
      <c r="O262">
        <v>0</v>
      </c>
      <c r="P262">
        <v>29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3</v>
      </c>
      <c r="AC262">
        <v>3</v>
      </c>
      <c r="AD262" s="3" t="str">
        <f t="shared" si="12"/>
        <v>S2S NO PREMIUM</v>
      </c>
      <c r="AE262" s="3" t="str">
        <f>VLOOKUP(E262,'[1]Nómina Agentes'!$C:$D,2,0)</f>
        <v>LOPEZ CAROLINA</v>
      </c>
      <c r="AF262" s="5">
        <f t="shared" si="13"/>
        <v>0.58333333333333337</v>
      </c>
      <c r="AG262" s="5">
        <f t="shared" si="14"/>
        <v>0.60416666666666663</v>
      </c>
    </row>
    <row r="263" spans="1:33" x14ac:dyDescent="0.25">
      <c r="A263" s="1">
        <v>45567</v>
      </c>
      <c r="B263">
        <v>924</v>
      </c>
      <c r="C263" t="s">
        <v>43</v>
      </c>
      <c r="D263" t="s">
        <v>61</v>
      </c>
      <c r="E263">
        <v>606291</v>
      </c>
      <c r="F263" s="2">
        <v>0.72916666666666663</v>
      </c>
      <c r="G263" t="s">
        <v>6</v>
      </c>
      <c r="H263" s="2">
        <v>0.75</v>
      </c>
      <c r="I263">
        <v>1055</v>
      </c>
      <c r="J263">
        <v>301</v>
      </c>
      <c r="K263">
        <v>0</v>
      </c>
      <c r="L263">
        <v>16</v>
      </c>
      <c r="M263">
        <v>0</v>
      </c>
      <c r="N263">
        <v>0</v>
      </c>
      <c r="O263">
        <v>0</v>
      </c>
      <c r="P263">
        <v>5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5</v>
      </c>
      <c r="AC263">
        <v>4</v>
      </c>
      <c r="AD263" s="3" t="str">
        <f t="shared" si="12"/>
        <v>S2S NO PREMIUM</v>
      </c>
      <c r="AE263" s="3" t="str">
        <f>VLOOKUP(E263,'[1]Nómina Agentes'!$C:$D,2,0)</f>
        <v>LOPEZ CAROLINA</v>
      </c>
      <c r="AF263" s="5">
        <f t="shared" si="13"/>
        <v>0.72916666666666663</v>
      </c>
      <c r="AG263" s="5">
        <f t="shared" si="14"/>
        <v>0.75</v>
      </c>
    </row>
    <row r="264" spans="1:33" x14ac:dyDescent="0.25">
      <c r="A264" s="1">
        <v>45567</v>
      </c>
      <c r="B264">
        <v>924</v>
      </c>
      <c r="C264" t="s">
        <v>43</v>
      </c>
      <c r="D264" t="s">
        <v>61</v>
      </c>
      <c r="E264">
        <v>606291</v>
      </c>
      <c r="F264" s="2">
        <v>0.625</v>
      </c>
      <c r="G264" t="s">
        <v>6</v>
      </c>
      <c r="H264" s="2">
        <v>0.64583333333333337</v>
      </c>
      <c r="I264">
        <v>1071</v>
      </c>
      <c r="J264">
        <v>0</v>
      </c>
      <c r="K264">
        <v>0</v>
      </c>
      <c r="L264">
        <v>9</v>
      </c>
      <c r="M264">
        <v>0</v>
      </c>
      <c r="N264">
        <v>0</v>
      </c>
      <c r="O264">
        <v>0</v>
      </c>
      <c r="P264">
        <v>2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2</v>
      </c>
      <c r="AC264">
        <v>2</v>
      </c>
      <c r="AD264" s="3" t="str">
        <f t="shared" si="12"/>
        <v>S2S NO PREMIUM</v>
      </c>
      <c r="AE264" s="3" t="str">
        <f>VLOOKUP(E264,'[1]Nómina Agentes'!$C:$D,2,0)</f>
        <v>LOPEZ CAROLINA</v>
      </c>
      <c r="AF264" s="5">
        <f t="shared" si="13"/>
        <v>0.625</v>
      </c>
      <c r="AG264" s="5">
        <f t="shared" si="14"/>
        <v>0.64583333333333337</v>
      </c>
    </row>
    <row r="265" spans="1:33" x14ac:dyDescent="0.25">
      <c r="A265" s="1">
        <v>45567</v>
      </c>
      <c r="B265">
        <v>924</v>
      </c>
      <c r="C265" t="s">
        <v>43</v>
      </c>
      <c r="D265" t="s">
        <v>61</v>
      </c>
      <c r="E265">
        <v>606291</v>
      </c>
      <c r="F265" s="2">
        <v>0.70833333333333337</v>
      </c>
      <c r="G265" t="s">
        <v>6</v>
      </c>
      <c r="H265" s="2">
        <v>0.72916666666666663</v>
      </c>
      <c r="I265">
        <v>1086</v>
      </c>
      <c r="J265">
        <v>128</v>
      </c>
      <c r="K265">
        <v>0</v>
      </c>
      <c r="L265">
        <v>16</v>
      </c>
      <c r="M265">
        <v>0</v>
      </c>
      <c r="N265">
        <v>0</v>
      </c>
      <c r="O265">
        <v>0</v>
      </c>
      <c r="P265">
        <v>2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4</v>
      </c>
      <c r="AC265">
        <v>2</v>
      </c>
      <c r="AD265" s="3" t="str">
        <f t="shared" si="12"/>
        <v>S2S NO PREMIUM</v>
      </c>
      <c r="AE265" s="3" t="str">
        <f>VLOOKUP(E265,'[1]Nómina Agentes'!$C:$D,2,0)</f>
        <v>LOPEZ CAROLINA</v>
      </c>
      <c r="AF265" s="5">
        <f t="shared" si="13"/>
        <v>0.70833333333333337</v>
      </c>
      <c r="AG265" s="5">
        <f t="shared" si="14"/>
        <v>0.72916666666666663</v>
      </c>
    </row>
    <row r="266" spans="1:33" x14ac:dyDescent="0.25">
      <c r="A266" s="1">
        <v>45567</v>
      </c>
      <c r="B266">
        <v>924</v>
      </c>
      <c r="C266" t="s">
        <v>43</v>
      </c>
      <c r="D266" t="s">
        <v>61</v>
      </c>
      <c r="E266">
        <v>606291</v>
      </c>
      <c r="F266" s="2">
        <v>0.64583333333333337</v>
      </c>
      <c r="G266" t="s">
        <v>6</v>
      </c>
      <c r="H266" s="2">
        <v>0.66666666666666663</v>
      </c>
      <c r="I266">
        <v>1123</v>
      </c>
      <c r="J266">
        <v>0</v>
      </c>
      <c r="K266">
        <v>0</v>
      </c>
      <c r="L266">
        <v>16</v>
      </c>
      <c r="M266">
        <v>0</v>
      </c>
      <c r="N266">
        <v>0</v>
      </c>
      <c r="O266">
        <v>0</v>
      </c>
      <c r="P266">
        <v>145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4</v>
      </c>
      <c r="AC266">
        <v>4</v>
      </c>
      <c r="AD266" s="3" t="str">
        <f t="shared" si="12"/>
        <v>S2S NO PREMIUM</v>
      </c>
      <c r="AE266" s="3" t="str">
        <f>VLOOKUP(E266,'[1]Nómina Agentes'!$C:$D,2,0)</f>
        <v>LOPEZ CAROLINA</v>
      </c>
      <c r="AF266" s="5">
        <f t="shared" si="13"/>
        <v>0.64583333333333337</v>
      </c>
      <c r="AG266" s="5">
        <f t="shared" si="14"/>
        <v>0.66666666666666663</v>
      </c>
    </row>
    <row r="267" spans="1:33" x14ac:dyDescent="0.25">
      <c r="A267" s="1">
        <v>45567</v>
      </c>
      <c r="B267">
        <v>924</v>
      </c>
      <c r="C267" t="s">
        <v>43</v>
      </c>
      <c r="D267" t="s">
        <v>86</v>
      </c>
      <c r="E267">
        <v>606306</v>
      </c>
      <c r="F267" s="2">
        <v>0.60416666666666663</v>
      </c>
      <c r="G267" t="s">
        <v>6</v>
      </c>
      <c r="H267" s="2">
        <v>0.625</v>
      </c>
      <c r="I267">
        <v>33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1</v>
      </c>
      <c r="AC267">
        <v>1</v>
      </c>
      <c r="AD267" s="3" t="str">
        <f t="shared" si="12"/>
        <v>S2S NO PREMIUM</v>
      </c>
      <c r="AE267" s="3" t="str">
        <f>VLOOKUP(E267,'[1]Nómina Agentes'!$C:$D,2,0)</f>
        <v>MOSQUEIRA HERNAN FEDERICO</v>
      </c>
      <c r="AF267" s="5">
        <f t="shared" si="13"/>
        <v>0.60416666666666663</v>
      </c>
      <c r="AG267" s="5">
        <f t="shared" si="14"/>
        <v>0.625</v>
      </c>
    </row>
    <row r="268" spans="1:33" x14ac:dyDescent="0.25">
      <c r="A268" s="1">
        <v>45567</v>
      </c>
      <c r="B268">
        <v>924</v>
      </c>
      <c r="C268" t="s">
        <v>43</v>
      </c>
      <c r="D268" t="s">
        <v>86</v>
      </c>
      <c r="E268">
        <v>606306</v>
      </c>
      <c r="F268" s="2">
        <v>0.625</v>
      </c>
      <c r="G268" t="s">
        <v>6</v>
      </c>
      <c r="H268" s="2">
        <v>0.64583333333333337</v>
      </c>
      <c r="I268">
        <v>916</v>
      </c>
      <c r="J268">
        <v>0</v>
      </c>
      <c r="K268">
        <v>0</v>
      </c>
      <c r="L268">
        <v>13</v>
      </c>
      <c r="M268">
        <v>0</v>
      </c>
      <c r="N268">
        <v>0</v>
      </c>
      <c r="O268">
        <v>0</v>
      </c>
      <c r="P268">
        <v>11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3</v>
      </c>
      <c r="AC268">
        <v>3</v>
      </c>
      <c r="AD268" s="3" t="str">
        <f t="shared" si="12"/>
        <v>S2S NO PREMIUM</v>
      </c>
      <c r="AE268" s="3" t="str">
        <f>VLOOKUP(E268,'[1]Nómina Agentes'!$C:$D,2,0)</f>
        <v>MOSQUEIRA HERNAN FEDERICO</v>
      </c>
      <c r="AF268" s="5">
        <f t="shared" si="13"/>
        <v>0.625</v>
      </c>
      <c r="AG268" s="5">
        <f t="shared" si="14"/>
        <v>0.64583333333333337</v>
      </c>
    </row>
    <row r="269" spans="1:33" x14ac:dyDescent="0.25">
      <c r="A269" s="1">
        <v>45567</v>
      </c>
      <c r="B269">
        <v>924</v>
      </c>
      <c r="C269" t="s">
        <v>43</v>
      </c>
      <c r="D269" t="s">
        <v>86</v>
      </c>
      <c r="E269">
        <v>606306</v>
      </c>
      <c r="F269" s="2">
        <v>0.58333333333333337</v>
      </c>
      <c r="G269" t="s">
        <v>6</v>
      </c>
      <c r="H269" s="2">
        <v>0.60416666666666663</v>
      </c>
      <c r="I269">
        <v>1183</v>
      </c>
      <c r="J269">
        <v>132</v>
      </c>
      <c r="K269">
        <v>0</v>
      </c>
      <c r="L269">
        <v>13</v>
      </c>
      <c r="M269">
        <v>0</v>
      </c>
      <c r="N269">
        <v>0</v>
      </c>
      <c r="O269">
        <v>0</v>
      </c>
      <c r="P269">
        <v>4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3</v>
      </c>
      <c r="AC269">
        <v>2</v>
      </c>
      <c r="AD269" s="3" t="str">
        <f t="shared" si="12"/>
        <v>S2S NO PREMIUM</v>
      </c>
      <c r="AE269" s="3" t="str">
        <f>VLOOKUP(E269,'[1]Nómina Agentes'!$C:$D,2,0)</f>
        <v>MOSQUEIRA HERNAN FEDERICO</v>
      </c>
      <c r="AF269" s="5">
        <f t="shared" si="13"/>
        <v>0.58333333333333337</v>
      </c>
      <c r="AG269" s="5">
        <f t="shared" si="14"/>
        <v>0.60416666666666663</v>
      </c>
    </row>
    <row r="270" spans="1:33" x14ac:dyDescent="0.25">
      <c r="A270" s="1">
        <v>45567</v>
      </c>
      <c r="B270">
        <v>925</v>
      </c>
      <c r="C270" t="s">
        <v>42</v>
      </c>
      <c r="D270" t="s">
        <v>166</v>
      </c>
      <c r="E270">
        <v>606309</v>
      </c>
      <c r="F270" s="2">
        <v>0.77083333333333337</v>
      </c>
      <c r="G270" t="s">
        <v>6</v>
      </c>
      <c r="H270" s="2">
        <v>0.79166666666666663</v>
      </c>
      <c r="I270">
        <v>40</v>
      </c>
      <c r="J270">
        <v>0</v>
      </c>
      <c r="K270">
        <v>0</v>
      </c>
      <c r="L270">
        <v>8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 s="3" t="str">
        <f t="shared" si="12"/>
        <v>S2S PREMIUM</v>
      </c>
      <c r="AE270" s="3" t="str">
        <f>VLOOKUP(E270,'[1]Nómina Agentes'!$C:$D,2,0)</f>
        <v>DONZELLI ANGELICA</v>
      </c>
      <c r="AF270" s="5">
        <f t="shared" si="13"/>
        <v>0.77083333333333337</v>
      </c>
      <c r="AG270" s="5">
        <f t="shared" si="14"/>
        <v>0.79166666666666663</v>
      </c>
    </row>
    <row r="271" spans="1:33" x14ac:dyDescent="0.25">
      <c r="A271" s="1">
        <v>45567</v>
      </c>
      <c r="B271">
        <v>925</v>
      </c>
      <c r="C271" t="s">
        <v>42</v>
      </c>
      <c r="D271" t="s">
        <v>166</v>
      </c>
      <c r="E271">
        <v>606309</v>
      </c>
      <c r="F271" s="2">
        <v>0.8125</v>
      </c>
      <c r="G271" t="s">
        <v>6</v>
      </c>
      <c r="H271" s="2">
        <v>0.83333333333333337</v>
      </c>
      <c r="I271">
        <v>981</v>
      </c>
      <c r="J271">
        <v>0</v>
      </c>
      <c r="K271">
        <v>0</v>
      </c>
      <c r="L271">
        <v>15</v>
      </c>
      <c r="M271">
        <v>0</v>
      </c>
      <c r="N271">
        <v>0</v>
      </c>
      <c r="O271">
        <v>0</v>
      </c>
      <c r="P271">
        <v>441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2</v>
      </c>
      <c r="AC271">
        <v>2</v>
      </c>
      <c r="AD271" s="3" t="str">
        <f t="shared" si="12"/>
        <v>S2S PREMIUM</v>
      </c>
      <c r="AE271" s="3" t="str">
        <f>VLOOKUP(E271,'[1]Nómina Agentes'!$C:$D,2,0)</f>
        <v>DONZELLI ANGELICA</v>
      </c>
      <c r="AF271" s="5">
        <f t="shared" si="13"/>
        <v>0.8125</v>
      </c>
      <c r="AG271" s="5">
        <f t="shared" si="14"/>
        <v>0.83333333333333337</v>
      </c>
    </row>
    <row r="272" spans="1:33" x14ac:dyDescent="0.25">
      <c r="A272" s="1">
        <v>45567</v>
      </c>
      <c r="B272">
        <v>925</v>
      </c>
      <c r="C272" t="s">
        <v>42</v>
      </c>
      <c r="D272" t="s">
        <v>166</v>
      </c>
      <c r="E272">
        <v>606309</v>
      </c>
      <c r="F272" s="2">
        <v>0.79166666666666663</v>
      </c>
      <c r="G272" t="s">
        <v>6</v>
      </c>
      <c r="H272" s="2">
        <v>0.8125</v>
      </c>
      <c r="I272">
        <v>1188</v>
      </c>
      <c r="J272">
        <v>0</v>
      </c>
      <c r="K272">
        <v>0</v>
      </c>
      <c r="L272">
        <v>9</v>
      </c>
      <c r="M272">
        <v>0</v>
      </c>
      <c r="N272">
        <v>0</v>
      </c>
      <c r="O272">
        <v>0</v>
      </c>
      <c r="P272">
        <v>457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2</v>
      </c>
      <c r="AC272">
        <v>2</v>
      </c>
      <c r="AD272" s="3" t="str">
        <f t="shared" si="12"/>
        <v>S2S PREMIUM</v>
      </c>
      <c r="AE272" s="3" t="str">
        <f>VLOOKUP(E272,'[1]Nómina Agentes'!$C:$D,2,0)</f>
        <v>DONZELLI ANGELICA</v>
      </c>
      <c r="AF272" s="5">
        <f t="shared" si="13"/>
        <v>0.79166666666666663</v>
      </c>
      <c r="AG272" s="5">
        <f t="shared" si="14"/>
        <v>0.8125</v>
      </c>
    </row>
    <row r="273" spans="1:33" x14ac:dyDescent="0.25">
      <c r="A273" s="1">
        <v>45567</v>
      </c>
      <c r="B273">
        <v>925</v>
      </c>
      <c r="C273" t="s">
        <v>42</v>
      </c>
      <c r="D273" t="s">
        <v>167</v>
      </c>
      <c r="E273">
        <v>606330</v>
      </c>
      <c r="F273" s="2">
        <v>0.60416666666666663</v>
      </c>
      <c r="G273" t="s">
        <v>6</v>
      </c>
      <c r="H273" s="2">
        <v>0.625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 s="3" t="str">
        <f t="shared" si="12"/>
        <v>S2S PREMIUM</v>
      </c>
      <c r="AE273" s="3" t="str">
        <f>VLOOKUP(E273,'[1]Nómina Agentes'!$C:$D,2,0)</f>
        <v>FRANCO SELENA ROCIO</v>
      </c>
      <c r="AF273" s="5">
        <f t="shared" si="13"/>
        <v>0.60416666666666663</v>
      </c>
      <c r="AG273" s="5">
        <f t="shared" si="14"/>
        <v>0.625</v>
      </c>
    </row>
    <row r="274" spans="1:33" x14ac:dyDescent="0.25">
      <c r="A274" s="1">
        <v>45567</v>
      </c>
      <c r="B274">
        <v>925</v>
      </c>
      <c r="C274" t="s">
        <v>42</v>
      </c>
      <c r="D274" t="s">
        <v>167</v>
      </c>
      <c r="E274">
        <v>606330</v>
      </c>
      <c r="F274" s="2">
        <v>0.8125</v>
      </c>
      <c r="G274" t="s">
        <v>6</v>
      </c>
      <c r="H274" s="2">
        <v>0.83333333333333337</v>
      </c>
      <c r="I274">
        <v>278</v>
      </c>
      <c r="J274">
        <v>0</v>
      </c>
      <c r="K274">
        <v>0</v>
      </c>
      <c r="L274">
        <v>4</v>
      </c>
      <c r="M274">
        <v>0</v>
      </c>
      <c r="N274">
        <v>0</v>
      </c>
      <c r="O274">
        <v>0</v>
      </c>
      <c r="P274">
        <v>67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1</v>
      </c>
      <c r="AC274">
        <v>0</v>
      </c>
      <c r="AD274" s="3" t="str">
        <f t="shared" si="12"/>
        <v>S2S PREMIUM</v>
      </c>
      <c r="AE274" s="3" t="str">
        <f>VLOOKUP(E274,'[1]Nómina Agentes'!$C:$D,2,0)</f>
        <v>FRANCO SELENA ROCIO</v>
      </c>
      <c r="AF274" s="5">
        <f t="shared" si="13"/>
        <v>0.8125</v>
      </c>
      <c r="AG274" s="5">
        <f t="shared" si="14"/>
        <v>0.83333333333333337</v>
      </c>
    </row>
    <row r="275" spans="1:33" x14ac:dyDescent="0.25">
      <c r="A275" s="1">
        <v>45567</v>
      </c>
      <c r="B275">
        <v>925</v>
      </c>
      <c r="C275" t="s">
        <v>42</v>
      </c>
      <c r="D275" t="s">
        <v>167</v>
      </c>
      <c r="E275">
        <v>606330</v>
      </c>
      <c r="F275" s="2">
        <v>0.66666666666666663</v>
      </c>
      <c r="G275" t="s">
        <v>6</v>
      </c>
      <c r="H275" s="2">
        <v>0.6875</v>
      </c>
      <c r="I275">
        <v>523</v>
      </c>
      <c r="J275">
        <v>0</v>
      </c>
      <c r="K275">
        <v>0</v>
      </c>
      <c r="L275">
        <v>16</v>
      </c>
      <c r="M275">
        <v>0</v>
      </c>
      <c r="N275">
        <v>0</v>
      </c>
      <c r="O275">
        <v>0</v>
      </c>
      <c r="P275">
        <v>46</v>
      </c>
      <c r="Q275">
        <v>42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</v>
      </c>
      <c r="AC275">
        <v>3</v>
      </c>
      <c r="AD275" s="3" t="str">
        <f t="shared" si="12"/>
        <v>S2S PREMIUM</v>
      </c>
      <c r="AE275" s="3" t="str">
        <f>VLOOKUP(E275,'[1]Nómina Agentes'!$C:$D,2,0)</f>
        <v>FRANCO SELENA ROCIO</v>
      </c>
      <c r="AF275" s="5">
        <f t="shared" si="13"/>
        <v>0.66666666666666663</v>
      </c>
      <c r="AG275" s="5">
        <f t="shared" si="14"/>
        <v>0.6875</v>
      </c>
    </row>
    <row r="276" spans="1:33" x14ac:dyDescent="0.25">
      <c r="A276" s="1">
        <v>45567</v>
      </c>
      <c r="B276">
        <v>925</v>
      </c>
      <c r="C276" t="s">
        <v>42</v>
      </c>
      <c r="D276" t="s">
        <v>167</v>
      </c>
      <c r="E276">
        <v>606330</v>
      </c>
      <c r="F276" s="2">
        <v>0.79166666666666663</v>
      </c>
      <c r="G276" t="s">
        <v>6</v>
      </c>
      <c r="H276" s="2">
        <v>0.8125</v>
      </c>
      <c r="I276">
        <v>576</v>
      </c>
      <c r="J276">
        <v>0</v>
      </c>
      <c r="K276">
        <v>0</v>
      </c>
      <c r="L276">
        <v>8</v>
      </c>
      <c r="M276">
        <v>0</v>
      </c>
      <c r="N276">
        <v>0</v>
      </c>
      <c r="O276">
        <v>0</v>
      </c>
      <c r="P276">
        <v>327</v>
      </c>
      <c r="Q276">
        <v>176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3</v>
      </c>
      <c r="AC276">
        <v>2</v>
      </c>
      <c r="AD276" s="3" t="str">
        <f t="shared" si="12"/>
        <v>S2S PREMIUM</v>
      </c>
      <c r="AE276" s="3" t="str">
        <f>VLOOKUP(E276,'[1]Nómina Agentes'!$C:$D,2,0)</f>
        <v>FRANCO SELENA ROCIO</v>
      </c>
      <c r="AF276" s="5">
        <f t="shared" si="13"/>
        <v>0.79166666666666663</v>
      </c>
      <c r="AG276" s="5">
        <f t="shared" si="14"/>
        <v>0.8125</v>
      </c>
    </row>
    <row r="277" spans="1:33" x14ac:dyDescent="0.25">
      <c r="A277" s="1">
        <v>45567</v>
      </c>
      <c r="B277">
        <v>925</v>
      </c>
      <c r="C277" t="s">
        <v>42</v>
      </c>
      <c r="D277" t="s">
        <v>167</v>
      </c>
      <c r="E277">
        <v>606330</v>
      </c>
      <c r="F277" s="2">
        <v>0.72916666666666663</v>
      </c>
      <c r="G277" t="s">
        <v>6</v>
      </c>
      <c r="H277" s="2">
        <v>0.75</v>
      </c>
      <c r="I277">
        <v>764</v>
      </c>
      <c r="J277">
        <v>0</v>
      </c>
      <c r="K277">
        <v>0</v>
      </c>
      <c r="L277">
        <v>9</v>
      </c>
      <c r="M277">
        <v>0</v>
      </c>
      <c r="N277">
        <v>0</v>
      </c>
      <c r="O277">
        <v>0</v>
      </c>
      <c r="P277">
        <v>544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</v>
      </c>
      <c r="AC277">
        <v>3</v>
      </c>
      <c r="AD277" s="3" t="str">
        <f t="shared" si="12"/>
        <v>S2S PREMIUM</v>
      </c>
      <c r="AE277" s="3" t="str">
        <f>VLOOKUP(E277,'[1]Nómina Agentes'!$C:$D,2,0)</f>
        <v>FRANCO SELENA ROCIO</v>
      </c>
      <c r="AF277" s="5">
        <f t="shared" si="13"/>
        <v>0.72916666666666663</v>
      </c>
      <c r="AG277" s="5">
        <f t="shared" si="14"/>
        <v>0.75</v>
      </c>
    </row>
    <row r="278" spans="1:33" x14ac:dyDescent="0.25">
      <c r="A278" s="1">
        <v>45567</v>
      </c>
      <c r="B278">
        <v>925</v>
      </c>
      <c r="C278" t="s">
        <v>42</v>
      </c>
      <c r="D278" t="s">
        <v>167</v>
      </c>
      <c r="E278">
        <v>606330</v>
      </c>
      <c r="F278" s="2">
        <v>0.625</v>
      </c>
      <c r="G278" t="s">
        <v>6</v>
      </c>
      <c r="H278" s="2">
        <v>0.64583333333333337</v>
      </c>
      <c r="I278">
        <v>774</v>
      </c>
      <c r="J278">
        <v>0</v>
      </c>
      <c r="K278">
        <v>0</v>
      </c>
      <c r="L278">
        <v>20</v>
      </c>
      <c r="M278">
        <v>0</v>
      </c>
      <c r="N278">
        <v>0</v>
      </c>
      <c r="O278">
        <v>0</v>
      </c>
      <c r="P278">
        <v>100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4</v>
      </c>
      <c r="AC278">
        <v>3</v>
      </c>
      <c r="AD278" s="3" t="str">
        <f t="shared" si="12"/>
        <v>S2S PREMIUM</v>
      </c>
      <c r="AE278" s="3" t="str">
        <f>VLOOKUP(E278,'[1]Nómina Agentes'!$C:$D,2,0)</f>
        <v>FRANCO SELENA ROCIO</v>
      </c>
      <c r="AF278" s="5">
        <f t="shared" si="13"/>
        <v>0.625</v>
      </c>
      <c r="AG278" s="5">
        <f t="shared" si="14"/>
        <v>0.64583333333333337</v>
      </c>
    </row>
    <row r="279" spans="1:33" x14ac:dyDescent="0.25">
      <c r="A279" s="1">
        <v>45567</v>
      </c>
      <c r="B279">
        <v>925</v>
      </c>
      <c r="C279" t="s">
        <v>42</v>
      </c>
      <c r="D279" t="s">
        <v>167</v>
      </c>
      <c r="E279">
        <v>606330</v>
      </c>
      <c r="F279" s="2">
        <v>0.75</v>
      </c>
      <c r="G279" t="s">
        <v>6</v>
      </c>
      <c r="H279" s="2">
        <v>0.77083333333333337</v>
      </c>
      <c r="I279">
        <v>868</v>
      </c>
      <c r="J279">
        <v>0</v>
      </c>
      <c r="K279">
        <v>0</v>
      </c>
      <c r="L279">
        <v>16</v>
      </c>
      <c r="M279">
        <v>0</v>
      </c>
      <c r="N279">
        <v>0</v>
      </c>
      <c r="O279">
        <v>0</v>
      </c>
      <c r="P279">
        <v>4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4</v>
      </c>
      <c r="AC279">
        <v>4</v>
      </c>
      <c r="AD279" s="3" t="str">
        <f t="shared" si="12"/>
        <v>S2S PREMIUM</v>
      </c>
      <c r="AE279" s="3" t="str">
        <f>VLOOKUP(E279,'[1]Nómina Agentes'!$C:$D,2,0)</f>
        <v>FRANCO SELENA ROCIO</v>
      </c>
      <c r="AF279" s="5">
        <f t="shared" si="13"/>
        <v>0.75</v>
      </c>
      <c r="AG279" s="5">
        <f t="shared" si="14"/>
        <v>0.77083333333333337</v>
      </c>
    </row>
    <row r="280" spans="1:33" x14ac:dyDescent="0.25">
      <c r="A280" s="1">
        <v>45567</v>
      </c>
      <c r="B280">
        <v>925</v>
      </c>
      <c r="C280" t="s">
        <v>42</v>
      </c>
      <c r="D280" t="s">
        <v>167</v>
      </c>
      <c r="E280">
        <v>606330</v>
      </c>
      <c r="F280" s="2">
        <v>0.64583333333333337</v>
      </c>
      <c r="G280" t="s">
        <v>6</v>
      </c>
      <c r="H280" s="2">
        <v>0.66666666666666663</v>
      </c>
      <c r="I280">
        <v>972</v>
      </c>
      <c r="J280">
        <v>0</v>
      </c>
      <c r="K280">
        <v>0</v>
      </c>
      <c r="L280">
        <v>12</v>
      </c>
      <c r="M280">
        <v>0</v>
      </c>
      <c r="N280">
        <v>0</v>
      </c>
      <c r="O280">
        <v>0</v>
      </c>
      <c r="P280">
        <v>3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3</v>
      </c>
      <c r="AC280">
        <v>2</v>
      </c>
      <c r="AD280" s="3" t="str">
        <f t="shared" si="12"/>
        <v>S2S PREMIUM</v>
      </c>
      <c r="AE280" s="3" t="str">
        <f>VLOOKUP(E280,'[1]Nómina Agentes'!$C:$D,2,0)</f>
        <v>FRANCO SELENA ROCIO</v>
      </c>
      <c r="AF280" s="5">
        <f t="shared" si="13"/>
        <v>0.64583333333333337</v>
      </c>
      <c r="AG280" s="5">
        <f t="shared" si="14"/>
        <v>0.66666666666666663</v>
      </c>
    </row>
    <row r="281" spans="1:33" x14ac:dyDescent="0.25">
      <c r="A281" s="1">
        <v>45567</v>
      </c>
      <c r="B281">
        <v>925</v>
      </c>
      <c r="C281" t="s">
        <v>42</v>
      </c>
      <c r="D281" t="s">
        <v>167</v>
      </c>
      <c r="E281">
        <v>606330</v>
      </c>
      <c r="F281" s="2">
        <v>0.70833333333333337</v>
      </c>
      <c r="G281" t="s">
        <v>6</v>
      </c>
      <c r="H281" s="2">
        <v>0.72916666666666663</v>
      </c>
      <c r="I281">
        <v>1050</v>
      </c>
      <c r="J281">
        <v>0</v>
      </c>
      <c r="K281">
        <v>0</v>
      </c>
      <c r="L281">
        <v>21</v>
      </c>
      <c r="M281">
        <v>0</v>
      </c>
      <c r="N281">
        <v>0</v>
      </c>
      <c r="O281">
        <v>0</v>
      </c>
      <c r="P281">
        <v>53</v>
      </c>
      <c r="Q281">
        <v>43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4</v>
      </c>
      <c r="AC281">
        <v>4</v>
      </c>
      <c r="AD281" s="3" t="str">
        <f t="shared" si="12"/>
        <v>S2S PREMIUM</v>
      </c>
      <c r="AE281" s="3" t="str">
        <f>VLOOKUP(E281,'[1]Nómina Agentes'!$C:$D,2,0)</f>
        <v>FRANCO SELENA ROCIO</v>
      </c>
      <c r="AF281" s="5">
        <f t="shared" si="13"/>
        <v>0.70833333333333337</v>
      </c>
      <c r="AG281" s="5">
        <f t="shared" si="14"/>
        <v>0.72916666666666663</v>
      </c>
    </row>
    <row r="282" spans="1:33" x14ac:dyDescent="0.25">
      <c r="A282" s="1">
        <v>45567</v>
      </c>
      <c r="B282">
        <v>925</v>
      </c>
      <c r="C282" t="s">
        <v>42</v>
      </c>
      <c r="D282" t="s">
        <v>167</v>
      </c>
      <c r="E282">
        <v>606330</v>
      </c>
      <c r="F282" s="2">
        <v>0.77083333333333337</v>
      </c>
      <c r="G282" t="s">
        <v>6</v>
      </c>
      <c r="H282" s="2">
        <v>0.79166666666666663</v>
      </c>
      <c r="I282">
        <v>1092</v>
      </c>
      <c r="J282">
        <v>0</v>
      </c>
      <c r="K282">
        <v>0</v>
      </c>
      <c r="L282">
        <v>15</v>
      </c>
      <c r="M282">
        <v>0</v>
      </c>
      <c r="N282">
        <v>0</v>
      </c>
      <c r="O282">
        <v>0</v>
      </c>
      <c r="P282">
        <v>174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3</v>
      </c>
      <c r="AC282">
        <v>2</v>
      </c>
      <c r="AD282" s="3" t="str">
        <f t="shared" si="12"/>
        <v>S2S PREMIUM</v>
      </c>
      <c r="AE282" s="3" t="str">
        <f>VLOOKUP(E282,'[1]Nómina Agentes'!$C:$D,2,0)</f>
        <v>FRANCO SELENA ROCIO</v>
      </c>
      <c r="AF282" s="5">
        <f t="shared" si="13"/>
        <v>0.77083333333333337</v>
      </c>
      <c r="AG282" s="5">
        <f t="shared" si="14"/>
        <v>0.79166666666666663</v>
      </c>
    </row>
    <row r="283" spans="1:33" x14ac:dyDescent="0.25">
      <c r="A283" s="1">
        <v>45567</v>
      </c>
      <c r="B283">
        <v>925</v>
      </c>
      <c r="C283" t="s">
        <v>42</v>
      </c>
      <c r="D283" t="s">
        <v>167</v>
      </c>
      <c r="E283">
        <v>606330</v>
      </c>
      <c r="F283" s="2">
        <v>0.6875</v>
      </c>
      <c r="G283" t="s">
        <v>6</v>
      </c>
      <c r="H283" s="2">
        <v>0.70833333333333337</v>
      </c>
      <c r="I283">
        <v>1151</v>
      </c>
      <c r="J283">
        <v>0</v>
      </c>
      <c r="K283">
        <v>0</v>
      </c>
      <c r="L283">
        <v>4</v>
      </c>
      <c r="M283">
        <v>0</v>
      </c>
      <c r="N283">
        <v>0</v>
      </c>
      <c r="O283">
        <v>0</v>
      </c>
      <c r="P283">
        <v>617</v>
      </c>
      <c r="Q283">
        <v>140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</v>
      </c>
      <c r="AC283">
        <v>2</v>
      </c>
      <c r="AD283" s="3" t="str">
        <f t="shared" si="12"/>
        <v>S2S PREMIUM</v>
      </c>
      <c r="AE283" s="3" t="str">
        <f>VLOOKUP(E283,'[1]Nómina Agentes'!$C:$D,2,0)</f>
        <v>FRANCO SELENA ROCIO</v>
      </c>
      <c r="AF283" s="5">
        <f t="shared" si="13"/>
        <v>0.6875</v>
      </c>
      <c r="AG283" s="5">
        <f t="shared" si="14"/>
        <v>0.70833333333333337</v>
      </c>
    </row>
    <row r="284" spans="1:33" x14ac:dyDescent="0.25">
      <c r="A284" s="1">
        <v>45567</v>
      </c>
      <c r="B284">
        <v>924</v>
      </c>
      <c r="C284" t="s">
        <v>43</v>
      </c>
      <c r="D284" t="s">
        <v>168</v>
      </c>
      <c r="E284">
        <v>606331</v>
      </c>
      <c r="F284" s="2">
        <v>0.77083333333333337</v>
      </c>
      <c r="G284" t="s">
        <v>6</v>
      </c>
      <c r="H284" s="2">
        <v>0.79166666666666663</v>
      </c>
      <c r="I284">
        <v>328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1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1</v>
      </c>
      <c r="AC284">
        <v>1</v>
      </c>
      <c r="AD284" s="3" t="str">
        <f t="shared" si="12"/>
        <v>S2S NO PREMIUM</v>
      </c>
      <c r="AE284" s="3" t="str">
        <f>VLOOKUP(E284,'[1]Nómina Agentes'!$C:$D,2,0)</f>
        <v>MOREAU MICAELA VICTORIA</v>
      </c>
      <c r="AF284" s="5">
        <f t="shared" si="13"/>
        <v>0.77083333333333337</v>
      </c>
      <c r="AG284" s="5">
        <f t="shared" si="14"/>
        <v>0.79166666666666663</v>
      </c>
    </row>
    <row r="285" spans="1:33" x14ac:dyDescent="0.25">
      <c r="A285" s="1">
        <v>45567</v>
      </c>
      <c r="B285">
        <v>924</v>
      </c>
      <c r="C285" t="s">
        <v>43</v>
      </c>
      <c r="D285" t="s">
        <v>168</v>
      </c>
      <c r="E285">
        <v>606331</v>
      </c>
      <c r="F285" s="2">
        <v>0.8125</v>
      </c>
      <c r="G285" t="s">
        <v>6</v>
      </c>
      <c r="H285" s="2">
        <v>0.83333333333333337</v>
      </c>
      <c r="I285">
        <v>468</v>
      </c>
      <c r="J285">
        <v>0</v>
      </c>
      <c r="K285">
        <v>0</v>
      </c>
      <c r="L285">
        <v>16</v>
      </c>
      <c r="M285">
        <v>0</v>
      </c>
      <c r="N285">
        <v>0</v>
      </c>
      <c r="O285">
        <v>0</v>
      </c>
      <c r="P285">
        <v>4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4</v>
      </c>
      <c r="AC285">
        <v>4</v>
      </c>
      <c r="AD285" s="3" t="str">
        <f t="shared" si="12"/>
        <v>S2S NO PREMIUM</v>
      </c>
      <c r="AE285" s="3" t="str">
        <f>VLOOKUP(E285,'[1]Nómina Agentes'!$C:$D,2,0)</f>
        <v>MOREAU MICAELA VICTORIA</v>
      </c>
      <c r="AF285" s="5">
        <f t="shared" si="13"/>
        <v>0.8125</v>
      </c>
      <c r="AG285" s="5">
        <f t="shared" si="14"/>
        <v>0.83333333333333337</v>
      </c>
    </row>
    <row r="286" spans="1:33" x14ac:dyDescent="0.25">
      <c r="A286" s="1">
        <v>45567</v>
      </c>
      <c r="B286">
        <v>924</v>
      </c>
      <c r="C286" t="s">
        <v>43</v>
      </c>
      <c r="D286" t="s">
        <v>168</v>
      </c>
      <c r="E286">
        <v>606331</v>
      </c>
      <c r="F286" s="2">
        <v>0.79166666666666663</v>
      </c>
      <c r="G286" t="s">
        <v>6</v>
      </c>
      <c r="H286" s="2">
        <v>0.8125</v>
      </c>
      <c r="I286">
        <v>740</v>
      </c>
      <c r="J286">
        <v>0</v>
      </c>
      <c r="K286">
        <v>0</v>
      </c>
      <c r="L286">
        <v>18</v>
      </c>
      <c r="M286">
        <v>0</v>
      </c>
      <c r="N286">
        <v>0</v>
      </c>
      <c r="O286">
        <v>0</v>
      </c>
      <c r="P286">
        <v>3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</v>
      </c>
      <c r="AC286">
        <v>3</v>
      </c>
      <c r="AD286" s="3" t="str">
        <f t="shared" si="12"/>
        <v>S2S NO PREMIUM</v>
      </c>
      <c r="AE286" s="3" t="str">
        <f>VLOOKUP(E286,'[1]Nómina Agentes'!$C:$D,2,0)</f>
        <v>MOREAU MICAELA VICTORIA</v>
      </c>
      <c r="AF286" s="5">
        <f t="shared" si="13"/>
        <v>0.79166666666666663</v>
      </c>
      <c r="AG286" s="5">
        <f t="shared" si="14"/>
        <v>0.8125</v>
      </c>
    </row>
    <row r="287" spans="1:33" x14ac:dyDescent="0.25">
      <c r="A287" s="1">
        <v>45567</v>
      </c>
      <c r="B287">
        <v>924</v>
      </c>
      <c r="C287" t="s">
        <v>43</v>
      </c>
      <c r="D287" t="s">
        <v>168</v>
      </c>
      <c r="E287">
        <v>606331</v>
      </c>
      <c r="F287" s="2">
        <v>0.625</v>
      </c>
      <c r="G287" t="s">
        <v>6</v>
      </c>
      <c r="H287" s="2">
        <v>0.64583333333333337</v>
      </c>
      <c r="I287">
        <v>908</v>
      </c>
      <c r="J287">
        <v>0</v>
      </c>
      <c r="K287">
        <v>0</v>
      </c>
      <c r="L287">
        <v>17</v>
      </c>
      <c r="M287">
        <v>0</v>
      </c>
      <c r="N287">
        <v>0</v>
      </c>
      <c r="O287">
        <v>0</v>
      </c>
      <c r="P287">
        <v>2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3</v>
      </c>
      <c r="AC287">
        <v>2</v>
      </c>
      <c r="AD287" s="3" t="str">
        <f t="shared" si="12"/>
        <v>S2S NO PREMIUM</v>
      </c>
      <c r="AE287" s="3" t="str">
        <f>VLOOKUP(E287,'[1]Nómina Agentes'!$C:$D,2,0)</f>
        <v>MOREAU MICAELA VICTORIA</v>
      </c>
      <c r="AF287" s="5">
        <f t="shared" si="13"/>
        <v>0.625</v>
      </c>
      <c r="AG287" s="5">
        <f t="shared" si="14"/>
        <v>0.64583333333333337</v>
      </c>
    </row>
    <row r="288" spans="1:33" x14ac:dyDescent="0.25">
      <c r="A288" s="1">
        <v>45567</v>
      </c>
      <c r="B288">
        <v>924</v>
      </c>
      <c r="C288" t="s">
        <v>43</v>
      </c>
      <c r="D288" t="s">
        <v>168</v>
      </c>
      <c r="E288">
        <v>606331</v>
      </c>
      <c r="F288" s="2">
        <v>0.64583333333333337</v>
      </c>
      <c r="G288" t="s">
        <v>6</v>
      </c>
      <c r="H288" s="2">
        <v>0.66666666666666663</v>
      </c>
      <c r="I288">
        <v>986</v>
      </c>
      <c r="J288">
        <v>0</v>
      </c>
      <c r="K288">
        <v>0</v>
      </c>
      <c r="L288">
        <v>17</v>
      </c>
      <c r="M288">
        <v>0</v>
      </c>
      <c r="N288">
        <v>0</v>
      </c>
      <c r="O288">
        <v>0</v>
      </c>
      <c r="P288">
        <v>3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3</v>
      </c>
      <c r="AC288">
        <v>3</v>
      </c>
      <c r="AD288" s="3" t="str">
        <f t="shared" si="12"/>
        <v>S2S NO PREMIUM</v>
      </c>
      <c r="AE288" s="3" t="str">
        <f>VLOOKUP(E288,'[1]Nómina Agentes'!$C:$D,2,0)</f>
        <v>MOREAU MICAELA VICTORIA</v>
      </c>
      <c r="AF288" s="5">
        <f t="shared" si="13"/>
        <v>0.64583333333333337</v>
      </c>
      <c r="AG288" s="5">
        <f t="shared" si="14"/>
        <v>0.66666666666666663</v>
      </c>
    </row>
    <row r="289" spans="1:33" x14ac:dyDescent="0.25">
      <c r="A289" s="1">
        <v>45567</v>
      </c>
      <c r="B289">
        <v>924</v>
      </c>
      <c r="C289" t="s">
        <v>43</v>
      </c>
      <c r="D289" t="s">
        <v>168</v>
      </c>
      <c r="E289">
        <v>606331</v>
      </c>
      <c r="F289" s="2">
        <v>0.6875</v>
      </c>
      <c r="G289" t="s">
        <v>6</v>
      </c>
      <c r="H289" s="2">
        <v>0.70833333333333337</v>
      </c>
      <c r="I289">
        <v>1189</v>
      </c>
      <c r="J289">
        <v>252</v>
      </c>
      <c r="K289">
        <v>0</v>
      </c>
      <c r="L289">
        <v>25</v>
      </c>
      <c r="M289">
        <v>0</v>
      </c>
      <c r="N289">
        <v>0</v>
      </c>
      <c r="O289">
        <v>0</v>
      </c>
      <c r="P289">
        <v>6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7</v>
      </c>
      <c r="AC289">
        <v>6</v>
      </c>
      <c r="AD289" s="3" t="str">
        <f t="shared" si="12"/>
        <v>S2S NO PREMIUM</v>
      </c>
      <c r="AE289" s="3" t="str">
        <f>VLOOKUP(E289,'[1]Nómina Agentes'!$C:$D,2,0)</f>
        <v>MOREAU MICAELA VICTORIA</v>
      </c>
      <c r="AF289" s="5">
        <f t="shared" si="13"/>
        <v>0.6875</v>
      </c>
      <c r="AG289" s="5">
        <f t="shared" si="14"/>
        <v>0.70833333333333337</v>
      </c>
    </row>
    <row r="290" spans="1:33" x14ac:dyDescent="0.25">
      <c r="A290" s="1">
        <v>45567</v>
      </c>
      <c r="B290">
        <v>924</v>
      </c>
      <c r="C290" t="s">
        <v>43</v>
      </c>
      <c r="D290" t="s">
        <v>168</v>
      </c>
      <c r="E290">
        <v>606331</v>
      </c>
      <c r="F290" s="2">
        <v>0.70833333333333337</v>
      </c>
      <c r="G290" t="s">
        <v>6</v>
      </c>
      <c r="H290" s="2">
        <v>0.72916666666666663</v>
      </c>
      <c r="I290">
        <v>1360</v>
      </c>
      <c r="J290">
        <v>0</v>
      </c>
      <c r="K290">
        <v>0</v>
      </c>
      <c r="L290">
        <v>21</v>
      </c>
      <c r="M290">
        <v>0</v>
      </c>
      <c r="N290">
        <v>0</v>
      </c>
      <c r="O290">
        <v>0</v>
      </c>
      <c r="P290">
        <v>4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</v>
      </c>
      <c r="AC290">
        <v>4</v>
      </c>
      <c r="AD290" s="3" t="str">
        <f t="shared" si="12"/>
        <v>S2S NO PREMIUM</v>
      </c>
      <c r="AE290" s="3" t="str">
        <f>VLOOKUP(E290,'[1]Nómina Agentes'!$C:$D,2,0)</f>
        <v>MOREAU MICAELA VICTORIA</v>
      </c>
      <c r="AF290" s="5">
        <f t="shared" si="13"/>
        <v>0.70833333333333337</v>
      </c>
      <c r="AG290" s="5">
        <f t="shared" si="14"/>
        <v>0.72916666666666663</v>
      </c>
    </row>
    <row r="291" spans="1:33" x14ac:dyDescent="0.25">
      <c r="A291" s="1">
        <v>45567</v>
      </c>
      <c r="B291">
        <v>924</v>
      </c>
      <c r="C291" t="s">
        <v>43</v>
      </c>
      <c r="D291" t="s">
        <v>168</v>
      </c>
      <c r="E291">
        <v>606331</v>
      </c>
      <c r="F291" s="2">
        <v>0.72916666666666663</v>
      </c>
      <c r="G291" t="s">
        <v>6</v>
      </c>
      <c r="H291" s="2">
        <v>0.75</v>
      </c>
      <c r="I291">
        <v>1427</v>
      </c>
      <c r="J291">
        <v>0</v>
      </c>
      <c r="K291">
        <v>0</v>
      </c>
      <c r="L291">
        <v>26</v>
      </c>
      <c r="M291">
        <v>0</v>
      </c>
      <c r="N291">
        <v>0</v>
      </c>
      <c r="O291">
        <v>0</v>
      </c>
      <c r="P291">
        <v>5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6</v>
      </c>
      <c r="AC291">
        <v>5</v>
      </c>
      <c r="AD291" s="3" t="str">
        <f t="shared" si="12"/>
        <v>S2S NO PREMIUM</v>
      </c>
      <c r="AE291" s="3" t="str">
        <f>VLOOKUP(E291,'[1]Nómina Agentes'!$C:$D,2,0)</f>
        <v>MOREAU MICAELA VICTORIA</v>
      </c>
      <c r="AF291" s="5">
        <f t="shared" si="13"/>
        <v>0.72916666666666663</v>
      </c>
      <c r="AG291" s="5">
        <f t="shared" si="14"/>
        <v>0.75</v>
      </c>
    </row>
    <row r="292" spans="1:33" x14ac:dyDescent="0.25">
      <c r="A292" s="1">
        <v>45567</v>
      </c>
      <c r="B292">
        <v>924</v>
      </c>
      <c r="C292" t="s">
        <v>43</v>
      </c>
      <c r="D292" t="s">
        <v>168</v>
      </c>
      <c r="E292">
        <v>606331</v>
      </c>
      <c r="F292" s="2">
        <v>0.66666666666666663</v>
      </c>
      <c r="G292" t="s">
        <v>6</v>
      </c>
      <c r="H292" s="2">
        <v>0.6875</v>
      </c>
      <c r="I292">
        <v>1454</v>
      </c>
      <c r="J292">
        <v>0</v>
      </c>
      <c r="K292">
        <v>0</v>
      </c>
      <c r="L292">
        <v>17</v>
      </c>
      <c r="M292">
        <v>0</v>
      </c>
      <c r="N292">
        <v>0</v>
      </c>
      <c r="O292">
        <v>0</v>
      </c>
      <c r="P292">
        <v>3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4</v>
      </c>
      <c r="AC292">
        <v>3</v>
      </c>
      <c r="AD292" s="3" t="str">
        <f t="shared" si="12"/>
        <v>S2S NO PREMIUM</v>
      </c>
      <c r="AE292" s="3" t="str">
        <f>VLOOKUP(E292,'[1]Nómina Agentes'!$C:$D,2,0)</f>
        <v>MOREAU MICAELA VICTORIA</v>
      </c>
      <c r="AF292" s="5">
        <f t="shared" si="13"/>
        <v>0.66666666666666663</v>
      </c>
      <c r="AG292" s="5">
        <f t="shared" si="14"/>
        <v>0.6875</v>
      </c>
    </row>
    <row r="293" spans="1:33" x14ac:dyDescent="0.25">
      <c r="A293" s="1">
        <v>45567</v>
      </c>
      <c r="B293">
        <v>924</v>
      </c>
      <c r="C293" t="s">
        <v>43</v>
      </c>
      <c r="D293" t="s">
        <v>168</v>
      </c>
      <c r="E293">
        <v>606331</v>
      </c>
      <c r="F293" s="2">
        <v>0.75</v>
      </c>
      <c r="G293" t="s">
        <v>6</v>
      </c>
      <c r="H293" s="2">
        <v>0.77083333333333337</v>
      </c>
      <c r="I293">
        <v>1457</v>
      </c>
      <c r="J293">
        <v>0</v>
      </c>
      <c r="K293">
        <v>0</v>
      </c>
      <c r="L293">
        <v>39</v>
      </c>
      <c r="M293">
        <v>0</v>
      </c>
      <c r="N293">
        <v>0</v>
      </c>
      <c r="O293">
        <v>0</v>
      </c>
      <c r="P293">
        <v>8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9</v>
      </c>
      <c r="AC293">
        <v>8</v>
      </c>
      <c r="AD293" s="3" t="str">
        <f t="shared" si="12"/>
        <v>S2S NO PREMIUM</v>
      </c>
      <c r="AE293" s="3" t="str">
        <f>VLOOKUP(E293,'[1]Nómina Agentes'!$C:$D,2,0)</f>
        <v>MOREAU MICAELA VICTORIA</v>
      </c>
      <c r="AF293" s="5">
        <f t="shared" si="13"/>
        <v>0.75</v>
      </c>
      <c r="AG293" s="5">
        <f t="shared" si="14"/>
        <v>0.77083333333333337</v>
      </c>
    </row>
    <row r="294" spans="1:33" x14ac:dyDescent="0.25">
      <c r="A294" s="1">
        <v>45567</v>
      </c>
      <c r="B294">
        <v>925</v>
      </c>
      <c r="C294" t="s">
        <v>42</v>
      </c>
      <c r="D294" t="s">
        <v>169</v>
      </c>
      <c r="E294">
        <v>606338</v>
      </c>
      <c r="F294" s="2">
        <v>0.72916666666666663</v>
      </c>
      <c r="G294" t="s">
        <v>6</v>
      </c>
      <c r="H294" s="2">
        <v>0.75</v>
      </c>
      <c r="I294">
        <v>46</v>
      </c>
      <c r="J294">
        <v>0</v>
      </c>
      <c r="K294">
        <v>0</v>
      </c>
      <c r="L294">
        <v>6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1</v>
      </c>
      <c r="AC294">
        <v>0</v>
      </c>
      <c r="AD294" s="3" t="str">
        <f t="shared" si="12"/>
        <v>S2S PREMIUM</v>
      </c>
      <c r="AE294" s="3" t="str">
        <f>VLOOKUP(E294,'[1]Nómina Agentes'!$C:$D,2,0)</f>
        <v>GONZALEZ CRISTIAN ALBERTO</v>
      </c>
      <c r="AF294" s="5">
        <f t="shared" si="13"/>
        <v>0.72916666666666663</v>
      </c>
      <c r="AG294" s="5">
        <f t="shared" si="14"/>
        <v>0.75</v>
      </c>
    </row>
    <row r="295" spans="1:33" x14ac:dyDescent="0.25">
      <c r="A295" s="1">
        <v>45567</v>
      </c>
      <c r="B295">
        <v>925</v>
      </c>
      <c r="C295" t="s">
        <v>42</v>
      </c>
      <c r="D295" t="s">
        <v>169</v>
      </c>
      <c r="E295">
        <v>606338</v>
      </c>
      <c r="F295" s="2">
        <v>0.75</v>
      </c>
      <c r="G295" t="s">
        <v>6</v>
      </c>
      <c r="H295" s="2">
        <v>0.77083333333333337</v>
      </c>
      <c r="I295">
        <v>689</v>
      </c>
      <c r="J295">
        <v>0</v>
      </c>
      <c r="K295">
        <v>0</v>
      </c>
      <c r="L295">
        <v>16</v>
      </c>
      <c r="M295">
        <v>0</v>
      </c>
      <c r="N295">
        <v>0</v>
      </c>
      <c r="O295">
        <v>0</v>
      </c>
      <c r="P295">
        <v>48</v>
      </c>
      <c r="Q295">
        <v>41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4</v>
      </c>
      <c r="AC295">
        <v>4</v>
      </c>
      <c r="AD295" s="3" t="str">
        <f t="shared" si="12"/>
        <v>S2S PREMIUM</v>
      </c>
      <c r="AE295" s="3" t="str">
        <f>VLOOKUP(E295,'[1]Nómina Agentes'!$C:$D,2,0)</f>
        <v>GONZALEZ CRISTIAN ALBERTO</v>
      </c>
      <c r="AF295" s="5">
        <f t="shared" si="13"/>
        <v>0.75</v>
      </c>
      <c r="AG295" s="5">
        <f t="shared" si="14"/>
        <v>0.77083333333333337</v>
      </c>
    </row>
    <row r="296" spans="1:33" x14ac:dyDescent="0.25">
      <c r="A296" s="1">
        <v>45567</v>
      </c>
      <c r="B296">
        <v>925</v>
      </c>
      <c r="C296" t="s">
        <v>42</v>
      </c>
      <c r="D296" t="s">
        <v>169</v>
      </c>
      <c r="E296">
        <v>606338</v>
      </c>
      <c r="F296" s="2">
        <v>0.8125</v>
      </c>
      <c r="G296" t="s">
        <v>6</v>
      </c>
      <c r="H296" s="2">
        <v>0.83333333333333337</v>
      </c>
      <c r="I296">
        <v>985</v>
      </c>
      <c r="J296">
        <v>0</v>
      </c>
      <c r="K296">
        <v>0</v>
      </c>
      <c r="L296">
        <v>20</v>
      </c>
      <c r="M296">
        <v>0</v>
      </c>
      <c r="N296">
        <v>0</v>
      </c>
      <c r="O296">
        <v>0</v>
      </c>
      <c r="P296">
        <v>192</v>
      </c>
      <c r="Q296">
        <v>165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4</v>
      </c>
      <c r="AC296">
        <v>4</v>
      </c>
      <c r="AD296" s="3" t="str">
        <f t="shared" si="12"/>
        <v>S2S PREMIUM</v>
      </c>
      <c r="AE296" s="3" t="str">
        <f>VLOOKUP(E296,'[1]Nómina Agentes'!$C:$D,2,0)</f>
        <v>GONZALEZ CRISTIAN ALBERTO</v>
      </c>
      <c r="AF296" s="5">
        <f t="shared" si="13"/>
        <v>0.8125</v>
      </c>
      <c r="AG296" s="5">
        <f t="shared" si="14"/>
        <v>0.83333333333333337</v>
      </c>
    </row>
    <row r="297" spans="1:33" x14ac:dyDescent="0.25">
      <c r="A297" s="1">
        <v>45567</v>
      </c>
      <c r="B297">
        <v>925</v>
      </c>
      <c r="C297" t="s">
        <v>42</v>
      </c>
      <c r="D297" t="s">
        <v>169</v>
      </c>
      <c r="E297">
        <v>606338</v>
      </c>
      <c r="F297" s="2">
        <v>0.77083333333333337</v>
      </c>
      <c r="G297" t="s">
        <v>6</v>
      </c>
      <c r="H297" s="2">
        <v>0.79166666666666663</v>
      </c>
      <c r="I297">
        <v>1096</v>
      </c>
      <c r="J297">
        <v>0</v>
      </c>
      <c r="K297">
        <v>0</v>
      </c>
      <c r="L297">
        <v>12</v>
      </c>
      <c r="M297">
        <v>0</v>
      </c>
      <c r="N297">
        <v>0</v>
      </c>
      <c r="O297">
        <v>0</v>
      </c>
      <c r="P297">
        <v>2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2</v>
      </c>
      <c r="AC297">
        <v>2</v>
      </c>
      <c r="AD297" s="3" t="str">
        <f t="shared" si="12"/>
        <v>S2S PREMIUM</v>
      </c>
      <c r="AE297" s="3" t="str">
        <f>VLOOKUP(E297,'[1]Nómina Agentes'!$C:$D,2,0)</f>
        <v>GONZALEZ CRISTIAN ALBERTO</v>
      </c>
      <c r="AF297" s="5">
        <f t="shared" si="13"/>
        <v>0.77083333333333337</v>
      </c>
      <c r="AG297" s="5">
        <f t="shared" si="14"/>
        <v>0.79166666666666663</v>
      </c>
    </row>
    <row r="298" spans="1:33" x14ac:dyDescent="0.25">
      <c r="A298" s="1">
        <v>45567</v>
      </c>
      <c r="B298">
        <v>925</v>
      </c>
      <c r="C298" t="s">
        <v>42</v>
      </c>
      <c r="D298" t="s">
        <v>169</v>
      </c>
      <c r="E298">
        <v>606338</v>
      </c>
      <c r="F298" s="2">
        <v>0.79166666666666663</v>
      </c>
      <c r="G298" t="s">
        <v>6</v>
      </c>
      <c r="H298" s="2">
        <v>0.8125</v>
      </c>
      <c r="I298">
        <v>1339</v>
      </c>
      <c r="J298">
        <v>0</v>
      </c>
      <c r="K298">
        <v>0</v>
      </c>
      <c r="L298">
        <v>22</v>
      </c>
      <c r="M298">
        <v>0</v>
      </c>
      <c r="N298">
        <v>0</v>
      </c>
      <c r="O298">
        <v>0</v>
      </c>
      <c r="P298">
        <v>3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6</v>
      </c>
      <c r="AC298">
        <v>3</v>
      </c>
      <c r="AD298" s="3" t="str">
        <f t="shared" si="12"/>
        <v>S2S PREMIUM</v>
      </c>
      <c r="AE298" s="3" t="str">
        <f>VLOOKUP(E298,'[1]Nómina Agentes'!$C:$D,2,0)</f>
        <v>GONZALEZ CRISTIAN ALBERTO</v>
      </c>
      <c r="AF298" s="5">
        <f t="shared" si="13"/>
        <v>0.79166666666666663</v>
      </c>
      <c r="AG298" s="5">
        <f t="shared" si="14"/>
        <v>0.8125</v>
      </c>
    </row>
    <row r="299" spans="1:33" x14ac:dyDescent="0.25">
      <c r="A299" s="1">
        <v>45567</v>
      </c>
      <c r="B299">
        <v>925</v>
      </c>
      <c r="C299" t="s">
        <v>42</v>
      </c>
      <c r="D299" t="s">
        <v>170</v>
      </c>
      <c r="E299">
        <v>606348</v>
      </c>
      <c r="F299" s="2">
        <v>0.60416666666666663</v>
      </c>
      <c r="G299" t="s">
        <v>6</v>
      </c>
      <c r="H299" s="2">
        <v>0.625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 s="3" t="str">
        <f t="shared" si="12"/>
        <v>S2S PREMIUM</v>
      </c>
      <c r="AE299" s="3" t="str">
        <f>VLOOKUP(E299,'[1]Nómina Agentes'!$C:$D,2,0)</f>
        <v>ABALOS HEREDIA DAIANA BELEN</v>
      </c>
      <c r="AF299" s="5">
        <f t="shared" si="13"/>
        <v>0.60416666666666663</v>
      </c>
      <c r="AG299" s="5">
        <f t="shared" si="14"/>
        <v>0.625</v>
      </c>
    </row>
    <row r="300" spans="1:33" x14ac:dyDescent="0.25">
      <c r="A300" s="1">
        <v>45567</v>
      </c>
      <c r="B300">
        <v>925</v>
      </c>
      <c r="C300" t="s">
        <v>42</v>
      </c>
      <c r="D300" t="s">
        <v>170</v>
      </c>
      <c r="E300">
        <v>606348</v>
      </c>
      <c r="F300" s="2">
        <v>0.64583333333333337</v>
      </c>
      <c r="G300" t="s">
        <v>6</v>
      </c>
      <c r="H300" s="2">
        <v>0.66666666666666663</v>
      </c>
      <c r="I300">
        <v>991</v>
      </c>
      <c r="J300">
        <v>0</v>
      </c>
      <c r="K300">
        <v>0</v>
      </c>
      <c r="L300">
        <v>13</v>
      </c>
      <c r="M300">
        <v>0</v>
      </c>
      <c r="N300">
        <v>0</v>
      </c>
      <c r="O300">
        <v>0</v>
      </c>
      <c r="P300">
        <v>2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</v>
      </c>
      <c r="AC300">
        <v>2</v>
      </c>
      <c r="AD300" s="3" t="str">
        <f t="shared" si="12"/>
        <v>S2S PREMIUM</v>
      </c>
      <c r="AE300" s="3" t="str">
        <f>VLOOKUP(E300,'[1]Nómina Agentes'!$C:$D,2,0)</f>
        <v>ABALOS HEREDIA DAIANA BELEN</v>
      </c>
      <c r="AF300" s="5">
        <f t="shared" si="13"/>
        <v>0.64583333333333337</v>
      </c>
      <c r="AG300" s="5">
        <f t="shared" si="14"/>
        <v>0.66666666666666663</v>
      </c>
    </row>
    <row r="301" spans="1:33" x14ac:dyDescent="0.25">
      <c r="A301" s="1">
        <v>45567</v>
      </c>
      <c r="B301">
        <v>925</v>
      </c>
      <c r="C301" t="s">
        <v>42</v>
      </c>
      <c r="D301" t="s">
        <v>170</v>
      </c>
      <c r="E301">
        <v>606348</v>
      </c>
      <c r="F301" s="2">
        <v>0.77083333333333337</v>
      </c>
      <c r="G301" t="s">
        <v>6</v>
      </c>
      <c r="H301" s="2">
        <v>0.79166666666666663</v>
      </c>
      <c r="I301">
        <v>1008</v>
      </c>
      <c r="J301">
        <v>0</v>
      </c>
      <c r="K301">
        <v>0</v>
      </c>
      <c r="L301">
        <v>16</v>
      </c>
      <c r="M301">
        <v>0</v>
      </c>
      <c r="N301">
        <v>0</v>
      </c>
      <c r="O301">
        <v>0</v>
      </c>
      <c r="P301">
        <v>3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3</v>
      </c>
      <c r="AC301">
        <v>3</v>
      </c>
      <c r="AD301" s="3" t="str">
        <f t="shared" si="12"/>
        <v>S2S PREMIUM</v>
      </c>
      <c r="AE301" s="3" t="str">
        <f>VLOOKUP(E301,'[1]Nómina Agentes'!$C:$D,2,0)</f>
        <v>ABALOS HEREDIA DAIANA BELEN</v>
      </c>
      <c r="AF301" s="5">
        <f t="shared" si="13"/>
        <v>0.77083333333333337</v>
      </c>
      <c r="AG301" s="5">
        <f t="shared" si="14"/>
        <v>0.79166666666666663</v>
      </c>
    </row>
    <row r="302" spans="1:33" x14ac:dyDescent="0.25">
      <c r="A302" s="1">
        <v>45567</v>
      </c>
      <c r="B302">
        <v>925</v>
      </c>
      <c r="C302" t="s">
        <v>42</v>
      </c>
      <c r="D302" t="s">
        <v>170</v>
      </c>
      <c r="E302">
        <v>606348</v>
      </c>
      <c r="F302" s="2">
        <v>0.75</v>
      </c>
      <c r="G302" t="s">
        <v>6</v>
      </c>
      <c r="H302" s="2">
        <v>0.77083333333333337</v>
      </c>
      <c r="I302">
        <v>1112</v>
      </c>
      <c r="J302">
        <v>0</v>
      </c>
      <c r="K302">
        <v>0</v>
      </c>
      <c r="L302">
        <v>12</v>
      </c>
      <c r="M302">
        <v>0</v>
      </c>
      <c r="N302">
        <v>0</v>
      </c>
      <c r="O302">
        <v>0</v>
      </c>
      <c r="P302">
        <v>1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4</v>
      </c>
      <c r="AC302">
        <v>1</v>
      </c>
      <c r="AD302" s="3" t="str">
        <f t="shared" si="12"/>
        <v>S2S PREMIUM</v>
      </c>
      <c r="AE302" s="3" t="str">
        <f>VLOOKUP(E302,'[1]Nómina Agentes'!$C:$D,2,0)</f>
        <v>ABALOS HEREDIA DAIANA BELEN</v>
      </c>
      <c r="AF302" s="5">
        <f t="shared" si="13"/>
        <v>0.75</v>
      </c>
      <c r="AG302" s="5">
        <f t="shared" si="14"/>
        <v>0.77083333333333337</v>
      </c>
    </row>
    <row r="303" spans="1:33" x14ac:dyDescent="0.25">
      <c r="A303" s="1">
        <v>45567</v>
      </c>
      <c r="B303">
        <v>925</v>
      </c>
      <c r="C303" t="s">
        <v>42</v>
      </c>
      <c r="D303" t="s">
        <v>170</v>
      </c>
      <c r="E303">
        <v>606348</v>
      </c>
      <c r="F303" s="2">
        <v>0.72916666666666663</v>
      </c>
      <c r="G303" t="s">
        <v>6</v>
      </c>
      <c r="H303" s="2">
        <v>0.75</v>
      </c>
      <c r="I303">
        <v>1120</v>
      </c>
      <c r="J303">
        <v>0</v>
      </c>
      <c r="K303">
        <v>0</v>
      </c>
      <c r="L303">
        <v>24</v>
      </c>
      <c r="M303">
        <v>0</v>
      </c>
      <c r="N303">
        <v>0</v>
      </c>
      <c r="O303">
        <v>0</v>
      </c>
      <c r="P303">
        <v>112</v>
      </c>
      <c r="Q303">
        <v>104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5</v>
      </c>
      <c r="AC303">
        <v>4</v>
      </c>
      <c r="AD303" s="3" t="str">
        <f t="shared" si="12"/>
        <v>S2S PREMIUM</v>
      </c>
      <c r="AE303" s="3" t="str">
        <f>VLOOKUP(E303,'[1]Nómina Agentes'!$C:$D,2,0)</f>
        <v>ABALOS HEREDIA DAIANA BELEN</v>
      </c>
      <c r="AF303" s="5">
        <f t="shared" si="13"/>
        <v>0.72916666666666663</v>
      </c>
      <c r="AG303" s="5">
        <f t="shared" si="14"/>
        <v>0.75</v>
      </c>
    </row>
    <row r="304" spans="1:33" x14ac:dyDescent="0.25">
      <c r="A304" s="1">
        <v>45567</v>
      </c>
      <c r="B304">
        <v>925</v>
      </c>
      <c r="C304" t="s">
        <v>42</v>
      </c>
      <c r="D304" t="s">
        <v>170</v>
      </c>
      <c r="E304">
        <v>606348</v>
      </c>
      <c r="F304" s="2">
        <v>0.70833333333333337</v>
      </c>
      <c r="G304" t="s">
        <v>6</v>
      </c>
      <c r="H304" s="2">
        <v>0.72916666666666663</v>
      </c>
      <c r="I304">
        <v>1128</v>
      </c>
      <c r="J304">
        <v>0</v>
      </c>
      <c r="K304">
        <v>0</v>
      </c>
      <c r="L304">
        <v>14</v>
      </c>
      <c r="M304">
        <v>0</v>
      </c>
      <c r="N304">
        <v>0</v>
      </c>
      <c r="O304">
        <v>0</v>
      </c>
      <c r="P304">
        <v>3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4</v>
      </c>
      <c r="AC304">
        <v>3</v>
      </c>
      <c r="AD304" s="3" t="str">
        <f t="shared" si="12"/>
        <v>S2S PREMIUM</v>
      </c>
      <c r="AE304" s="3" t="str">
        <f>VLOOKUP(E304,'[1]Nómina Agentes'!$C:$D,2,0)</f>
        <v>ABALOS HEREDIA DAIANA BELEN</v>
      </c>
      <c r="AF304" s="5">
        <f t="shared" si="13"/>
        <v>0.70833333333333337</v>
      </c>
      <c r="AG304" s="5">
        <f t="shared" si="14"/>
        <v>0.72916666666666663</v>
      </c>
    </row>
    <row r="305" spans="1:33" x14ac:dyDescent="0.25">
      <c r="A305" s="1">
        <v>45567</v>
      </c>
      <c r="B305">
        <v>925</v>
      </c>
      <c r="C305" t="s">
        <v>42</v>
      </c>
      <c r="D305" t="s">
        <v>170</v>
      </c>
      <c r="E305">
        <v>606348</v>
      </c>
      <c r="F305" s="2">
        <v>0.66666666666666663</v>
      </c>
      <c r="G305" t="s">
        <v>6</v>
      </c>
      <c r="H305" s="2">
        <v>0.6875</v>
      </c>
      <c r="I305">
        <v>1157</v>
      </c>
      <c r="J305">
        <v>0</v>
      </c>
      <c r="K305">
        <v>0</v>
      </c>
      <c r="L305">
        <v>8</v>
      </c>
      <c r="M305">
        <v>0</v>
      </c>
      <c r="N305">
        <v>0</v>
      </c>
      <c r="O305">
        <v>0</v>
      </c>
      <c r="P305">
        <v>41</v>
      </c>
      <c r="Q305">
        <v>34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3</v>
      </c>
      <c r="AC305">
        <v>3</v>
      </c>
      <c r="AD305" s="3" t="str">
        <f t="shared" si="12"/>
        <v>S2S PREMIUM</v>
      </c>
      <c r="AE305" s="3" t="str">
        <f>VLOOKUP(E305,'[1]Nómina Agentes'!$C:$D,2,0)</f>
        <v>ABALOS HEREDIA DAIANA BELEN</v>
      </c>
      <c r="AF305" s="5">
        <f t="shared" si="13"/>
        <v>0.66666666666666663</v>
      </c>
      <c r="AG305" s="5">
        <f t="shared" si="14"/>
        <v>0.6875</v>
      </c>
    </row>
    <row r="306" spans="1:33" x14ac:dyDescent="0.25">
      <c r="A306" s="1">
        <v>45567</v>
      </c>
      <c r="B306">
        <v>925</v>
      </c>
      <c r="C306" t="s">
        <v>42</v>
      </c>
      <c r="D306" t="s">
        <v>170</v>
      </c>
      <c r="E306">
        <v>606348</v>
      </c>
      <c r="F306" s="2">
        <v>0.625</v>
      </c>
      <c r="G306" t="s">
        <v>6</v>
      </c>
      <c r="H306" s="2">
        <v>0.64583333333333337</v>
      </c>
      <c r="I306">
        <v>1165</v>
      </c>
      <c r="J306">
        <v>0</v>
      </c>
      <c r="K306">
        <v>0</v>
      </c>
      <c r="L306">
        <v>17</v>
      </c>
      <c r="M306">
        <v>0</v>
      </c>
      <c r="N306">
        <v>0</v>
      </c>
      <c r="O306">
        <v>0</v>
      </c>
      <c r="P306">
        <v>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2</v>
      </c>
      <c r="AC306">
        <v>2</v>
      </c>
      <c r="AD306" s="3" t="str">
        <f t="shared" si="12"/>
        <v>S2S PREMIUM</v>
      </c>
      <c r="AE306" s="3" t="str">
        <f>VLOOKUP(E306,'[1]Nómina Agentes'!$C:$D,2,0)</f>
        <v>ABALOS HEREDIA DAIANA BELEN</v>
      </c>
      <c r="AF306" s="5">
        <f t="shared" si="13"/>
        <v>0.625</v>
      </c>
      <c r="AG306" s="5">
        <f t="shared" si="14"/>
        <v>0.64583333333333337</v>
      </c>
    </row>
    <row r="307" spans="1:33" x14ac:dyDescent="0.25">
      <c r="A307" s="1">
        <v>45567</v>
      </c>
      <c r="B307">
        <v>925</v>
      </c>
      <c r="C307" t="s">
        <v>42</v>
      </c>
      <c r="D307" t="s">
        <v>170</v>
      </c>
      <c r="E307">
        <v>606348</v>
      </c>
      <c r="F307" s="2">
        <v>0.6875</v>
      </c>
      <c r="G307" t="s">
        <v>6</v>
      </c>
      <c r="H307" s="2">
        <v>0.70833333333333337</v>
      </c>
      <c r="I307">
        <v>1226</v>
      </c>
      <c r="J307">
        <v>0</v>
      </c>
      <c r="K307">
        <v>0</v>
      </c>
      <c r="L307">
        <v>27</v>
      </c>
      <c r="M307">
        <v>0</v>
      </c>
      <c r="N307">
        <v>0</v>
      </c>
      <c r="O307">
        <v>0</v>
      </c>
      <c r="P307">
        <v>39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5</v>
      </c>
      <c r="AC307">
        <v>2</v>
      </c>
      <c r="AD307" s="3" t="str">
        <f t="shared" si="12"/>
        <v>S2S PREMIUM</v>
      </c>
      <c r="AE307" s="3" t="str">
        <f>VLOOKUP(E307,'[1]Nómina Agentes'!$C:$D,2,0)</f>
        <v>ABALOS HEREDIA DAIANA BELEN</v>
      </c>
      <c r="AF307" s="5">
        <f t="shared" si="13"/>
        <v>0.6875</v>
      </c>
      <c r="AG307" s="5">
        <f t="shared" si="14"/>
        <v>0.70833333333333337</v>
      </c>
    </row>
    <row r="308" spans="1:33" x14ac:dyDescent="0.25">
      <c r="A308" s="1">
        <v>45567</v>
      </c>
      <c r="B308">
        <v>925</v>
      </c>
      <c r="C308" t="s">
        <v>42</v>
      </c>
      <c r="D308" t="s">
        <v>170</v>
      </c>
      <c r="E308">
        <v>606348</v>
      </c>
      <c r="F308" s="2">
        <v>0.79166666666666663</v>
      </c>
      <c r="G308" t="s">
        <v>6</v>
      </c>
      <c r="H308" s="2">
        <v>0.8125</v>
      </c>
      <c r="I308">
        <v>1246</v>
      </c>
      <c r="J308">
        <v>0</v>
      </c>
      <c r="K308">
        <v>0</v>
      </c>
      <c r="L308">
        <v>18</v>
      </c>
      <c r="M308">
        <v>0</v>
      </c>
      <c r="N308">
        <v>0</v>
      </c>
      <c r="O308">
        <v>0</v>
      </c>
      <c r="P308">
        <v>141</v>
      </c>
      <c r="Q308">
        <v>134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5</v>
      </c>
      <c r="AC308">
        <v>3</v>
      </c>
      <c r="AD308" s="3" t="str">
        <f t="shared" si="12"/>
        <v>S2S PREMIUM</v>
      </c>
      <c r="AE308" s="3" t="str">
        <f>VLOOKUP(E308,'[1]Nómina Agentes'!$C:$D,2,0)</f>
        <v>ABALOS HEREDIA DAIANA BELEN</v>
      </c>
      <c r="AF308" s="5">
        <f t="shared" si="13"/>
        <v>0.79166666666666663</v>
      </c>
      <c r="AG308" s="5">
        <f t="shared" si="14"/>
        <v>0.8125</v>
      </c>
    </row>
    <row r="309" spans="1:33" x14ac:dyDescent="0.25">
      <c r="A309" s="1">
        <v>45567</v>
      </c>
      <c r="B309">
        <v>925</v>
      </c>
      <c r="C309" t="s">
        <v>42</v>
      </c>
      <c r="D309" t="s">
        <v>170</v>
      </c>
      <c r="E309">
        <v>606348</v>
      </c>
      <c r="F309" s="2">
        <v>0.8125</v>
      </c>
      <c r="G309" t="s">
        <v>6</v>
      </c>
      <c r="H309" s="2">
        <v>0.83333333333333337</v>
      </c>
      <c r="I309">
        <v>1265</v>
      </c>
      <c r="J309">
        <v>0</v>
      </c>
      <c r="K309">
        <v>0</v>
      </c>
      <c r="L309">
        <v>17</v>
      </c>
      <c r="M309">
        <v>0</v>
      </c>
      <c r="N309">
        <v>0</v>
      </c>
      <c r="O309">
        <v>0</v>
      </c>
      <c r="P309">
        <v>2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3</v>
      </c>
      <c r="AC309">
        <v>2</v>
      </c>
      <c r="AD309" s="3" t="str">
        <f t="shared" si="12"/>
        <v>S2S PREMIUM</v>
      </c>
      <c r="AE309" s="3" t="str">
        <f>VLOOKUP(E309,'[1]Nómina Agentes'!$C:$D,2,0)</f>
        <v>ABALOS HEREDIA DAIANA BELEN</v>
      </c>
      <c r="AF309" s="5">
        <f t="shared" si="13"/>
        <v>0.8125</v>
      </c>
      <c r="AG309" s="5">
        <f t="shared" si="14"/>
        <v>0.83333333333333337</v>
      </c>
    </row>
    <row r="310" spans="1:33" x14ac:dyDescent="0.25">
      <c r="A310" s="1">
        <v>45567</v>
      </c>
      <c r="B310">
        <v>924</v>
      </c>
      <c r="C310" t="s">
        <v>43</v>
      </c>
      <c r="D310" t="s">
        <v>48</v>
      </c>
      <c r="E310">
        <v>606359</v>
      </c>
      <c r="F310" s="2">
        <v>0.58333333333333337</v>
      </c>
      <c r="G310" t="s">
        <v>6</v>
      </c>
      <c r="H310" s="2">
        <v>0.60416666666666663</v>
      </c>
      <c r="I310">
        <v>711</v>
      </c>
      <c r="J310">
        <v>0</v>
      </c>
      <c r="K310">
        <v>0</v>
      </c>
      <c r="L310">
        <v>13</v>
      </c>
      <c r="M310">
        <v>0</v>
      </c>
      <c r="N310">
        <v>0</v>
      </c>
      <c r="O310">
        <v>0</v>
      </c>
      <c r="P310">
        <v>3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4</v>
      </c>
      <c r="AC310">
        <v>3</v>
      </c>
      <c r="AD310" s="3" t="str">
        <f t="shared" si="12"/>
        <v>S2S NO PREMIUM</v>
      </c>
      <c r="AE310" s="3" t="str">
        <f>VLOOKUP(E310,'[1]Nómina Agentes'!$C:$D,2,0)</f>
        <v>MARTINEZ NORBERTO GUSTAVO</v>
      </c>
      <c r="AF310" s="5">
        <f t="shared" si="13"/>
        <v>0.58333333333333337</v>
      </c>
      <c r="AG310" s="5">
        <f t="shared" si="14"/>
        <v>0.60416666666666663</v>
      </c>
    </row>
    <row r="311" spans="1:33" x14ac:dyDescent="0.25">
      <c r="A311" s="1">
        <v>45567</v>
      </c>
      <c r="B311">
        <v>924</v>
      </c>
      <c r="C311" t="s">
        <v>43</v>
      </c>
      <c r="D311" t="s">
        <v>48</v>
      </c>
      <c r="E311">
        <v>606359</v>
      </c>
      <c r="F311" s="2">
        <v>0.60416666666666663</v>
      </c>
      <c r="G311" t="s">
        <v>6</v>
      </c>
      <c r="H311" s="2">
        <v>0.625</v>
      </c>
      <c r="I311">
        <v>813</v>
      </c>
      <c r="J311">
        <v>0</v>
      </c>
      <c r="K311">
        <v>0</v>
      </c>
      <c r="L311">
        <v>19</v>
      </c>
      <c r="M311">
        <v>0</v>
      </c>
      <c r="N311">
        <v>0</v>
      </c>
      <c r="O311">
        <v>0</v>
      </c>
      <c r="P311">
        <v>4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3</v>
      </c>
      <c r="AC311">
        <v>3</v>
      </c>
      <c r="AD311" s="3" t="str">
        <f t="shared" si="12"/>
        <v>S2S NO PREMIUM</v>
      </c>
      <c r="AE311" s="3" t="str">
        <f>VLOOKUP(E311,'[1]Nómina Agentes'!$C:$D,2,0)</f>
        <v>MARTINEZ NORBERTO GUSTAVO</v>
      </c>
      <c r="AF311" s="5">
        <f t="shared" si="13"/>
        <v>0.60416666666666663</v>
      </c>
      <c r="AG311" s="5">
        <f t="shared" si="14"/>
        <v>0.625</v>
      </c>
    </row>
    <row r="312" spans="1:33" x14ac:dyDescent="0.25">
      <c r="A312" s="1">
        <v>45567</v>
      </c>
      <c r="B312">
        <v>924</v>
      </c>
      <c r="C312" t="s">
        <v>43</v>
      </c>
      <c r="D312" t="s">
        <v>48</v>
      </c>
      <c r="E312">
        <v>606359</v>
      </c>
      <c r="F312" s="2">
        <v>0.64583333333333337</v>
      </c>
      <c r="G312" t="s">
        <v>6</v>
      </c>
      <c r="H312" s="2">
        <v>0.66666666666666663</v>
      </c>
      <c r="I312">
        <v>1084</v>
      </c>
      <c r="J312">
        <v>0</v>
      </c>
      <c r="K312">
        <v>0</v>
      </c>
      <c r="L312">
        <v>14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3</v>
      </c>
      <c r="AC312">
        <v>0</v>
      </c>
      <c r="AD312" s="3" t="str">
        <f t="shared" si="12"/>
        <v>S2S NO PREMIUM</v>
      </c>
      <c r="AE312" s="3" t="str">
        <f>VLOOKUP(E312,'[1]Nómina Agentes'!$C:$D,2,0)</f>
        <v>MARTINEZ NORBERTO GUSTAVO</v>
      </c>
      <c r="AF312" s="5">
        <f t="shared" si="13"/>
        <v>0.64583333333333337</v>
      </c>
      <c r="AG312" s="5">
        <f t="shared" si="14"/>
        <v>0.66666666666666663</v>
      </c>
    </row>
    <row r="313" spans="1:33" x14ac:dyDescent="0.25">
      <c r="A313" s="1">
        <v>45567</v>
      </c>
      <c r="B313">
        <v>924</v>
      </c>
      <c r="C313" t="s">
        <v>43</v>
      </c>
      <c r="D313" t="s">
        <v>48</v>
      </c>
      <c r="E313">
        <v>606359</v>
      </c>
      <c r="F313" s="2">
        <v>0.625</v>
      </c>
      <c r="G313" t="s">
        <v>6</v>
      </c>
      <c r="H313" s="2">
        <v>0.64583333333333337</v>
      </c>
      <c r="I313">
        <v>1113</v>
      </c>
      <c r="J313">
        <v>0</v>
      </c>
      <c r="K313">
        <v>0</v>
      </c>
      <c r="L313">
        <v>10</v>
      </c>
      <c r="M313">
        <v>0</v>
      </c>
      <c r="N313">
        <v>0</v>
      </c>
      <c r="O313">
        <v>0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3</v>
      </c>
      <c r="AC313">
        <v>2</v>
      </c>
      <c r="AD313" s="3" t="str">
        <f t="shared" si="12"/>
        <v>S2S NO PREMIUM</v>
      </c>
      <c r="AE313" s="3" t="str">
        <f>VLOOKUP(E313,'[1]Nómina Agentes'!$C:$D,2,0)</f>
        <v>MARTINEZ NORBERTO GUSTAVO</v>
      </c>
      <c r="AF313" s="5">
        <f t="shared" si="13"/>
        <v>0.625</v>
      </c>
      <c r="AG313" s="5">
        <f t="shared" si="14"/>
        <v>0.64583333333333337</v>
      </c>
    </row>
    <row r="314" spans="1:33" x14ac:dyDescent="0.25">
      <c r="A314" s="1">
        <v>45567</v>
      </c>
      <c r="B314">
        <v>925</v>
      </c>
      <c r="C314" t="s">
        <v>42</v>
      </c>
      <c r="D314" t="s">
        <v>171</v>
      </c>
      <c r="E314">
        <v>606370</v>
      </c>
      <c r="F314" s="2">
        <v>0.60416666666666663</v>
      </c>
      <c r="G314" t="s">
        <v>6</v>
      </c>
      <c r="H314" s="2">
        <v>0.625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 s="3" t="str">
        <f t="shared" si="12"/>
        <v>S2S PREMIUM</v>
      </c>
      <c r="AE314" s="3" t="str">
        <f>VLOOKUP(E314,'[1]Nómina Agentes'!$C:$D,2,0)</f>
        <v>PINO ELISA</v>
      </c>
      <c r="AF314" s="5">
        <f t="shared" si="13"/>
        <v>0.60416666666666663</v>
      </c>
      <c r="AG314" s="5">
        <f t="shared" si="14"/>
        <v>0.625</v>
      </c>
    </row>
    <row r="315" spans="1:33" x14ac:dyDescent="0.25">
      <c r="A315" s="1">
        <v>45567</v>
      </c>
      <c r="B315">
        <v>925</v>
      </c>
      <c r="C315" t="s">
        <v>42</v>
      </c>
      <c r="D315" t="s">
        <v>171</v>
      </c>
      <c r="E315">
        <v>606370</v>
      </c>
      <c r="F315" s="2">
        <v>0.77083333333333337</v>
      </c>
      <c r="G315" t="s">
        <v>6</v>
      </c>
      <c r="H315" s="2">
        <v>0.79166666666666663</v>
      </c>
      <c r="I315">
        <v>655</v>
      </c>
      <c r="J315">
        <v>0</v>
      </c>
      <c r="K315">
        <v>0</v>
      </c>
      <c r="L315">
        <v>20</v>
      </c>
      <c r="M315">
        <v>0</v>
      </c>
      <c r="N315">
        <v>0</v>
      </c>
      <c r="O315">
        <v>0</v>
      </c>
      <c r="P315">
        <v>4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4</v>
      </c>
      <c r="AC315">
        <v>4</v>
      </c>
      <c r="AD315" s="3" t="str">
        <f t="shared" si="12"/>
        <v>S2S PREMIUM</v>
      </c>
      <c r="AE315" s="3" t="str">
        <f>VLOOKUP(E315,'[1]Nómina Agentes'!$C:$D,2,0)</f>
        <v>PINO ELISA</v>
      </c>
      <c r="AF315" s="5">
        <f t="shared" si="13"/>
        <v>0.77083333333333337</v>
      </c>
      <c r="AG315" s="5">
        <f t="shared" si="14"/>
        <v>0.79166666666666663</v>
      </c>
    </row>
    <row r="316" spans="1:33" x14ac:dyDescent="0.25">
      <c r="A316" s="1">
        <v>45567</v>
      </c>
      <c r="B316">
        <v>925</v>
      </c>
      <c r="C316" t="s">
        <v>42</v>
      </c>
      <c r="D316" t="s">
        <v>171</v>
      </c>
      <c r="E316">
        <v>606370</v>
      </c>
      <c r="F316" s="2">
        <v>0.66666666666666663</v>
      </c>
      <c r="G316" t="s">
        <v>6</v>
      </c>
      <c r="H316" s="2">
        <v>0.6875</v>
      </c>
      <c r="I316">
        <v>737</v>
      </c>
      <c r="J316">
        <v>0</v>
      </c>
      <c r="K316">
        <v>0</v>
      </c>
      <c r="L316">
        <v>16</v>
      </c>
      <c r="M316">
        <v>0</v>
      </c>
      <c r="N316">
        <v>0</v>
      </c>
      <c r="O316">
        <v>0</v>
      </c>
      <c r="P316">
        <v>193</v>
      </c>
      <c r="Q316">
        <v>31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4</v>
      </c>
      <c r="AC316">
        <v>4</v>
      </c>
      <c r="AD316" s="3" t="str">
        <f t="shared" si="12"/>
        <v>S2S PREMIUM</v>
      </c>
      <c r="AE316" s="3" t="str">
        <f>VLOOKUP(E316,'[1]Nómina Agentes'!$C:$D,2,0)</f>
        <v>PINO ELISA</v>
      </c>
      <c r="AF316" s="5">
        <f t="shared" si="13"/>
        <v>0.66666666666666663</v>
      </c>
      <c r="AG316" s="5">
        <f t="shared" si="14"/>
        <v>0.6875</v>
      </c>
    </row>
    <row r="317" spans="1:33" x14ac:dyDescent="0.25">
      <c r="A317" s="1">
        <v>45567</v>
      </c>
      <c r="B317">
        <v>925</v>
      </c>
      <c r="C317" t="s">
        <v>42</v>
      </c>
      <c r="D317" t="s">
        <v>171</v>
      </c>
      <c r="E317">
        <v>606370</v>
      </c>
      <c r="F317" s="2">
        <v>0.70833333333333337</v>
      </c>
      <c r="G317" t="s">
        <v>6</v>
      </c>
      <c r="H317" s="2">
        <v>0.72916666666666663</v>
      </c>
      <c r="I317">
        <v>830</v>
      </c>
      <c r="J317">
        <v>0</v>
      </c>
      <c r="K317">
        <v>0</v>
      </c>
      <c r="L317">
        <v>12</v>
      </c>
      <c r="M317">
        <v>0</v>
      </c>
      <c r="N317">
        <v>0</v>
      </c>
      <c r="O317">
        <v>0</v>
      </c>
      <c r="P317">
        <v>2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3</v>
      </c>
      <c r="AC317">
        <v>2</v>
      </c>
      <c r="AD317" s="3" t="str">
        <f t="shared" si="12"/>
        <v>S2S PREMIUM</v>
      </c>
      <c r="AE317" s="3" t="str">
        <f>VLOOKUP(E317,'[1]Nómina Agentes'!$C:$D,2,0)</f>
        <v>PINO ELISA</v>
      </c>
      <c r="AF317" s="5">
        <f t="shared" si="13"/>
        <v>0.70833333333333337</v>
      </c>
      <c r="AG317" s="5">
        <f t="shared" si="14"/>
        <v>0.72916666666666663</v>
      </c>
    </row>
    <row r="318" spans="1:33" x14ac:dyDescent="0.25">
      <c r="A318" s="1">
        <v>45567</v>
      </c>
      <c r="B318">
        <v>925</v>
      </c>
      <c r="C318" t="s">
        <v>42</v>
      </c>
      <c r="D318" t="s">
        <v>171</v>
      </c>
      <c r="E318">
        <v>606370</v>
      </c>
      <c r="F318" s="2">
        <v>0.75</v>
      </c>
      <c r="G318" t="s">
        <v>6</v>
      </c>
      <c r="H318" s="2">
        <v>0.77083333333333337</v>
      </c>
      <c r="I318">
        <v>903</v>
      </c>
      <c r="J318">
        <v>0</v>
      </c>
      <c r="K318">
        <v>0</v>
      </c>
      <c r="L318">
        <v>9</v>
      </c>
      <c r="M318">
        <v>0</v>
      </c>
      <c r="N318">
        <v>0</v>
      </c>
      <c r="O318">
        <v>0</v>
      </c>
      <c r="P318">
        <v>3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2</v>
      </c>
      <c r="AC318">
        <v>2</v>
      </c>
      <c r="AD318" s="3" t="str">
        <f t="shared" si="12"/>
        <v>S2S PREMIUM</v>
      </c>
      <c r="AE318" s="3" t="str">
        <f>VLOOKUP(E318,'[1]Nómina Agentes'!$C:$D,2,0)</f>
        <v>PINO ELISA</v>
      </c>
      <c r="AF318" s="5">
        <f t="shared" si="13"/>
        <v>0.75</v>
      </c>
      <c r="AG318" s="5">
        <f t="shared" si="14"/>
        <v>0.77083333333333337</v>
      </c>
    </row>
    <row r="319" spans="1:33" x14ac:dyDescent="0.25">
      <c r="A319" s="1">
        <v>45567</v>
      </c>
      <c r="B319">
        <v>925</v>
      </c>
      <c r="C319" t="s">
        <v>42</v>
      </c>
      <c r="D319" t="s">
        <v>171</v>
      </c>
      <c r="E319">
        <v>606370</v>
      </c>
      <c r="F319" s="2">
        <v>0.8125</v>
      </c>
      <c r="G319" t="s">
        <v>6</v>
      </c>
      <c r="H319" s="2">
        <v>0.83333333333333337</v>
      </c>
      <c r="I319">
        <v>906</v>
      </c>
      <c r="J319">
        <v>0</v>
      </c>
      <c r="K319">
        <v>0</v>
      </c>
      <c r="L319">
        <v>12</v>
      </c>
      <c r="M319">
        <v>0</v>
      </c>
      <c r="N319">
        <v>0</v>
      </c>
      <c r="O319">
        <v>0</v>
      </c>
      <c r="P319">
        <v>275</v>
      </c>
      <c r="Q319">
        <v>45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4</v>
      </c>
      <c r="AC319">
        <v>4</v>
      </c>
      <c r="AD319" s="3" t="str">
        <f t="shared" ref="AD319:AD382" si="15">UPPER(C319)</f>
        <v>S2S PREMIUM</v>
      </c>
      <c r="AE319" s="3" t="str">
        <f>VLOOKUP(E319,'[1]Nómina Agentes'!$C:$D,2,0)</f>
        <v>PINO ELISA</v>
      </c>
      <c r="AF319" s="5">
        <f t="shared" ref="AF319:AF382" si="16">F319</f>
        <v>0.8125</v>
      </c>
      <c r="AG319" s="5">
        <f t="shared" ref="AG319:AG382" si="17">H319</f>
        <v>0.83333333333333337</v>
      </c>
    </row>
    <row r="320" spans="1:33" x14ac:dyDescent="0.25">
      <c r="A320" s="1">
        <v>45567</v>
      </c>
      <c r="B320">
        <v>925</v>
      </c>
      <c r="C320" t="s">
        <v>42</v>
      </c>
      <c r="D320" t="s">
        <v>171</v>
      </c>
      <c r="E320">
        <v>606370</v>
      </c>
      <c r="F320" s="2">
        <v>0.72916666666666663</v>
      </c>
      <c r="G320" t="s">
        <v>6</v>
      </c>
      <c r="H320" s="2">
        <v>0.75</v>
      </c>
      <c r="I320">
        <v>907</v>
      </c>
      <c r="J320">
        <v>0</v>
      </c>
      <c r="K320">
        <v>0</v>
      </c>
      <c r="L320">
        <v>21</v>
      </c>
      <c r="M320">
        <v>0</v>
      </c>
      <c r="N320">
        <v>0</v>
      </c>
      <c r="O320">
        <v>0</v>
      </c>
      <c r="P320">
        <v>208</v>
      </c>
      <c r="Q320">
        <v>97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6</v>
      </c>
      <c r="AC320">
        <v>5</v>
      </c>
      <c r="AD320" s="3" t="str">
        <f t="shared" si="15"/>
        <v>S2S PREMIUM</v>
      </c>
      <c r="AE320" s="3" t="str">
        <f>VLOOKUP(E320,'[1]Nómina Agentes'!$C:$D,2,0)</f>
        <v>PINO ELISA</v>
      </c>
      <c r="AF320" s="5">
        <f t="shared" si="16"/>
        <v>0.72916666666666663</v>
      </c>
      <c r="AG320" s="5">
        <f t="shared" si="17"/>
        <v>0.75</v>
      </c>
    </row>
    <row r="321" spans="1:33" x14ac:dyDescent="0.25">
      <c r="A321" s="1">
        <v>45567</v>
      </c>
      <c r="B321">
        <v>925</v>
      </c>
      <c r="C321" t="s">
        <v>42</v>
      </c>
      <c r="D321" t="s">
        <v>171</v>
      </c>
      <c r="E321">
        <v>606370</v>
      </c>
      <c r="F321" s="2">
        <v>0.79166666666666663</v>
      </c>
      <c r="G321" t="s">
        <v>6</v>
      </c>
      <c r="H321" s="2">
        <v>0.8125</v>
      </c>
      <c r="I321">
        <v>976</v>
      </c>
      <c r="J321">
        <v>0</v>
      </c>
      <c r="K321">
        <v>0</v>
      </c>
      <c r="L321">
        <v>12</v>
      </c>
      <c r="M321">
        <v>0</v>
      </c>
      <c r="N321">
        <v>0</v>
      </c>
      <c r="O321">
        <v>0</v>
      </c>
      <c r="P321">
        <v>138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3</v>
      </c>
      <c r="AC321">
        <v>3</v>
      </c>
      <c r="AD321" s="3" t="str">
        <f t="shared" si="15"/>
        <v>S2S PREMIUM</v>
      </c>
      <c r="AE321" s="3" t="str">
        <f>VLOOKUP(E321,'[1]Nómina Agentes'!$C:$D,2,0)</f>
        <v>PINO ELISA</v>
      </c>
      <c r="AF321" s="5">
        <f t="shared" si="16"/>
        <v>0.79166666666666663</v>
      </c>
      <c r="AG321" s="5">
        <f t="shared" si="17"/>
        <v>0.8125</v>
      </c>
    </row>
    <row r="322" spans="1:33" x14ac:dyDescent="0.25">
      <c r="A322" s="1">
        <v>45567</v>
      </c>
      <c r="B322">
        <v>925</v>
      </c>
      <c r="C322" t="s">
        <v>42</v>
      </c>
      <c r="D322" t="s">
        <v>171</v>
      </c>
      <c r="E322">
        <v>606370</v>
      </c>
      <c r="F322" s="2">
        <v>0.625</v>
      </c>
      <c r="G322" t="s">
        <v>6</v>
      </c>
      <c r="H322" s="2">
        <v>0.64583333333333337</v>
      </c>
      <c r="I322">
        <v>1001</v>
      </c>
      <c r="J322">
        <v>0</v>
      </c>
      <c r="K322">
        <v>0</v>
      </c>
      <c r="L322">
        <v>18</v>
      </c>
      <c r="M322">
        <v>0</v>
      </c>
      <c r="N322">
        <v>0</v>
      </c>
      <c r="O322">
        <v>0</v>
      </c>
      <c r="P322">
        <v>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3</v>
      </c>
      <c r="AC322">
        <v>3</v>
      </c>
      <c r="AD322" s="3" t="str">
        <f t="shared" si="15"/>
        <v>S2S PREMIUM</v>
      </c>
      <c r="AE322" s="3" t="str">
        <f>VLOOKUP(E322,'[1]Nómina Agentes'!$C:$D,2,0)</f>
        <v>PINO ELISA</v>
      </c>
      <c r="AF322" s="5">
        <f t="shared" si="16"/>
        <v>0.625</v>
      </c>
      <c r="AG322" s="5">
        <f t="shared" si="17"/>
        <v>0.64583333333333337</v>
      </c>
    </row>
    <row r="323" spans="1:33" x14ac:dyDescent="0.25">
      <c r="A323" s="1">
        <v>45567</v>
      </c>
      <c r="B323">
        <v>925</v>
      </c>
      <c r="C323" t="s">
        <v>42</v>
      </c>
      <c r="D323" t="s">
        <v>171</v>
      </c>
      <c r="E323">
        <v>606370</v>
      </c>
      <c r="F323" s="2">
        <v>0.64583333333333337</v>
      </c>
      <c r="G323" t="s">
        <v>6</v>
      </c>
      <c r="H323" s="2">
        <v>0.66666666666666663</v>
      </c>
      <c r="I323">
        <v>1102</v>
      </c>
      <c r="J323">
        <v>0</v>
      </c>
      <c r="K323">
        <v>0</v>
      </c>
      <c r="L323">
        <v>8</v>
      </c>
      <c r="M323">
        <v>0</v>
      </c>
      <c r="N323">
        <v>0</v>
      </c>
      <c r="O323">
        <v>0</v>
      </c>
      <c r="P323">
        <v>2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2</v>
      </c>
      <c r="AC323">
        <v>2</v>
      </c>
      <c r="AD323" s="3" t="str">
        <f t="shared" si="15"/>
        <v>S2S PREMIUM</v>
      </c>
      <c r="AE323" s="3" t="str">
        <f>VLOOKUP(E323,'[1]Nómina Agentes'!$C:$D,2,0)</f>
        <v>PINO ELISA</v>
      </c>
      <c r="AF323" s="5">
        <f t="shared" si="16"/>
        <v>0.64583333333333337</v>
      </c>
      <c r="AG323" s="5">
        <f t="shared" si="17"/>
        <v>0.66666666666666663</v>
      </c>
    </row>
    <row r="324" spans="1:33" x14ac:dyDescent="0.25">
      <c r="A324" s="1">
        <v>45567</v>
      </c>
      <c r="B324">
        <v>925</v>
      </c>
      <c r="C324" t="s">
        <v>42</v>
      </c>
      <c r="D324" t="s">
        <v>171</v>
      </c>
      <c r="E324">
        <v>606370</v>
      </c>
      <c r="F324" s="2">
        <v>0.6875</v>
      </c>
      <c r="G324" t="s">
        <v>6</v>
      </c>
      <c r="H324" s="2">
        <v>0.70833333333333337</v>
      </c>
      <c r="I324">
        <v>1565</v>
      </c>
      <c r="J324">
        <v>0</v>
      </c>
      <c r="K324">
        <v>0</v>
      </c>
      <c r="L324">
        <v>8</v>
      </c>
      <c r="M324">
        <v>0</v>
      </c>
      <c r="N324">
        <v>0</v>
      </c>
      <c r="O324">
        <v>0</v>
      </c>
      <c r="P324">
        <v>93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2</v>
      </c>
      <c r="AC324">
        <v>1</v>
      </c>
      <c r="AD324" s="3" t="str">
        <f t="shared" si="15"/>
        <v>S2S PREMIUM</v>
      </c>
      <c r="AE324" s="3" t="str">
        <f>VLOOKUP(E324,'[1]Nómina Agentes'!$C:$D,2,0)</f>
        <v>PINO ELISA</v>
      </c>
      <c r="AF324" s="5">
        <f t="shared" si="16"/>
        <v>0.6875</v>
      </c>
      <c r="AG324" s="5">
        <f t="shared" si="17"/>
        <v>0.70833333333333337</v>
      </c>
    </row>
    <row r="325" spans="1:33" x14ac:dyDescent="0.25">
      <c r="A325" s="1">
        <v>45567</v>
      </c>
      <c r="B325">
        <v>924</v>
      </c>
      <c r="C325" t="s">
        <v>43</v>
      </c>
      <c r="D325" t="s">
        <v>62</v>
      </c>
      <c r="E325">
        <v>606371</v>
      </c>
      <c r="F325" s="2">
        <v>0.75</v>
      </c>
      <c r="G325" t="s">
        <v>6</v>
      </c>
      <c r="H325" s="2">
        <v>0.77083333333333337</v>
      </c>
      <c r="I325">
        <v>101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1</v>
      </c>
      <c r="AC325">
        <v>1</v>
      </c>
      <c r="AD325" s="3" t="str">
        <f t="shared" si="15"/>
        <v>S2S NO PREMIUM</v>
      </c>
      <c r="AE325" s="3" t="str">
        <f>VLOOKUP(E325,'[1]Nómina Agentes'!$C:$D,2,0)</f>
        <v>CALAHUANA SILVANA</v>
      </c>
      <c r="AF325" s="5">
        <f t="shared" si="16"/>
        <v>0.75</v>
      </c>
      <c r="AG325" s="5">
        <f t="shared" si="17"/>
        <v>0.77083333333333337</v>
      </c>
    </row>
    <row r="326" spans="1:33" x14ac:dyDescent="0.25">
      <c r="A326" s="1">
        <v>45567</v>
      </c>
      <c r="B326">
        <v>924</v>
      </c>
      <c r="C326" t="s">
        <v>43</v>
      </c>
      <c r="D326" t="s">
        <v>62</v>
      </c>
      <c r="E326">
        <v>606371</v>
      </c>
      <c r="F326" s="2">
        <v>0.64583333333333337</v>
      </c>
      <c r="G326" t="s">
        <v>6</v>
      </c>
      <c r="H326" s="2">
        <v>0.66666666666666663</v>
      </c>
      <c r="I326">
        <v>825</v>
      </c>
      <c r="J326">
        <v>0</v>
      </c>
      <c r="K326">
        <v>0</v>
      </c>
      <c r="L326">
        <v>19</v>
      </c>
      <c r="M326">
        <v>0</v>
      </c>
      <c r="N326">
        <v>0</v>
      </c>
      <c r="O326">
        <v>0</v>
      </c>
      <c r="P326">
        <v>3</v>
      </c>
      <c r="Q326">
        <v>3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4</v>
      </c>
      <c r="AC326">
        <v>2</v>
      </c>
      <c r="AD326" s="3" t="str">
        <f t="shared" si="15"/>
        <v>S2S NO PREMIUM</v>
      </c>
      <c r="AE326" s="3" t="str">
        <f>VLOOKUP(E326,'[1]Nómina Agentes'!$C:$D,2,0)</f>
        <v>CALAHUANA SILVANA</v>
      </c>
      <c r="AF326" s="5">
        <f t="shared" si="16"/>
        <v>0.64583333333333337</v>
      </c>
      <c r="AG326" s="5">
        <f t="shared" si="17"/>
        <v>0.66666666666666663</v>
      </c>
    </row>
    <row r="327" spans="1:33" x14ac:dyDescent="0.25">
      <c r="A327" s="1">
        <v>45567</v>
      </c>
      <c r="B327">
        <v>924</v>
      </c>
      <c r="C327" t="s">
        <v>43</v>
      </c>
      <c r="D327" t="s">
        <v>62</v>
      </c>
      <c r="E327">
        <v>606371</v>
      </c>
      <c r="F327" s="2">
        <v>0.58333333333333337</v>
      </c>
      <c r="G327" t="s">
        <v>6</v>
      </c>
      <c r="H327" s="2">
        <v>0.60416666666666663</v>
      </c>
      <c r="I327">
        <v>916</v>
      </c>
      <c r="J327">
        <v>0</v>
      </c>
      <c r="K327">
        <v>0</v>
      </c>
      <c r="L327">
        <v>19</v>
      </c>
      <c r="M327">
        <v>0</v>
      </c>
      <c r="N327">
        <v>0</v>
      </c>
      <c r="O327">
        <v>0</v>
      </c>
      <c r="P327">
        <v>2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</v>
      </c>
      <c r="AC327">
        <v>2</v>
      </c>
      <c r="AD327" s="3" t="str">
        <f t="shared" si="15"/>
        <v>S2S NO PREMIUM</v>
      </c>
      <c r="AE327" s="3" t="str">
        <f>VLOOKUP(E327,'[1]Nómina Agentes'!$C:$D,2,0)</f>
        <v>CALAHUANA SILVANA</v>
      </c>
      <c r="AF327" s="5">
        <f t="shared" si="16"/>
        <v>0.58333333333333337</v>
      </c>
      <c r="AG327" s="5">
        <f t="shared" si="17"/>
        <v>0.60416666666666663</v>
      </c>
    </row>
    <row r="328" spans="1:33" x14ac:dyDescent="0.25">
      <c r="A328" s="1">
        <v>45567</v>
      </c>
      <c r="B328">
        <v>924</v>
      </c>
      <c r="C328" t="s">
        <v>43</v>
      </c>
      <c r="D328" t="s">
        <v>62</v>
      </c>
      <c r="E328">
        <v>606371</v>
      </c>
      <c r="F328" s="2">
        <v>0.60416666666666663</v>
      </c>
      <c r="G328" t="s">
        <v>6</v>
      </c>
      <c r="H328" s="2">
        <v>0.625</v>
      </c>
      <c r="I328">
        <v>1028</v>
      </c>
      <c r="J328">
        <v>0</v>
      </c>
      <c r="K328">
        <v>0</v>
      </c>
      <c r="L328">
        <v>13</v>
      </c>
      <c r="M328">
        <v>0</v>
      </c>
      <c r="N328">
        <v>0</v>
      </c>
      <c r="O328">
        <v>0</v>
      </c>
      <c r="P328">
        <v>3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4</v>
      </c>
      <c r="AC328">
        <v>3</v>
      </c>
      <c r="AD328" s="3" t="str">
        <f t="shared" si="15"/>
        <v>S2S NO PREMIUM</v>
      </c>
      <c r="AE328" s="3" t="str">
        <f>VLOOKUP(E328,'[1]Nómina Agentes'!$C:$D,2,0)</f>
        <v>CALAHUANA SILVANA</v>
      </c>
      <c r="AF328" s="5">
        <f t="shared" si="16"/>
        <v>0.60416666666666663</v>
      </c>
      <c r="AG328" s="5">
        <f t="shared" si="17"/>
        <v>0.625</v>
      </c>
    </row>
    <row r="329" spans="1:33" x14ac:dyDescent="0.25">
      <c r="A329" s="1">
        <v>45567</v>
      </c>
      <c r="B329">
        <v>924</v>
      </c>
      <c r="C329" t="s">
        <v>43</v>
      </c>
      <c r="D329" t="s">
        <v>62</v>
      </c>
      <c r="E329">
        <v>606371</v>
      </c>
      <c r="F329" s="2">
        <v>0.625</v>
      </c>
      <c r="G329" t="s">
        <v>6</v>
      </c>
      <c r="H329" s="2">
        <v>0.64583333333333337</v>
      </c>
      <c r="I329">
        <v>1031</v>
      </c>
      <c r="J329">
        <v>0</v>
      </c>
      <c r="K329">
        <v>0</v>
      </c>
      <c r="L329">
        <v>12</v>
      </c>
      <c r="M329">
        <v>0</v>
      </c>
      <c r="N329">
        <v>0</v>
      </c>
      <c r="O329">
        <v>0</v>
      </c>
      <c r="P329">
        <v>3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3</v>
      </c>
      <c r="AC329">
        <v>3</v>
      </c>
      <c r="AD329" s="3" t="str">
        <f t="shared" si="15"/>
        <v>S2S NO PREMIUM</v>
      </c>
      <c r="AE329" s="3" t="str">
        <f>VLOOKUP(E329,'[1]Nómina Agentes'!$C:$D,2,0)</f>
        <v>CALAHUANA SILVANA</v>
      </c>
      <c r="AF329" s="5">
        <f t="shared" si="16"/>
        <v>0.625</v>
      </c>
      <c r="AG329" s="5">
        <f t="shared" si="17"/>
        <v>0.64583333333333337</v>
      </c>
    </row>
    <row r="330" spans="1:33" x14ac:dyDescent="0.25">
      <c r="A330" s="1">
        <v>45567</v>
      </c>
      <c r="B330">
        <v>924</v>
      </c>
      <c r="C330" t="s">
        <v>43</v>
      </c>
      <c r="D330" t="s">
        <v>62</v>
      </c>
      <c r="E330">
        <v>606371</v>
      </c>
      <c r="F330" s="2">
        <v>0.66666666666666663</v>
      </c>
      <c r="G330" t="s">
        <v>6</v>
      </c>
      <c r="H330" s="2">
        <v>0.6875</v>
      </c>
      <c r="I330">
        <v>1187</v>
      </c>
      <c r="J330">
        <v>0</v>
      </c>
      <c r="K330">
        <v>0</v>
      </c>
      <c r="L330">
        <v>25</v>
      </c>
      <c r="M330">
        <v>0</v>
      </c>
      <c r="N330">
        <v>0</v>
      </c>
      <c r="O330">
        <v>0</v>
      </c>
      <c r="P330">
        <v>7</v>
      </c>
      <c r="Q330">
        <v>1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7</v>
      </c>
      <c r="AC330">
        <v>7</v>
      </c>
      <c r="AD330" s="3" t="str">
        <f t="shared" si="15"/>
        <v>S2S NO PREMIUM</v>
      </c>
      <c r="AE330" s="3" t="str">
        <f>VLOOKUP(E330,'[1]Nómina Agentes'!$C:$D,2,0)</f>
        <v>CALAHUANA SILVANA</v>
      </c>
      <c r="AF330" s="5">
        <f t="shared" si="16"/>
        <v>0.66666666666666663</v>
      </c>
      <c r="AG330" s="5">
        <f t="shared" si="17"/>
        <v>0.6875</v>
      </c>
    </row>
    <row r="331" spans="1:33" x14ac:dyDescent="0.25">
      <c r="A331" s="1">
        <v>45567</v>
      </c>
      <c r="B331">
        <v>924</v>
      </c>
      <c r="C331" t="s">
        <v>43</v>
      </c>
      <c r="D331" t="s">
        <v>62</v>
      </c>
      <c r="E331">
        <v>606371</v>
      </c>
      <c r="F331" s="2">
        <v>0.70833333333333337</v>
      </c>
      <c r="G331" t="s">
        <v>6</v>
      </c>
      <c r="H331" s="2">
        <v>0.72916666666666663</v>
      </c>
      <c r="I331">
        <v>1368</v>
      </c>
      <c r="J331">
        <v>0</v>
      </c>
      <c r="K331">
        <v>0</v>
      </c>
      <c r="L331">
        <v>16</v>
      </c>
      <c r="M331">
        <v>0</v>
      </c>
      <c r="N331">
        <v>0</v>
      </c>
      <c r="O331">
        <v>0</v>
      </c>
      <c r="P331">
        <v>2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4</v>
      </c>
      <c r="AC331">
        <v>2</v>
      </c>
      <c r="AD331" s="3" t="str">
        <f t="shared" si="15"/>
        <v>S2S NO PREMIUM</v>
      </c>
      <c r="AE331" s="3" t="str">
        <f>VLOOKUP(E331,'[1]Nómina Agentes'!$C:$D,2,0)</f>
        <v>CALAHUANA SILVANA</v>
      </c>
      <c r="AF331" s="5">
        <f t="shared" si="16"/>
        <v>0.70833333333333337</v>
      </c>
      <c r="AG331" s="5">
        <f t="shared" si="17"/>
        <v>0.72916666666666663</v>
      </c>
    </row>
    <row r="332" spans="1:33" x14ac:dyDescent="0.25">
      <c r="A332" s="1">
        <v>45567</v>
      </c>
      <c r="B332">
        <v>924</v>
      </c>
      <c r="C332" t="s">
        <v>43</v>
      </c>
      <c r="D332" t="s">
        <v>62</v>
      </c>
      <c r="E332">
        <v>606371</v>
      </c>
      <c r="F332" s="2">
        <v>0.6875</v>
      </c>
      <c r="G332" t="s">
        <v>6</v>
      </c>
      <c r="H332" s="2">
        <v>0.70833333333333337</v>
      </c>
      <c r="I332">
        <v>1386</v>
      </c>
      <c r="J332">
        <v>0</v>
      </c>
      <c r="K332">
        <v>0</v>
      </c>
      <c r="L332">
        <v>21</v>
      </c>
      <c r="M332">
        <v>0</v>
      </c>
      <c r="N332">
        <v>0</v>
      </c>
      <c r="O332">
        <v>0</v>
      </c>
      <c r="P332">
        <v>22</v>
      </c>
      <c r="Q332">
        <v>5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4</v>
      </c>
      <c r="AC332">
        <v>2</v>
      </c>
      <c r="AD332" s="3" t="str">
        <f t="shared" si="15"/>
        <v>S2S NO PREMIUM</v>
      </c>
      <c r="AE332" s="3" t="str">
        <f>VLOOKUP(E332,'[1]Nómina Agentes'!$C:$D,2,0)</f>
        <v>CALAHUANA SILVANA</v>
      </c>
      <c r="AF332" s="5">
        <f t="shared" si="16"/>
        <v>0.6875</v>
      </c>
      <c r="AG332" s="5">
        <f t="shared" si="17"/>
        <v>0.70833333333333337</v>
      </c>
    </row>
    <row r="333" spans="1:33" x14ac:dyDescent="0.25">
      <c r="A333" s="1">
        <v>45567</v>
      </c>
      <c r="B333">
        <v>924</v>
      </c>
      <c r="C333" t="s">
        <v>43</v>
      </c>
      <c r="D333" t="s">
        <v>62</v>
      </c>
      <c r="E333">
        <v>606371</v>
      </c>
      <c r="F333" s="2">
        <v>0.72916666666666663</v>
      </c>
      <c r="G333" t="s">
        <v>6</v>
      </c>
      <c r="H333" s="2">
        <v>0.75</v>
      </c>
      <c r="I333">
        <v>1499</v>
      </c>
      <c r="J333">
        <v>0</v>
      </c>
      <c r="K333">
        <v>0</v>
      </c>
      <c r="L333">
        <v>8</v>
      </c>
      <c r="M333">
        <v>0</v>
      </c>
      <c r="N333">
        <v>0</v>
      </c>
      <c r="O333">
        <v>0</v>
      </c>
      <c r="P333">
        <v>2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2</v>
      </c>
      <c r="AC333">
        <v>2</v>
      </c>
      <c r="AD333" s="3" t="str">
        <f t="shared" si="15"/>
        <v>S2S NO PREMIUM</v>
      </c>
      <c r="AE333" s="3" t="str">
        <f>VLOOKUP(E333,'[1]Nómina Agentes'!$C:$D,2,0)</f>
        <v>CALAHUANA SILVANA</v>
      </c>
      <c r="AF333" s="5">
        <f t="shared" si="16"/>
        <v>0.72916666666666663</v>
      </c>
      <c r="AG333" s="5">
        <f t="shared" si="17"/>
        <v>0.75</v>
      </c>
    </row>
    <row r="334" spans="1:33" x14ac:dyDescent="0.25">
      <c r="A334" s="1">
        <v>45567</v>
      </c>
      <c r="B334">
        <v>924</v>
      </c>
      <c r="C334" t="s">
        <v>43</v>
      </c>
      <c r="D334" t="s">
        <v>172</v>
      </c>
      <c r="E334">
        <v>606391</v>
      </c>
      <c r="F334" s="2">
        <v>0.60416666666666663</v>
      </c>
      <c r="G334" t="s">
        <v>6</v>
      </c>
      <c r="H334" s="2">
        <v>0.625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 s="3" t="str">
        <f t="shared" si="15"/>
        <v>S2S NO PREMIUM</v>
      </c>
      <c r="AE334" s="3" t="str">
        <f>VLOOKUP(E334,'[1]Nómina Agentes'!$C:$D,2,0)</f>
        <v>GONSALEZ EMILIANO SEBASTIAN</v>
      </c>
      <c r="AF334" s="5">
        <f t="shared" si="16"/>
        <v>0.60416666666666663</v>
      </c>
      <c r="AG334" s="5">
        <f t="shared" si="17"/>
        <v>0.625</v>
      </c>
    </row>
    <row r="335" spans="1:33" x14ac:dyDescent="0.25">
      <c r="A335" s="1">
        <v>45567</v>
      </c>
      <c r="B335">
        <v>924</v>
      </c>
      <c r="C335" t="s">
        <v>43</v>
      </c>
      <c r="D335" t="s">
        <v>172</v>
      </c>
      <c r="E335">
        <v>606391</v>
      </c>
      <c r="F335" s="2">
        <v>0.72916666666666663</v>
      </c>
      <c r="G335" t="s">
        <v>6</v>
      </c>
      <c r="H335" s="2">
        <v>0.75</v>
      </c>
      <c r="I335">
        <v>28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1</v>
      </c>
      <c r="AC335">
        <v>1</v>
      </c>
      <c r="AD335" s="3" t="str">
        <f t="shared" si="15"/>
        <v>S2S NO PREMIUM</v>
      </c>
      <c r="AE335" s="3" t="str">
        <f>VLOOKUP(E335,'[1]Nómina Agentes'!$C:$D,2,0)</f>
        <v>GONSALEZ EMILIANO SEBASTIAN</v>
      </c>
      <c r="AF335" s="5">
        <f t="shared" si="16"/>
        <v>0.72916666666666663</v>
      </c>
      <c r="AG335" s="5">
        <f t="shared" si="17"/>
        <v>0.75</v>
      </c>
    </row>
    <row r="336" spans="1:33" x14ac:dyDescent="0.25">
      <c r="A336" s="1">
        <v>45567</v>
      </c>
      <c r="B336">
        <v>924</v>
      </c>
      <c r="C336" t="s">
        <v>43</v>
      </c>
      <c r="D336" t="s">
        <v>172</v>
      </c>
      <c r="E336">
        <v>606391</v>
      </c>
      <c r="F336" s="2">
        <v>0.70833333333333337</v>
      </c>
      <c r="G336" t="s">
        <v>6</v>
      </c>
      <c r="H336" s="2">
        <v>0.72916666666666663</v>
      </c>
      <c r="I336">
        <v>221</v>
      </c>
      <c r="J336">
        <v>0</v>
      </c>
      <c r="K336">
        <v>0</v>
      </c>
      <c r="L336">
        <v>5</v>
      </c>
      <c r="M336">
        <v>0</v>
      </c>
      <c r="N336">
        <v>0</v>
      </c>
      <c r="O336">
        <v>0</v>
      </c>
      <c r="P336">
        <v>168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1</v>
      </c>
      <c r="AC336">
        <v>1</v>
      </c>
      <c r="AD336" s="3" t="str">
        <f t="shared" si="15"/>
        <v>S2S NO PREMIUM</v>
      </c>
      <c r="AE336" s="3" t="str">
        <f>VLOOKUP(E336,'[1]Nómina Agentes'!$C:$D,2,0)</f>
        <v>GONSALEZ EMILIANO SEBASTIAN</v>
      </c>
      <c r="AF336" s="5">
        <f t="shared" si="16"/>
        <v>0.70833333333333337</v>
      </c>
      <c r="AG336" s="5">
        <f t="shared" si="17"/>
        <v>0.72916666666666663</v>
      </c>
    </row>
    <row r="337" spans="1:33" x14ac:dyDescent="0.25">
      <c r="A337" s="1">
        <v>45567</v>
      </c>
      <c r="B337">
        <v>924</v>
      </c>
      <c r="C337" t="s">
        <v>43</v>
      </c>
      <c r="D337" t="s">
        <v>172</v>
      </c>
      <c r="E337">
        <v>606391</v>
      </c>
      <c r="F337" s="2">
        <v>0.625</v>
      </c>
      <c r="G337" t="s">
        <v>6</v>
      </c>
      <c r="H337" s="2">
        <v>0.64583333333333337</v>
      </c>
      <c r="I337">
        <v>493</v>
      </c>
      <c r="J337">
        <v>221</v>
      </c>
      <c r="K337">
        <v>0</v>
      </c>
      <c r="L337">
        <v>18</v>
      </c>
      <c r="M337">
        <v>0</v>
      </c>
      <c r="N337">
        <v>0</v>
      </c>
      <c r="O337">
        <v>0</v>
      </c>
      <c r="P337">
        <v>3</v>
      </c>
      <c r="Q337">
        <v>36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3</v>
      </c>
      <c r="AC337">
        <v>3</v>
      </c>
      <c r="AD337" s="3" t="str">
        <f t="shared" si="15"/>
        <v>S2S NO PREMIUM</v>
      </c>
      <c r="AE337" s="3" t="str">
        <f>VLOOKUP(E337,'[1]Nómina Agentes'!$C:$D,2,0)</f>
        <v>GONSALEZ EMILIANO SEBASTIAN</v>
      </c>
      <c r="AF337" s="5">
        <f t="shared" si="16"/>
        <v>0.625</v>
      </c>
      <c r="AG337" s="5">
        <f t="shared" si="17"/>
        <v>0.64583333333333337</v>
      </c>
    </row>
    <row r="338" spans="1:33" x14ac:dyDescent="0.25">
      <c r="A338" s="1">
        <v>45567</v>
      </c>
      <c r="B338">
        <v>924</v>
      </c>
      <c r="C338" t="s">
        <v>43</v>
      </c>
      <c r="D338" t="s">
        <v>172</v>
      </c>
      <c r="E338">
        <v>606391</v>
      </c>
      <c r="F338" s="2">
        <v>0.64583333333333337</v>
      </c>
      <c r="G338" t="s">
        <v>6</v>
      </c>
      <c r="H338" s="2">
        <v>0.66666666666666663</v>
      </c>
      <c r="I338">
        <v>802</v>
      </c>
      <c r="J338">
        <v>0</v>
      </c>
      <c r="K338">
        <v>0</v>
      </c>
      <c r="L338">
        <v>16</v>
      </c>
      <c r="M338">
        <v>0</v>
      </c>
      <c r="N338">
        <v>0</v>
      </c>
      <c r="O338">
        <v>0</v>
      </c>
      <c r="P338">
        <v>145</v>
      </c>
      <c r="Q338">
        <v>12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4</v>
      </c>
      <c r="AC338">
        <v>3</v>
      </c>
      <c r="AD338" s="3" t="str">
        <f t="shared" si="15"/>
        <v>S2S NO PREMIUM</v>
      </c>
      <c r="AE338" s="3" t="str">
        <f>VLOOKUP(E338,'[1]Nómina Agentes'!$C:$D,2,0)</f>
        <v>GONSALEZ EMILIANO SEBASTIAN</v>
      </c>
      <c r="AF338" s="5">
        <f t="shared" si="16"/>
        <v>0.64583333333333337</v>
      </c>
      <c r="AG338" s="5">
        <f t="shared" si="17"/>
        <v>0.66666666666666663</v>
      </c>
    </row>
    <row r="339" spans="1:33" x14ac:dyDescent="0.25">
      <c r="A339" s="1">
        <v>45567</v>
      </c>
      <c r="B339">
        <v>924</v>
      </c>
      <c r="C339" t="s">
        <v>43</v>
      </c>
      <c r="D339" t="s">
        <v>172</v>
      </c>
      <c r="E339">
        <v>606391</v>
      </c>
      <c r="F339" s="2">
        <v>0.66666666666666663</v>
      </c>
      <c r="G339" t="s">
        <v>6</v>
      </c>
      <c r="H339" s="2">
        <v>0.6875</v>
      </c>
      <c r="I339">
        <v>901</v>
      </c>
      <c r="J339">
        <v>171</v>
      </c>
      <c r="K339">
        <v>0</v>
      </c>
      <c r="L339">
        <v>13</v>
      </c>
      <c r="M339">
        <v>0</v>
      </c>
      <c r="N339">
        <v>0</v>
      </c>
      <c r="O339">
        <v>0</v>
      </c>
      <c r="P339">
        <v>276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4</v>
      </c>
      <c r="AC339">
        <v>4</v>
      </c>
      <c r="AD339" s="3" t="str">
        <f t="shared" si="15"/>
        <v>S2S NO PREMIUM</v>
      </c>
      <c r="AE339" s="3" t="str">
        <f>VLOOKUP(E339,'[1]Nómina Agentes'!$C:$D,2,0)</f>
        <v>GONSALEZ EMILIANO SEBASTIAN</v>
      </c>
      <c r="AF339" s="5">
        <f t="shared" si="16"/>
        <v>0.66666666666666663</v>
      </c>
      <c r="AG339" s="5">
        <f t="shared" si="17"/>
        <v>0.6875</v>
      </c>
    </row>
    <row r="340" spans="1:33" x14ac:dyDescent="0.25">
      <c r="A340" s="1">
        <v>45567</v>
      </c>
      <c r="B340">
        <v>924</v>
      </c>
      <c r="C340" t="s">
        <v>43</v>
      </c>
      <c r="D340" t="s">
        <v>172</v>
      </c>
      <c r="E340">
        <v>606391</v>
      </c>
      <c r="F340" s="2">
        <v>0.6875</v>
      </c>
      <c r="G340" t="s">
        <v>6</v>
      </c>
      <c r="H340" s="2">
        <v>0.70833333333333337</v>
      </c>
      <c r="I340">
        <v>1312</v>
      </c>
      <c r="J340">
        <v>13</v>
      </c>
      <c r="K340">
        <v>0</v>
      </c>
      <c r="L340">
        <v>29</v>
      </c>
      <c r="M340">
        <v>0</v>
      </c>
      <c r="N340">
        <v>0</v>
      </c>
      <c r="O340">
        <v>0</v>
      </c>
      <c r="P340">
        <v>6</v>
      </c>
      <c r="Q340">
        <v>1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6</v>
      </c>
      <c r="AC340">
        <v>6</v>
      </c>
      <c r="AD340" s="3" t="str">
        <f t="shared" si="15"/>
        <v>S2S NO PREMIUM</v>
      </c>
      <c r="AE340" s="3" t="str">
        <f>VLOOKUP(E340,'[1]Nómina Agentes'!$C:$D,2,0)</f>
        <v>GONSALEZ EMILIANO SEBASTIAN</v>
      </c>
      <c r="AF340" s="5">
        <f t="shared" si="16"/>
        <v>0.6875</v>
      </c>
      <c r="AG340" s="5">
        <f t="shared" si="17"/>
        <v>0.70833333333333337</v>
      </c>
    </row>
    <row r="341" spans="1:33" x14ac:dyDescent="0.25">
      <c r="A341" s="1">
        <v>45567</v>
      </c>
      <c r="B341">
        <v>924</v>
      </c>
      <c r="C341" t="s">
        <v>43</v>
      </c>
      <c r="D341" t="s">
        <v>173</v>
      </c>
      <c r="E341">
        <v>606401</v>
      </c>
      <c r="F341" s="2">
        <v>0.8125</v>
      </c>
      <c r="G341" t="s">
        <v>6</v>
      </c>
      <c r="H341" s="2">
        <v>0.83333333333333337</v>
      </c>
      <c r="I341">
        <v>97</v>
      </c>
      <c r="J341">
        <v>6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537</v>
      </c>
      <c r="Q341">
        <v>55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1</v>
      </c>
      <c r="AC341">
        <v>1</v>
      </c>
      <c r="AD341" s="3" t="str">
        <f t="shared" si="15"/>
        <v>S2S NO PREMIUM</v>
      </c>
      <c r="AE341" s="3" t="str">
        <f>VLOOKUP(E341,'[1]Nómina Agentes'!$C:$D,2,0)</f>
        <v>GAYO MATIAS FEDERICO</v>
      </c>
      <c r="AF341" s="5">
        <f t="shared" si="16"/>
        <v>0.8125</v>
      </c>
      <c r="AG341" s="5">
        <f t="shared" si="17"/>
        <v>0.83333333333333337</v>
      </c>
    </row>
    <row r="342" spans="1:33" x14ac:dyDescent="0.25">
      <c r="A342" s="1">
        <v>45567</v>
      </c>
      <c r="B342">
        <v>924</v>
      </c>
      <c r="C342" t="s">
        <v>43</v>
      </c>
      <c r="D342" t="s">
        <v>173</v>
      </c>
      <c r="E342">
        <v>606401</v>
      </c>
      <c r="F342" s="2">
        <v>0.79166666666666663</v>
      </c>
      <c r="G342" t="s">
        <v>6</v>
      </c>
      <c r="H342" s="2">
        <v>0.8125</v>
      </c>
      <c r="I342">
        <v>210</v>
      </c>
      <c r="J342">
        <v>31</v>
      </c>
      <c r="K342">
        <v>0</v>
      </c>
      <c r="L342">
        <v>8</v>
      </c>
      <c r="M342">
        <v>0</v>
      </c>
      <c r="N342">
        <v>0</v>
      </c>
      <c r="O342">
        <v>0</v>
      </c>
      <c r="P342">
        <v>97</v>
      </c>
      <c r="Q342">
        <v>46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1</v>
      </c>
      <c r="AC342">
        <v>1</v>
      </c>
      <c r="AD342" s="3" t="str">
        <f t="shared" si="15"/>
        <v>S2S NO PREMIUM</v>
      </c>
      <c r="AE342" s="3" t="str">
        <f>VLOOKUP(E342,'[1]Nómina Agentes'!$C:$D,2,0)</f>
        <v>GAYO MATIAS FEDERICO</v>
      </c>
      <c r="AF342" s="5">
        <f t="shared" si="16"/>
        <v>0.79166666666666663</v>
      </c>
      <c r="AG342" s="5">
        <f t="shared" si="17"/>
        <v>0.8125</v>
      </c>
    </row>
    <row r="343" spans="1:33" x14ac:dyDescent="0.25">
      <c r="A343" s="1">
        <v>45567</v>
      </c>
      <c r="B343">
        <v>924</v>
      </c>
      <c r="C343" t="s">
        <v>43</v>
      </c>
      <c r="D343" t="s">
        <v>173</v>
      </c>
      <c r="E343">
        <v>606401</v>
      </c>
      <c r="F343" s="2">
        <v>0.625</v>
      </c>
      <c r="G343" t="s">
        <v>6</v>
      </c>
      <c r="H343" s="2">
        <v>0.64583333333333337</v>
      </c>
      <c r="I343">
        <v>557</v>
      </c>
      <c r="J343">
        <v>37</v>
      </c>
      <c r="K343">
        <v>0</v>
      </c>
      <c r="L343">
        <v>10</v>
      </c>
      <c r="M343">
        <v>0</v>
      </c>
      <c r="N343">
        <v>0</v>
      </c>
      <c r="O343">
        <v>0</v>
      </c>
      <c r="P343">
        <v>164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2</v>
      </c>
      <c r="AC343">
        <v>2</v>
      </c>
      <c r="AD343" s="3" t="str">
        <f t="shared" si="15"/>
        <v>S2S NO PREMIUM</v>
      </c>
      <c r="AE343" s="3" t="str">
        <f>VLOOKUP(E343,'[1]Nómina Agentes'!$C:$D,2,0)</f>
        <v>GAYO MATIAS FEDERICO</v>
      </c>
      <c r="AF343" s="5">
        <f t="shared" si="16"/>
        <v>0.625</v>
      </c>
      <c r="AG343" s="5">
        <f t="shared" si="17"/>
        <v>0.64583333333333337</v>
      </c>
    </row>
    <row r="344" spans="1:33" x14ac:dyDescent="0.25">
      <c r="A344" s="1">
        <v>45567</v>
      </c>
      <c r="B344">
        <v>924</v>
      </c>
      <c r="C344" t="s">
        <v>43</v>
      </c>
      <c r="D344" t="s">
        <v>173</v>
      </c>
      <c r="E344">
        <v>606401</v>
      </c>
      <c r="F344" s="2">
        <v>0.64583333333333337</v>
      </c>
      <c r="G344" t="s">
        <v>6</v>
      </c>
      <c r="H344" s="2">
        <v>0.66666666666666663</v>
      </c>
      <c r="I344">
        <v>609</v>
      </c>
      <c r="J344">
        <v>0</v>
      </c>
      <c r="K344">
        <v>0</v>
      </c>
      <c r="L344">
        <v>23</v>
      </c>
      <c r="M344">
        <v>0</v>
      </c>
      <c r="N344">
        <v>0</v>
      </c>
      <c r="O344">
        <v>0</v>
      </c>
      <c r="P344">
        <v>30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4</v>
      </c>
      <c r="AC344">
        <v>3</v>
      </c>
      <c r="AD344" s="3" t="str">
        <f t="shared" si="15"/>
        <v>S2S NO PREMIUM</v>
      </c>
      <c r="AE344" s="3" t="str">
        <f>VLOOKUP(E344,'[1]Nómina Agentes'!$C:$D,2,0)</f>
        <v>GAYO MATIAS FEDERICO</v>
      </c>
      <c r="AF344" s="5">
        <f t="shared" si="16"/>
        <v>0.64583333333333337</v>
      </c>
      <c r="AG344" s="5">
        <f t="shared" si="17"/>
        <v>0.66666666666666663</v>
      </c>
    </row>
    <row r="345" spans="1:33" x14ac:dyDescent="0.25">
      <c r="A345" s="1">
        <v>45567</v>
      </c>
      <c r="B345">
        <v>924</v>
      </c>
      <c r="C345" t="s">
        <v>43</v>
      </c>
      <c r="D345" t="s">
        <v>173</v>
      </c>
      <c r="E345">
        <v>606401</v>
      </c>
      <c r="F345" s="2">
        <v>0.70833333333333337</v>
      </c>
      <c r="G345" t="s">
        <v>6</v>
      </c>
      <c r="H345" s="2">
        <v>0.72916666666666663</v>
      </c>
      <c r="I345">
        <v>657</v>
      </c>
      <c r="J345">
        <v>0</v>
      </c>
      <c r="K345">
        <v>0</v>
      </c>
      <c r="L345">
        <v>10</v>
      </c>
      <c r="M345">
        <v>0</v>
      </c>
      <c r="N345">
        <v>0</v>
      </c>
      <c r="O345">
        <v>0</v>
      </c>
      <c r="P345">
        <v>253</v>
      </c>
      <c r="Q345">
        <v>83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3</v>
      </c>
      <c r="AC345">
        <v>2</v>
      </c>
      <c r="AD345" s="3" t="str">
        <f t="shared" si="15"/>
        <v>S2S NO PREMIUM</v>
      </c>
      <c r="AE345" s="3" t="str">
        <f>VLOOKUP(E345,'[1]Nómina Agentes'!$C:$D,2,0)</f>
        <v>GAYO MATIAS FEDERICO</v>
      </c>
      <c r="AF345" s="5">
        <f t="shared" si="16"/>
        <v>0.70833333333333337</v>
      </c>
      <c r="AG345" s="5">
        <f t="shared" si="17"/>
        <v>0.72916666666666663</v>
      </c>
    </row>
    <row r="346" spans="1:33" x14ac:dyDescent="0.25">
      <c r="A346" s="1">
        <v>45567</v>
      </c>
      <c r="B346">
        <v>924</v>
      </c>
      <c r="C346" t="s">
        <v>43</v>
      </c>
      <c r="D346" t="s">
        <v>173</v>
      </c>
      <c r="E346">
        <v>606401</v>
      </c>
      <c r="F346" s="2">
        <v>0.77083333333333337</v>
      </c>
      <c r="G346" t="s">
        <v>6</v>
      </c>
      <c r="H346" s="2">
        <v>0.79166666666666663</v>
      </c>
      <c r="I346">
        <v>664</v>
      </c>
      <c r="J346">
        <v>82</v>
      </c>
      <c r="K346">
        <v>0</v>
      </c>
      <c r="L346">
        <v>13</v>
      </c>
      <c r="M346">
        <v>0</v>
      </c>
      <c r="N346">
        <v>0</v>
      </c>
      <c r="O346">
        <v>0</v>
      </c>
      <c r="P346">
        <v>248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3</v>
      </c>
      <c r="AC346">
        <v>3</v>
      </c>
      <c r="AD346" s="3" t="str">
        <f t="shared" si="15"/>
        <v>S2S NO PREMIUM</v>
      </c>
      <c r="AE346" s="3" t="str">
        <f>VLOOKUP(E346,'[1]Nómina Agentes'!$C:$D,2,0)</f>
        <v>GAYO MATIAS FEDERICO</v>
      </c>
      <c r="AF346" s="5">
        <f t="shared" si="16"/>
        <v>0.77083333333333337</v>
      </c>
      <c r="AG346" s="5">
        <f t="shared" si="17"/>
        <v>0.79166666666666663</v>
      </c>
    </row>
    <row r="347" spans="1:33" x14ac:dyDescent="0.25">
      <c r="A347" s="1">
        <v>45567</v>
      </c>
      <c r="B347">
        <v>924</v>
      </c>
      <c r="C347" t="s">
        <v>43</v>
      </c>
      <c r="D347" t="s">
        <v>173</v>
      </c>
      <c r="E347">
        <v>606401</v>
      </c>
      <c r="F347" s="2">
        <v>0.6875</v>
      </c>
      <c r="G347" t="s">
        <v>6</v>
      </c>
      <c r="H347" s="2">
        <v>0.70833333333333337</v>
      </c>
      <c r="I347">
        <v>885</v>
      </c>
      <c r="J347">
        <v>20</v>
      </c>
      <c r="K347">
        <v>0</v>
      </c>
      <c r="L347">
        <v>29</v>
      </c>
      <c r="M347">
        <v>0</v>
      </c>
      <c r="N347">
        <v>0</v>
      </c>
      <c r="O347">
        <v>0</v>
      </c>
      <c r="P347">
        <v>272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7</v>
      </c>
      <c r="AC347">
        <v>6</v>
      </c>
      <c r="AD347" s="3" t="str">
        <f t="shared" si="15"/>
        <v>S2S NO PREMIUM</v>
      </c>
      <c r="AE347" s="3" t="str">
        <f>VLOOKUP(E347,'[1]Nómina Agentes'!$C:$D,2,0)</f>
        <v>GAYO MATIAS FEDERICO</v>
      </c>
      <c r="AF347" s="5">
        <f t="shared" si="16"/>
        <v>0.6875</v>
      </c>
      <c r="AG347" s="5">
        <f t="shared" si="17"/>
        <v>0.70833333333333337</v>
      </c>
    </row>
    <row r="348" spans="1:33" x14ac:dyDescent="0.25">
      <c r="A348" s="1">
        <v>45567</v>
      </c>
      <c r="B348">
        <v>924</v>
      </c>
      <c r="C348" t="s">
        <v>43</v>
      </c>
      <c r="D348" t="s">
        <v>173</v>
      </c>
      <c r="E348">
        <v>606401</v>
      </c>
      <c r="F348" s="2">
        <v>0.72916666666666663</v>
      </c>
      <c r="G348" t="s">
        <v>6</v>
      </c>
      <c r="H348" s="2">
        <v>0.75</v>
      </c>
      <c r="I348">
        <v>1041</v>
      </c>
      <c r="J348">
        <v>5</v>
      </c>
      <c r="K348">
        <v>0</v>
      </c>
      <c r="L348">
        <v>28</v>
      </c>
      <c r="M348">
        <v>0</v>
      </c>
      <c r="N348">
        <v>0</v>
      </c>
      <c r="O348">
        <v>0</v>
      </c>
      <c r="P348">
        <v>704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7</v>
      </c>
      <c r="AC348">
        <v>5</v>
      </c>
      <c r="AD348" s="3" t="str">
        <f t="shared" si="15"/>
        <v>S2S NO PREMIUM</v>
      </c>
      <c r="AE348" s="3" t="str">
        <f>VLOOKUP(E348,'[1]Nómina Agentes'!$C:$D,2,0)</f>
        <v>GAYO MATIAS FEDERICO</v>
      </c>
      <c r="AF348" s="5">
        <f t="shared" si="16"/>
        <v>0.72916666666666663</v>
      </c>
      <c r="AG348" s="5">
        <f t="shared" si="17"/>
        <v>0.75</v>
      </c>
    </row>
    <row r="349" spans="1:33" x14ac:dyDescent="0.25">
      <c r="A349" s="1">
        <v>45567</v>
      </c>
      <c r="B349">
        <v>924</v>
      </c>
      <c r="C349" t="s">
        <v>43</v>
      </c>
      <c r="D349" t="s">
        <v>173</v>
      </c>
      <c r="E349">
        <v>606401</v>
      </c>
      <c r="F349" s="2">
        <v>0.66666666666666663</v>
      </c>
      <c r="G349" t="s">
        <v>6</v>
      </c>
      <c r="H349" s="2">
        <v>0.6875</v>
      </c>
      <c r="I349">
        <v>1084</v>
      </c>
      <c r="J349">
        <v>0</v>
      </c>
      <c r="K349">
        <v>0</v>
      </c>
      <c r="L349">
        <v>20</v>
      </c>
      <c r="M349">
        <v>0</v>
      </c>
      <c r="N349">
        <v>0</v>
      </c>
      <c r="O349">
        <v>0</v>
      </c>
      <c r="P349">
        <v>119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5</v>
      </c>
      <c r="AC349">
        <v>4</v>
      </c>
      <c r="AD349" s="3" t="str">
        <f t="shared" si="15"/>
        <v>S2S NO PREMIUM</v>
      </c>
      <c r="AE349" s="3" t="str">
        <f>VLOOKUP(E349,'[1]Nómina Agentes'!$C:$D,2,0)</f>
        <v>GAYO MATIAS FEDERICO</v>
      </c>
      <c r="AF349" s="5">
        <f t="shared" si="16"/>
        <v>0.66666666666666663</v>
      </c>
      <c r="AG349" s="5">
        <f t="shared" si="17"/>
        <v>0.6875</v>
      </c>
    </row>
    <row r="350" spans="1:33" x14ac:dyDescent="0.25">
      <c r="A350" s="1">
        <v>45567</v>
      </c>
      <c r="B350">
        <v>924</v>
      </c>
      <c r="C350" t="s">
        <v>43</v>
      </c>
      <c r="D350" t="s">
        <v>173</v>
      </c>
      <c r="E350">
        <v>606401</v>
      </c>
      <c r="F350" s="2">
        <v>0.75</v>
      </c>
      <c r="G350" t="s">
        <v>6</v>
      </c>
      <c r="H350" s="2">
        <v>0.77083333333333337</v>
      </c>
      <c r="I350">
        <v>1260</v>
      </c>
      <c r="J350">
        <v>0</v>
      </c>
      <c r="K350">
        <v>0</v>
      </c>
      <c r="L350">
        <v>24</v>
      </c>
      <c r="M350">
        <v>0</v>
      </c>
      <c r="N350">
        <v>0</v>
      </c>
      <c r="O350">
        <v>0</v>
      </c>
      <c r="P350">
        <v>136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7</v>
      </c>
      <c r="AC350">
        <v>6</v>
      </c>
      <c r="AD350" s="3" t="str">
        <f t="shared" si="15"/>
        <v>S2S NO PREMIUM</v>
      </c>
      <c r="AE350" s="3" t="str">
        <f>VLOOKUP(E350,'[1]Nómina Agentes'!$C:$D,2,0)</f>
        <v>GAYO MATIAS FEDERICO</v>
      </c>
      <c r="AF350" s="5">
        <f t="shared" si="16"/>
        <v>0.75</v>
      </c>
      <c r="AG350" s="5">
        <f t="shared" si="17"/>
        <v>0.77083333333333337</v>
      </c>
    </row>
    <row r="351" spans="1:33" x14ac:dyDescent="0.25">
      <c r="A351" s="1">
        <v>45567</v>
      </c>
      <c r="B351">
        <v>924</v>
      </c>
      <c r="C351" t="s">
        <v>43</v>
      </c>
      <c r="D351" t="s">
        <v>68</v>
      </c>
      <c r="E351">
        <v>606408</v>
      </c>
      <c r="F351" s="2">
        <v>0.58333333333333337</v>
      </c>
      <c r="G351" t="s">
        <v>6</v>
      </c>
      <c r="H351" s="2">
        <v>0.60416666666666663</v>
      </c>
      <c r="I351">
        <v>603</v>
      </c>
      <c r="J351">
        <v>0</v>
      </c>
      <c r="K351">
        <v>0</v>
      </c>
      <c r="L351">
        <v>16</v>
      </c>
      <c r="M351">
        <v>0</v>
      </c>
      <c r="N351">
        <v>0</v>
      </c>
      <c r="O351">
        <v>0</v>
      </c>
      <c r="P351">
        <v>70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5</v>
      </c>
      <c r="AC351">
        <v>3</v>
      </c>
      <c r="AD351" s="3" t="str">
        <f t="shared" si="15"/>
        <v>S2S NO PREMIUM</v>
      </c>
      <c r="AE351" s="3" t="str">
        <f>VLOOKUP(E351,'[1]Nómina Agentes'!$C:$D,2,0)</f>
        <v>BELCHIOR MEDINACELLI LUZ MARIA</v>
      </c>
      <c r="AF351" s="5">
        <f t="shared" si="16"/>
        <v>0.58333333333333337</v>
      </c>
      <c r="AG351" s="5">
        <f t="shared" si="17"/>
        <v>0.60416666666666663</v>
      </c>
    </row>
    <row r="352" spans="1:33" x14ac:dyDescent="0.25">
      <c r="A352" s="1">
        <v>45567</v>
      </c>
      <c r="B352">
        <v>924</v>
      </c>
      <c r="C352" t="s">
        <v>43</v>
      </c>
      <c r="D352" t="s">
        <v>68</v>
      </c>
      <c r="E352">
        <v>606408</v>
      </c>
      <c r="F352" s="2">
        <v>0.60416666666666663</v>
      </c>
      <c r="G352" t="s">
        <v>6</v>
      </c>
      <c r="H352" s="2">
        <v>0.625</v>
      </c>
      <c r="I352">
        <v>720</v>
      </c>
      <c r="J352">
        <v>0</v>
      </c>
      <c r="K352">
        <v>0</v>
      </c>
      <c r="L352">
        <v>17</v>
      </c>
      <c r="M352">
        <v>0</v>
      </c>
      <c r="N352">
        <v>0</v>
      </c>
      <c r="O352">
        <v>0</v>
      </c>
      <c r="P352">
        <v>2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4</v>
      </c>
      <c r="AC352">
        <v>2</v>
      </c>
      <c r="AD352" s="3" t="str">
        <f t="shared" si="15"/>
        <v>S2S NO PREMIUM</v>
      </c>
      <c r="AE352" s="3" t="str">
        <f>VLOOKUP(E352,'[1]Nómina Agentes'!$C:$D,2,0)</f>
        <v>BELCHIOR MEDINACELLI LUZ MARIA</v>
      </c>
      <c r="AF352" s="5">
        <f t="shared" si="16"/>
        <v>0.60416666666666663</v>
      </c>
      <c r="AG352" s="5">
        <f t="shared" si="17"/>
        <v>0.625</v>
      </c>
    </row>
    <row r="353" spans="1:33" x14ac:dyDescent="0.25">
      <c r="A353" s="1">
        <v>45567</v>
      </c>
      <c r="B353">
        <v>924</v>
      </c>
      <c r="C353" t="s">
        <v>43</v>
      </c>
      <c r="D353" t="s">
        <v>68</v>
      </c>
      <c r="E353">
        <v>606408</v>
      </c>
      <c r="F353" s="2">
        <v>0.625</v>
      </c>
      <c r="G353" t="s">
        <v>6</v>
      </c>
      <c r="H353" s="2">
        <v>0.64583333333333337</v>
      </c>
      <c r="I353">
        <v>919</v>
      </c>
      <c r="J353">
        <v>76</v>
      </c>
      <c r="K353">
        <v>0</v>
      </c>
      <c r="L353">
        <v>12</v>
      </c>
      <c r="M353">
        <v>0</v>
      </c>
      <c r="N353">
        <v>0</v>
      </c>
      <c r="O353">
        <v>0</v>
      </c>
      <c r="P353">
        <v>65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3</v>
      </c>
      <c r="AC353">
        <v>1</v>
      </c>
      <c r="AD353" s="3" t="str">
        <f t="shared" si="15"/>
        <v>S2S NO PREMIUM</v>
      </c>
      <c r="AE353" s="3" t="str">
        <f>VLOOKUP(E353,'[1]Nómina Agentes'!$C:$D,2,0)</f>
        <v>BELCHIOR MEDINACELLI LUZ MARIA</v>
      </c>
      <c r="AF353" s="5">
        <f t="shared" si="16"/>
        <v>0.625</v>
      </c>
      <c r="AG353" s="5">
        <f t="shared" si="17"/>
        <v>0.64583333333333337</v>
      </c>
    </row>
    <row r="354" spans="1:33" x14ac:dyDescent="0.25">
      <c r="A354" s="1">
        <v>45567</v>
      </c>
      <c r="B354">
        <v>924</v>
      </c>
      <c r="C354" t="s">
        <v>43</v>
      </c>
      <c r="D354" t="s">
        <v>174</v>
      </c>
      <c r="E354">
        <v>606411</v>
      </c>
      <c r="F354" s="2">
        <v>0.8125</v>
      </c>
      <c r="G354" t="s">
        <v>6</v>
      </c>
      <c r="H354" s="2">
        <v>0.83333333333333337</v>
      </c>
      <c r="I354">
        <v>521</v>
      </c>
      <c r="J354">
        <v>244</v>
      </c>
      <c r="K354">
        <v>0</v>
      </c>
      <c r="L354">
        <v>12</v>
      </c>
      <c r="M354">
        <v>0</v>
      </c>
      <c r="N354">
        <v>0</v>
      </c>
      <c r="O354">
        <v>0</v>
      </c>
      <c r="P354">
        <v>143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3</v>
      </c>
      <c r="AC354">
        <v>2</v>
      </c>
      <c r="AD354" s="3" t="str">
        <f t="shared" si="15"/>
        <v>S2S NO PREMIUM</v>
      </c>
      <c r="AE354" s="3" t="str">
        <f>VLOOKUP(E354,'[1]Nómina Agentes'!$C:$D,2,0)</f>
        <v>GOMEZ CESAR NAHUEL</v>
      </c>
      <c r="AF354" s="5">
        <f t="shared" si="16"/>
        <v>0.8125</v>
      </c>
      <c r="AG354" s="5">
        <f t="shared" si="17"/>
        <v>0.83333333333333337</v>
      </c>
    </row>
    <row r="355" spans="1:33" x14ac:dyDescent="0.25">
      <c r="A355" s="1">
        <v>45567</v>
      </c>
      <c r="B355">
        <v>924</v>
      </c>
      <c r="C355" t="s">
        <v>43</v>
      </c>
      <c r="D355" t="s">
        <v>174</v>
      </c>
      <c r="E355">
        <v>606411</v>
      </c>
      <c r="F355" s="2">
        <v>0.625</v>
      </c>
      <c r="G355" t="s">
        <v>6</v>
      </c>
      <c r="H355" s="2">
        <v>0.64583333333333337</v>
      </c>
      <c r="I355">
        <v>704</v>
      </c>
      <c r="J355">
        <v>0</v>
      </c>
      <c r="K355">
        <v>0</v>
      </c>
      <c r="L355">
        <v>16</v>
      </c>
      <c r="M355">
        <v>0</v>
      </c>
      <c r="N355">
        <v>0</v>
      </c>
      <c r="O355">
        <v>0</v>
      </c>
      <c r="P355">
        <v>25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3</v>
      </c>
      <c r="AC355">
        <v>3</v>
      </c>
      <c r="AD355" s="3" t="str">
        <f t="shared" si="15"/>
        <v>S2S NO PREMIUM</v>
      </c>
      <c r="AE355" s="3" t="str">
        <f>VLOOKUP(E355,'[1]Nómina Agentes'!$C:$D,2,0)</f>
        <v>GOMEZ CESAR NAHUEL</v>
      </c>
      <c r="AF355" s="5">
        <f t="shared" si="16"/>
        <v>0.625</v>
      </c>
      <c r="AG355" s="5">
        <f t="shared" si="17"/>
        <v>0.64583333333333337</v>
      </c>
    </row>
    <row r="356" spans="1:33" x14ac:dyDescent="0.25">
      <c r="A356" s="1">
        <v>45567</v>
      </c>
      <c r="B356">
        <v>924</v>
      </c>
      <c r="C356" t="s">
        <v>43</v>
      </c>
      <c r="D356" t="s">
        <v>174</v>
      </c>
      <c r="E356">
        <v>606411</v>
      </c>
      <c r="F356" s="2">
        <v>0.77083333333333337</v>
      </c>
      <c r="G356" t="s">
        <v>6</v>
      </c>
      <c r="H356" s="2">
        <v>0.79166666666666663</v>
      </c>
      <c r="I356">
        <v>749</v>
      </c>
      <c r="J356">
        <v>79</v>
      </c>
      <c r="K356">
        <v>0</v>
      </c>
      <c r="L356">
        <v>12</v>
      </c>
      <c r="M356">
        <v>0</v>
      </c>
      <c r="N356">
        <v>0</v>
      </c>
      <c r="O356">
        <v>0</v>
      </c>
      <c r="P356">
        <v>191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4</v>
      </c>
      <c r="AC356">
        <v>4</v>
      </c>
      <c r="AD356" s="3" t="str">
        <f t="shared" si="15"/>
        <v>S2S NO PREMIUM</v>
      </c>
      <c r="AE356" s="3" t="str">
        <f>VLOOKUP(E356,'[1]Nómina Agentes'!$C:$D,2,0)</f>
        <v>GOMEZ CESAR NAHUEL</v>
      </c>
      <c r="AF356" s="5">
        <f t="shared" si="16"/>
        <v>0.77083333333333337</v>
      </c>
      <c r="AG356" s="5">
        <f t="shared" si="17"/>
        <v>0.79166666666666663</v>
      </c>
    </row>
    <row r="357" spans="1:33" x14ac:dyDescent="0.25">
      <c r="A357" s="1">
        <v>45567</v>
      </c>
      <c r="B357">
        <v>924</v>
      </c>
      <c r="C357" t="s">
        <v>43</v>
      </c>
      <c r="D357" t="s">
        <v>174</v>
      </c>
      <c r="E357">
        <v>606411</v>
      </c>
      <c r="F357" s="2">
        <v>0.64583333333333337</v>
      </c>
      <c r="G357" t="s">
        <v>6</v>
      </c>
      <c r="H357" s="2">
        <v>0.66666666666666663</v>
      </c>
      <c r="I357">
        <v>829</v>
      </c>
      <c r="J357">
        <v>0</v>
      </c>
      <c r="K357">
        <v>0</v>
      </c>
      <c r="L357">
        <v>16</v>
      </c>
      <c r="M357">
        <v>0</v>
      </c>
      <c r="N357">
        <v>0</v>
      </c>
      <c r="O357">
        <v>0</v>
      </c>
      <c r="P357">
        <v>274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5</v>
      </c>
      <c r="AC357">
        <v>3</v>
      </c>
      <c r="AD357" s="3" t="str">
        <f t="shared" si="15"/>
        <v>S2S NO PREMIUM</v>
      </c>
      <c r="AE357" s="3" t="str">
        <f>VLOOKUP(E357,'[1]Nómina Agentes'!$C:$D,2,0)</f>
        <v>GOMEZ CESAR NAHUEL</v>
      </c>
      <c r="AF357" s="5">
        <f t="shared" si="16"/>
        <v>0.64583333333333337</v>
      </c>
      <c r="AG357" s="5">
        <f t="shared" si="17"/>
        <v>0.66666666666666663</v>
      </c>
    </row>
    <row r="358" spans="1:33" x14ac:dyDescent="0.25">
      <c r="A358" s="1">
        <v>45567</v>
      </c>
      <c r="B358">
        <v>924</v>
      </c>
      <c r="C358" t="s">
        <v>43</v>
      </c>
      <c r="D358" t="s">
        <v>174</v>
      </c>
      <c r="E358">
        <v>606411</v>
      </c>
      <c r="F358" s="2">
        <v>0.79166666666666663</v>
      </c>
      <c r="G358" t="s">
        <v>6</v>
      </c>
      <c r="H358" s="2">
        <v>0.8125</v>
      </c>
      <c r="I358">
        <v>895</v>
      </c>
      <c r="J358">
        <v>0</v>
      </c>
      <c r="K358">
        <v>0</v>
      </c>
      <c r="L358">
        <v>16</v>
      </c>
      <c r="M358">
        <v>0</v>
      </c>
      <c r="N358">
        <v>0</v>
      </c>
      <c r="O358">
        <v>0</v>
      </c>
      <c r="P358">
        <v>319</v>
      </c>
      <c r="Q358">
        <v>44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4</v>
      </c>
      <c r="AC358">
        <v>4</v>
      </c>
      <c r="AD358" s="3" t="str">
        <f t="shared" si="15"/>
        <v>S2S NO PREMIUM</v>
      </c>
      <c r="AE358" s="3" t="str">
        <f>VLOOKUP(E358,'[1]Nómina Agentes'!$C:$D,2,0)</f>
        <v>GOMEZ CESAR NAHUEL</v>
      </c>
      <c r="AF358" s="5">
        <f t="shared" si="16"/>
        <v>0.79166666666666663</v>
      </c>
      <c r="AG358" s="5">
        <f t="shared" si="17"/>
        <v>0.8125</v>
      </c>
    </row>
    <row r="359" spans="1:33" x14ac:dyDescent="0.25">
      <c r="A359" s="1">
        <v>45567</v>
      </c>
      <c r="B359">
        <v>924</v>
      </c>
      <c r="C359" t="s">
        <v>43</v>
      </c>
      <c r="D359" t="s">
        <v>174</v>
      </c>
      <c r="E359">
        <v>606411</v>
      </c>
      <c r="F359" s="2">
        <v>0.72916666666666663</v>
      </c>
      <c r="G359" t="s">
        <v>6</v>
      </c>
      <c r="H359" s="2">
        <v>0.75</v>
      </c>
      <c r="I359">
        <v>983</v>
      </c>
      <c r="J359">
        <v>0</v>
      </c>
      <c r="K359">
        <v>0</v>
      </c>
      <c r="L359">
        <v>30</v>
      </c>
      <c r="M359">
        <v>0</v>
      </c>
      <c r="N359">
        <v>0</v>
      </c>
      <c r="O359">
        <v>0</v>
      </c>
      <c r="P359">
        <v>101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7</v>
      </c>
      <c r="AC359">
        <v>5</v>
      </c>
      <c r="AD359" s="3" t="str">
        <f t="shared" si="15"/>
        <v>S2S NO PREMIUM</v>
      </c>
      <c r="AE359" s="3" t="str">
        <f>VLOOKUP(E359,'[1]Nómina Agentes'!$C:$D,2,0)</f>
        <v>GOMEZ CESAR NAHUEL</v>
      </c>
      <c r="AF359" s="5">
        <f t="shared" si="16"/>
        <v>0.72916666666666663</v>
      </c>
      <c r="AG359" s="5">
        <f t="shared" si="17"/>
        <v>0.75</v>
      </c>
    </row>
    <row r="360" spans="1:33" x14ac:dyDescent="0.25">
      <c r="A360" s="1">
        <v>45567</v>
      </c>
      <c r="B360">
        <v>924</v>
      </c>
      <c r="C360" t="s">
        <v>43</v>
      </c>
      <c r="D360" t="s">
        <v>174</v>
      </c>
      <c r="E360">
        <v>606411</v>
      </c>
      <c r="F360" s="2">
        <v>0.66666666666666663</v>
      </c>
      <c r="G360" t="s">
        <v>6</v>
      </c>
      <c r="H360" s="2">
        <v>0.6875</v>
      </c>
      <c r="I360">
        <v>1068</v>
      </c>
      <c r="J360">
        <v>0</v>
      </c>
      <c r="K360">
        <v>0</v>
      </c>
      <c r="L360">
        <v>28</v>
      </c>
      <c r="M360">
        <v>0</v>
      </c>
      <c r="N360">
        <v>0</v>
      </c>
      <c r="O360">
        <v>0</v>
      </c>
      <c r="P360">
        <v>187</v>
      </c>
      <c r="Q360">
        <v>1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6</v>
      </c>
      <c r="AC360">
        <v>5</v>
      </c>
      <c r="AD360" s="3" t="str">
        <f t="shared" si="15"/>
        <v>S2S NO PREMIUM</v>
      </c>
      <c r="AE360" s="3" t="str">
        <f>VLOOKUP(E360,'[1]Nómina Agentes'!$C:$D,2,0)</f>
        <v>GOMEZ CESAR NAHUEL</v>
      </c>
      <c r="AF360" s="5">
        <f t="shared" si="16"/>
        <v>0.66666666666666663</v>
      </c>
      <c r="AG360" s="5">
        <f t="shared" si="17"/>
        <v>0.6875</v>
      </c>
    </row>
    <row r="361" spans="1:33" x14ac:dyDescent="0.25">
      <c r="A361" s="1">
        <v>45567</v>
      </c>
      <c r="B361">
        <v>924</v>
      </c>
      <c r="C361" t="s">
        <v>43</v>
      </c>
      <c r="D361" t="s">
        <v>174</v>
      </c>
      <c r="E361">
        <v>606411</v>
      </c>
      <c r="F361" s="2">
        <v>0.70833333333333337</v>
      </c>
      <c r="G361" t="s">
        <v>6</v>
      </c>
      <c r="H361" s="2">
        <v>0.72916666666666663</v>
      </c>
      <c r="I361">
        <v>1079</v>
      </c>
      <c r="J361">
        <v>0</v>
      </c>
      <c r="K361">
        <v>0</v>
      </c>
      <c r="L361">
        <v>20</v>
      </c>
      <c r="M361">
        <v>0</v>
      </c>
      <c r="N361">
        <v>0</v>
      </c>
      <c r="O361">
        <v>0</v>
      </c>
      <c r="P361">
        <v>163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4</v>
      </c>
      <c r="AC361">
        <v>3</v>
      </c>
      <c r="AD361" s="3" t="str">
        <f t="shared" si="15"/>
        <v>S2S NO PREMIUM</v>
      </c>
      <c r="AE361" s="3" t="str">
        <f>VLOOKUP(E361,'[1]Nómina Agentes'!$C:$D,2,0)</f>
        <v>GOMEZ CESAR NAHUEL</v>
      </c>
      <c r="AF361" s="5">
        <f t="shared" si="16"/>
        <v>0.70833333333333337</v>
      </c>
      <c r="AG361" s="5">
        <f t="shared" si="17"/>
        <v>0.72916666666666663</v>
      </c>
    </row>
    <row r="362" spans="1:33" x14ac:dyDescent="0.25">
      <c r="A362" s="1">
        <v>45567</v>
      </c>
      <c r="B362">
        <v>924</v>
      </c>
      <c r="C362" t="s">
        <v>43</v>
      </c>
      <c r="D362" t="s">
        <v>174</v>
      </c>
      <c r="E362">
        <v>606411</v>
      </c>
      <c r="F362" s="2">
        <v>0.6875</v>
      </c>
      <c r="G362" t="s">
        <v>6</v>
      </c>
      <c r="H362" s="2">
        <v>0.70833333333333337</v>
      </c>
      <c r="I362">
        <v>1312</v>
      </c>
      <c r="J362">
        <v>0</v>
      </c>
      <c r="K362">
        <v>0</v>
      </c>
      <c r="L362">
        <v>12</v>
      </c>
      <c r="M362">
        <v>0</v>
      </c>
      <c r="N362">
        <v>0</v>
      </c>
      <c r="O362">
        <v>0</v>
      </c>
      <c r="P362">
        <v>73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4</v>
      </c>
      <c r="AC362">
        <v>4</v>
      </c>
      <c r="AD362" s="3" t="str">
        <f t="shared" si="15"/>
        <v>S2S NO PREMIUM</v>
      </c>
      <c r="AE362" s="3" t="str">
        <f>VLOOKUP(E362,'[1]Nómina Agentes'!$C:$D,2,0)</f>
        <v>GOMEZ CESAR NAHUEL</v>
      </c>
      <c r="AF362" s="5">
        <f t="shared" si="16"/>
        <v>0.6875</v>
      </c>
      <c r="AG362" s="5">
        <f t="shared" si="17"/>
        <v>0.70833333333333337</v>
      </c>
    </row>
    <row r="363" spans="1:33" x14ac:dyDescent="0.25">
      <c r="A363" s="1">
        <v>45567</v>
      </c>
      <c r="B363">
        <v>924</v>
      </c>
      <c r="C363" t="s">
        <v>43</v>
      </c>
      <c r="D363" t="s">
        <v>174</v>
      </c>
      <c r="E363">
        <v>606411</v>
      </c>
      <c r="F363" s="2">
        <v>0.75</v>
      </c>
      <c r="G363" t="s">
        <v>6</v>
      </c>
      <c r="H363" s="2">
        <v>0.77083333333333337</v>
      </c>
      <c r="I363">
        <v>1550</v>
      </c>
      <c r="J363">
        <v>0</v>
      </c>
      <c r="K363">
        <v>0</v>
      </c>
      <c r="L363">
        <v>22</v>
      </c>
      <c r="M363">
        <v>0</v>
      </c>
      <c r="N363">
        <v>0</v>
      </c>
      <c r="O363">
        <v>0</v>
      </c>
      <c r="P363">
        <v>147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5</v>
      </c>
      <c r="AC363">
        <v>4</v>
      </c>
      <c r="AD363" s="3" t="str">
        <f t="shared" si="15"/>
        <v>S2S NO PREMIUM</v>
      </c>
      <c r="AE363" s="3" t="str">
        <f>VLOOKUP(E363,'[1]Nómina Agentes'!$C:$D,2,0)</f>
        <v>GOMEZ CESAR NAHUEL</v>
      </c>
      <c r="AF363" s="5">
        <f t="shared" si="16"/>
        <v>0.75</v>
      </c>
      <c r="AG363" s="5">
        <f t="shared" si="17"/>
        <v>0.77083333333333337</v>
      </c>
    </row>
    <row r="364" spans="1:33" x14ac:dyDescent="0.25">
      <c r="A364" s="1">
        <v>45567</v>
      </c>
      <c r="B364">
        <v>924</v>
      </c>
      <c r="C364" t="s">
        <v>43</v>
      </c>
      <c r="D364" t="s">
        <v>175</v>
      </c>
      <c r="E364">
        <v>606436</v>
      </c>
      <c r="F364" s="2">
        <v>0.60416666666666663</v>
      </c>
      <c r="G364" t="s">
        <v>6</v>
      </c>
      <c r="H364" s="2">
        <v>0.625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 s="3" t="str">
        <f t="shared" si="15"/>
        <v>S2S NO PREMIUM</v>
      </c>
      <c r="AE364" s="3" t="str">
        <f>VLOOKUP(E364,'[1]Nómina Agentes'!$C:$D,2,0)</f>
        <v>SANJUAN LAURA</v>
      </c>
      <c r="AF364" s="5">
        <f t="shared" si="16"/>
        <v>0.60416666666666663</v>
      </c>
      <c r="AG364" s="5">
        <f t="shared" si="17"/>
        <v>0.625</v>
      </c>
    </row>
    <row r="365" spans="1:33" x14ac:dyDescent="0.25">
      <c r="A365" s="1">
        <v>45567</v>
      </c>
      <c r="B365">
        <v>924</v>
      </c>
      <c r="C365" t="s">
        <v>43</v>
      </c>
      <c r="D365" t="s">
        <v>175</v>
      </c>
      <c r="E365">
        <v>606436</v>
      </c>
      <c r="F365" s="2">
        <v>0.79166666666666663</v>
      </c>
      <c r="G365" t="s">
        <v>6</v>
      </c>
      <c r="H365" s="2">
        <v>0.8125</v>
      </c>
      <c r="I365">
        <v>783</v>
      </c>
      <c r="J365">
        <v>1016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 s="3" t="str">
        <f t="shared" si="15"/>
        <v>S2S NO PREMIUM</v>
      </c>
      <c r="AE365" s="3" t="str">
        <f>VLOOKUP(E365,'[1]Nómina Agentes'!$C:$D,2,0)</f>
        <v>SANJUAN LAURA</v>
      </c>
      <c r="AF365" s="5">
        <f t="shared" si="16"/>
        <v>0.79166666666666663</v>
      </c>
      <c r="AG365" s="5">
        <f t="shared" si="17"/>
        <v>0.8125</v>
      </c>
    </row>
    <row r="366" spans="1:33" x14ac:dyDescent="0.25">
      <c r="A366" s="1">
        <v>45567</v>
      </c>
      <c r="B366">
        <v>924</v>
      </c>
      <c r="C366" t="s">
        <v>43</v>
      </c>
      <c r="D366" t="s">
        <v>175</v>
      </c>
      <c r="E366">
        <v>606436</v>
      </c>
      <c r="F366" s="2">
        <v>0.77083333333333337</v>
      </c>
      <c r="G366" t="s">
        <v>6</v>
      </c>
      <c r="H366" s="2">
        <v>0.79166666666666663</v>
      </c>
      <c r="I366">
        <v>792</v>
      </c>
      <c r="J366">
        <v>0</v>
      </c>
      <c r="K366">
        <v>0</v>
      </c>
      <c r="L366">
        <v>16</v>
      </c>
      <c r="M366">
        <v>0</v>
      </c>
      <c r="N366">
        <v>0</v>
      </c>
      <c r="O366">
        <v>0</v>
      </c>
      <c r="P366">
        <v>2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4</v>
      </c>
      <c r="AC366">
        <v>2</v>
      </c>
      <c r="AD366" s="3" t="str">
        <f t="shared" si="15"/>
        <v>S2S NO PREMIUM</v>
      </c>
      <c r="AE366" s="3" t="str">
        <f>VLOOKUP(E366,'[1]Nómina Agentes'!$C:$D,2,0)</f>
        <v>SANJUAN LAURA</v>
      </c>
      <c r="AF366" s="5">
        <f t="shared" si="16"/>
        <v>0.77083333333333337</v>
      </c>
      <c r="AG366" s="5">
        <f t="shared" si="17"/>
        <v>0.79166666666666663</v>
      </c>
    </row>
    <row r="367" spans="1:33" x14ac:dyDescent="0.25">
      <c r="A367" s="1">
        <v>45567</v>
      </c>
      <c r="B367">
        <v>924</v>
      </c>
      <c r="C367" t="s">
        <v>43</v>
      </c>
      <c r="D367" t="s">
        <v>175</v>
      </c>
      <c r="E367">
        <v>606436</v>
      </c>
      <c r="F367" s="2">
        <v>0.8125</v>
      </c>
      <c r="G367" t="s">
        <v>6</v>
      </c>
      <c r="H367" s="2">
        <v>0.83333333333333337</v>
      </c>
      <c r="I367">
        <v>831</v>
      </c>
      <c r="J367">
        <v>221</v>
      </c>
      <c r="K367">
        <v>0</v>
      </c>
      <c r="L367">
        <v>12</v>
      </c>
      <c r="M367">
        <v>0</v>
      </c>
      <c r="N367">
        <v>0</v>
      </c>
      <c r="O367">
        <v>0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4</v>
      </c>
      <c r="AC367">
        <v>4</v>
      </c>
      <c r="AD367" s="3" t="str">
        <f t="shared" si="15"/>
        <v>S2S NO PREMIUM</v>
      </c>
      <c r="AE367" s="3" t="str">
        <f>VLOOKUP(E367,'[1]Nómina Agentes'!$C:$D,2,0)</f>
        <v>SANJUAN LAURA</v>
      </c>
      <c r="AF367" s="5">
        <f t="shared" si="16"/>
        <v>0.8125</v>
      </c>
      <c r="AG367" s="5">
        <f t="shared" si="17"/>
        <v>0.83333333333333337</v>
      </c>
    </row>
    <row r="368" spans="1:33" x14ac:dyDescent="0.25">
      <c r="A368" s="1">
        <v>45567</v>
      </c>
      <c r="B368">
        <v>924</v>
      </c>
      <c r="C368" t="s">
        <v>43</v>
      </c>
      <c r="D368" t="s">
        <v>175</v>
      </c>
      <c r="E368">
        <v>606436</v>
      </c>
      <c r="F368" s="2">
        <v>0.625</v>
      </c>
      <c r="G368" t="s">
        <v>6</v>
      </c>
      <c r="H368" s="2">
        <v>0.64583333333333337</v>
      </c>
      <c r="I368">
        <v>848</v>
      </c>
      <c r="J368">
        <v>0</v>
      </c>
      <c r="K368">
        <v>0</v>
      </c>
      <c r="L368">
        <v>15</v>
      </c>
      <c r="M368">
        <v>0</v>
      </c>
      <c r="N368">
        <v>0</v>
      </c>
      <c r="O368">
        <v>0</v>
      </c>
      <c r="P368">
        <v>3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3</v>
      </c>
      <c r="AC368">
        <v>2</v>
      </c>
      <c r="AD368" s="3" t="str">
        <f t="shared" si="15"/>
        <v>S2S NO PREMIUM</v>
      </c>
      <c r="AE368" s="3" t="str">
        <f>VLOOKUP(E368,'[1]Nómina Agentes'!$C:$D,2,0)</f>
        <v>SANJUAN LAURA</v>
      </c>
      <c r="AF368" s="5">
        <f t="shared" si="16"/>
        <v>0.625</v>
      </c>
      <c r="AG368" s="5">
        <f t="shared" si="17"/>
        <v>0.64583333333333337</v>
      </c>
    </row>
    <row r="369" spans="1:33" x14ac:dyDescent="0.25">
      <c r="A369" s="1">
        <v>45567</v>
      </c>
      <c r="B369">
        <v>924</v>
      </c>
      <c r="C369" t="s">
        <v>43</v>
      </c>
      <c r="D369" t="s">
        <v>175</v>
      </c>
      <c r="E369">
        <v>606436</v>
      </c>
      <c r="F369" s="2">
        <v>0.6875</v>
      </c>
      <c r="G369" t="s">
        <v>6</v>
      </c>
      <c r="H369" s="2">
        <v>0.70833333333333337</v>
      </c>
      <c r="I369">
        <v>912</v>
      </c>
      <c r="J369">
        <v>0</v>
      </c>
      <c r="K369">
        <v>0</v>
      </c>
      <c r="L369">
        <v>25</v>
      </c>
      <c r="M369">
        <v>0</v>
      </c>
      <c r="N369">
        <v>0</v>
      </c>
      <c r="O369">
        <v>0</v>
      </c>
      <c r="P369">
        <v>7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7</v>
      </c>
      <c r="AC369">
        <v>7</v>
      </c>
      <c r="AD369" s="3" t="str">
        <f t="shared" si="15"/>
        <v>S2S NO PREMIUM</v>
      </c>
      <c r="AE369" s="3" t="str">
        <f>VLOOKUP(E369,'[1]Nómina Agentes'!$C:$D,2,0)</f>
        <v>SANJUAN LAURA</v>
      </c>
      <c r="AF369" s="5">
        <f t="shared" si="16"/>
        <v>0.6875</v>
      </c>
      <c r="AG369" s="5">
        <f t="shared" si="17"/>
        <v>0.70833333333333337</v>
      </c>
    </row>
    <row r="370" spans="1:33" x14ac:dyDescent="0.25">
      <c r="A370" s="1">
        <v>45567</v>
      </c>
      <c r="B370">
        <v>924</v>
      </c>
      <c r="C370" t="s">
        <v>43</v>
      </c>
      <c r="D370" t="s">
        <v>175</v>
      </c>
      <c r="E370">
        <v>606436</v>
      </c>
      <c r="F370" s="2">
        <v>0.70833333333333337</v>
      </c>
      <c r="G370" t="s">
        <v>6</v>
      </c>
      <c r="H370" s="2">
        <v>0.72916666666666663</v>
      </c>
      <c r="I370">
        <v>1013</v>
      </c>
      <c r="J370">
        <v>177</v>
      </c>
      <c r="K370">
        <v>0</v>
      </c>
      <c r="L370">
        <v>22</v>
      </c>
      <c r="M370">
        <v>0</v>
      </c>
      <c r="N370">
        <v>0</v>
      </c>
      <c r="O370">
        <v>0</v>
      </c>
      <c r="P370">
        <v>4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4</v>
      </c>
      <c r="AC370">
        <v>4</v>
      </c>
      <c r="AD370" s="3" t="str">
        <f t="shared" si="15"/>
        <v>S2S NO PREMIUM</v>
      </c>
      <c r="AE370" s="3" t="str">
        <f>VLOOKUP(E370,'[1]Nómina Agentes'!$C:$D,2,0)</f>
        <v>SANJUAN LAURA</v>
      </c>
      <c r="AF370" s="5">
        <f t="shared" si="16"/>
        <v>0.70833333333333337</v>
      </c>
      <c r="AG370" s="5">
        <f t="shared" si="17"/>
        <v>0.72916666666666663</v>
      </c>
    </row>
    <row r="371" spans="1:33" x14ac:dyDescent="0.25">
      <c r="A371" s="1">
        <v>45567</v>
      </c>
      <c r="B371">
        <v>924</v>
      </c>
      <c r="C371" t="s">
        <v>43</v>
      </c>
      <c r="D371" t="s">
        <v>175</v>
      </c>
      <c r="E371">
        <v>606436</v>
      </c>
      <c r="F371" s="2">
        <v>0.64583333333333337</v>
      </c>
      <c r="G371" t="s">
        <v>6</v>
      </c>
      <c r="H371" s="2">
        <v>0.66666666666666663</v>
      </c>
      <c r="I371">
        <v>1148</v>
      </c>
      <c r="J371">
        <v>0</v>
      </c>
      <c r="K371">
        <v>0</v>
      </c>
      <c r="L371">
        <v>19</v>
      </c>
      <c r="M371">
        <v>0</v>
      </c>
      <c r="N371">
        <v>0</v>
      </c>
      <c r="O371">
        <v>0</v>
      </c>
      <c r="P371">
        <v>3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3</v>
      </c>
      <c r="AC371">
        <v>3</v>
      </c>
      <c r="AD371" s="3" t="str">
        <f t="shared" si="15"/>
        <v>S2S NO PREMIUM</v>
      </c>
      <c r="AE371" s="3" t="str">
        <f>VLOOKUP(E371,'[1]Nómina Agentes'!$C:$D,2,0)</f>
        <v>SANJUAN LAURA</v>
      </c>
      <c r="AF371" s="5">
        <f t="shared" si="16"/>
        <v>0.64583333333333337</v>
      </c>
      <c r="AG371" s="5">
        <f t="shared" si="17"/>
        <v>0.66666666666666663</v>
      </c>
    </row>
    <row r="372" spans="1:33" x14ac:dyDescent="0.25">
      <c r="A372" s="1">
        <v>45567</v>
      </c>
      <c r="B372">
        <v>924</v>
      </c>
      <c r="C372" t="s">
        <v>43</v>
      </c>
      <c r="D372" t="s">
        <v>175</v>
      </c>
      <c r="E372">
        <v>606436</v>
      </c>
      <c r="F372" s="2">
        <v>0.72916666666666663</v>
      </c>
      <c r="G372" t="s">
        <v>6</v>
      </c>
      <c r="H372" s="2">
        <v>0.75</v>
      </c>
      <c r="I372">
        <v>1413</v>
      </c>
      <c r="J372">
        <v>51</v>
      </c>
      <c r="K372">
        <v>0</v>
      </c>
      <c r="L372">
        <v>31</v>
      </c>
      <c r="M372">
        <v>0</v>
      </c>
      <c r="N372">
        <v>0</v>
      </c>
      <c r="O372">
        <v>0</v>
      </c>
      <c r="P372">
        <v>8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7</v>
      </c>
      <c r="AC372">
        <v>7</v>
      </c>
      <c r="AD372" s="3" t="str">
        <f t="shared" si="15"/>
        <v>S2S NO PREMIUM</v>
      </c>
      <c r="AE372" s="3" t="str">
        <f>VLOOKUP(E372,'[1]Nómina Agentes'!$C:$D,2,0)</f>
        <v>SANJUAN LAURA</v>
      </c>
      <c r="AF372" s="5">
        <f t="shared" si="16"/>
        <v>0.72916666666666663</v>
      </c>
      <c r="AG372" s="5">
        <f t="shared" si="17"/>
        <v>0.75</v>
      </c>
    </row>
    <row r="373" spans="1:33" x14ac:dyDescent="0.25">
      <c r="A373" s="1">
        <v>45567</v>
      </c>
      <c r="B373">
        <v>924</v>
      </c>
      <c r="C373" t="s">
        <v>43</v>
      </c>
      <c r="D373" t="s">
        <v>175</v>
      </c>
      <c r="E373">
        <v>606436</v>
      </c>
      <c r="F373" s="2">
        <v>0.66666666666666663</v>
      </c>
      <c r="G373" t="s">
        <v>6</v>
      </c>
      <c r="H373" s="2">
        <v>0.6875</v>
      </c>
      <c r="I373">
        <v>1426</v>
      </c>
      <c r="J373">
        <v>0</v>
      </c>
      <c r="K373">
        <v>0</v>
      </c>
      <c r="L373">
        <v>21</v>
      </c>
      <c r="M373">
        <v>0</v>
      </c>
      <c r="N373">
        <v>0</v>
      </c>
      <c r="O373">
        <v>0</v>
      </c>
      <c r="P373">
        <v>4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5</v>
      </c>
      <c r="AC373">
        <v>4</v>
      </c>
      <c r="AD373" s="3" t="str">
        <f t="shared" si="15"/>
        <v>S2S NO PREMIUM</v>
      </c>
      <c r="AE373" s="3" t="str">
        <f>VLOOKUP(E373,'[1]Nómina Agentes'!$C:$D,2,0)</f>
        <v>SANJUAN LAURA</v>
      </c>
      <c r="AF373" s="5">
        <f t="shared" si="16"/>
        <v>0.66666666666666663</v>
      </c>
      <c r="AG373" s="5">
        <f t="shared" si="17"/>
        <v>0.6875</v>
      </c>
    </row>
    <row r="374" spans="1:33" x14ac:dyDescent="0.25">
      <c r="A374" s="1">
        <v>45567</v>
      </c>
      <c r="B374">
        <v>924</v>
      </c>
      <c r="C374" t="s">
        <v>43</v>
      </c>
      <c r="D374" t="s">
        <v>175</v>
      </c>
      <c r="E374">
        <v>606436</v>
      </c>
      <c r="F374" s="2">
        <v>0.75</v>
      </c>
      <c r="G374" t="s">
        <v>6</v>
      </c>
      <c r="H374" s="2">
        <v>0.77083333333333337</v>
      </c>
      <c r="I374">
        <v>1699</v>
      </c>
      <c r="J374">
        <v>0</v>
      </c>
      <c r="K374">
        <v>0</v>
      </c>
      <c r="L374">
        <v>24</v>
      </c>
      <c r="M374">
        <v>0</v>
      </c>
      <c r="N374">
        <v>0</v>
      </c>
      <c r="O374">
        <v>0</v>
      </c>
      <c r="P374">
        <v>4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5</v>
      </c>
      <c r="AC374">
        <v>3</v>
      </c>
      <c r="AD374" s="3" t="str">
        <f t="shared" si="15"/>
        <v>S2S NO PREMIUM</v>
      </c>
      <c r="AE374" s="3" t="str">
        <f>VLOOKUP(E374,'[1]Nómina Agentes'!$C:$D,2,0)</f>
        <v>SANJUAN LAURA</v>
      </c>
      <c r="AF374" s="5">
        <f t="shared" si="16"/>
        <v>0.75</v>
      </c>
      <c r="AG374" s="5">
        <f t="shared" si="17"/>
        <v>0.77083333333333337</v>
      </c>
    </row>
    <row r="375" spans="1:33" x14ac:dyDescent="0.25">
      <c r="A375" s="1">
        <v>45567</v>
      </c>
      <c r="B375">
        <v>925</v>
      </c>
      <c r="C375" t="s">
        <v>42</v>
      </c>
      <c r="D375" t="s">
        <v>176</v>
      </c>
      <c r="E375">
        <v>606437</v>
      </c>
      <c r="F375" s="2">
        <v>0.79166666666666663</v>
      </c>
      <c r="G375" t="s">
        <v>6</v>
      </c>
      <c r="H375" s="2">
        <v>0.8125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1</v>
      </c>
      <c r="AC375">
        <v>1</v>
      </c>
      <c r="AD375" s="3" t="str">
        <f t="shared" si="15"/>
        <v>S2S PREMIUM</v>
      </c>
      <c r="AE375" s="3" t="str">
        <f>VLOOKUP(E375,'[1]Nómina Agentes'!$C:$D,2,0)</f>
        <v>MIRAGAYA MARIA JOSE</v>
      </c>
      <c r="AF375" s="5">
        <f t="shared" si="16"/>
        <v>0.79166666666666663</v>
      </c>
      <c r="AG375" s="5">
        <f t="shared" si="17"/>
        <v>0.8125</v>
      </c>
    </row>
    <row r="376" spans="1:33" x14ac:dyDescent="0.25">
      <c r="A376" s="1">
        <v>45567</v>
      </c>
      <c r="B376">
        <v>925</v>
      </c>
      <c r="C376" t="s">
        <v>42</v>
      </c>
      <c r="D376" t="s">
        <v>176</v>
      </c>
      <c r="E376">
        <v>606437</v>
      </c>
      <c r="F376" s="2">
        <v>0.70833333333333337</v>
      </c>
      <c r="G376" t="s">
        <v>6</v>
      </c>
      <c r="H376" s="2">
        <v>0.72916666666666663</v>
      </c>
      <c r="I376">
        <v>684</v>
      </c>
      <c r="J376">
        <v>855</v>
      </c>
      <c r="K376">
        <v>0</v>
      </c>
      <c r="L376">
        <v>8</v>
      </c>
      <c r="M376">
        <v>0</v>
      </c>
      <c r="N376">
        <v>0</v>
      </c>
      <c r="O376">
        <v>0</v>
      </c>
      <c r="P376">
        <v>2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2</v>
      </c>
      <c r="AC376">
        <v>2</v>
      </c>
      <c r="AD376" s="3" t="str">
        <f t="shared" si="15"/>
        <v>S2S PREMIUM</v>
      </c>
      <c r="AE376" s="3" t="str">
        <f>VLOOKUP(E376,'[1]Nómina Agentes'!$C:$D,2,0)</f>
        <v>MIRAGAYA MARIA JOSE</v>
      </c>
      <c r="AF376" s="5">
        <f t="shared" si="16"/>
        <v>0.70833333333333337</v>
      </c>
      <c r="AG376" s="5">
        <f t="shared" si="17"/>
        <v>0.72916666666666663</v>
      </c>
    </row>
    <row r="377" spans="1:33" x14ac:dyDescent="0.25">
      <c r="A377" s="1">
        <v>45567</v>
      </c>
      <c r="B377">
        <v>925</v>
      </c>
      <c r="C377" t="s">
        <v>42</v>
      </c>
      <c r="D377" t="s">
        <v>176</v>
      </c>
      <c r="E377">
        <v>606437</v>
      </c>
      <c r="F377" s="2">
        <v>0.60416666666666663</v>
      </c>
      <c r="G377" t="s">
        <v>6</v>
      </c>
      <c r="H377" s="2">
        <v>0.625</v>
      </c>
      <c r="I377">
        <v>698</v>
      </c>
      <c r="J377">
        <v>0</v>
      </c>
      <c r="K377">
        <v>0</v>
      </c>
      <c r="L377">
        <v>9</v>
      </c>
      <c r="M377">
        <v>0</v>
      </c>
      <c r="N377">
        <v>0</v>
      </c>
      <c r="O377">
        <v>0</v>
      </c>
      <c r="P377">
        <v>183</v>
      </c>
      <c r="Q377">
        <v>178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3</v>
      </c>
      <c r="AC377">
        <v>3</v>
      </c>
      <c r="AD377" s="3" t="str">
        <f t="shared" si="15"/>
        <v>S2S PREMIUM</v>
      </c>
      <c r="AE377" s="3" t="str">
        <f>VLOOKUP(E377,'[1]Nómina Agentes'!$C:$D,2,0)</f>
        <v>MIRAGAYA MARIA JOSE</v>
      </c>
      <c r="AF377" s="5">
        <f t="shared" si="16"/>
        <v>0.60416666666666663</v>
      </c>
      <c r="AG377" s="5">
        <f t="shared" si="17"/>
        <v>0.625</v>
      </c>
    </row>
    <row r="378" spans="1:33" x14ac:dyDescent="0.25">
      <c r="A378" s="1">
        <v>45567</v>
      </c>
      <c r="B378">
        <v>925</v>
      </c>
      <c r="C378" t="s">
        <v>42</v>
      </c>
      <c r="D378" t="s">
        <v>176</v>
      </c>
      <c r="E378">
        <v>606437</v>
      </c>
      <c r="F378" s="2">
        <v>0.64583333333333337</v>
      </c>
      <c r="G378" t="s">
        <v>6</v>
      </c>
      <c r="H378" s="2">
        <v>0.66666666666666663</v>
      </c>
      <c r="I378">
        <v>700</v>
      </c>
      <c r="J378">
        <v>0</v>
      </c>
      <c r="K378">
        <v>0</v>
      </c>
      <c r="L378">
        <v>12</v>
      </c>
      <c r="M378">
        <v>0</v>
      </c>
      <c r="N378">
        <v>0</v>
      </c>
      <c r="O378">
        <v>0</v>
      </c>
      <c r="P378">
        <v>2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3</v>
      </c>
      <c r="AC378">
        <v>2</v>
      </c>
      <c r="AD378" s="3" t="str">
        <f t="shared" si="15"/>
        <v>S2S PREMIUM</v>
      </c>
      <c r="AE378" s="3" t="str">
        <f>VLOOKUP(E378,'[1]Nómina Agentes'!$C:$D,2,0)</f>
        <v>MIRAGAYA MARIA JOSE</v>
      </c>
      <c r="AF378" s="5">
        <f t="shared" si="16"/>
        <v>0.64583333333333337</v>
      </c>
      <c r="AG378" s="5">
        <f t="shared" si="17"/>
        <v>0.66666666666666663</v>
      </c>
    </row>
    <row r="379" spans="1:33" x14ac:dyDescent="0.25">
      <c r="A379" s="1">
        <v>45567</v>
      </c>
      <c r="B379">
        <v>925</v>
      </c>
      <c r="C379" t="s">
        <v>42</v>
      </c>
      <c r="D379" t="s">
        <v>176</v>
      </c>
      <c r="E379">
        <v>606437</v>
      </c>
      <c r="F379" s="2">
        <v>0.66666666666666663</v>
      </c>
      <c r="G379" t="s">
        <v>6</v>
      </c>
      <c r="H379" s="2">
        <v>0.6875</v>
      </c>
      <c r="I379">
        <v>873</v>
      </c>
      <c r="J379">
        <v>0</v>
      </c>
      <c r="K379">
        <v>0</v>
      </c>
      <c r="L379">
        <v>13</v>
      </c>
      <c r="M379">
        <v>0</v>
      </c>
      <c r="N379">
        <v>0</v>
      </c>
      <c r="O379">
        <v>0</v>
      </c>
      <c r="P379">
        <v>55</v>
      </c>
      <c r="Q379">
        <v>50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3</v>
      </c>
      <c r="AC379">
        <v>2</v>
      </c>
      <c r="AD379" s="3" t="str">
        <f t="shared" si="15"/>
        <v>S2S PREMIUM</v>
      </c>
      <c r="AE379" s="3" t="str">
        <f>VLOOKUP(E379,'[1]Nómina Agentes'!$C:$D,2,0)</f>
        <v>MIRAGAYA MARIA JOSE</v>
      </c>
      <c r="AF379" s="5">
        <f t="shared" si="16"/>
        <v>0.66666666666666663</v>
      </c>
      <c r="AG379" s="5">
        <f t="shared" si="17"/>
        <v>0.6875</v>
      </c>
    </row>
    <row r="380" spans="1:33" x14ac:dyDescent="0.25">
      <c r="A380" s="1">
        <v>45567</v>
      </c>
      <c r="B380">
        <v>925</v>
      </c>
      <c r="C380" t="s">
        <v>42</v>
      </c>
      <c r="D380" t="s">
        <v>176</v>
      </c>
      <c r="E380">
        <v>606437</v>
      </c>
      <c r="F380" s="2">
        <v>0.58333333333333337</v>
      </c>
      <c r="G380" t="s">
        <v>6</v>
      </c>
      <c r="H380" s="2">
        <v>0.60416666666666663</v>
      </c>
      <c r="I380">
        <v>996</v>
      </c>
      <c r="J380">
        <v>0</v>
      </c>
      <c r="K380">
        <v>0</v>
      </c>
      <c r="L380">
        <v>15</v>
      </c>
      <c r="M380">
        <v>0</v>
      </c>
      <c r="N380">
        <v>0</v>
      </c>
      <c r="O380">
        <v>0</v>
      </c>
      <c r="P380">
        <v>2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</v>
      </c>
      <c r="AC380">
        <v>1</v>
      </c>
      <c r="AD380" s="3" t="str">
        <f t="shared" si="15"/>
        <v>S2S PREMIUM</v>
      </c>
      <c r="AE380" s="3" t="str">
        <f>VLOOKUP(E380,'[1]Nómina Agentes'!$C:$D,2,0)</f>
        <v>MIRAGAYA MARIA JOSE</v>
      </c>
      <c r="AF380" s="5">
        <f t="shared" si="16"/>
        <v>0.58333333333333337</v>
      </c>
      <c r="AG380" s="5">
        <f t="shared" si="17"/>
        <v>0.60416666666666663</v>
      </c>
    </row>
    <row r="381" spans="1:33" x14ac:dyDescent="0.25">
      <c r="A381" s="1">
        <v>45567</v>
      </c>
      <c r="B381">
        <v>925</v>
      </c>
      <c r="C381" t="s">
        <v>42</v>
      </c>
      <c r="D381" t="s">
        <v>176</v>
      </c>
      <c r="E381">
        <v>606437</v>
      </c>
      <c r="F381" s="2">
        <v>0.75</v>
      </c>
      <c r="G381" t="s">
        <v>6</v>
      </c>
      <c r="H381" s="2">
        <v>0.77083333333333337</v>
      </c>
      <c r="I381">
        <v>1021</v>
      </c>
      <c r="J381">
        <v>0</v>
      </c>
      <c r="K381">
        <v>0</v>
      </c>
      <c r="L381">
        <v>12</v>
      </c>
      <c r="M381">
        <v>0</v>
      </c>
      <c r="N381">
        <v>0</v>
      </c>
      <c r="O381">
        <v>0</v>
      </c>
      <c r="P381">
        <v>2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4</v>
      </c>
      <c r="AC381">
        <v>2</v>
      </c>
      <c r="AD381" s="3" t="str">
        <f t="shared" si="15"/>
        <v>S2S PREMIUM</v>
      </c>
      <c r="AE381" s="3" t="str">
        <f>VLOOKUP(E381,'[1]Nómina Agentes'!$C:$D,2,0)</f>
        <v>MIRAGAYA MARIA JOSE</v>
      </c>
      <c r="AF381" s="5">
        <f t="shared" si="16"/>
        <v>0.75</v>
      </c>
      <c r="AG381" s="5">
        <f t="shared" si="17"/>
        <v>0.77083333333333337</v>
      </c>
    </row>
    <row r="382" spans="1:33" x14ac:dyDescent="0.25">
      <c r="A382" s="1">
        <v>45567</v>
      </c>
      <c r="B382">
        <v>925</v>
      </c>
      <c r="C382" t="s">
        <v>42</v>
      </c>
      <c r="D382" t="s">
        <v>176</v>
      </c>
      <c r="E382">
        <v>606437</v>
      </c>
      <c r="F382" s="2">
        <v>0.77083333333333337</v>
      </c>
      <c r="G382" t="s">
        <v>6</v>
      </c>
      <c r="H382" s="2">
        <v>0.79166666666666663</v>
      </c>
      <c r="I382">
        <v>1074</v>
      </c>
      <c r="J382">
        <v>0</v>
      </c>
      <c r="K382">
        <v>0</v>
      </c>
      <c r="L382">
        <v>17</v>
      </c>
      <c r="M382">
        <v>0</v>
      </c>
      <c r="N382">
        <v>0</v>
      </c>
      <c r="O382">
        <v>0</v>
      </c>
      <c r="P382">
        <v>3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3</v>
      </c>
      <c r="AC382">
        <v>3</v>
      </c>
      <c r="AD382" s="3" t="str">
        <f t="shared" si="15"/>
        <v>S2S PREMIUM</v>
      </c>
      <c r="AE382" s="3" t="str">
        <f>VLOOKUP(E382,'[1]Nómina Agentes'!$C:$D,2,0)</f>
        <v>MIRAGAYA MARIA JOSE</v>
      </c>
      <c r="AF382" s="5">
        <f t="shared" si="16"/>
        <v>0.77083333333333337</v>
      </c>
      <c r="AG382" s="5">
        <f t="shared" si="17"/>
        <v>0.79166666666666663</v>
      </c>
    </row>
    <row r="383" spans="1:33" x14ac:dyDescent="0.25">
      <c r="A383" s="1">
        <v>45567</v>
      </c>
      <c r="B383">
        <v>925</v>
      </c>
      <c r="C383" t="s">
        <v>42</v>
      </c>
      <c r="D383" t="s">
        <v>176</v>
      </c>
      <c r="E383">
        <v>606437</v>
      </c>
      <c r="F383" s="2">
        <v>0.625</v>
      </c>
      <c r="G383" t="s">
        <v>6</v>
      </c>
      <c r="H383" s="2">
        <v>0.64583333333333337</v>
      </c>
      <c r="I383">
        <v>1083</v>
      </c>
      <c r="J383">
        <v>0</v>
      </c>
      <c r="K383">
        <v>0</v>
      </c>
      <c r="L383">
        <v>18</v>
      </c>
      <c r="M383">
        <v>0</v>
      </c>
      <c r="N383">
        <v>0</v>
      </c>
      <c r="O383">
        <v>0</v>
      </c>
      <c r="P383">
        <v>5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4</v>
      </c>
      <c r="AC383">
        <v>4</v>
      </c>
      <c r="AD383" s="3" t="str">
        <f t="shared" ref="AD383:AD446" si="18">UPPER(C383)</f>
        <v>S2S PREMIUM</v>
      </c>
      <c r="AE383" s="3" t="str">
        <f>VLOOKUP(E383,'[1]Nómina Agentes'!$C:$D,2,0)</f>
        <v>MIRAGAYA MARIA JOSE</v>
      </c>
      <c r="AF383" s="5">
        <f t="shared" ref="AF383:AF446" si="19">F383</f>
        <v>0.625</v>
      </c>
      <c r="AG383" s="5">
        <f t="shared" ref="AG383:AG446" si="20">H383</f>
        <v>0.64583333333333337</v>
      </c>
    </row>
    <row r="384" spans="1:33" x14ac:dyDescent="0.25">
      <c r="A384" s="1">
        <v>45567</v>
      </c>
      <c r="B384">
        <v>925</v>
      </c>
      <c r="C384" t="s">
        <v>42</v>
      </c>
      <c r="D384" t="s">
        <v>176</v>
      </c>
      <c r="E384">
        <v>606437</v>
      </c>
      <c r="F384" s="2">
        <v>0.72916666666666663</v>
      </c>
      <c r="G384" t="s">
        <v>6</v>
      </c>
      <c r="H384" s="2">
        <v>0.75</v>
      </c>
      <c r="I384">
        <v>1268</v>
      </c>
      <c r="J384">
        <v>0</v>
      </c>
      <c r="K384">
        <v>0</v>
      </c>
      <c r="L384">
        <v>13</v>
      </c>
      <c r="M384">
        <v>0</v>
      </c>
      <c r="N384">
        <v>0</v>
      </c>
      <c r="O384">
        <v>0</v>
      </c>
      <c r="P384">
        <v>8</v>
      </c>
      <c r="Q384">
        <v>2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3</v>
      </c>
      <c r="AC384">
        <v>2</v>
      </c>
      <c r="AD384" s="3" t="str">
        <f t="shared" si="18"/>
        <v>S2S PREMIUM</v>
      </c>
      <c r="AE384" s="3" t="str">
        <f>VLOOKUP(E384,'[1]Nómina Agentes'!$C:$D,2,0)</f>
        <v>MIRAGAYA MARIA JOSE</v>
      </c>
      <c r="AF384" s="5">
        <f t="shared" si="19"/>
        <v>0.72916666666666663</v>
      </c>
      <c r="AG384" s="5">
        <f t="shared" si="20"/>
        <v>0.75</v>
      </c>
    </row>
    <row r="385" spans="1:33" x14ac:dyDescent="0.25">
      <c r="A385" s="1">
        <v>45567</v>
      </c>
      <c r="B385">
        <v>925</v>
      </c>
      <c r="C385" t="s">
        <v>42</v>
      </c>
      <c r="D385" t="s">
        <v>176</v>
      </c>
      <c r="E385">
        <v>606437</v>
      </c>
      <c r="F385" s="2">
        <v>0.6875</v>
      </c>
      <c r="G385" t="s">
        <v>6</v>
      </c>
      <c r="H385" s="2">
        <v>0.70833333333333337</v>
      </c>
      <c r="I385">
        <v>1284</v>
      </c>
      <c r="J385">
        <v>32</v>
      </c>
      <c r="K385">
        <v>0</v>
      </c>
      <c r="L385">
        <v>16</v>
      </c>
      <c r="M385">
        <v>0</v>
      </c>
      <c r="N385">
        <v>0</v>
      </c>
      <c r="O385">
        <v>0</v>
      </c>
      <c r="P385">
        <v>53</v>
      </c>
      <c r="Q385">
        <v>48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3</v>
      </c>
      <c r="AC385">
        <v>2</v>
      </c>
      <c r="AD385" s="3" t="str">
        <f t="shared" si="18"/>
        <v>S2S PREMIUM</v>
      </c>
      <c r="AE385" s="3" t="str">
        <f>VLOOKUP(E385,'[1]Nómina Agentes'!$C:$D,2,0)</f>
        <v>MIRAGAYA MARIA JOSE</v>
      </c>
      <c r="AF385" s="5">
        <f t="shared" si="19"/>
        <v>0.6875</v>
      </c>
      <c r="AG385" s="5">
        <f t="shared" si="20"/>
        <v>0.70833333333333337</v>
      </c>
    </row>
    <row r="386" spans="1:33" x14ac:dyDescent="0.25">
      <c r="A386" s="1">
        <v>45567</v>
      </c>
      <c r="B386">
        <v>925</v>
      </c>
      <c r="C386" t="s">
        <v>42</v>
      </c>
      <c r="D386" t="s">
        <v>176</v>
      </c>
      <c r="E386">
        <v>606437</v>
      </c>
      <c r="F386" s="2">
        <v>0.8125</v>
      </c>
      <c r="G386" t="s">
        <v>6</v>
      </c>
      <c r="H386" s="2">
        <v>0.83333333333333337</v>
      </c>
      <c r="I386">
        <v>1322</v>
      </c>
      <c r="J386">
        <v>73</v>
      </c>
      <c r="K386">
        <v>0</v>
      </c>
      <c r="L386">
        <v>12</v>
      </c>
      <c r="M386">
        <v>0</v>
      </c>
      <c r="N386">
        <v>0</v>
      </c>
      <c r="O386">
        <v>0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3</v>
      </c>
      <c r="AC386">
        <v>2</v>
      </c>
      <c r="AD386" s="3" t="str">
        <f t="shared" si="18"/>
        <v>S2S PREMIUM</v>
      </c>
      <c r="AE386" s="3" t="str">
        <f>VLOOKUP(E386,'[1]Nómina Agentes'!$C:$D,2,0)</f>
        <v>MIRAGAYA MARIA JOSE</v>
      </c>
      <c r="AF386" s="5">
        <f t="shared" si="19"/>
        <v>0.8125</v>
      </c>
      <c r="AG386" s="5">
        <f t="shared" si="20"/>
        <v>0.83333333333333337</v>
      </c>
    </row>
    <row r="387" spans="1:33" x14ac:dyDescent="0.25">
      <c r="A387" s="1">
        <v>45567</v>
      </c>
      <c r="B387">
        <v>924</v>
      </c>
      <c r="C387" t="s">
        <v>43</v>
      </c>
      <c r="D387" t="s">
        <v>177</v>
      </c>
      <c r="E387">
        <v>606443</v>
      </c>
      <c r="F387" s="2">
        <v>0.60416666666666663</v>
      </c>
      <c r="G387" t="s">
        <v>6</v>
      </c>
      <c r="H387" s="2">
        <v>0.625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 s="3" t="str">
        <f t="shared" si="18"/>
        <v>S2S NO PREMIUM</v>
      </c>
      <c r="AE387" s="3" t="str">
        <f>VLOOKUP(E387,'[1]Nómina Agentes'!$C:$D,2,0)</f>
        <v>BURSESE MAITE PILAR</v>
      </c>
      <c r="AF387" s="5">
        <f t="shared" si="19"/>
        <v>0.60416666666666663</v>
      </c>
      <c r="AG387" s="5">
        <f t="shared" si="20"/>
        <v>0.625</v>
      </c>
    </row>
    <row r="388" spans="1:33" x14ac:dyDescent="0.25">
      <c r="A388" s="1">
        <v>45567</v>
      </c>
      <c r="B388">
        <v>924</v>
      </c>
      <c r="C388" t="s">
        <v>43</v>
      </c>
      <c r="D388" t="s">
        <v>177</v>
      </c>
      <c r="E388">
        <v>606443</v>
      </c>
      <c r="F388" s="2">
        <v>0.64583333333333337</v>
      </c>
      <c r="G388" t="s">
        <v>6</v>
      </c>
      <c r="H388" s="2">
        <v>0.66666666666666663</v>
      </c>
      <c r="I388">
        <v>141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1</v>
      </c>
      <c r="AC388">
        <v>1</v>
      </c>
      <c r="AD388" s="3" t="str">
        <f t="shared" si="18"/>
        <v>S2S NO PREMIUM</v>
      </c>
      <c r="AE388" s="3" t="str">
        <f>VLOOKUP(E388,'[1]Nómina Agentes'!$C:$D,2,0)</f>
        <v>BURSESE MAITE PILAR</v>
      </c>
      <c r="AF388" s="5">
        <f t="shared" si="19"/>
        <v>0.64583333333333337</v>
      </c>
      <c r="AG388" s="5">
        <f t="shared" si="20"/>
        <v>0.66666666666666663</v>
      </c>
    </row>
    <row r="389" spans="1:33" x14ac:dyDescent="0.25">
      <c r="A389" s="1">
        <v>45567</v>
      </c>
      <c r="B389">
        <v>924</v>
      </c>
      <c r="C389" t="s">
        <v>43</v>
      </c>
      <c r="D389" t="s">
        <v>177</v>
      </c>
      <c r="E389">
        <v>606443</v>
      </c>
      <c r="F389" s="2">
        <v>0.625</v>
      </c>
      <c r="G389" t="s">
        <v>6</v>
      </c>
      <c r="H389" s="2">
        <v>0.64583333333333337</v>
      </c>
      <c r="I389">
        <v>822</v>
      </c>
      <c r="J389">
        <v>272</v>
      </c>
      <c r="K389">
        <v>0</v>
      </c>
      <c r="L389">
        <v>17</v>
      </c>
      <c r="M389">
        <v>0</v>
      </c>
      <c r="N389">
        <v>0</v>
      </c>
      <c r="O389">
        <v>0</v>
      </c>
      <c r="P389">
        <v>2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2</v>
      </c>
      <c r="AC389">
        <v>2</v>
      </c>
      <c r="AD389" s="3" t="str">
        <f t="shared" si="18"/>
        <v>S2S NO PREMIUM</v>
      </c>
      <c r="AE389" s="3" t="str">
        <f>VLOOKUP(E389,'[1]Nómina Agentes'!$C:$D,2,0)</f>
        <v>BURSESE MAITE PILAR</v>
      </c>
      <c r="AF389" s="5">
        <f t="shared" si="19"/>
        <v>0.625</v>
      </c>
      <c r="AG389" s="5">
        <f t="shared" si="20"/>
        <v>0.64583333333333337</v>
      </c>
    </row>
    <row r="390" spans="1:33" x14ac:dyDescent="0.25">
      <c r="A390" s="1">
        <v>45567</v>
      </c>
      <c r="B390">
        <v>925</v>
      </c>
      <c r="C390" t="s">
        <v>42</v>
      </c>
      <c r="D390" t="s">
        <v>87</v>
      </c>
      <c r="E390">
        <v>606445</v>
      </c>
      <c r="F390" s="2">
        <v>0.58333333333333337</v>
      </c>
      <c r="G390" t="s">
        <v>6</v>
      </c>
      <c r="H390" s="2">
        <v>0.60416666666666663</v>
      </c>
      <c r="I390">
        <v>146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1</v>
      </c>
      <c r="AC390">
        <v>1</v>
      </c>
      <c r="AD390" s="3" t="str">
        <f t="shared" si="18"/>
        <v>S2S PREMIUM</v>
      </c>
      <c r="AE390" s="3" t="str">
        <f>VLOOKUP(E390,'[1]Nómina Agentes'!$C:$D,2,0)</f>
        <v>GARRIGO CAROLINA</v>
      </c>
      <c r="AF390" s="5">
        <f t="shared" si="19"/>
        <v>0.58333333333333337</v>
      </c>
      <c r="AG390" s="5">
        <f t="shared" si="20"/>
        <v>0.60416666666666663</v>
      </c>
    </row>
    <row r="391" spans="1:33" x14ac:dyDescent="0.25">
      <c r="A391" s="1">
        <v>45567</v>
      </c>
      <c r="B391">
        <v>925</v>
      </c>
      <c r="C391" t="s">
        <v>42</v>
      </c>
      <c r="D391" t="s">
        <v>87</v>
      </c>
      <c r="E391">
        <v>606445</v>
      </c>
      <c r="F391" s="2">
        <v>0.64583333333333337</v>
      </c>
      <c r="G391" t="s">
        <v>6</v>
      </c>
      <c r="H391" s="2">
        <v>0.66666666666666663</v>
      </c>
      <c r="I391">
        <v>646</v>
      </c>
      <c r="J391">
        <v>0</v>
      </c>
      <c r="K391">
        <v>0</v>
      </c>
      <c r="L391">
        <v>10</v>
      </c>
      <c r="M391">
        <v>0</v>
      </c>
      <c r="N391">
        <v>0</v>
      </c>
      <c r="O391">
        <v>0</v>
      </c>
      <c r="P391">
        <v>3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3</v>
      </c>
      <c r="AC391">
        <v>3</v>
      </c>
      <c r="AD391" s="3" t="str">
        <f t="shared" si="18"/>
        <v>S2S PREMIUM</v>
      </c>
      <c r="AE391" s="3" t="str">
        <f>VLOOKUP(E391,'[1]Nómina Agentes'!$C:$D,2,0)</f>
        <v>GARRIGO CAROLINA</v>
      </c>
      <c r="AF391" s="5">
        <f t="shared" si="19"/>
        <v>0.64583333333333337</v>
      </c>
      <c r="AG391" s="5">
        <f t="shared" si="20"/>
        <v>0.66666666666666663</v>
      </c>
    </row>
    <row r="392" spans="1:33" x14ac:dyDescent="0.25">
      <c r="A392" s="1">
        <v>45567</v>
      </c>
      <c r="B392">
        <v>925</v>
      </c>
      <c r="C392" t="s">
        <v>42</v>
      </c>
      <c r="D392" t="s">
        <v>87</v>
      </c>
      <c r="E392">
        <v>606445</v>
      </c>
      <c r="F392" s="2">
        <v>0.60416666666666663</v>
      </c>
      <c r="G392" t="s">
        <v>6</v>
      </c>
      <c r="H392" s="2">
        <v>0.625</v>
      </c>
      <c r="I392">
        <v>665</v>
      </c>
      <c r="J392">
        <v>0</v>
      </c>
      <c r="K392">
        <v>0</v>
      </c>
      <c r="L392">
        <v>12</v>
      </c>
      <c r="M392">
        <v>0</v>
      </c>
      <c r="N392">
        <v>0</v>
      </c>
      <c r="O392">
        <v>0</v>
      </c>
      <c r="P392">
        <v>3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3</v>
      </c>
      <c r="AC392">
        <v>3</v>
      </c>
      <c r="AD392" s="3" t="str">
        <f t="shared" si="18"/>
        <v>S2S PREMIUM</v>
      </c>
      <c r="AE392" s="3" t="str">
        <f>VLOOKUP(E392,'[1]Nómina Agentes'!$C:$D,2,0)</f>
        <v>GARRIGO CAROLINA</v>
      </c>
      <c r="AF392" s="5">
        <f t="shared" si="19"/>
        <v>0.60416666666666663</v>
      </c>
      <c r="AG392" s="5">
        <f t="shared" si="20"/>
        <v>0.625</v>
      </c>
    </row>
    <row r="393" spans="1:33" x14ac:dyDescent="0.25">
      <c r="A393" s="1">
        <v>45567</v>
      </c>
      <c r="B393">
        <v>925</v>
      </c>
      <c r="C393" t="s">
        <v>42</v>
      </c>
      <c r="D393" t="s">
        <v>87</v>
      </c>
      <c r="E393">
        <v>606445</v>
      </c>
      <c r="F393" s="2">
        <v>0.625</v>
      </c>
      <c r="G393" t="s">
        <v>6</v>
      </c>
      <c r="H393" s="2">
        <v>0.64583333333333337</v>
      </c>
      <c r="I393">
        <v>1043</v>
      </c>
      <c r="J393">
        <v>0</v>
      </c>
      <c r="K393">
        <v>0</v>
      </c>
      <c r="L393">
        <v>13</v>
      </c>
      <c r="M393">
        <v>0</v>
      </c>
      <c r="N393">
        <v>0</v>
      </c>
      <c r="O393">
        <v>0</v>
      </c>
      <c r="P393">
        <v>4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2</v>
      </c>
      <c r="AC393">
        <v>2</v>
      </c>
      <c r="AD393" s="3" t="str">
        <f t="shared" si="18"/>
        <v>S2S PREMIUM</v>
      </c>
      <c r="AE393" s="3" t="str">
        <f>VLOOKUP(E393,'[1]Nómina Agentes'!$C:$D,2,0)</f>
        <v>GARRIGO CAROLINA</v>
      </c>
      <c r="AF393" s="5">
        <f t="shared" si="19"/>
        <v>0.625</v>
      </c>
      <c r="AG393" s="5">
        <f t="shared" si="20"/>
        <v>0.64583333333333337</v>
      </c>
    </row>
    <row r="394" spans="1:33" x14ac:dyDescent="0.25">
      <c r="A394" s="1">
        <v>45567</v>
      </c>
      <c r="B394">
        <v>925</v>
      </c>
      <c r="C394" t="s">
        <v>42</v>
      </c>
      <c r="D394" t="s">
        <v>178</v>
      </c>
      <c r="E394">
        <v>606457</v>
      </c>
      <c r="F394" s="2">
        <v>0.75</v>
      </c>
      <c r="G394" t="s">
        <v>6</v>
      </c>
      <c r="H394" s="2">
        <v>0.77083333333333337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 s="3" t="str">
        <f t="shared" si="18"/>
        <v>S2S PREMIUM</v>
      </c>
      <c r="AE394" s="3" t="str">
        <f>VLOOKUP(E394,'[1]Nómina Agentes'!$C:$D,2,0)</f>
        <v>FUHR PATRICIO ALEJANDRO</v>
      </c>
      <c r="AF394" s="5">
        <f t="shared" si="19"/>
        <v>0.75</v>
      </c>
      <c r="AG394" s="5">
        <f t="shared" si="20"/>
        <v>0.77083333333333337</v>
      </c>
    </row>
    <row r="395" spans="1:33" x14ac:dyDescent="0.25">
      <c r="A395" s="1">
        <v>45567</v>
      </c>
      <c r="B395">
        <v>925</v>
      </c>
      <c r="C395" t="s">
        <v>42</v>
      </c>
      <c r="D395" t="s">
        <v>178</v>
      </c>
      <c r="E395">
        <v>606457</v>
      </c>
      <c r="F395" s="2">
        <v>0.8125</v>
      </c>
      <c r="G395" t="s">
        <v>6</v>
      </c>
      <c r="H395" s="2">
        <v>0.83333333333333337</v>
      </c>
      <c r="I395">
        <v>134</v>
      </c>
      <c r="J395">
        <v>0</v>
      </c>
      <c r="K395">
        <v>0</v>
      </c>
      <c r="L395">
        <v>12</v>
      </c>
      <c r="M395">
        <v>0</v>
      </c>
      <c r="N395">
        <v>0</v>
      </c>
      <c r="O395">
        <v>0</v>
      </c>
      <c r="P395">
        <v>3</v>
      </c>
      <c r="Q395">
        <v>3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3</v>
      </c>
      <c r="AC395">
        <v>3</v>
      </c>
      <c r="AD395" s="3" t="str">
        <f t="shared" si="18"/>
        <v>S2S PREMIUM</v>
      </c>
      <c r="AE395" s="3" t="str">
        <f>VLOOKUP(E395,'[1]Nómina Agentes'!$C:$D,2,0)</f>
        <v>FUHR PATRICIO ALEJANDRO</v>
      </c>
      <c r="AF395" s="5">
        <f t="shared" si="19"/>
        <v>0.8125</v>
      </c>
      <c r="AG395" s="5">
        <f t="shared" si="20"/>
        <v>0.83333333333333337</v>
      </c>
    </row>
    <row r="396" spans="1:33" x14ac:dyDescent="0.25">
      <c r="A396" s="1">
        <v>45567</v>
      </c>
      <c r="B396">
        <v>925</v>
      </c>
      <c r="C396" t="s">
        <v>42</v>
      </c>
      <c r="D396" t="s">
        <v>178</v>
      </c>
      <c r="E396">
        <v>606457</v>
      </c>
      <c r="F396" s="2">
        <v>0.77083333333333337</v>
      </c>
      <c r="G396" t="s">
        <v>6</v>
      </c>
      <c r="H396" s="2">
        <v>0.79166666666666663</v>
      </c>
      <c r="I396">
        <v>140</v>
      </c>
      <c r="J396">
        <v>0</v>
      </c>
      <c r="K396">
        <v>0</v>
      </c>
      <c r="L396">
        <v>4</v>
      </c>
      <c r="M396">
        <v>0</v>
      </c>
      <c r="N396">
        <v>0</v>
      </c>
      <c r="O396">
        <v>0</v>
      </c>
      <c r="P396">
        <v>1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1</v>
      </c>
      <c r="AC396">
        <v>1</v>
      </c>
      <c r="AD396" s="3" t="str">
        <f t="shared" si="18"/>
        <v>S2S PREMIUM</v>
      </c>
      <c r="AE396" s="3" t="str">
        <f>VLOOKUP(E396,'[1]Nómina Agentes'!$C:$D,2,0)</f>
        <v>FUHR PATRICIO ALEJANDRO</v>
      </c>
      <c r="AF396" s="5">
        <f t="shared" si="19"/>
        <v>0.77083333333333337</v>
      </c>
      <c r="AG396" s="5">
        <f t="shared" si="20"/>
        <v>0.79166666666666663</v>
      </c>
    </row>
    <row r="397" spans="1:33" x14ac:dyDescent="0.25">
      <c r="A397" s="1">
        <v>45567</v>
      </c>
      <c r="B397">
        <v>925</v>
      </c>
      <c r="C397" t="s">
        <v>42</v>
      </c>
      <c r="D397" t="s">
        <v>178</v>
      </c>
      <c r="E397">
        <v>606457</v>
      </c>
      <c r="F397" s="2">
        <v>0.79166666666666663</v>
      </c>
      <c r="G397" t="s">
        <v>6</v>
      </c>
      <c r="H397" s="2">
        <v>0.8125</v>
      </c>
      <c r="I397">
        <v>148</v>
      </c>
      <c r="J397">
        <v>0</v>
      </c>
      <c r="K397">
        <v>0</v>
      </c>
      <c r="L397">
        <v>9</v>
      </c>
      <c r="M397">
        <v>0</v>
      </c>
      <c r="N397">
        <v>0</v>
      </c>
      <c r="O397">
        <v>0</v>
      </c>
      <c r="P397">
        <v>2</v>
      </c>
      <c r="Q397">
        <v>2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2</v>
      </c>
      <c r="AC397">
        <v>2</v>
      </c>
      <c r="AD397" s="3" t="str">
        <f t="shared" si="18"/>
        <v>S2S PREMIUM</v>
      </c>
      <c r="AE397" s="3" t="str">
        <f>VLOOKUP(E397,'[1]Nómina Agentes'!$C:$D,2,0)</f>
        <v>FUHR PATRICIO ALEJANDRO</v>
      </c>
      <c r="AF397" s="5">
        <f t="shared" si="19"/>
        <v>0.79166666666666663</v>
      </c>
      <c r="AG397" s="5">
        <f t="shared" si="20"/>
        <v>0.8125</v>
      </c>
    </row>
    <row r="398" spans="1:33" x14ac:dyDescent="0.25">
      <c r="A398" s="1">
        <v>45567</v>
      </c>
      <c r="B398">
        <v>925</v>
      </c>
      <c r="C398" t="s">
        <v>42</v>
      </c>
      <c r="D398" t="s">
        <v>179</v>
      </c>
      <c r="E398">
        <v>606463</v>
      </c>
      <c r="F398" s="2">
        <v>0.8125</v>
      </c>
      <c r="G398" t="s">
        <v>6</v>
      </c>
      <c r="H398" s="2">
        <v>0.83333333333333337</v>
      </c>
      <c r="I398">
        <v>400</v>
      </c>
      <c r="J398">
        <v>60</v>
      </c>
      <c r="K398">
        <v>0</v>
      </c>
      <c r="L398">
        <v>14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2</v>
      </c>
      <c r="AC398">
        <v>1</v>
      </c>
      <c r="AD398" s="3" t="str">
        <f t="shared" si="18"/>
        <v>S2S PREMIUM</v>
      </c>
      <c r="AE398" s="3" t="str">
        <f>VLOOKUP(E398,'[1]Nómina Agentes'!$C:$D,2,0)</f>
        <v>MACHADO RIVERA ELIAS RAUL</v>
      </c>
      <c r="AF398" s="5">
        <f t="shared" si="19"/>
        <v>0.8125</v>
      </c>
      <c r="AG398" s="5">
        <f t="shared" si="20"/>
        <v>0.83333333333333337</v>
      </c>
    </row>
    <row r="399" spans="1:33" x14ac:dyDescent="0.25">
      <c r="A399" s="1">
        <v>45567</v>
      </c>
      <c r="B399">
        <v>924</v>
      </c>
      <c r="C399" t="s">
        <v>43</v>
      </c>
      <c r="D399" t="s">
        <v>180</v>
      </c>
      <c r="E399">
        <v>606470</v>
      </c>
      <c r="F399" s="2">
        <v>0.60416666666666663</v>
      </c>
      <c r="G399" t="s">
        <v>6</v>
      </c>
      <c r="H399" s="2">
        <v>0.625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 s="3" t="str">
        <f t="shared" si="18"/>
        <v>S2S NO PREMIUM</v>
      </c>
      <c r="AE399" s="3" t="str">
        <f>VLOOKUP(E399,'[1]Nómina Agentes'!$C:$D,2,0)</f>
        <v>ALMIRON LUCIANA AYELEN</v>
      </c>
      <c r="AF399" s="5">
        <f t="shared" si="19"/>
        <v>0.60416666666666663</v>
      </c>
      <c r="AG399" s="5">
        <f t="shared" si="20"/>
        <v>0.625</v>
      </c>
    </row>
    <row r="400" spans="1:33" x14ac:dyDescent="0.25">
      <c r="A400" s="1">
        <v>45567</v>
      </c>
      <c r="B400">
        <v>924</v>
      </c>
      <c r="C400" t="s">
        <v>43</v>
      </c>
      <c r="D400" t="s">
        <v>180</v>
      </c>
      <c r="E400">
        <v>606470</v>
      </c>
      <c r="F400" s="2">
        <v>0.75</v>
      </c>
      <c r="G400" t="s">
        <v>6</v>
      </c>
      <c r="H400" s="2">
        <v>0.77083333333333337</v>
      </c>
      <c r="I400">
        <v>95</v>
      </c>
      <c r="J400">
        <v>41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1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1</v>
      </c>
      <c r="AC400">
        <v>1</v>
      </c>
      <c r="AD400" s="3" t="str">
        <f t="shared" si="18"/>
        <v>S2S NO PREMIUM</v>
      </c>
      <c r="AE400" s="3" t="str">
        <f>VLOOKUP(E400,'[1]Nómina Agentes'!$C:$D,2,0)</f>
        <v>ALMIRON LUCIANA AYELEN</v>
      </c>
      <c r="AF400" s="5">
        <f t="shared" si="19"/>
        <v>0.75</v>
      </c>
      <c r="AG400" s="5">
        <f t="shared" si="20"/>
        <v>0.77083333333333337</v>
      </c>
    </row>
    <row r="401" spans="1:33" x14ac:dyDescent="0.25">
      <c r="A401" s="1">
        <v>45567</v>
      </c>
      <c r="B401">
        <v>924</v>
      </c>
      <c r="C401" t="s">
        <v>43</v>
      </c>
      <c r="D401" t="s">
        <v>180</v>
      </c>
      <c r="E401">
        <v>606470</v>
      </c>
      <c r="F401" s="2">
        <v>0.70833333333333337</v>
      </c>
      <c r="G401" t="s">
        <v>6</v>
      </c>
      <c r="H401" s="2">
        <v>0.72916666666666663</v>
      </c>
      <c r="I401">
        <v>486</v>
      </c>
      <c r="J401">
        <v>18</v>
      </c>
      <c r="K401">
        <v>0</v>
      </c>
      <c r="L401">
        <v>14</v>
      </c>
      <c r="M401">
        <v>0</v>
      </c>
      <c r="N401">
        <v>0</v>
      </c>
      <c r="O401">
        <v>0</v>
      </c>
      <c r="P401">
        <v>1111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4</v>
      </c>
      <c r="AC401">
        <v>4</v>
      </c>
      <c r="AD401" s="3" t="str">
        <f t="shared" si="18"/>
        <v>S2S NO PREMIUM</v>
      </c>
      <c r="AE401" s="3" t="str">
        <f>VLOOKUP(E401,'[1]Nómina Agentes'!$C:$D,2,0)</f>
        <v>ALMIRON LUCIANA AYELEN</v>
      </c>
      <c r="AF401" s="5">
        <f t="shared" si="19"/>
        <v>0.70833333333333337</v>
      </c>
      <c r="AG401" s="5">
        <f t="shared" si="20"/>
        <v>0.72916666666666663</v>
      </c>
    </row>
    <row r="402" spans="1:33" x14ac:dyDescent="0.25">
      <c r="A402" s="1">
        <v>45567</v>
      </c>
      <c r="B402">
        <v>924</v>
      </c>
      <c r="C402" t="s">
        <v>43</v>
      </c>
      <c r="D402" t="s">
        <v>180</v>
      </c>
      <c r="E402">
        <v>606470</v>
      </c>
      <c r="F402" s="2">
        <v>0.8125</v>
      </c>
      <c r="G402" t="s">
        <v>6</v>
      </c>
      <c r="H402" s="2">
        <v>0.83333333333333337</v>
      </c>
      <c r="I402">
        <v>593</v>
      </c>
      <c r="J402">
        <v>38</v>
      </c>
      <c r="K402">
        <v>0</v>
      </c>
      <c r="L402">
        <v>8</v>
      </c>
      <c r="M402">
        <v>0</v>
      </c>
      <c r="N402">
        <v>0</v>
      </c>
      <c r="O402">
        <v>0</v>
      </c>
      <c r="P402">
        <v>66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2</v>
      </c>
      <c r="AC402">
        <v>2</v>
      </c>
      <c r="AD402" s="3" t="str">
        <f t="shared" si="18"/>
        <v>S2S NO PREMIUM</v>
      </c>
      <c r="AE402" s="3" t="str">
        <f>VLOOKUP(E402,'[1]Nómina Agentes'!$C:$D,2,0)</f>
        <v>ALMIRON LUCIANA AYELEN</v>
      </c>
      <c r="AF402" s="5">
        <f t="shared" si="19"/>
        <v>0.8125</v>
      </c>
      <c r="AG402" s="5">
        <f t="shared" si="20"/>
        <v>0.83333333333333337</v>
      </c>
    </row>
    <row r="403" spans="1:33" x14ac:dyDescent="0.25">
      <c r="A403" s="1">
        <v>45567</v>
      </c>
      <c r="B403">
        <v>924</v>
      </c>
      <c r="C403" t="s">
        <v>43</v>
      </c>
      <c r="D403" t="s">
        <v>180</v>
      </c>
      <c r="E403">
        <v>606470</v>
      </c>
      <c r="F403" s="2">
        <v>0.625</v>
      </c>
      <c r="G403" t="s">
        <v>6</v>
      </c>
      <c r="H403" s="2">
        <v>0.64583333333333337</v>
      </c>
      <c r="I403">
        <v>652</v>
      </c>
      <c r="J403">
        <v>100</v>
      </c>
      <c r="K403">
        <v>0</v>
      </c>
      <c r="L403">
        <v>18</v>
      </c>
      <c r="M403">
        <v>0</v>
      </c>
      <c r="N403">
        <v>0</v>
      </c>
      <c r="O403">
        <v>0</v>
      </c>
      <c r="P403">
        <v>122</v>
      </c>
      <c r="Q403">
        <v>7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3</v>
      </c>
      <c r="AC403">
        <v>2</v>
      </c>
      <c r="AD403" s="3" t="str">
        <f t="shared" si="18"/>
        <v>S2S NO PREMIUM</v>
      </c>
      <c r="AE403" s="3" t="str">
        <f>VLOOKUP(E403,'[1]Nómina Agentes'!$C:$D,2,0)</f>
        <v>ALMIRON LUCIANA AYELEN</v>
      </c>
      <c r="AF403" s="5">
        <f t="shared" si="19"/>
        <v>0.625</v>
      </c>
      <c r="AG403" s="5">
        <f t="shared" si="20"/>
        <v>0.64583333333333337</v>
      </c>
    </row>
    <row r="404" spans="1:33" x14ac:dyDescent="0.25">
      <c r="A404" s="1">
        <v>45567</v>
      </c>
      <c r="B404">
        <v>924</v>
      </c>
      <c r="C404" t="s">
        <v>43</v>
      </c>
      <c r="D404" t="s">
        <v>180</v>
      </c>
      <c r="E404">
        <v>606470</v>
      </c>
      <c r="F404" s="2">
        <v>0.64583333333333337</v>
      </c>
      <c r="G404" t="s">
        <v>6</v>
      </c>
      <c r="H404" s="2">
        <v>0.66666666666666663</v>
      </c>
      <c r="I404">
        <v>806</v>
      </c>
      <c r="J404">
        <v>0</v>
      </c>
      <c r="K404">
        <v>0</v>
      </c>
      <c r="L404">
        <v>12</v>
      </c>
      <c r="M404">
        <v>0</v>
      </c>
      <c r="N404">
        <v>0</v>
      </c>
      <c r="O404">
        <v>0</v>
      </c>
      <c r="P404">
        <v>230</v>
      </c>
      <c r="Q404">
        <v>64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3</v>
      </c>
      <c r="AC404">
        <v>3</v>
      </c>
      <c r="AD404" s="3" t="str">
        <f t="shared" si="18"/>
        <v>S2S NO PREMIUM</v>
      </c>
      <c r="AE404" s="3" t="str">
        <f>VLOOKUP(E404,'[1]Nómina Agentes'!$C:$D,2,0)</f>
        <v>ALMIRON LUCIANA AYELEN</v>
      </c>
      <c r="AF404" s="5">
        <f t="shared" si="19"/>
        <v>0.64583333333333337</v>
      </c>
      <c r="AG404" s="5">
        <f t="shared" si="20"/>
        <v>0.66666666666666663</v>
      </c>
    </row>
    <row r="405" spans="1:33" x14ac:dyDescent="0.25">
      <c r="A405" s="1">
        <v>45567</v>
      </c>
      <c r="B405">
        <v>924</v>
      </c>
      <c r="C405" t="s">
        <v>43</v>
      </c>
      <c r="D405" t="s">
        <v>180</v>
      </c>
      <c r="E405">
        <v>606470</v>
      </c>
      <c r="F405" s="2">
        <v>0.6875</v>
      </c>
      <c r="G405" t="s">
        <v>6</v>
      </c>
      <c r="H405" s="2">
        <v>0.70833333333333337</v>
      </c>
      <c r="I405">
        <v>838</v>
      </c>
      <c r="J405">
        <v>6</v>
      </c>
      <c r="K405">
        <v>0</v>
      </c>
      <c r="L405">
        <v>16</v>
      </c>
      <c r="M405">
        <v>0</v>
      </c>
      <c r="N405">
        <v>0</v>
      </c>
      <c r="O405">
        <v>0</v>
      </c>
      <c r="P405">
        <v>213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4</v>
      </c>
      <c r="AC405">
        <v>4</v>
      </c>
      <c r="AD405" s="3" t="str">
        <f t="shared" si="18"/>
        <v>S2S NO PREMIUM</v>
      </c>
      <c r="AE405" s="3" t="str">
        <f>VLOOKUP(E405,'[1]Nómina Agentes'!$C:$D,2,0)</f>
        <v>ALMIRON LUCIANA AYELEN</v>
      </c>
      <c r="AF405" s="5">
        <f t="shared" si="19"/>
        <v>0.6875</v>
      </c>
      <c r="AG405" s="5">
        <f t="shared" si="20"/>
        <v>0.70833333333333337</v>
      </c>
    </row>
    <row r="406" spans="1:33" x14ac:dyDescent="0.25">
      <c r="A406" s="1">
        <v>45567</v>
      </c>
      <c r="B406">
        <v>924</v>
      </c>
      <c r="C406" t="s">
        <v>43</v>
      </c>
      <c r="D406" t="s">
        <v>180</v>
      </c>
      <c r="E406">
        <v>606470</v>
      </c>
      <c r="F406" s="2">
        <v>0.77083333333333337</v>
      </c>
      <c r="G406" t="s">
        <v>6</v>
      </c>
      <c r="H406" s="2">
        <v>0.79166666666666663</v>
      </c>
      <c r="I406">
        <v>864</v>
      </c>
      <c r="J406">
        <v>70</v>
      </c>
      <c r="K406">
        <v>0</v>
      </c>
      <c r="L406">
        <v>12</v>
      </c>
      <c r="M406">
        <v>0</v>
      </c>
      <c r="N406">
        <v>0</v>
      </c>
      <c r="O406">
        <v>0</v>
      </c>
      <c r="P406">
        <v>201</v>
      </c>
      <c r="Q406">
        <v>34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2</v>
      </c>
      <c r="AC406">
        <v>2</v>
      </c>
      <c r="AD406" s="3" t="str">
        <f t="shared" si="18"/>
        <v>S2S NO PREMIUM</v>
      </c>
      <c r="AE406" s="3" t="str">
        <f>VLOOKUP(E406,'[1]Nómina Agentes'!$C:$D,2,0)</f>
        <v>ALMIRON LUCIANA AYELEN</v>
      </c>
      <c r="AF406" s="5">
        <f t="shared" si="19"/>
        <v>0.77083333333333337</v>
      </c>
      <c r="AG406" s="5">
        <f t="shared" si="20"/>
        <v>0.79166666666666663</v>
      </c>
    </row>
    <row r="407" spans="1:33" x14ac:dyDescent="0.25">
      <c r="A407" s="1">
        <v>45567</v>
      </c>
      <c r="B407">
        <v>924</v>
      </c>
      <c r="C407" t="s">
        <v>43</v>
      </c>
      <c r="D407" t="s">
        <v>180</v>
      </c>
      <c r="E407">
        <v>606470</v>
      </c>
      <c r="F407" s="2">
        <v>0.79166666666666663</v>
      </c>
      <c r="G407" t="s">
        <v>6</v>
      </c>
      <c r="H407" s="2">
        <v>0.8125</v>
      </c>
      <c r="I407">
        <v>884</v>
      </c>
      <c r="J407">
        <v>50</v>
      </c>
      <c r="K407">
        <v>0</v>
      </c>
      <c r="L407">
        <v>11</v>
      </c>
      <c r="M407">
        <v>0</v>
      </c>
      <c r="N407">
        <v>0</v>
      </c>
      <c r="O407">
        <v>0</v>
      </c>
      <c r="P407">
        <v>324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3</v>
      </c>
      <c r="AC407">
        <v>2</v>
      </c>
      <c r="AD407" s="3" t="str">
        <f t="shared" si="18"/>
        <v>S2S NO PREMIUM</v>
      </c>
      <c r="AE407" s="3" t="str">
        <f>VLOOKUP(E407,'[1]Nómina Agentes'!$C:$D,2,0)</f>
        <v>ALMIRON LUCIANA AYELEN</v>
      </c>
      <c r="AF407" s="5">
        <f t="shared" si="19"/>
        <v>0.79166666666666663</v>
      </c>
      <c r="AG407" s="5">
        <f t="shared" si="20"/>
        <v>0.8125</v>
      </c>
    </row>
    <row r="408" spans="1:33" x14ac:dyDescent="0.25">
      <c r="A408" s="1">
        <v>45567</v>
      </c>
      <c r="B408">
        <v>924</v>
      </c>
      <c r="C408" t="s">
        <v>43</v>
      </c>
      <c r="D408" t="s">
        <v>180</v>
      </c>
      <c r="E408">
        <v>606470</v>
      </c>
      <c r="F408" s="2">
        <v>0.72916666666666663</v>
      </c>
      <c r="G408" t="s">
        <v>6</v>
      </c>
      <c r="H408" s="2">
        <v>0.75</v>
      </c>
      <c r="I408">
        <v>918</v>
      </c>
      <c r="J408">
        <v>93</v>
      </c>
      <c r="K408">
        <v>0</v>
      </c>
      <c r="L408">
        <v>16</v>
      </c>
      <c r="M408">
        <v>0</v>
      </c>
      <c r="N408">
        <v>0</v>
      </c>
      <c r="O408">
        <v>0</v>
      </c>
      <c r="P408">
        <v>544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4</v>
      </c>
      <c r="AC408">
        <v>3</v>
      </c>
      <c r="AD408" s="3" t="str">
        <f t="shared" si="18"/>
        <v>S2S NO PREMIUM</v>
      </c>
      <c r="AE408" s="3" t="str">
        <f>VLOOKUP(E408,'[1]Nómina Agentes'!$C:$D,2,0)</f>
        <v>ALMIRON LUCIANA AYELEN</v>
      </c>
      <c r="AF408" s="5">
        <f t="shared" si="19"/>
        <v>0.72916666666666663</v>
      </c>
      <c r="AG408" s="5">
        <f t="shared" si="20"/>
        <v>0.75</v>
      </c>
    </row>
    <row r="409" spans="1:33" x14ac:dyDescent="0.25">
      <c r="A409" s="1">
        <v>45567</v>
      </c>
      <c r="B409">
        <v>924</v>
      </c>
      <c r="C409" t="s">
        <v>43</v>
      </c>
      <c r="D409" t="s">
        <v>180</v>
      </c>
      <c r="E409">
        <v>606470</v>
      </c>
      <c r="F409" s="2">
        <v>0.66666666666666663</v>
      </c>
      <c r="G409" t="s">
        <v>6</v>
      </c>
      <c r="H409" s="2">
        <v>0.6875</v>
      </c>
      <c r="I409">
        <v>1064</v>
      </c>
      <c r="J409">
        <v>127</v>
      </c>
      <c r="K409">
        <v>0</v>
      </c>
      <c r="L409">
        <v>8</v>
      </c>
      <c r="M409">
        <v>0</v>
      </c>
      <c r="N409">
        <v>0</v>
      </c>
      <c r="O409">
        <v>0</v>
      </c>
      <c r="P409">
        <v>724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2</v>
      </c>
      <c r="AC409">
        <v>2</v>
      </c>
      <c r="AD409" s="3" t="str">
        <f t="shared" si="18"/>
        <v>S2S NO PREMIUM</v>
      </c>
      <c r="AE409" s="3" t="str">
        <f>VLOOKUP(E409,'[1]Nómina Agentes'!$C:$D,2,0)</f>
        <v>ALMIRON LUCIANA AYELEN</v>
      </c>
      <c r="AF409" s="5">
        <f t="shared" si="19"/>
        <v>0.66666666666666663</v>
      </c>
      <c r="AG409" s="5">
        <f t="shared" si="20"/>
        <v>0.6875</v>
      </c>
    </row>
    <row r="410" spans="1:33" x14ac:dyDescent="0.25">
      <c r="A410" s="1">
        <v>45567</v>
      </c>
      <c r="B410">
        <v>924</v>
      </c>
      <c r="C410" t="s">
        <v>43</v>
      </c>
      <c r="D410" t="s">
        <v>129</v>
      </c>
      <c r="E410">
        <v>606475</v>
      </c>
      <c r="F410" s="2">
        <v>0.60416666666666663</v>
      </c>
      <c r="G410" t="s">
        <v>6</v>
      </c>
      <c r="H410" s="2">
        <v>0.625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1</v>
      </c>
      <c r="AC410">
        <v>1</v>
      </c>
      <c r="AD410" s="3" t="str">
        <f t="shared" si="18"/>
        <v>S2S NO PREMIUM</v>
      </c>
      <c r="AE410" s="3" t="str">
        <f>VLOOKUP(E410,'[1]Nómina Agentes'!$C:$D,2,0)</f>
        <v>VACA OROZCO ANDREA</v>
      </c>
      <c r="AF410" s="5">
        <f t="shared" si="19"/>
        <v>0.60416666666666663</v>
      </c>
      <c r="AG410" s="5">
        <f t="shared" si="20"/>
        <v>0.625</v>
      </c>
    </row>
    <row r="411" spans="1:33" x14ac:dyDescent="0.25">
      <c r="A411" s="1">
        <v>45567</v>
      </c>
      <c r="B411">
        <v>924</v>
      </c>
      <c r="C411" t="s">
        <v>43</v>
      </c>
      <c r="D411" t="s">
        <v>129</v>
      </c>
      <c r="E411">
        <v>606475</v>
      </c>
      <c r="F411" s="2">
        <v>0.66666666666666663</v>
      </c>
      <c r="G411" t="s">
        <v>6</v>
      </c>
      <c r="H411" s="2">
        <v>0.6875</v>
      </c>
      <c r="I411">
        <v>85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2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1</v>
      </c>
      <c r="AC411">
        <v>0</v>
      </c>
      <c r="AD411" s="3" t="str">
        <f t="shared" si="18"/>
        <v>S2S NO PREMIUM</v>
      </c>
      <c r="AE411" s="3" t="str">
        <f>VLOOKUP(E411,'[1]Nómina Agentes'!$C:$D,2,0)</f>
        <v>VACA OROZCO ANDREA</v>
      </c>
      <c r="AF411" s="5">
        <f t="shared" si="19"/>
        <v>0.66666666666666663</v>
      </c>
      <c r="AG411" s="5">
        <f t="shared" si="20"/>
        <v>0.6875</v>
      </c>
    </row>
    <row r="412" spans="1:33" x14ac:dyDescent="0.25">
      <c r="A412" s="1">
        <v>45567</v>
      </c>
      <c r="B412">
        <v>924</v>
      </c>
      <c r="C412" t="s">
        <v>43</v>
      </c>
      <c r="D412" t="s">
        <v>129</v>
      </c>
      <c r="E412">
        <v>606475</v>
      </c>
      <c r="F412" s="2">
        <v>0.625</v>
      </c>
      <c r="G412" t="s">
        <v>6</v>
      </c>
      <c r="H412" s="2">
        <v>0.64583333333333337</v>
      </c>
      <c r="I412">
        <v>679</v>
      </c>
      <c r="J412">
        <v>0</v>
      </c>
      <c r="K412">
        <v>0</v>
      </c>
      <c r="L412">
        <v>14</v>
      </c>
      <c r="M412">
        <v>0</v>
      </c>
      <c r="N412">
        <v>0</v>
      </c>
      <c r="O412">
        <v>0</v>
      </c>
      <c r="P412">
        <v>18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2</v>
      </c>
      <c r="AC412">
        <v>2</v>
      </c>
      <c r="AD412" s="3" t="str">
        <f t="shared" si="18"/>
        <v>S2S NO PREMIUM</v>
      </c>
      <c r="AE412" s="3" t="str">
        <f>VLOOKUP(E412,'[1]Nómina Agentes'!$C:$D,2,0)</f>
        <v>VACA OROZCO ANDREA</v>
      </c>
      <c r="AF412" s="5">
        <f t="shared" si="19"/>
        <v>0.625</v>
      </c>
      <c r="AG412" s="5">
        <f t="shared" si="20"/>
        <v>0.64583333333333337</v>
      </c>
    </row>
    <row r="413" spans="1:33" x14ac:dyDescent="0.25">
      <c r="A413" s="1">
        <v>45567</v>
      </c>
      <c r="B413">
        <v>924</v>
      </c>
      <c r="C413" t="s">
        <v>43</v>
      </c>
      <c r="D413" t="s">
        <v>129</v>
      </c>
      <c r="E413">
        <v>606475</v>
      </c>
      <c r="F413" s="2">
        <v>0.58333333333333337</v>
      </c>
      <c r="G413" t="s">
        <v>6</v>
      </c>
      <c r="H413" s="2">
        <v>0.60416666666666663</v>
      </c>
      <c r="I413">
        <v>922</v>
      </c>
      <c r="J413">
        <v>265</v>
      </c>
      <c r="K413">
        <v>0</v>
      </c>
      <c r="L413">
        <v>18</v>
      </c>
      <c r="M413">
        <v>0</v>
      </c>
      <c r="N413">
        <v>0</v>
      </c>
      <c r="O413">
        <v>0</v>
      </c>
      <c r="P413">
        <v>120</v>
      </c>
      <c r="Q413">
        <v>81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3</v>
      </c>
      <c r="AC413">
        <v>1</v>
      </c>
      <c r="AD413" s="3" t="str">
        <f t="shared" si="18"/>
        <v>S2S NO PREMIUM</v>
      </c>
      <c r="AE413" s="3" t="str">
        <f>VLOOKUP(E413,'[1]Nómina Agentes'!$C:$D,2,0)</f>
        <v>VACA OROZCO ANDREA</v>
      </c>
      <c r="AF413" s="5">
        <f t="shared" si="19"/>
        <v>0.58333333333333337</v>
      </c>
      <c r="AG413" s="5">
        <f t="shared" si="20"/>
        <v>0.60416666666666663</v>
      </c>
    </row>
    <row r="414" spans="1:33" x14ac:dyDescent="0.25">
      <c r="A414" s="1">
        <v>45567</v>
      </c>
      <c r="B414">
        <v>924</v>
      </c>
      <c r="C414" t="s">
        <v>43</v>
      </c>
      <c r="D414" t="s">
        <v>129</v>
      </c>
      <c r="E414">
        <v>606475</v>
      </c>
      <c r="F414" s="2">
        <v>0.64583333333333337</v>
      </c>
      <c r="G414" t="s">
        <v>6</v>
      </c>
      <c r="H414" s="2">
        <v>0.66666666666666663</v>
      </c>
      <c r="I414">
        <v>1059</v>
      </c>
      <c r="J414">
        <v>0</v>
      </c>
      <c r="K414">
        <v>0</v>
      </c>
      <c r="L414">
        <v>21</v>
      </c>
      <c r="M414">
        <v>0</v>
      </c>
      <c r="N414">
        <v>0</v>
      </c>
      <c r="O414">
        <v>0</v>
      </c>
      <c r="P414">
        <v>143</v>
      </c>
      <c r="Q414">
        <v>134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5</v>
      </c>
      <c r="AC414">
        <v>5</v>
      </c>
      <c r="AD414" s="3" t="str">
        <f t="shared" si="18"/>
        <v>S2S NO PREMIUM</v>
      </c>
      <c r="AE414" s="3" t="str">
        <f>VLOOKUP(E414,'[1]Nómina Agentes'!$C:$D,2,0)</f>
        <v>VACA OROZCO ANDREA</v>
      </c>
      <c r="AF414" s="5">
        <f t="shared" si="19"/>
        <v>0.64583333333333337</v>
      </c>
      <c r="AG414" s="5">
        <f t="shared" si="20"/>
        <v>0.66666666666666663</v>
      </c>
    </row>
    <row r="415" spans="1:33" x14ac:dyDescent="0.25">
      <c r="A415" s="1">
        <v>45567</v>
      </c>
      <c r="B415">
        <v>924</v>
      </c>
      <c r="C415" t="s">
        <v>43</v>
      </c>
      <c r="D415" t="s">
        <v>88</v>
      </c>
      <c r="E415">
        <v>606478</v>
      </c>
      <c r="F415" s="2">
        <v>0.58333333333333337</v>
      </c>
      <c r="G415" t="s">
        <v>6</v>
      </c>
      <c r="H415" s="2">
        <v>0.60416666666666663</v>
      </c>
      <c r="I415">
        <v>528</v>
      </c>
      <c r="J415">
        <v>0</v>
      </c>
      <c r="K415">
        <v>0</v>
      </c>
      <c r="L415">
        <v>18</v>
      </c>
      <c r="M415">
        <v>0</v>
      </c>
      <c r="N415">
        <v>0</v>
      </c>
      <c r="O415">
        <v>0</v>
      </c>
      <c r="P415">
        <v>6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4</v>
      </c>
      <c r="AC415">
        <v>1</v>
      </c>
      <c r="AD415" s="3" t="str">
        <f t="shared" si="18"/>
        <v>S2S NO PREMIUM</v>
      </c>
      <c r="AE415" s="3" t="str">
        <f>VLOOKUP(E415,'[1]Nómina Agentes'!$C:$D,2,0)</f>
        <v>QUISBERT ARUATA ANDREW ROBERT</v>
      </c>
      <c r="AF415" s="5">
        <f t="shared" si="19"/>
        <v>0.58333333333333337</v>
      </c>
      <c r="AG415" s="5">
        <f t="shared" si="20"/>
        <v>0.60416666666666663</v>
      </c>
    </row>
    <row r="416" spans="1:33" x14ac:dyDescent="0.25">
      <c r="A416" s="1">
        <v>45567</v>
      </c>
      <c r="B416">
        <v>924</v>
      </c>
      <c r="C416" t="s">
        <v>43</v>
      </c>
      <c r="D416" t="s">
        <v>88</v>
      </c>
      <c r="E416">
        <v>606478</v>
      </c>
      <c r="F416" s="2">
        <v>0.60416666666666663</v>
      </c>
      <c r="G416" t="s">
        <v>6</v>
      </c>
      <c r="H416" s="2">
        <v>0.625</v>
      </c>
      <c r="I416">
        <v>1255</v>
      </c>
      <c r="J416">
        <v>40</v>
      </c>
      <c r="K416">
        <v>0</v>
      </c>
      <c r="L416">
        <v>5</v>
      </c>
      <c r="M416">
        <v>0</v>
      </c>
      <c r="N416">
        <v>0</v>
      </c>
      <c r="O416">
        <v>0</v>
      </c>
      <c r="P416">
        <v>1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2</v>
      </c>
      <c r="AC416">
        <v>2</v>
      </c>
      <c r="AD416" s="3" t="str">
        <f t="shared" si="18"/>
        <v>S2S NO PREMIUM</v>
      </c>
      <c r="AE416" s="3" t="str">
        <f>VLOOKUP(E416,'[1]Nómina Agentes'!$C:$D,2,0)</f>
        <v>QUISBERT ARUATA ANDREW ROBERT</v>
      </c>
      <c r="AF416" s="5">
        <f t="shared" si="19"/>
        <v>0.60416666666666663</v>
      </c>
      <c r="AG416" s="5">
        <f t="shared" si="20"/>
        <v>0.625</v>
      </c>
    </row>
    <row r="417" spans="1:33" x14ac:dyDescent="0.25">
      <c r="A417" s="1">
        <v>45567</v>
      </c>
      <c r="B417">
        <v>924</v>
      </c>
      <c r="C417" t="s">
        <v>43</v>
      </c>
      <c r="D417" t="s">
        <v>74</v>
      </c>
      <c r="E417">
        <v>606481</v>
      </c>
      <c r="F417" s="2">
        <v>0.58333333333333337</v>
      </c>
      <c r="G417" t="s">
        <v>6</v>
      </c>
      <c r="H417" s="2">
        <v>0.60416666666666663</v>
      </c>
      <c r="I417">
        <v>822</v>
      </c>
      <c r="J417">
        <v>58</v>
      </c>
      <c r="K417">
        <v>0</v>
      </c>
      <c r="L417">
        <v>16</v>
      </c>
      <c r="M417">
        <v>0</v>
      </c>
      <c r="N417">
        <v>0</v>
      </c>
      <c r="O417">
        <v>0</v>
      </c>
      <c r="P417">
        <v>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3</v>
      </c>
      <c r="AC417">
        <v>2</v>
      </c>
      <c r="AD417" s="3" t="str">
        <f t="shared" si="18"/>
        <v>S2S NO PREMIUM</v>
      </c>
      <c r="AE417" s="3" t="str">
        <f>VLOOKUP(E417,'[1]Nómina Agentes'!$C:$D,2,0)</f>
        <v>GUTIERREZ BRISA CRISTAL</v>
      </c>
      <c r="AF417" s="5">
        <f t="shared" si="19"/>
        <v>0.58333333333333337</v>
      </c>
      <c r="AG417" s="5">
        <f t="shared" si="20"/>
        <v>0.60416666666666663</v>
      </c>
    </row>
    <row r="418" spans="1:33" x14ac:dyDescent="0.25">
      <c r="A418" s="1">
        <v>45567</v>
      </c>
      <c r="B418">
        <v>924</v>
      </c>
      <c r="C418" t="s">
        <v>43</v>
      </c>
      <c r="D418" t="s">
        <v>74</v>
      </c>
      <c r="E418">
        <v>606481</v>
      </c>
      <c r="F418" s="2">
        <v>0.60416666666666663</v>
      </c>
      <c r="G418" t="s">
        <v>6</v>
      </c>
      <c r="H418" s="2">
        <v>0.625</v>
      </c>
      <c r="I418">
        <v>889</v>
      </c>
      <c r="J418">
        <v>24</v>
      </c>
      <c r="K418">
        <v>0</v>
      </c>
      <c r="L418">
        <v>10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3</v>
      </c>
      <c r="AC418">
        <v>1</v>
      </c>
      <c r="AD418" s="3" t="str">
        <f t="shared" si="18"/>
        <v>S2S NO PREMIUM</v>
      </c>
      <c r="AE418" s="3" t="str">
        <f>VLOOKUP(E418,'[1]Nómina Agentes'!$C:$D,2,0)</f>
        <v>GUTIERREZ BRISA CRISTAL</v>
      </c>
      <c r="AF418" s="5">
        <f t="shared" si="19"/>
        <v>0.60416666666666663</v>
      </c>
      <c r="AG418" s="5">
        <f t="shared" si="20"/>
        <v>0.625</v>
      </c>
    </row>
    <row r="419" spans="1:33" x14ac:dyDescent="0.25">
      <c r="A419" s="1">
        <v>45567</v>
      </c>
      <c r="B419">
        <v>924</v>
      </c>
      <c r="C419" t="s">
        <v>43</v>
      </c>
      <c r="D419" t="s">
        <v>89</v>
      </c>
      <c r="E419">
        <v>606488</v>
      </c>
      <c r="F419" s="2">
        <v>0.58333333333333337</v>
      </c>
      <c r="G419" t="s">
        <v>6</v>
      </c>
      <c r="H419" s="2">
        <v>0.60416666666666663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 s="3" t="str">
        <f t="shared" si="18"/>
        <v>S2S NO PREMIUM</v>
      </c>
      <c r="AE419" s="3" t="str">
        <f>VLOOKUP(E419,'[1]Nómina Agentes'!$C:$D,2,0)</f>
        <v>GIAVINO ALAN EMMANUEL</v>
      </c>
      <c r="AF419" s="5">
        <f t="shared" si="19"/>
        <v>0.58333333333333337</v>
      </c>
      <c r="AG419" s="5">
        <f t="shared" si="20"/>
        <v>0.60416666666666663</v>
      </c>
    </row>
    <row r="420" spans="1:33" x14ac:dyDescent="0.25">
      <c r="A420" s="1">
        <v>45567</v>
      </c>
      <c r="B420">
        <v>924</v>
      </c>
      <c r="C420" t="s">
        <v>43</v>
      </c>
      <c r="D420" t="s">
        <v>89</v>
      </c>
      <c r="E420">
        <v>606488</v>
      </c>
      <c r="F420" s="2">
        <v>0.60416666666666663</v>
      </c>
      <c r="G420" t="s">
        <v>6</v>
      </c>
      <c r="H420" s="2">
        <v>0.625</v>
      </c>
      <c r="I420">
        <v>897</v>
      </c>
      <c r="J420">
        <v>132</v>
      </c>
      <c r="K420">
        <v>0</v>
      </c>
      <c r="L420">
        <v>8</v>
      </c>
      <c r="M420">
        <v>0</v>
      </c>
      <c r="N420">
        <v>0</v>
      </c>
      <c r="O420">
        <v>0</v>
      </c>
      <c r="P420">
        <v>2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2</v>
      </c>
      <c r="AC420">
        <v>2</v>
      </c>
      <c r="AD420" s="3" t="str">
        <f t="shared" si="18"/>
        <v>S2S NO PREMIUM</v>
      </c>
      <c r="AE420" s="3" t="str">
        <f>VLOOKUP(E420,'[1]Nómina Agentes'!$C:$D,2,0)</f>
        <v>GIAVINO ALAN EMMANUEL</v>
      </c>
      <c r="AF420" s="5">
        <f t="shared" si="19"/>
        <v>0.60416666666666663</v>
      </c>
      <c r="AG420" s="5">
        <f t="shared" si="20"/>
        <v>0.625</v>
      </c>
    </row>
    <row r="421" spans="1:33" x14ac:dyDescent="0.25">
      <c r="A421" s="1">
        <v>45567</v>
      </c>
      <c r="B421">
        <v>924</v>
      </c>
      <c r="C421" t="s">
        <v>43</v>
      </c>
      <c r="D421" t="s">
        <v>181</v>
      </c>
      <c r="E421">
        <v>606492</v>
      </c>
      <c r="F421" s="2">
        <v>0.72916666666666663</v>
      </c>
      <c r="G421" t="s">
        <v>6</v>
      </c>
      <c r="H421" s="2">
        <v>0.75</v>
      </c>
      <c r="I421">
        <v>8</v>
      </c>
      <c r="J421">
        <v>0</v>
      </c>
      <c r="K421">
        <v>0</v>
      </c>
      <c r="L421">
        <v>7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 s="3" t="str">
        <f t="shared" si="18"/>
        <v>S2S NO PREMIUM</v>
      </c>
      <c r="AE421" s="3" t="str">
        <f>VLOOKUP(E421,'[1]Nómina Agentes'!$C:$D,2,0)</f>
        <v>SANSO NOEMI</v>
      </c>
      <c r="AF421" s="5">
        <f t="shared" si="19"/>
        <v>0.72916666666666663</v>
      </c>
      <c r="AG421" s="5">
        <f t="shared" si="20"/>
        <v>0.75</v>
      </c>
    </row>
    <row r="422" spans="1:33" x14ac:dyDescent="0.25">
      <c r="A422" s="1">
        <v>45567</v>
      </c>
      <c r="B422">
        <v>924</v>
      </c>
      <c r="C422" t="s">
        <v>43</v>
      </c>
      <c r="D422" t="s">
        <v>181</v>
      </c>
      <c r="E422">
        <v>606492</v>
      </c>
      <c r="F422" s="2">
        <v>0.8125</v>
      </c>
      <c r="G422" t="s">
        <v>6</v>
      </c>
      <c r="H422" s="2">
        <v>0.83333333333333337</v>
      </c>
      <c r="I422">
        <v>661</v>
      </c>
      <c r="J422">
        <v>0</v>
      </c>
      <c r="K422">
        <v>0</v>
      </c>
      <c r="L422">
        <v>17</v>
      </c>
      <c r="M422">
        <v>0</v>
      </c>
      <c r="N422">
        <v>0</v>
      </c>
      <c r="O422">
        <v>0</v>
      </c>
      <c r="P422">
        <v>3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3</v>
      </c>
      <c r="AC422">
        <v>3</v>
      </c>
      <c r="AD422" s="3" t="str">
        <f t="shared" si="18"/>
        <v>S2S NO PREMIUM</v>
      </c>
      <c r="AE422" s="3" t="str">
        <f>VLOOKUP(E422,'[1]Nómina Agentes'!$C:$D,2,0)</f>
        <v>SANSO NOEMI</v>
      </c>
      <c r="AF422" s="5">
        <f t="shared" si="19"/>
        <v>0.8125</v>
      </c>
      <c r="AG422" s="5">
        <f t="shared" si="20"/>
        <v>0.83333333333333337</v>
      </c>
    </row>
    <row r="423" spans="1:33" x14ac:dyDescent="0.25">
      <c r="A423" s="1">
        <v>45567</v>
      </c>
      <c r="B423">
        <v>924</v>
      </c>
      <c r="C423" t="s">
        <v>43</v>
      </c>
      <c r="D423" t="s">
        <v>181</v>
      </c>
      <c r="E423">
        <v>606492</v>
      </c>
      <c r="F423" s="2">
        <v>0.77083333333333337</v>
      </c>
      <c r="G423" t="s">
        <v>6</v>
      </c>
      <c r="H423" s="2">
        <v>0.79166666666666663</v>
      </c>
      <c r="I423">
        <v>1095</v>
      </c>
      <c r="J423">
        <v>0</v>
      </c>
      <c r="K423">
        <v>0</v>
      </c>
      <c r="L423">
        <v>8</v>
      </c>
      <c r="M423">
        <v>0</v>
      </c>
      <c r="N423">
        <v>0</v>
      </c>
      <c r="O423">
        <v>0</v>
      </c>
      <c r="P423">
        <v>18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2</v>
      </c>
      <c r="AC423">
        <v>2</v>
      </c>
      <c r="AD423" s="3" t="str">
        <f t="shared" si="18"/>
        <v>S2S NO PREMIUM</v>
      </c>
      <c r="AE423" s="3" t="str">
        <f>VLOOKUP(E423,'[1]Nómina Agentes'!$C:$D,2,0)</f>
        <v>SANSO NOEMI</v>
      </c>
      <c r="AF423" s="5">
        <f t="shared" si="19"/>
        <v>0.77083333333333337</v>
      </c>
      <c r="AG423" s="5">
        <f t="shared" si="20"/>
        <v>0.79166666666666663</v>
      </c>
    </row>
    <row r="424" spans="1:33" x14ac:dyDescent="0.25">
      <c r="A424" s="1">
        <v>45567</v>
      </c>
      <c r="B424">
        <v>924</v>
      </c>
      <c r="C424" t="s">
        <v>43</v>
      </c>
      <c r="D424" t="s">
        <v>181</v>
      </c>
      <c r="E424">
        <v>606492</v>
      </c>
      <c r="F424" s="2">
        <v>0.79166666666666663</v>
      </c>
      <c r="G424" t="s">
        <v>6</v>
      </c>
      <c r="H424" s="2">
        <v>0.8125</v>
      </c>
      <c r="I424">
        <v>1211</v>
      </c>
      <c r="J424">
        <v>18</v>
      </c>
      <c r="K424">
        <v>0</v>
      </c>
      <c r="L424">
        <v>8</v>
      </c>
      <c r="M424">
        <v>0</v>
      </c>
      <c r="N424">
        <v>0</v>
      </c>
      <c r="O424">
        <v>0</v>
      </c>
      <c r="P424">
        <v>49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3</v>
      </c>
      <c r="AC424">
        <v>2</v>
      </c>
      <c r="AD424" s="3" t="str">
        <f t="shared" si="18"/>
        <v>S2S NO PREMIUM</v>
      </c>
      <c r="AE424" s="3" t="str">
        <f>VLOOKUP(E424,'[1]Nómina Agentes'!$C:$D,2,0)</f>
        <v>SANSO NOEMI</v>
      </c>
      <c r="AF424" s="5">
        <f t="shared" si="19"/>
        <v>0.79166666666666663</v>
      </c>
      <c r="AG424" s="5">
        <f t="shared" si="20"/>
        <v>0.8125</v>
      </c>
    </row>
    <row r="425" spans="1:33" x14ac:dyDescent="0.25">
      <c r="A425" s="1">
        <v>45567</v>
      </c>
      <c r="B425">
        <v>924</v>
      </c>
      <c r="C425" t="s">
        <v>43</v>
      </c>
      <c r="D425" t="s">
        <v>181</v>
      </c>
      <c r="E425">
        <v>606492</v>
      </c>
      <c r="F425" s="2">
        <v>0.75</v>
      </c>
      <c r="G425" t="s">
        <v>6</v>
      </c>
      <c r="H425" s="2">
        <v>0.77083333333333337</v>
      </c>
      <c r="I425">
        <v>1575</v>
      </c>
      <c r="J425">
        <v>0</v>
      </c>
      <c r="K425">
        <v>0</v>
      </c>
      <c r="L425">
        <v>21</v>
      </c>
      <c r="M425">
        <v>0</v>
      </c>
      <c r="N425">
        <v>0</v>
      </c>
      <c r="O425">
        <v>0</v>
      </c>
      <c r="P425">
        <v>55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5</v>
      </c>
      <c r="AC425">
        <v>4</v>
      </c>
      <c r="AD425" s="3" t="str">
        <f t="shared" si="18"/>
        <v>S2S NO PREMIUM</v>
      </c>
      <c r="AE425" s="3" t="str">
        <f>VLOOKUP(E425,'[1]Nómina Agentes'!$C:$D,2,0)</f>
        <v>SANSO NOEMI</v>
      </c>
      <c r="AF425" s="5">
        <f t="shared" si="19"/>
        <v>0.75</v>
      </c>
      <c r="AG425" s="5">
        <f t="shared" si="20"/>
        <v>0.77083333333333337</v>
      </c>
    </row>
    <row r="426" spans="1:33" x14ac:dyDescent="0.25">
      <c r="A426" s="1">
        <v>45567</v>
      </c>
      <c r="B426">
        <v>925</v>
      </c>
      <c r="C426" t="s">
        <v>42</v>
      </c>
      <c r="D426" t="s">
        <v>90</v>
      </c>
      <c r="E426">
        <v>606498</v>
      </c>
      <c r="F426" s="2">
        <v>0.58333333333333337</v>
      </c>
      <c r="G426" t="s">
        <v>6</v>
      </c>
      <c r="H426" s="2">
        <v>0.60416666666666663</v>
      </c>
      <c r="I426">
        <v>240</v>
      </c>
      <c r="J426">
        <v>0</v>
      </c>
      <c r="K426">
        <v>0</v>
      </c>
      <c r="L426">
        <v>4</v>
      </c>
      <c r="M426">
        <v>0</v>
      </c>
      <c r="N426">
        <v>0</v>
      </c>
      <c r="O426">
        <v>0</v>
      </c>
      <c r="P426">
        <v>1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1</v>
      </c>
      <c r="AC426">
        <v>1</v>
      </c>
      <c r="AD426" s="3" t="str">
        <f t="shared" si="18"/>
        <v>S2S PREMIUM</v>
      </c>
      <c r="AE426" s="3" t="str">
        <f>VLOOKUP(E426,'[1]Nómina Agentes'!$C:$D,2,0)</f>
        <v>SANCHEZ ADRIAN ALEJANDRO</v>
      </c>
      <c r="AF426" s="5">
        <f t="shared" si="19"/>
        <v>0.58333333333333337</v>
      </c>
      <c r="AG426" s="5">
        <f t="shared" si="20"/>
        <v>0.60416666666666663</v>
      </c>
    </row>
    <row r="427" spans="1:33" x14ac:dyDescent="0.25">
      <c r="A427" s="1">
        <v>45567</v>
      </c>
      <c r="B427">
        <v>925</v>
      </c>
      <c r="C427" t="s">
        <v>42</v>
      </c>
      <c r="D427" t="s">
        <v>90</v>
      </c>
      <c r="E427">
        <v>606498</v>
      </c>
      <c r="F427" s="2">
        <v>0.60416666666666663</v>
      </c>
      <c r="G427" t="s">
        <v>6</v>
      </c>
      <c r="H427" s="2">
        <v>0.625</v>
      </c>
      <c r="I427">
        <v>855</v>
      </c>
      <c r="J427">
        <v>0</v>
      </c>
      <c r="K427">
        <v>0</v>
      </c>
      <c r="L427">
        <v>8</v>
      </c>
      <c r="M427">
        <v>0</v>
      </c>
      <c r="N427">
        <v>0</v>
      </c>
      <c r="O427">
        <v>0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2</v>
      </c>
      <c r="AC427">
        <v>1</v>
      </c>
      <c r="AD427" s="3" t="str">
        <f t="shared" si="18"/>
        <v>S2S PREMIUM</v>
      </c>
      <c r="AE427" s="3" t="str">
        <f>VLOOKUP(E427,'[1]Nómina Agentes'!$C:$D,2,0)</f>
        <v>SANCHEZ ADRIAN ALEJANDRO</v>
      </c>
      <c r="AF427" s="5">
        <f t="shared" si="19"/>
        <v>0.60416666666666663</v>
      </c>
      <c r="AG427" s="5">
        <f t="shared" si="20"/>
        <v>0.625</v>
      </c>
    </row>
    <row r="428" spans="1:33" x14ac:dyDescent="0.25">
      <c r="A428" s="1">
        <v>45567</v>
      </c>
      <c r="B428">
        <v>924</v>
      </c>
      <c r="C428" t="s">
        <v>43</v>
      </c>
      <c r="D428" t="s">
        <v>130</v>
      </c>
      <c r="E428">
        <v>606501</v>
      </c>
      <c r="F428" s="2">
        <v>0.60416666666666663</v>
      </c>
      <c r="G428" t="s">
        <v>6</v>
      </c>
      <c r="H428" s="2">
        <v>0.625</v>
      </c>
      <c r="I428">
        <v>733</v>
      </c>
      <c r="J428">
        <v>0</v>
      </c>
      <c r="K428">
        <v>0</v>
      </c>
      <c r="L428">
        <v>12</v>
      </c>
      <c r="M428">
        <v>0</v>
      </c>
      <c r="N428">
        <v>0</v>
      </c>
      <c r="O428">
        <v>0</v>
      </c>
      <c r="P428">
        <v>161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3</v>
      </c>
      <c r="AC428">
        <v>3</v>
      </c>
      <c r="AD428" s="3" t="str">
        <f t="shared" si="18"/>
        <v>S2S NO PREMIUM</v>
      </c>
      <c r="AE428" s="3" t="str">
        <f>VLOOKUP(E428,'[1]Nómina Agentes'!$C:$D,2,0)</f>
        <v>TOFFOLETTI SOTO EVELYN</v>
      </c>
      <c r="AF428" s="5">
        <f t="shared" si="19"/>
        <v>0.60416666666666663</v>
      </c>
      <c r="AG428" s="5">
        <f t="shared" si="20"/>
        <v>0.625</v>
      </c>
    </row>
    <row r="429" spans="1:33" x14ac:dyDescent="0.25">
      <c r="A429" s="1">
        <v>45567</v>
      </c>
      <c r="B429">
        <v>924</v>
      </c>
      <c r="C429" t="s">
        <v>43</v>
      </c>
      <c r="D429" t="s">
        <v>130</v>
      </c>
      <c r="E429">
        <v>606501</v>
      </c>
      <c r="F429" s="2">
        <v>0.58333333333333337</v>
      </c>
      <c r="G429" t="s">
        <v>6</v>
      </c>
      <c r="H429" s="2">
        <v>0.60416666666666663</v>
      </c>
      <c r="I429">
        <v>1063</v>
      </c>
      <c r="J429">
        <v>0</v>
      </c>
      <c r="K429">
        <v>0</v>
      </c>
      <c r="L429">
        <v>12</v>
      </c>
      <c r="M429">
        <v>0</v>
      </c>
      <c r="N429">
        <v>0</v>
      </c>
      <c r="O429">
        <v>0</v>
      </c>
      <c r="P429">
        <v>18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3</v>
      </c>
      <c r="AC429">
        <v>2</v>
      </c>
      <c r="AD429" s="3" t="str">
        <f t="shared" si="18"/>
        <v>S2S NO PREMIUM</v>
      </c>
      <c r="AE429" s="3" t="str">
        <f>VLOOKUP(E429,'[1]Nómina Agentes'!$C:$D,2,0)</f>
        <v>TOFFOLETTI SOTO EVELYN</v>
      </c>
      <c r="AF429" s="5">
        <f t="shared" si="19"/>
        <v>0.58333333333333337</v>
      </c>
      <c r="AG429" s="5">
        <f t="shared" si="20"/>
        <v>0.60416666666666663</v>
      </c>
    </row>
    <row r="430" spans="1:33" x14ac:dyDescent="0.25">
      <c r="A430" s="1">
        <v>45567</v>
      </c>
      <c r="B430">
        <v>924</v>
      </c>
      <c r="C430" t="s">
        <v>43</v>
      </c>
      <c r="D430" t="s">
        <v>182</v>
      </c>
      <c r="E430">
        <v>606507</v>
      </c>
      <c r="F430" s="2">
        <v>0.8125</v>
      </c>
      <c r="G430" t="s">
        <v>6</v>
      </c>
      <c r="H430" s="2">
        <v>0.83333333333333337</v>
      </c>
      <c r="I430">
        <v>757</v>
      </c>
      <c r="J430">
        <v>0</v>
      </c>
      <c r="K430">
        <v>0</v>
      </c>
      <c r="L430">
        <v>16</v>
      </c>
      <c r="M430">
        <v>0</v>
      </c>
      <c r="N430">
        <v>0</v>
      </c>
      <c r="O430">
        <v>0</v>
      </c>
      <c r="P430">
        <v>88</v>
      </c>
      <c r="Q430">
        <v>81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3</v>
      </c>
      <c r="AC430">
        <v>3</v>
      </c>
      <c r="AD430" s="3" t="str">
        <f t="shared" si="18"/>
        <v>S2S NO PREMIUM</v>
      </c>
      <c r="AE430" s="3" t="str">
        <f>VLOOKUP(E430,'[1]Nómina Agentes'!$C:$D,2,0)</f>
        <v>BARROJO FEDERICO ALEJANDRO</v>
      </c>
      <c r="AF430" s="5">
        <f t="shared" si="19"/>
        <v>0.8125</v>
      </c>
      <c r="AG430" s="5">
        <f t="shared" si="20"/>
        <v>0.83333333333333337</v>
      </c>
    </row>
    <row r="431" spans="1:33" x14ac:dyDescent="0.25">
      <c r="A431" s="1">
        <v>45567</v>
      </c>
      <c r="B431">
        <v>924</v>
      </c>
      <c r="C431" t="s">
        <v>43</v>
      </c>
      <c r="D431" t="s">
        <v>182</v>
      </c>
      <c r="E431">
        <v>606507</v>
      </c>
      <c r="F431" s="2">
        <v>0.79166666666666663</v>
      </c>
      <c r="G431" t="s">
        <v>6</v>
      </c>
      <c r="H431" s="2">
        <v>0.8125</v>
      </c>
      <c r="I431">
        <v>809</v>
      </c>
      <c r="J431">
        <v>0</v>
      </c>
      <c r="K431">
        <v>0</v>
      </c>
      <c r="L431">
        <v>7</v>
      </c>
      <c r="M431">
        <v>0</v>
      </c>
      <c r="N431">
        <v>0</v>
      </c>
      <c r="O431">
        <v>0</v>
      </c>
      <c r="P431">
        <v>149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2</v>
      </c>
      <c r="AC431">
        <v>2</v>
      </c>
      <c r="AD431" s="3" t="str">
        <f t="shared" si="18"/>
        <v>S2S NO PREMIUM</v>
      </c>
      <c r="AE431" s="3" t="str">
        <f>VLOOKUP(E431,'[1]Nómina Agentes'!$C:$D,2,0)</f>
        <v>BARROJO FEDERICO ALEJANDRO</v>
      </c>
      <c r="AF431" s="5">
        <f t="shared" si="19"/>
        <v>0.79166666666666663</v>
      </c>
      <c r="AG431" s="5">
        <f t="shared" si="20"/>
        <v>0.8125</v>
      </c>
    </row>
    <row r="432" spans="1:33" x14ac:dyDescent="0.25">
      <c r="A432" s="1">
        <v>45567</v>
      </c>
      <c r="B432">
        <v>924</v>
      </c>
      <c r="C432" t="s">
        <v>43</v>
      </c>
      <c r="D432" t="s">
        <v>182</v>
      </c>
      <c r="E432">
        <v>606507</v>
      </c>
      <c r="F432" s="2">
        <v>0.77083333333333337</v>
      </c>
      <c r="G432" t="s">
        <v>6</v>
      </c>
      <c r="H432" s="2">
        <v>0.79166666666666663</v>
      </c>
      <c r="I432">
        <v>919</v>
      </c>
      <c r="J432">
        <v>30</v>
      </c>
      <c r="K432">
        <v>0</v>
      </c>
      <c r="L432">
        <v>21</v>
      </c>
      <c r="M432">
        <v>0</v>
      </c>
      <c r="N432">
        <v>0</v>
      </c>
      <c r="O432">
        <v>0</v>
      </c>
      <c r="P432">
        <v>3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4</v>
      </c>
      <c r="AC432">
        <v>2</v>
      </c>
      <c r="AD432" s="3" t="str">
        <f t="shared" si="18"/>
        <v>S2S NO PREMIUM</v>
      </c>
      <c r="AE432" s="3" t="str">
        <f>VLOOKUP(E432,'[1]Nómina Agentes'!$C:$D,2,0)</f>
        <v>BARROJO FEDERICO ALEJANDRO</v>
      </c>
      <c r="AF432" s="5">
        <f t="shared" si="19"/>
        <v>0.77083333333333337</v>
      </c>
      <c r="AG432" s="5">
        <f t="shared" si="20"/>
        <v>0.79166666666666663</v>
      </c>
    </row>
    <row r="433" spans="1:33" x14ac:dyDescent="0.25">
      <c r="A433" s="1">
        <v>45567</v>
      </c>
      <c r="B433">
        <v>924</v>
      </c>
      <c r="C433" t="s">
        <v>43</v>
      </c>
      <c r="D433" t="s">
        <v>182</v>
      </c>
      <c r="E433">
        <v>606507</v>
      </c>
      <c r="F433" s="2">
        <v>0.75</v>
      </c>
      <c r="G433" t="s">
        <v>6</v>
      </c>
      <c r="H433" s="2">
        <v>0.77083333333333337</v>
      </c>
      <c r="I433">
        <v>1277</v>
      </c>
      <c r="J433">
        <v>38</v>
      </c>
      <c r="K433">
        <v>0</v>
      </c>
      <c r="L433">
        <v>34</v>
      </c>
      <c r="M433">
        <v>0</v>
      </c>
      <c r="N433">
        <v>0</v>
      </c>
      <c r="O433">
        <v>0</v>
      </c>
      <c r="P433">
        <v>47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8</v>
      </c>
      <c r="AC433">
        <v>5</v>
      </c>
      <c r="AD433" s="3" t="str">
        <f t="shared" si="18"/>
        <v>S2S NO PREMIUM</v>
      </c>
      <c r="AE433" s="3" t="str">
        <f>VLOOKUP(E433,'[1]Nómina Agentes'!$C:$D,2,0)</f>
        <v>BARROJO FEDERICO ALEJANDRO</v>
      </c>
      <c r="AF433" s="5">
        <f t="shared" si="19"/>
        <v>0.75</v>
      </c>
      <c r="AG433" s="5">
        <f t="shared" si="20"/>
        <v>0.77083333333333337</v>
      </c>
    </row>
    <row r="434" spans="1:33" x14ac:dyDescent="0.25">
      <c r="A434" s="1">
        <v>45567</v>
      </c>
      <c r="B434">
        <v>925</v>
      </c>
      <c r="C434" t="s">
        <v>42</v>
      </c>
      <c r="D434" t="s">
        <v>131</v>
      </c>
      <c r="E434">
        <v>606528</v>
      </c>
      <c r="F434" s="2">
        <v>0.8125</v>
      </c>
      <c r="G434" t="s">
        <v>6</v>
      </c>
      <c r="H434" s="2">
        <v>0.83333333333333337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 s="3" t="str">
        <f t="shared" si="18"/>
        <v>S2S PREMIUM</v>
      </c>
      <c r="AE434" s="3" t="str">
        <f>VLOOKUP(E434,'[1]Nómina Agentes'!$C:$D,2,0)</f>
        <v>CERVANTES LOURDES ABRIL</v>
      </c>
      <c r="AF434" s="5">
        <f t="shared" si="19"/>
        <v>0.8125</v>
      </c>
      <c r="AG434" s="5">
        <f t="shared" si="20"/>
        <v>0.83333333333333337</v>
      </c>
    </row>
    <row r="435" spans="1:33" x14ac:dyDescent="0.25">
      <c r="A435" s="1">
        <v>45567</v>
      </c>
      <c r="B435">
        <v>925</v>
      </c>
      <c r="C435" t="s">
        <v>42</v>
      </c>
      <c r="D435" t="s">
        <v>131</v>
      </c>
      <c r="E435">
        <v>606528</v>
      </c>
      <c r="F435" s="2">
        <v>0.79166666666666663</v>
      </c>
      <c r="G435" t="s">
        <v>6</v>
      </c>
      <c r="H435" s="2">
        <v>0.8125</v>
      </c>
      <c r="I435">
        <v>447</v>
      </c>
      <c r="J435">
        <v>39</v>
      </c>
      <c r="K435">
        <v>0</v>
      </c>
      <c r="L435">
        <v>4</v>
      </c>
      <c r="M435">
        <v>0</v>
      </c>
      <c r="N435">
        <v>0</v>
      </c>
      <c r="O435">
        <v>0</v>
      </c>
      <c r="P435">
        <v>495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2</v>
      </c>
      <c r="AC435">
        <v>2</v>
      </c>
      <c r="AD435" s="3" t="str">
        <f t="shared" si="18"/>
        <v>S2S PREMIUM</v>
      </c>
      <c r="AE435" s="3" t="str">
        <f>VLOOKUP(E435,'[1]Nómina Agentes'!$C:$D,2,0)</f>
        <v>CERVANTES LOURDES ABRIL</v>
      </c>
      <c r="AF435" s="5">
        <f t="shared" si="19"/>
        <v>0.79166666666666663</v>
      </c>
      <c r="AG435" s="5">
        <f t="shared" si="20"/>
        <v>0.8125</v>
      </c>
    </row>
    <row r="436" spans="1:33" x14ac:dyDescent="0.25">
      <c r="A436" s="1">
        <v>45567</v>
      </c>
      <c r="B436">
        <v>925</v>
      </c>
      <c r="C436" t="s">
        <v>42</v>
      </c>
      <c r="D436" t="s">
        <v>131</v>
      </c>
      <c r="E436">
        <v>606528</v>
      </c>
      <c r="F436" s="2">
        <v>0.64583333333333337</v>
      </c>
      <c r="G436" t="s">
        <v>6</v>
      </c>
      <c r="H436" s="2">
        <v>0.66666666666666663</v>
      </c>
      <c r="I436">
        <v>569</v>
      </c>
      <c r="J436">
        <v>0</v>
      </c>
      <c r="K436">
        <v>0</v>
      </c>
      <c r="L436">
        <v>12</v>
      </c>
      <c r="M436">
        <v>0</v>
      </c>
      <c r="N436">
        <v>0</v>
      </c>
      <c r="O436">
        <v>0</v>
      </c>
      <c r="P436">
        <v>45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4</v>
      </c>
      <c r="AC436">
        <v>2</v>
      </c>
      <c r="AD436" s="3" t="str">
        <f t="shared" si="18"/>
        <v>S2S PREMIUM</v>
      </c>
      <c r="AE436" s="3" t="str">
        <f>VLOOKUP(E436,'[1]Nómina Agentes'!$C:$D,2,0)</f>
        <v>CERVANTES LOURDES ABRIL</v>
      </c>
      <c r="AF436" s="5">
        <f t="shared" si="19"/>
        <v>0.64583333333333337</v>
      </c>
      <c r="AG436" s="5">
        <f t="shared" si="20"/>
        <v>0.66666666666666663</v>
      </c>
    </row>
    <row r="437" spans="1:33" x14ac:dyDescent="0.25">
      <c r="A437" s="1">
        <v>45567</v>
      </c>
      <c r="B437">
        <v>925</v>
      </c>
      <c r="C437" t="s">
        <v>42</v>
      </c>
      <c r="D437" t="s">
        <v>131</v>
      </c>
      <c r="E437">
        <v>606528</v>
      </c>
      <c r="F437" s="2">
        <v>0.60416666666666663</v>
      </c>
      <c r="G437" t="s">
        <v>6</v>
      </c>
      <c r="H437" s="2">
        <v>0.625</v>
      </c>
      <c r="I437">
        <v>584</v>
      </c>
      <c r="J437">
        <v>0</v>
      </c>
      <c r="K437">
        <v>0</v>
      </c>
      <c r="L437">
        <v>13</v>
      </c>
      <c r="M437">
        <v>0</v>
      </c>
      <c r="N437">
        <v>0</v>
      </c>
      <c r="O437">
        <v>0</v>
      </c>
      <c r="P437">
        <v>55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3</v>
      </c>
      <c r="AC437">
        <v>0</v>
      </c>
      <c r="AD437" s="3" t="str">
        <f t="shared" si="18"/>
        <v>S2S PREMIUM</v>
      </c>
      <c r="AE437" s="3" t="str">
        <f>VLOOKUP(E437,'[1]Nómina Agentes'!$C:$D,2,0)</f>
        <v>CERVANTES LOURDES ABRIL</v>
      </c>
      <c r="AF437" s="5">
        <f t="shared" si="19"/>
        <v>0.60416666666666663</v>
      </c>
      <c r="AG437" s="5">
        <f t="shared" si="20"/>
        <v>0.625</v>
      </c>
    </row>
    <row r="438" spans="1:33" x14ac:dyDescent="0.25">
      <c r="A438" s="1">
        <v>45567</v>
      </c>
      <c r="B438">
        <v>925</v>
      </c>
      <c r="C438" t="s">
        <v>42</v>
      </c>
      <c r="D438" t="s">
        <v>131</v>
      </c>
      <c r="E438">
        <v>606528</v>
      </c>
      <c r="F438" s="2">
        <v>0.66666666666666663</v>
      </c>
      <c r="G438" t="s">
        <v>6</v>
      </c>
      <c r="H438" s="2">
        <v>0.6875</v>
      </c>
      <c r="I438">
        <v>597</v>
      </c>
      <c r="J438">
        <v>0</v>
      </c>
      <c r="K438">
        <v>0</v>
      </c>
      <c r="L438">
        <v>19</v>
      </c>
      <c r="M438">
        <v>0</v>
      </c>
      <c r="N438">
        <v>0</v>
      </c>
      <c r="O438">
        <v>0</v>
      </c>
      <c r="P438">
        <v>2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4</v>
      </c>
      <c r="AC438">
        <v>2</v>
      </c>
      <c r="AD438" s="3" t="str">
        <f t="shared" si="18"/>
        <v>S2S PREMIUM</v>
      </c>
      <c r="AE438" s="3" t="str">
        <f>VLOOKUP(E438,'[1]Nómina Agentes'!$C:$D,2,0)</f>
        <v>CERVANTES LOURDES ABRIL</v>
      </c>
      <c r="AF438" s="5">
        <f t="shared" si="19"/>
        <v>0.66666666666666663</v>
      </c>
      <c r="AG438" s="5">
        <f t="shared" si="20"/>
        <v>0.6875</v>
      </c>
    </row>
    <row r="439" spans="1:33" x14ac:dyDescent="0.25">
      <c r="A439" s="1">
        <v>45567</v>
      </c>
      <c r="B439">
        <v>925</v>
      </c>
      <c r="C439" t="s">
        <v>42</v>
      </c>
      <c r="D439" t="s">
        <v>131</v>
      </c>
      <c r="E439">
        <v>606528</v>
      </c>
      <c r="F439" s="2">
        <v>0.75</v>
      </c>
      <c r="G439" t="s">
        <v>6</v>
      </c>
      <c r="H439" s="2">
        <v>0.77083333333333337</v>
      </c>
      <c r="I439">
        <v>605</v>
      </c>
      <c r="J439">
        <v>0</v>
      </c>
      <c r="K439">
        <v>0</v>
      </c>
      <c r="L439">
        <v>16</v>
      </c>
      <c r="M439">
        <v>0</v>
      </c>
      <c r="N439">
        <v>0</v>
      </c>
      <c r="O439">
        <v>0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3</v>
      </c>
      <c r="AC439">
        <v>3</v>
      </c>
      <c r="AD439" s="3" t="str">
        <f t="shared" si="18"/>
        <v>S2S PREMIUM</v>
      </c>
      <c r="AE439" s="3" t="str">
        <f>VLOOKUP(E439,'[1]Nómina Agentes'!$C:$D,2,0)</f>
        <v>CERVANTES LOURDES ABRIL</v>
      </c>
      <c r="AF439" s="5">
        <f t="shared" si="19"/>
        <v>0.75</v>
      </c>
      <c r="AG439" s="5">
        <f t="shared" si="20"/>
        <v>0.77083333333333337</v>
      </c>
    </row>
    <row r="440" spans="1:33" x14ac:dyDescent="0.25">
      <c r="A440" s="1">
        <v>45567</v>
      </c>
      <c r="B440">
        <v>925</v>
      </c>
      <c r="C440" t="s">
        <v>42</v>
      </c>
      <c r="D440" t="s">
        <v>131</v>
      </c>
      <c r="E440">
        <v>606528</v>
      </c>
      <c r="F440" s="2">
        <v>0.58333333333333337</v>
      </c>
      <c r="G440" t="s">
        <v>6</v>
      </c>
      <c r="H440" s="2">
        <v>0.60416666666666663</v>
      </c>
      <c r="I440">
        <v>714</v>
      </c>
      <c r="J440">
        <v>0</v>
      </c>
      <c r="K440">
        <v>0</v>
      </c>
      <c r="L440">
        <v>26</v>
      </c>
      <c r="M440">
        <v>0</v>
      </c>
      <c r="N440">
        <v>0</v>
      </c>
      <c r="O440">
        <v>0</v>
      </c>
      <c r="P440">
        <v>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4</v>
      </c>
      <c r="AC440">
        <v>3</v>
      </c>
      <c r="AD440" s="3" t="str">
        <f t="shared" si="18"/>
        <v>S2S PREMIUM</v>
      </c>
      <c r="AE440" s="3" t="str">
        <f>VLOOKUP(E440,'[1]Nómina Agentes'!$C:$D,2,0)</f>
        <v>CERVANTES LOURDES ABRIL</v>
      </c>
      <c r="AF440" s="5">
        <f t="shared" si="19"/>
        <v>0.58333333333333337</v>
      </c>
      <c r="AG440" s="5">
        <f t="shared" si="20"/>
        <v>0.60416666666666663</v>
      </c>
    </row>
    <row r="441" spans="1:33" x14ac:dyDescent="0.25">
      <c r="A441" s="1">
        <v>45567</v>
      </c>
      <c r="B441">
        <v>925</v>
      </c>
      <c r="C441" t="s">
        <v>42</v>
      </c>
      <c r="D441" t="s">
        <v>131</v>
      </c>
      <c r="E441">
        <v>606528</v>
      </c>
      <c r="F441" s="2">
        <v>0.70833333333333337</v>
      </c>
      <c r="G441" t="s">
        <v>6</v>
      </c>
      <c r="H441" s="2">
        <v>0.72916666666666663</v>
      </c>
      <c r="I441">
        <v>852</v>
      </c>
      <c r="J441">
        <v>0</v>
      </c>
      <c r="K441">
        <v>0</v>
      </c>
      <c r="L441">
        <v>16</v>
      </c>
      <c r="M441">
        <v>0</v>
      </c>
      <c r="N441">
        <v>0</v>
      </c>
      <c r="O441">
        <v>0</v>
      </c>
      <c r="P441">
        <v>230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4</v>
      </c>
      <c r="AC441">
        <v>3</v>
      </c>
      <c r="AD441" s="3" t="str">
        <f t="shared" si="18"/>
        <v>S2S PREMIUM</v>
      </c>
      <c r="AE441" s="3" t="str">
        <f>VLOOKUP(E441,'[1]Nómina Agentes'!$C:$D,2,0)</f>
        <v>CERVANTES LOURDES ABRIL</v>
      </c>
      <c r="AF441" s="5">
        <f t="shared" si="19"/>
        <v>0.70833333333333337</v>
      </c>
      <c r="AG441" s="5">
        <f t="shared" si="20"/>
        <v>0.72916666666666663</v>
      </c>
    </row>
    <row r="442" spans="1:33" x14ac:dyDescent="0.25">
      <c r="A442" s="1">
        <v>45567</v>
      </c>
      <c r="B442">
        <v>925</v>
      </c>
      <c r="C442" t="s">
        <v>42</v>
      </c>
      <c r="D442" t="s">
        <v>131</v>
      </c>
      <c r="E442">
        <v>606528</v>
      </c>
      <c r="F442" s="2">
        <v>0.77083333333333337</v>
      </c>
      <c r="G442" t="s">
        <v>6</v>
      </c>
      <c r="H442" s="2">
        <v>0.79166666666666663</v>
      </c>
      <c r="I442">
        <v>915</v>
      </c>
      <c r="J442">
        <v>0</v>
      </c>
      <c r="K442">
        <v>0</v>
      </c>
      <c r="L442">
        <v>15</v>
      </c>
      <c r="M442">
        <v>0</v>
      </c>
      <c r="N442">
        <v>0</v>
      </c>
      <c r="O442">
        <v>0</v>
      </c>
      <c r="P442">
        <v>2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4</v>
      </c>
      <c r="AC442">
        <v>3</v>
      </c>
      <c r="AD442" s="3" t="str">
        <f t="shared" si="18"/>
        <v>S2S PREMIUM</v>
      </c>
      <c r="AE442" s="3" t="str">
        <f>VLOOKUP(E442,'[1]Nómina Agentes'!$C:$D,2,0)</f>
        <v>CERVANTES LOURDES ABRIL</v>
      </c>
      <c r="AF442" s="5">
        <f t="shared" si="19"/>
        <v>0.77083333333333337</v>
      </c>
      <c r="AG442" s="5">
        <f t="shared" si="20"/>
        <v>0.79166666666666663</v>
      </c>
    </row>
    <row r="443" spans="1:33" x14ac:dyDescent="0.25">
      <c r="A443" s="1">
        <v>45567</v>
      </c>
      <c r="B443">
        <v>925</v>
      </c>
      <c r="C443" t="s">
        <v>42</v>
      </c>
      <c r="D443" t="s">
        <v>131</v>
      </c>
      <c r="E443">
        <v>606528</v>
      </c>
      <c r="F443" s="2">
        <v>0.625</v>
      </c>
      <c r="G443" t="s">
        <v>6</v>
      </c>
      <c r="H443" s="2">
        <v>0.64583333333333337</v>
      </c>
      <c r="I443">
        <v>922</v>
      </c>
      <c r="J443">
        <v>0</v>
      </c>
      <c r="K443">
        <v>0</v>
      </c>
      <c r="L443">
        <v>17</v>
      </c>
      <c r="M443">
        <v>0</v>
      </c>
      <c r="N443">
        <v>0</v>
      </c>
      <c r="O443">
        <v>0</v>
      </c>
      <c r="P443">
        <v>2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4</v>
      </c>
      <c r="AC443">
        <v>3</v>
      </c>
      <c r="AD443" s="3" t="str">
        <f t="shared" si="18"/>
        <v>S2S PREMIUM</v>
      </c>
      <c r="AE443" s="3" t="str">
        <f>VLOOKUP(E443,'[1]Nómina Agentes'!$C:$D,2,0)</f>
        <v>CERVANTES LOURDES ABRIL</v>
      </c>
      <c r="AF443" s="5">
        <f t="shared" si="19"/>
        <v>0.625</v>
      </c>
      <c r="AG443" s="5">
        <f t="shared" si="20"/>
        <v>0.64583333333333337</v>
      </c>
    </row>
    <row r="444" spans="1:33" x14ac:dyDescent="0.25">
      <c r="A444" s="1">
        <v>45567</v>
      </c>
      <c r="B444">
        <v>925</v>
      </c>
      <c r="C444" t="s">
        <v>42</v>
      </c>
      <c r="D444" t="s">
        <v>131</v>
      </c>
      <c r="E444">
        <v>606528</v>
      </c>
      <c r="F444" s="2">
        <v>0.6875</v>
      </c>
      <c r="G444" t="s">
        <v>6</v>
      </c>
      <c r="H444" s="2">
        <v>0.70833333333333337</v>
      </c>
      <c r="I444">
        <v>963</v>
      </c>
      <c r="J444">
        <v>0</v>
      </c>
      <c r="K444">
        <v>0</v>
      </c>
      <c r="L444">
        <v>28</v>
      </c>
      <c r="M444">
        <v>0</v>
      </c>
      <c r="N444">
        <v>0</v>
      </c>
      <c r="O444">
        <v>0</v>
      </c>
      <c r="P444">
        <v>162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7</v>
      </c>
      <c r="AC444">
        <v>5</v>
      </c>
      <c r="AD444" s="3" t="str">
        <f t="shared" si="18"/>
        <v>S2S PREMIUM</v>
      </c>
      <c r="AE444" s="3" t="str">
        <f>VLOOKUP(E444,'[1]Nómina Agentes'!$C:$D,2,0)</f>
        <v>CERVANTES LOURDES ABRIL</v>
      </c>
      <c r="AF444" s="5">
        <f t="shared" si="19"/>
        <v>0.6875</v>
      </c>
      <c r="AG444" s="5">
        <f t="shared" si="20"/>
        <v>0.70833333333333337</v>
      </c>
    </row>
    <row r="445" spans="1:33" x14ac:dyDescent="0.25">
      <c r="A445" s="1">
        <v>45567</v>
      </c>
      <c r="B445">
        <v>925</v>
      </c>
      <c r="C445" t="s">
        <v>42</v>
      </c>
      <c r="D445" t="s">
        <v>131</v>
      </c>
      <c r="E445">
        <v>606528</v>
      </c>
      <c r="F445" s="2">
        <v>0.72916666666666663</v>
      </c>
      <c r="G445" t="s">
        <v>6</v>
      </c>
      <c r="H445" s="2">
        <v>0.75</v>
      </c>
      <c r="I445">
        <v>1128</v>
      </c>
      <c r="J445">
        <v>0</v>
      </c>
      <c r="K445">
        <v>0</v>
      </c>
      <c r="L445">
        <v>15</v>
      </c>
      <c r="M445">
        <v>0</v>
      </c>
      <c r="N445">
        <v>0</v>
      </c>
      <c r="O445">
        <v>0</v>
      </c>
      <c r="P445">
        <v>55</v>
      </c>
      <c r="Q445">
        <v>48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5</v>
      </c>
      <c r="AC445">
        <v>5</v>
      </c>
      <c r="AD445" s="3" t="str">
        <f t="shared" si="18"/>
        <v>S2S PREMIUM</v>
      </c>
      <c r="AE445" s="3" t="str">
        <f>VLOOKUP(E445,'[1]Nómina Agentes'!$C:$D,2,0)</f>
        <v>CERVANTES LOURDES ABRIL</v>
      </c>
      <c r="AF445" s="5">
        <f t="shared" si="19"/>
        <v>0.72916666666666663</v>
      </c>
      <c r="AG445" s="5">
        <f t="shared" si="20"/>
        <v>0.75</v>
      </c>
    </row>
    <row r="446" spans="1:33" x14ac:dyDescent="0.25">
      <c r="A446" s="1">
        <v>45567</v>
      </c>
      <c r="B446">
        <v>924</v>
      </c>
      <c r="C446" t="s">
        <v>43</v>
      </c>
      <c r="D446" t="s">
        <v>183</v>
      </c>
      <c r="E446">
        <v>606536</v>
      </c>
      <c r="F446" s="2">
        <v>0.79166666666666663</v>
      </c>
      <c r="G446" t="s">
        <v>6</v>
      </c>
      <c r="H446" s="2">
        <v>0.8125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1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1</v>
      </c>
      <c r="AC446">
        <v>1</v>
      </c>
      <c r="AD446" s="3" t="str">
        <f t="shared" si="18"/>
        <v>S2S NO PREMIUM</v>
      </c>
      <c r="AE446" s="3" t="str">
        <f>VLOOKUP(E446,'[1]Nómina Agentes'!$C:$D,2,0)</f>
        <v>SOTELO SILVANA ANAHI</v>
      </c>
      <c r="AF446" s="5">
        <f t="shared" si="19"/>
        <v>0.79166666666666663</v>
      </c>
      <c r="AG446" s="5">
        <f t="shared" si="20"/>
        <v>0.8125</v>
      </c>
    </row>
    <row r="447" spans="1:33" x14ac:dyDescent="0.25">
      <c r="A447" s="1">
        <v>45567</v>
      </c>
      <c r="B447">
        <v>924</v>
      </c>
      <c r="C447" t="s">
        <v>43</v>
      </c>
      <c r="D447" t="s">
        <v>183</v>
      </c>
      <c r="E447">
        <v>606536</v>
      </c>
      <c r="F447" s="2">
        <v>0.8125</v>
      </c>
      <c r="G447" t="s">
        <v>6</v>
      </c>
      <c r="H447" s="2">
        <v>0.83333333333333337</v>
      </c>
      <c r="I447">
        <v>515</v>
      </c>
      <c r="J447">
        <v>0</v>
      </c>
      <c r="K447">
        <v>0</v>
      </c>
      <c r="L447">
        <v>13</v>
      </c>
      <c r="M447">
        <v>0</v>
      </c>
      <c r="N447">
        <v>0</v>
      </c>
      <c r="O447">
        <v>0</v>
      </c>
      <c r="P447">
        <v>3</v>
      </c>
      <c r="Q447">
        <v>1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3</v>
      </c>
      <c r="AC447">
        <v>3</v>
      </c>
      <c r="AD447" s="3" t="str">
        <f t="shared" ref="AD447:AD510" si="21">UPPER(C447)</f>
        <v>S2S NO PREMIUM</v>
      </c>
      <c r="AE447" s="3" t="str">
        <f>VLOOKUP(E447,'[1]Nómina Agentes'!$C:$D,2,0)</f>
        <v>SOTELO SILVANA ANAHI</v>
      </c>
      <c r="AF447" s="5">
        <f t="shared" ref="AF447:AF510" si="22">F447</f>
        <v>0.8125</v>
      </c>
      <c r="AG447" s="5">
        <f t="shared" ref="AG447:AG510" si="23">H447</f>
        <v>0.83333333333333337</v>
      </c>
    </row>
    <row r="448" spans="1:33" x14ac:dyDescent="0.25">
      <c r="A448" s="1">
        <v>45567</v>
      </c>
      <c r="B448">
        <v>924</v>
      </c>
      <c r="C448" t="s">
        <v>43</v>
      </c>
      <c r="D448" t="s">
        <v>183</v>
      </c>
      <c r="E448">
        <v>606536</v>
      </c>
      <c r="F448" s="2">
        <v>0.625</v>
      </c>
      <c r="G448" t="s">
        <v>6</v>
      </c>
      <c r="H448" s="2">
        <v>0.64583333333333337</v>
      </c>
      <c r="I448">
        <v>649</v>
      </c>
      <c r="J448">
        <v>0</v>
      </c>
      <c r="K448">
        <v>0</v>
      </c>
      <c r="L448">
        <v>10</v>
      </c>
      <c r="M448">
        <v>0</v>
      </c>
      <c r="N448">
        <v>0</v>
      </c>
      <c r="O448">
        <v>0</v>
      </c>
      <c r="P448">
        <v>1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2</v>
      </c>
      <c r="AC448">
        <v>1</v>
      </c>
      <c r="AD448" s="3" t="str">
        <f t="shared" si="21"/>
        <v>S2S NO PREMIUM</v>
      </c>
      <c r="AE448" s="3" t="str">
        <f>VLOOKUP(E448,'[1]Nómina Agentes'!$C:$D,2,0)</f>
        <v>SOTELO SILVANA ANAHI</v>
      </c>
      <c r="AF448" s="5">
        <f t="shared" si="22"/>
        <v>0.625</v>
      </c>
      <c r="AG448" s="5">
        <f t="shared" si="23"/>
        <v>0.64583333333333337</v>
      </c>
    </row>
    <row r="449" spans="1:33" x14ac:dyDescent="0.25">
      <c r="A449" s="1">
        <v>45567</v>
      </c>
      <c r="B449">
        <v>924</v>
      </c>
      <c r="C449" t="s">
        <v>43</v>
      </c>
      <c r="D449" t="s">
        <v>183</v>
      </c>
      <c r="E449">
        <v>606536</v>
      </c>
      <c r="F449" s="2">
        <v>0.64583333333333337</v>
      </c>
      <c r="G449" t="s">
        <v>6</v>
      </c>
      <c r="H449" s="2">
        <v>0.66666666666666663</v>
      </c>
      <c r="I449">
        <v>954</v>
      </c>
      <c r="J449">
        <v>0</v>
      </c>
      <c r="K449">
        <v>0</v>
      </c>
      <c r="L449">
        <v>19</v>
      </c>
      <c r="M449">
        <v>0</v>
      </c>
      <c r="N449">
        <v>0</v>
      </c>
      <c r="O449">
        <v>0</v>
      </c>
      <c r="P449">
        <v>3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4</v>
      </c>
      <c r="AC449">
        <v>3</v>
      </c>
      <c r="AD449" s="3" t="str">
        <f t="shared" si="21"/>
        <v>S2S NO PREMIUM</v>
      </c>
      <c r="AE449" s="3" t="str">
        <f>VLOOKUP(E449,'[1]Nómina Agentes'!$C:$D,2,0)</f>
        <v>SOTELO SILVANA ANAHI</v>
      </c>
      <c r="AF449" s="5">
        <f t="shared" si="22"/>
        <v>0.64583333333333337</v>
      </c>
      <c r="AG449" s="5">
        <f t="shared" si="23"/>
        <v>0.66666666666666663</v>
      </c>
    </row>
    <row r="450" spans="1:33" x14ac:dyDescent="0.25">
      <c r="A450" s="1">
        <v>45567</v>
      </c>
      <c r="B450">
        <v>924</v>
      </c>
      <c r="C450" t="s">
        <v>43</v>
      </c>
      <c r="D450" t="s">
        <v>183</v>
      </c>
      <c r="E450">
        <v>606536</v>
      </c>
      <c r="F450" s="2">
        <v>0.6875</v>
      </c>
      <c r="G450" t="s">
        <v>6</v>
      </c>
      <c r="H450" s="2">
        <v>0.70833333333333337</v>
      </c>
      <c r="I450">
        <v>1135</v>
      </c>
      <c r="J450">
        <v>0</v>
      </c>
      <c r="K450">
        <v>0</v>
      </c>
      <c r="L450">
        <v>28</v>
      </c>
      <c r="M450">
        <v>0</v>
      </c>
      <c r="N450">
        <v>0</v>
      </c>
      <c r="O450">
        <v>0</v>
      </c>
      <c r="P450">
        <v>7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7</v>
      </c>
      <c r="AC450">
        <v>7</v>
      </c>
      <c r="AD450" s="3" t="str">
        <f t="shared" si="21"/>
        <v>S2S NO PREMIUM</v>
      </c>
      <c r="AE450" s="3" t="str">
        <f>VLOOKUP(E450,'[1]Nómina Agentes'!$C:$D,2,0)</f>
        <v>SOTELO SILVANA ANAHI</v>
      </c>
      <c r="AF450" s="5">
        <f t="shared" si="22"/>
        <v>0.6875</v>
      </c>
      <c r="AG450" s="5">
        <f t="shared" si="23"/>
        <v>0.70833333333333337</v>
      </c>
    </row>
    <row r="451" spans="1:33" x14ac:dyDescent="0.25">
      <c r="A451" s="1">
        <v>45567</v>
      </c>
      <c r="B451">
        <v>924</v>
      </c>
      <c r="C451" t="s">
        <v>43</v>
      </c>
      <c r="D451" t="s">
        <v>183</v>
      </c>
      <c r="E451">
        <v>606536</v>
      </c>
      <c r="F451" s="2">
        <v>0.77083333333333337</v>
      </c>
      <c r="G451" t="s">
        <v>6</v>
      </c>
      <c r="H451" s="2">
        <v>0.79166666666666663</v>
      </c>
      <c r="I451">
        <v>1147</v>
      </c>
      <c r="J451">
        <v>0</v>
      </c>
      <c r="K451">
        <v>0</v>
      </c>
      <c r="L451">
        <v>12</v>
      </c>
      <c r="M451">
        <v>0</v>
      </c>
      <c r="N451">
        <v>0</v>
      </c>
      <c r="O451">
        <v>0</v>
      </c>
      <c r="P451">
        <v>85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3</v>
      </c>
      <c r="AC451">
        <v>3</v>
      </c>
      <c r="AD451" s="3" t="str">
        <f t="shared" si="21"/>
        <v>S2S NO PREMIUM</v>
      </c>
      <c r="AE451" s="3" t="str">
        <f>VLOOKUP(E451,'[1]Nómina Agentes'!$C:$D,2,0)</f>
        <v>SOTELO SILVANA ANAHI</v>
      </c>
      <c r="AF451" s="5">
        <f t="shared" si="22"/>
        <v>0.77083333333333337</v>
      </c>
      <c r="AG451" s="5">
        <f t="shared" si="23"/>
        <v>0.79166666666666663</v>
      </c>
    </row>
    <row r="452" spans="1:33" x14ac:dyDescent="0.25">
      <c r="A452" s="1">
        <v>45567</v>
      </c>
      <c r="B452">
        <v>924</v>
      </c>
      <c r="C452" t="s">
        <v>43</v>
      </c>
      <c r="D452" t="s">
        <v>183</v>
      </c>
      <c r="E452">
        <v>606536</v>
      </c>
      <c r="F452" s="2">
        <v>0.72916666666666663</v>
      </c>
      <c r="G452" t="s">
        <v>6</v>
      </c>
      <c r="H452" s="2">
        <v>0.75</v>
      </c>
      <c r="I452">
        <v>1149</v>
      </c>
      <c r="J452">
        <v>0</v>
      </c>
      <c r="K452">
        <v>0</v>
      </c>
      <c r="L452">
        <v>21</v>
      </c>
      <c r="M452">
        <v>0</v>
      </c>
      <c r="N452">
        <v>0</v>
      </c>
      <c r="O452">
        <v>0</v>
      </c>
      <c r="P452">
        <v>122</v>
      </c>
      <c r="Q452">
        <v>110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5</v>
      </c>
      <c r="AC452">
        <v>4</v>
      </c>
      <c r="AD452" s="3" t="str">
        <f t="shared" si="21"/>
        <v>S2S NO PREMIUM</v>
      </c>
      <c r="AE452" s="3" t="str">
        <f>VLOOKUP(E452,'[1]Nómina Agentes'!$C:$D,2,0)</f>
        <v>SOTELO SILVANA ANAHI</v>
      </c>
      <c r="AF452" s="5">
        <f t="shared" si="22"/>
        <v>0.72916666666666663</v>
      </c>
      <c r="AG452" s="5">
        <f t="shared" si="23"/>
        <v>0.75</v>
      </c>
    </row>
    <row r="453" spans="1:33" x14ac:dyDescent="0.25">
      <c r="A453" s="1">
        <v>45567</v>
      </c>
      <c r="B453">
        <v>924</v>
      </c>
      <c r="C453" t="s">
        <v>43</v>
      </c>
      <c r="D453" t="s">
        <v>183</v>
      </c>
      <c r="E453">
        <v>606536</v>
      </c>
      <c r="F453" s="2">
        <v>0.70833333333333337</v>
      </c>
      <c r="G453" t="s">
        <v>6</v>
      </c>
      <c r="H453" s="2">
        <v>0.72916666666666663</v>
      </c>
      <c r="I453">
        <v>1255</v>
      </c>
      <c r="J453">
        <v>0</v>
      </c>
      <c r="K453">
        <v>0</v>
      </c>
      <c r="L453">
        <v>20</v>
      </c>
      <c r="M453">
        <v>0</v>
      </c>
      <c r="N453">
        <v>0</v>
      </c>
      <c r="O453">
        <v>0</v>
      </c>
      <c r="P453">
        <v>5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5</v>
      </c>
      <c r="AC453">
        <v>5</v>
      </c>
      <c r="AD453" s="3" t="str">
        <f t="shared" si="21"/>
        <v>S2S NO PREMIUM</v>
      </c>
      <c r="AE453" s="3" t="str">
        <f>VLOOKUP(E453,'[1]Nómina Agentes'!$C:$D,2,0)</f>
        <v>SOTELO SILVANA ANAHI</v>
      </c>
      <c r="AF453" s="5">
        <f t="shared" si="22"/>
        <v>0.70833333333333337</v>
      </c>
      <c r="AG453" s="5">
        <f t="shared" si="23"/>
        <v>0.72916666666666663</v>
      </c>
    </row>
    <row r="454" spans="1:33" x14ac:dyDescent="0.25">
      <c r="A454" s="1">
        <v>45567</v>
      </c>
      <c r="B454">
        <v>924</v>
      </c>
      <c r="C454" t="s">
        <v>43</v>
      </c>
      <c r="D454" t="s">
        <v>183</v>
      </c>
      <c r="E454">
        <v>606536</v>
      </c>
      <c r="F454" s="2">
        <v>0.66666666666666663</v>
      </c>
      <c r="G454" t="s">
        <v>6</v>
      </c>
      <c r="H454" s="2">
        <v>0.6875</v>
      </c>
      <c r="I454">
        <v>1258</v>
      </c>
      <c r="J454">
        <v>0</v>
      </c>
      <c r="K454">
        <v>0</v>
      </c>
      <c r="L454">
        <v>11</v>
      </c>
      <c r="M454">
        <v>0</v>
      </c>
      <c r="N454">
        <v>0</v>
      </c>
      <c r="O454">
        <v>0</v>
      </c>
      <c r="P454">
        <v>41</v>
      </c>
      <c r="Q454">
        <v>20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3</v>
      </c>
      <c r="AC454">
        <v>2</v>
      </c>
      <c r="AD454" s="3" t="str">
        <f t="shared" si="21"/>
        <v>S2S NO PREMIUM</v>
      </c>
      <c r="AE454" s="3" t="str">
        <f>VLOOKUP(E454,'[1]Nómina Agentes'!$C:$D,2,0)</f>
        <v>SOTELO SILVANA ANAHI</v>
      </c>
      <c r="AF454" s="5">
        <f t="shared" si="22"/>
        <v>0.66666666666666663</v>
      </c>
      <c r="AG454" s="5">
        <f t="shared" si="23"/>
        <v>0.6875</v>
      </c>
    </row>
    <row r="455" spans="1:33" x14ac:dyDescent="0.25">
      <c r="A455" s="1">
        <v>45567</v>
      </c>
      <c r="B455">
        <v>924</v>
      </c>
      <c r="C455" t="s">
        <v>43</v>
      </c>
      <c r="D455" t="s">
        <v>183</v>
      </c>
      <c r="E455">
        <v>606536</v>
      </c>
      <c r="F455" s="2">
        <v>0.75</v>
      </c>
      <c r="G455" t="s">
        <v>6</v>
      </c>
      <c r="H455" s="2">
        <v>0.77083333333333337</v>
      </c>
      <c r="I455">
        <v>1379</v>
      </c>
      <c r="J455">
        <v>0</v>
      </c>
      <c r="K455">
        <v>0</v>
      </c>
      <c r="L455">
        <v>29</v>
      </c>
      <c r="M455">
        <v>0</v>
      </c>
      <c r="N455">
        <v>0</v>
      </c>
      <c r="O455">
        <v>0</v>
      </c>
      <c r="P455">
        <v>4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7</v>
      </c>
      <c r="AC455">
        <v>4</v>
      </c>
      <c r="AD455" s="3" t="str">
        <f t="shared" si="21"/>
        <v>S2S NO PREMIUM</v>
      </c>
      <c r="AE455" s="3" t="str">
        <f>VLOOKUP(E455,'[1]Nómina Agentes'!$C:$D,2,0)</f>
        <v>SOTELO SILVANA ANAHI</v>
      </c>
      <c r="AF455" s="5">
        <f t="shared" si="22"/>
        <v>0.75</v>
      </c>
      <c r="AG455" s="5">
        <f t="shared" si="23"/>
        <v>0.77083333333333337</v>
      </c>
    </row>
    <row r="456" spans="1:33" x14ac:dyDescent="0.25">
      <c r="A456" s="1">
        <v>45567</v>
      </c>
      <c r="B456">
        <v>924</v>
      </c>
      <c r="C456" t="s">
        <v>43</v>
      </c>
      <c r="D456" t="s">
        <v>91</v>
      </c>
      <c r="E456">
        <v>606550</v>
      </c>
      <c r="F456" s="2">
        <v>0.60416666666666663</v>
      </c>
      <c r="G456" t="s">
        <v>6</v>
      </c>
      <c r="H456" s="2">
        <v>0.625</v>
      </c>
      <c r="I456">
        <v>627</v>
      </c>
      <c r="J456">
        <v>11</v>
      </c>
      <c r="K456">
        <v>0</v>
      </c>
      <c r="L456">
        <v>7</v>
      </c>
      <c r="M456">
        <v>0</v>
      </c>
      <c r="N456">
        <v>0</v>
      </c>
      <c r="O456">
        <v>0</v>
      </c>
      <c r="P456">
        <v>232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2</v>
      </c>
      <c r="AC456">
        <v>2</v>
      </c>
      <c r="AD456" s="3" t="str">
        <f t="shared" si="21"/>
        <v>S2S NO PREMIUM</v>
      </c>
      <c r="AE456" s="3" t="str">
        <f>VLOOKUP(E456,'[1]Nómina Agentes'!$C:$D,2,0)</f>
        <v>ROLON NANCY MAGALI</v>
      </c>
      <c r="AF456" s="5">
        <f t="shared" si="22"/>
        <v>0.60416666666666663</v>
      </c>
      <c r="AG456" s="5">
        <f t="shared" si="23"/>
        <v>0.625</v>
      </c>
    </row>
    <row r="457" spans="1:33" x14ac:dyDescent="0.25">
      <c r="A457" s="1">
        <v>45567</v>
      </c>
      <c r="B457">
        <v>924</v>
      </c>
      <c r="C457" t="s">
        <v>43</v>
      </c>
      <c r="D457" t="s">
        <v>91</v>
      </c>
      <c r="E457">
        <v>606550</v>
      </c>
      <c r="F457" s="2">
        <v>0.58333333333333337</v>
      </c>
      <c r="G457" t="s">
        <v>6</v>
      </c>
      <c r="H457" s="2">
        <v>0.60416666666666663</v>
      </c>
      <c r="I457">
        <v>852</v>
      </c>
      <c r="J457">
        <v>0</v>
      </c>
      <c r="K457">
        <v>0</v>
      </c>
      <c r="L457">
        <v>12</v>
      </c>
      <c r="M457">
        <v>0</v>
      </c>
      <c r="N457">
        <v>0</v>
      </c>
      <c r="O457">
        <v>0</v>
      </c>
      <c r="P457">
        <v>95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4</v>
      </c>
      <c r="AC457">
        <v>2</v>
      </c>
      <c r="AD457" s="3" t="str">
        <f t="shared" si="21"/>
        <v>S2S NO PREMIUM</v>
      </c>
      <c r="AE457" s="3" t="str">
        <f>VLOOKUP(E457,'[1]Nómina Agentes'!$C:$D,2,0)</f>
        <v>ROLON NANCY MAGALI</v>
      </c>
      <c r="AF457" s="5">
        <f t="shared" si="22"/>
        <v>0.58333333333333337</v>
      </c>
      <c r="AG457" s="5">
        <f t="shared" si="23"/>
        <v>0.60416666666666663</v>
      </c>
    </row>
    <row r="458" spans="1:33" x14ac:dyDescent="0.25">
      <c r="A458" s="1">
        <v>45567</v>
      </c>
      <c r="B458">
        <v>924</v>
      </c>
      <c r="C458" t="s">
        <v>43</v>
      </c>
      <c r="D458" t="s">
        <v>57</v>
      </c>
      <c r="E458">
        <v>606558</v>
      </c>
      <c r="F458" s="2">
        <v>0.58333333333333337</v>
      </c>
      <c r="G458" t="s">
        <v>6</v>
      </c>
      <c r="H458" s="2">
        <v>0.60416666666666663</v>
      </c>
      <c r="I458">
        <v>13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1</v>
      </c>
      <c r="AC458">
        <v>0</v>
      </c>
      <c r="AD458" s="3" t="str">
        <f t="shared" si="21"/>
        <v>S2S NO PREMIUM</v>
      </c>
      <c r="AE458" s="3" t="str">
        <f>VLOOKUP(E458,'[1]Nómina Agentes'!$C:$D,2,0)</f>
        <v>FRAGALE PABLO DANIEL</v>
      </c>
      <c r="AF458" s="5">
        <f t="shared" si="22"/>
        <v>0.58333333333333337</v>
      </c>
      <c r="AG458" s="5">
        <f t="shared" si="23"/>
        <v>0.60416666666666663</v>
      </c>
    </row>
    <row r="459" spans="1:33" x14ac:dyDescent="0.25">
      <c r="A459" s="1">
        <v>45567</v>
      </c>
      <c r="B459">
        <v>924</v>
      </c>
      <c r="C459" t="s">
        <v>43</v>
      </c>
      <c r="D459" t="s">
        <v>57</v>
      </c>
      <c r="E459">
        <v>606558</v>
      </c>
      <c r="F459" s="2">
        <v>0.60416666666666663</v>
      </c>
      <c r="G459" t="s">
        <v>6</v>
      </c>
      <c r="H459" s="2">
        <v>0.625</v>
      </c>
      <c r="I459">
        <v>784</v>
      </c>
      <c r="J459">
        <v>0</v>
      </c>
      <c r="K459">
        <v>0</v>
      </c>
      <c r="L459">
        <v>12</v>
      </c>
      <c r="M459">
        <v>0</v>
      </c>
      <c r="N459">
        <v>0</v>
      </c>
      <c r="O459">
        <v>0</v>
      </c>
      <c r="P459">
        <v>3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3</v>
      </c>
      <c r="AC459">
        <v>2</v>
      </c>
      <c r="AD459" s="3" t="str">
        <f t="shared" si="21"/>
        <v>S2S NO PREMIUM</v>
      </c>
      <c r="AE459" s="3" t="str">
        <f>VLOOKUP(E459,'[1]Nómina Agentes'!$C:$D,2,0)</f>
        <v>FRAGALE PABLO DANIEL</v>
      </c>
      <c r="AF459" s="5">
        <f t="shared" si="22"/>
        <v>0.60416666666666663</v>
      </c>
      <c r="AG459" s="5">
        <f t="shared" si="23"/>
        <v>0.625</v>
      </c>
    </row>
    <row r="460" spans="1:33" x14ac:dyDescent="0.25">
      <c r="A460" s="1">
        <v>45567</v>
      </c>
      <c r="B460">
        <v>924</v>
      </c>
      <c r="C460" t="s">
        <v>43</v>
      </c>
      <c r="D460" t="s">
        <v>52</v>
      </c>
      <c r="E460">
        <v>606577</v>
      </c>
      <c r="F460" s="2">
        <v>0.625</v>
      </c>
      <c r="G460" t="s">
        <v>6</v>
      </c>
      <c r="H460" s="2">
        <v>0.64583333333333337</v>
      </c>
      <c r="I460">
        <v>720</v>
      </c>
      <c r="J460">
        <v>123</v>
      </c>
      <c r="K460">
        <v>0</v>
      </c>
      <c r="L460">
        <v>13</v>
      </c>
      <c r="M460">
        <v>0</v>
      </c>
      <c r="N460">
        <v>0</v>
      </c>
      <c r="O460">
        <v>0</v>
      </c>
      <c r="P460">
        <v>93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4</v>
      </c>
      <c r="AC460">
        <v>3</v>
      </c>
      <c r="AD460" s="3" t="str">
        <f t="shared" si="21"/>
        <v>S2S NO PREMIUM</v>
      </c>
      <c r="AE460" s="3" t="str">
        <f>VLOOKUP(E460,'[1]Nómina Agentes'!$C:$D,2,0)</f>
        <v>RIQUELME LUCIA</v>
      </c>
      <c r="AF460" s="5">
        <f t="shared" si="22"/>
        <v>0.625</v>
      </c>
      <c r="AG460" s="5">
        <f t="shared" si="23"/>
        <v>0.64583333333333337</v>
      </c>
    </row>
    <row r="461" spans="1:33" x14ac:dyDescent="0.25">
      <c r="A461" s="1">
        <v>45567</v>
      </c>
      <c r="B461">
        <v>924</v>
      </c>
      <c r="C461" t="s">
        <v>43</v>
      </c>
      <c r="D461" t="s">
        <v>52</v>
      </c>
      <c r="E461">
        <v>606577</v>
      </c>
      <c r="F461" s="2">
        <v>0.60416666666666663</v>
      </c>
      <c r="G461" t="s">
        <v>6</v>
      </c>
      <c r="H461" s="2">
        <v>0.625</v>
      </c>
      <c r="I461">
        <v>768</v>
      </c>
      <c r="J461">
        <v>0</v>
      </c>
      <c r="K461">
        <v>0</v>
      </c>
      <c r="L461">
        <v>16</v>
      </c>
      <c r="M461">
        <v>0</v>
      </c>
      <c r="N461">
        <v>0</v>
      </c>
      <c r="O461">
        <v>0</v>
      </c>
      <c r="P461">
        <v>3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3</v>
      </c>
      <c r="AC461">
        <v>3</v>
      </c>
      <c r="AD461" s="3" t="str">
        <f t="shared" si="21"/>
        <v>S2S NO PREMIUM</v>
      </c>
      <c r="AE461" s="3" t="str">
        <f>VLOOKUP(E461,'[1]Nómina Agentes'!$C:$D,2,0)</f>
        <v>RIQUELME LUCIA</v>
      </c>
      <c r="AF461" s="5">
        <f t="shared" si="22"/>
        <v>0.60416666666666663</v>
      </c>
      <c r="AG461" s="5">
        <f t="shared" si="23"/>
        <v>0.625</v>
      </c>
    </row>
    <row r="462" spans="1:33" x14ac:dyDescent="0.25">
      <c r="A462" s="1">
        <v>45567</v>
      </c>
      <c r="B462">
        <v>924</v>
      </c>
      <c r="C462" t="s">
        <v>43</v>
      </c>
      <c r="D462" t="s">
        <v>52</v>
      </c>
      <c r="E462">
        <v>606577</v>
      </c>
      <c r="F462" s="2">
        <v>0.64583333333333337</v>
      </c>
      <c r="G462" t="s">
        <v>6</v>
      </c>
      <c r="H462" s="2">
        <v>0.66666666666666663</v>
      </c>
      <c r="I462">
        <v>977</v>
      </c>
      <c r="J462">
        <v>108</v>
      </c>
      <c r="K462">
        <v>0</v>
      </c>
      <c r="L462">
        <v>16</v>
      </c>
      <c r="M462">
        <v>0</v>
      </c>
      <c r="N462">
        <v>0</v>
      </c>
      <c r="O462">
        <v>0</v>
      </c>
      <c r="P462">
        <v>2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4</v>
      </c>
      <c r="AC462">
        <v>4</v>
      </c>
      <c r="AD462" s="3" t="str">
        <f t="shared" si="21"/>
        <v>S2S NO PREMIUM</v>
      </c>
      <c r="AE462" s="3" t="str">
        <f>VLOOKUP(E462,'[1]Nómina Agentes'!$C:$D,2,0)</f>
        <v>RIQUELME LUCIA</v>
      </c>
      <c r="AF462" s="5">
        <f t="shared" si="22"/>
        <v>0.64583333333333337</v>
      </c>
      <c r="AG462" s="5">
        <f t="shared" si="23"/>
        <v>0.66666666666666663</v>
      </c>
    </row>
    <row r="463" spans="1:33" x14ac:dyDescent="0.25">
      <c r="A463" s="1">
        <v>45567</v>
      </c>
      <c r="B463">
        <v>924</v>
      </c>
      <c r="C463" t="s">
        <v>43</v>
      </c>
      <c r="D463" t="s">
        <v>52</v>
      </c>
      <c r="E463">
        <v>606577</v>
      </c>
      <c r="F463" s="2">
        <v>0.58333333333333337</v>
      </c>
      <c r="G463" t="s">
        <v>6</v>
      </c>
      <c r="H463" s="2">
        <v>0.60416666666666663</v>
      </c>
      <c r="I463">
        <v>1067</v>
      </c>
      <c r="J463">
        <v>236</v>
      </c>
      <c r="K463">
        <v>0</v>
      </c>
      <c r="L463">
        <v>12</v>
      </c>
      <c r="M463">
        <v>0</v>
      </c>
      <c r="N463">
        <v>0</v>
      </c>
      <c r="O463">
        <v>0</v>
      </c>
      <c r="P463">
        <v>41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4</v>
      </c>
      <c r="AC463">
        <v>4</v>
      </c>
      <c r="AD463" s="3" t="str">
        <f t="shared" si="21"/>
        <v>S2S NO PREMIUM</v>
      </c>
      <c r="AE463" s="3" t="str">
        <f>VLOOKUP(E463,'[1]Nómina Agentes'!$C:$D,2,0)</f>
        <v>RIQUELME LUCIA</v>
      </c>
      <c r="AF463" s="5">
        <f t="shared" si="22"/>
        <v>0.58333333333333337</v>
      </c>
      <c r="AG463" s="5">
        <f t="shared" si="23"/>
        <v>0.60416666666666663</v>
      </c>
    </row>
    <row r="464" spans="1:33" x14ac:dyDescent="0.25">
      <c r="A464" s="1">
        <v>45567</v>
      </c>
      <c r="B464">
        <v>924</v>
      </c>
      <c r="C464" t="s">
        <v>43</v>
      </c>
      <c r="D464" t="s">
        <v>184</v>
      </c>
      <c r="E464">
        <v>606614</v>
      </c>
      <c r="F464" s="2">
        <v>0.60416666666666663</v>
      </c>
      <c r="G464" t="s">
        <v>6</v>
      </c>
      <c r="H464" s="2">
        <v>0.625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 s="3" t="str">
        <f t="shared" si="21"/>
        <v>S2S NO PREMIUM</v>
      </c>
      <c r="AE464" s="3" t="str">
        <f>VLOOKUP(E464,'[1]Nómina Agentes'!$C:$D,2,0)</f>
        <v>SOSA BERNAO MARTINA</v>
      </c>
      <c r="AF464" s="5">
        <f t="shared" si="22"/>
        <v>0.60416666666666663</v>
      </c>
      <c r="AG464" s="5">
        <f t="shared" si="23"/>
        <v>0.625</v>
      </c>
    </row>
    <row r="465" spans="1:33" x14ac:dyDescent="0.25">
      <c r="A465" s="1">
        <v>45567</v>
      </c>
      <c r="B465">
        <v>924</v>
      </c>
      <c r="C465" t="s">
        <v>43</v>
      </c>
      <c r="D465" t="s">
        <v>184</v>
      </c>
      <c r="E465">
        <v>606614</v>
      </c>
      <c r="F465" s="2">
        <v>0.79166666666666663</v>
      </c>
      <c r="G465" t="s">
        <v>6</v>
      </c>
      <c r="H465" s="2">
        <v>0.8125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 s="3" t="str">
        <f t="shared" si="21"/>
        <v>S2S NO PREMIUM</v>
      </c>
      <c r="AE465" s="3" t="str">
        <f>VLOOKUP(E465,'[1]Nómina Agentes'!$C:$D,2,0)</f>
        <v>SOSA BERNAO MARTINA</v>
      </c>
      <c r="AF465" s="5">
        <f t="shared" si="22"/>
        <v>0.79166666666666663</v>
      </c>
      <c r="AG465" s="5">
        <f t="shared" si="23"/>
        <v>0.8125</v>
      </c>
    </row>
    <row r="466" spans="1:33" x14ac:dyDescent="0.25">
      <c r="A466" s="1">
        <v>45567</v>
      </c>
      <c r="B466">
        <v>924</v>
      </c>
      <c r="C466" t="s">
        <v>43</v>
      </c>
      <c r="D466" t="s">
        <v>184</v>
      </c>
      <c r="E466">
        <v>606614</v>
      </c>
      <c r="F466" s="2">
        <v>0.75</v>
      </c>
      <c r="G466" t="s">
        <v>6</v>
      </c>
      <c r="H466" s="2">
        <v>0.77083333333333337</v>
      </c>
      <c r="I466">
        <v>3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1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1</v>
      </c>
      <c r="AC466">
        <v>1</v>
      </c>
      <c r="AD466" s="3" t="str">
        <f t="shared" si="21"/>
        <v>S2S NO PREMIUM</v>
      </c>
      <c r="AE466" s="3" t="str">
        <f>VLOOKUP(E466,'[1]Nómina Agentes'!$C:$D,2,0)</f>
        <v>SOSA BERNAO MARTINA</v>
      </c>
      <c r="AF466" s="5">
        <f t="shared" si="22"/>
        <v>0.75</v>
      </c>
      <c r="AG466" s="5">
        <f t="shared" si="23"/>
        <v>0.77083333333333337</v>
      </c>
    </row>
    <row r="467" spans="1:33" x14ac:dyDescent="0.25">
      <c r="A467" s="1">
        <v>45567</v>
      </c>
      <c r="B467">
        <v>924</v>
      </c>
      <c r="C467" t="s">
        <v>43</v>
      </c>
      <c r="D467" t="s">
        <v>184</v>
      </c>
      <c r="E467">
        <v>606614</v>
      </c>
      <c r="F467" s="2">
        <v>0.8125</v>
      </c>
      <c r="G467" t="s">
        <v>6</v>
      </c>
      <c r="H467" s="2">
        <v>0.83333333333333337</v>
      </c>
      <c r="I467">
        <v>532</v>
      </c>
      <c r="J467">
        <v>0</v>
      </c>
      <c r="K467">
        <v>0</v>
      </c>
      <c r="L467">
        <v>7</v>
      </c>
      <c r="M467">
        <v>0</v>
      </c>
      <c r="N467">
        <v>0</v>
      </c>
      <c r="O467">
        <v>0</v>
      </c>
      <c r="P467">
        <v>1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1</v>
      </c>
      <c r="AC467">
        <v>1</v>
      </c>
      <c r="AD467" s="3" t="str">
        <f t="shared" si="21"/>
        <v>S2S NO PREMIUM</v>
      </c>
      <c r="AE467" s="3" t="str">
        <f>VLOOKUP(E467,'[1]Nómina Agentes'!$C:$D,2,0)</f>
        <v>SOSA BERNAO MARTINA</v>
      </c>
      <c r="AF467" s="5">
        <f t="shared" si="22"/>
        <v>0.8125</v>
      </c>
      <c r="AG467" s="5">
        <f t="shared" si="23"/>
        <v>0.83333333333333337</v>
      </c>
    </row>
    <row r="468" spans="1:33" x14ac:dyDescent="0.25">
      <c r="A468" s="1">
        <v>45567</v>
      </c>
      <c r="B468">
        <v>924</v>
      </c>
      <c r="C468" t="s">
        <v>43</v>
      </c>
      <c r="D468" t="s">
        <v>184</v>
      </c>
      <c r="E468">
        <v>606614</v>
      </c>
      <c r="F468" s="2">
        <v>0.77083333333333337</v>
      </c>
      <c r="G468" t="s">
        <v>6</v>
      </c>
      <c r="H468" s="2">
        <v>0.79166666666666663</v>
      </c>
      <c r="I468">
        <v>786</v>
      </c>
      <c r="J468">
        <v>0</v>
      </c>
      <c r="K468">
        <v>0</v>
      </c>
      <c r="L468">
        <v>21</v>
      </c>
      <c r="M468">
        <v>0</v>
      </c>
      <c r="N468">
        <v>0</v>
      </c>
      <c r="O468">
        <v>0</v>
      </c>
      <c r="P468">
        <v>5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5</v>
      </c>
      <c r="AC468">
        <v>5</v>
      </c>
      <c r="AD468" s="3" t="str">
        <f t="shared" si="21"/>
        <v>S2S NO PREMIUM</v>
      </c>
      <c r="AE468" s="3" t="str">
        <f>VLOOKUP(E468,'[1]Nómina Agentes'!$C:$D,2,0)</f>
        <v>SOSA BERNAO MARTINA</v>
      </c>
      <c r="AF468" s="5">
        <f t="shared" si="22"/>
        <v>0.77083333333333337</v>
      </c>
      <c r="AG468" s="5">
        <f t="shared" si="23"/>
        <v>0.79166666666666663</v>
      </c>
    </row>
    <row r="469" spans="1:33" x14ac:dyDescent="0.25">
      <c r="A469" s="1">
        <v>45567</v>
      </c>
      <c r="B469">
        <v>924</v>
      </c>
      <c r="C469" t="s">
        <v>43</v>
      </c>
      <c r="D469" t="s">
        <v>184</v>
      </c>
      <c r="E469">
        <v>606614</v>
      </c>
      <c r="F469" s="2">
        <v>0.625</v>
      </c>
      <c r="G469" t="s">
        <v>6</v>
      </c>
      <c r="H469" s="2">
        <v>0.64583333333333337</v>
      </c>
      <c r="I469">
        <v>799</v>
      </c>
      <c r="J469">
        <v>0</v>
      </c>
      <c r="K469">
        <v>0</v>
      </c>
      <c r="L469">
        <v>20</v>
      </c>
      <c r="M469">
        <v>0</v>
      </c>
      <c r="N469">
        <v>0</v>
      </c>
      <c r="O469">
        <v>0</v>
      </c>
      <c r="P469">
        <v>3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3</v>
      </c>
      <c r="AC469">
        <v>3</v>
      </c>
      <c r="AD469" s="3" t="str">
        <f t="shared" si="21"/>
        <v>S2S NO PREMIUM</v>
      </c>
      <c r="AE469" s="3" t="str">
        <f>VLOOKUP(E469,'[1]Nómina Agentes'!$C:$D,2,0)</f>
        <v>SOSA BERNAO MARTINA</v>
      </c>
      <c r="AF469" s="5">
        <f t="shared" si="22"/>
        <v>0.625</v>
      </c>
      <c r="AG469" s="5">
        <f t="shared" si="23"/>
        <v>0.64583333333333337</v>
      </c>
    </row>
    <row r="470" spans="1:33" x14ac:dyDescent="0.25">
      <c r="A470" s="1">
        <v>45567</v>
      </c>
      <c r="B470">
        <v>924</v>
      </c>
      <c r="C470" t="s">
        <v>43</v>
      </c>
      <c r="D470" t="s">
        <v>184</v>
      </c>
      <c r="E470">
        <v>606614</v>
      </c>
      <c r="F470" s="2">
        <v>0.64583333333333337</v>
      </c>
      <c r="G470" t="s">
        <v>6</v>
      </c>
      <c r="H470" s="2">
        <v>0.66666666666666663</v>
      </c>
      <c r="I470">
        <v>919</v>
      </c>
      <c r="J470">
        <v>0</v>
      </c>
      <c r="K470">
        <v>0</v>
      </c>
      <c r="L470">
        <v>21</v>
      </c>
      <c r="M470">
        <v>0</v>
      </c>
      <c r="N470">
        <v>0</v>
      </c>
      <c r="O470">
        <v>0</v>
      </c>
      <c r="P470">
        <v>5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5</v>
      </c>
      <c r="AC470">
        <v>4</v>
      </c>
      <c r="AD470" s="3" t="str">
        <f t="shared" si="21"/>
        <v>S2S NO PREMIUM</v>
      </c>
      <c r="AE470" s="3" t="str">
        <f>VLOOKUP(E470,'[1]Nómina Agentes'!$C:$D,2,0)</f>
        <v>SOSA BERNAO MARTINA</v>
      </c>
      <c r="AF470" s="5">
        <f t="shared" si="22"/>
        <v>0.64583333333333337</v>
      </c>
      <c r="AG470" s="5">
        <f t="shared" si="23"/>
        <v>0.66666666666666663</v>
      </c>
    </row>
    <row r="471" spans="1:33" x14ac:dyDescent="0.25">
      <c r="A471" s="1">
        <v>45567</v>
      </c>
      <c r="B471">
        <v>924</v>
      </c>
      <c r="C471" t="s">
        <v>43</v>
      </c>
      <c r="D471" t="s">
        <v>184</v>
      </c>
      <c r="E471">
        <v>606614</v>
      </c>
      <c r="F471" s="2">
        <v>0.70833333333333337</v>
      </c>
      <c r="G471" t="s">
        <v>6</v>
      </c>
      <c r="H471" s="2">
        <v>0.72916666666666663</v>
      </c>
      <c r="I471">
        <v>1145</v>
      </c>
      <c r="J471">
        <v>0</v>
      </c>
      <c r="K471">
        <v>0</v>
      </c>
      <c r="L471">
        <v>29</v>
      </c>
      <c r="M471">
        <v>0</v>
      </c>
      <c r="N471">
        <v>0</v>
      </c>
      <c r="O471">
        <v>0</v>
      </c>
      <c r="P471">
        <v>4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7</v>
      </c>
      <c r="AC471">
        <v>4</v>
      </c>
      <c r="AD471" s="3" t="str">
        <f t="shared" si="21"/>
        <v>S2S NO PREMIUM</v>
      </c>
      <c r="AE471" s="3" t="str">
        <f>VLOOKUP(E471,'[1]Nómina Agentes'!$C:$D,2,0)</f>
        <v>SOSA BERNAO MARTINA</v>
      </c>
      <c r="AF471" s="5">
        <f t="shared" si="22"/>
        <v>0.70833333333333337</v>
      </c>
      <c r="AG471" s="5">
        <f t="shared" si="23"/>
        <v>0.72916666666666663</v>
      </c>
    </row>
    <row r="472" spans="1:33" x14ac:dyDescent="0.25">
      <c r="A472" s="1">
        <v>45567</v>
      </c>
      <c r="B472">
        <v>924</v>
      </c>
      <c r="C472" t="s">
        <v>43</v>
      </c>
      <c r="D472" t="s">
        <v>184</v>
      </c>
      <c r="E472">
        <v>606614</v>
      </c>
      <c r="F472" s="2">
        <v>0.6875</v>
      </c>
      <c r="G472" t="s">
        <v>6</v>
      </c>
      <c r="H472" s="2">
        <v>0.70833333333333337</v>
      </c>
      <c r="I472">
        <v>1199</v>
      </c>
      <c r="J472">
        <v>10</v>
      </c>
      <c r="K472">
        <v>0</v>
      </c>
      <c r="L472">
        <v>23</v>
      </c>
      <c r="M472">
        <v>0</v>
      </c>
      <c r="N472">
        <v>0</v>
      </c>
      <c r="O472">
        <v>0</v>
      </c>
      <c r="P472">
        <v>66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7</v>
      </c>
      <c r="AC472">
        <v>6</v>
      </c>
      <c r="AD472" s="3" t="str">
        <f t="shared" si="21"/>
        <v>S2S NO PREMIUM</v>
      </c>
      <c r="AE472" s="3" t="str">
        <f>VLOOKUP(E472,'[1]Nómina Agentes'!$C:$D,2,0)</f>
        <v>SOSA BERNAO MARTINA</v>
      </c>
      <c r="AF472" s="5">
        <f t="shared" si="22"/>
        <v>0.6875</v>
      </c>
      <c r="AG472" s="5">
        <f t="shared" si="23"/>
        <v>0.70833333333333337</v>
      </c>
    </row>
    <row r="473" spans="1:33" x14ac:dyDescent="0.25">
      <c r="A473" s="1">
        <v>45567</v>
      </c>
      <c r="B473">
        <v>924</v>
      </c>
      <c r="C473" t="s">
        <v>43</v>
      </c>
      <c r="D473" t="s">
        <v>184</v>
      </c>
      <c r="E473">
        <v>606614</v>
      </c>
      <c r="F473" s="2">
        <v>0.66666666666666663</v>
      </c>
      <c r="G473" t="s">
        <v>6</v>
      </c>
      <c r="H473" s="2">
        <v>0.6875</v>
      </c>
      <c r="I473">
        <v>1391</v>
      </c>
      <c r="J473">
        <v>115</v>
      </c>
      <c r="K473">
        <v>0</v>
      </c>
      <c r="L473">
        <v>13</v>
      </c>
      <c r="M473">
        <v>0</v>
      </c>
      <c r="N473">
        <v>0</v>
      </c>
      <c r="O473">
        <v>0</v>
      </c>
      <c r="P473">
        <v>3</v>
      </c>
      <c r="Q473">
        <v>59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3</v>
      </c>
      <c r="AC473">
        <v>3</v>
      </c>
      <c r="AD473" s="3" t="str">
        <f t="shared" si="21"/>
        <v>S2S NO PREMIUM</v>
      </c>
      <c r="AE473" s="3" t="str">
        <f>VLOOKUP(E473,'[1]Nómina Agentes'!$C:$D,2,0)</f>
        <v>SOSA BERNAO MARTINA</v>
      </c>
      <c r="AF473" s="5">
        <f t="shared" si="22"/>
        <v>0.66666666666666663</v>
      </c>
      <c r="AG473" s="5">
        <f t="shared" si="23"/>
        <v>0.6875</v>
      </c>
    </row>
    <row r="474" spans="1:33" x14ac:dyDescent="0.25">
      <c r="A474" s="1">
        <v>45567</v>
      </c>
      <c r="B474">
        <v>924</v>
      </c>
      <c r="C474" t="s">
        <v>43</v>
      </c>
      <c r="D474" t="s">
        <v>184</v>
      </c>
      <c r="E474">
        <v>606614</v>
      </c>
      <c r="F474" s="2">
        <v>0.72916666666666663</v>
      </c>
      <c r="G474" t="s">
        <v>6</v>
      </c>
      <c r="H474" s="2">
        <v>0.75</v>
      </c>
      <c r="I474">
        <v>1772</v>
      </c>
      <c r="J474">
        <v>0</v>
      </c>
      <c r="K474">
        <v>0</v>
      </c>
      <c r="L474">
        <v>14</v>
      </c>
      <c r="M474">
        <v>0</v>
      </c>
      <c r="N474">
        <v>0</v>
      </c>
      <c r="O474">
        <v>0</v>
      </c>
      <c r="P474">
        <v>1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2</v>
      </c>
      <c r="AC474">
        <v>1</v>
      </c>
      <c r="AD474" s="3" t="str">
        <f t="shared" si="21"/>
        <v>S2S NO PREMIUM</v>
      </c>
      <c r="AE474" s="3" t="str">
        <f>VLOOKUP(E474,'[1]Nómina Agentes'!$C:$D,2,0)</f>
        <v>SOSA BERNAO MARTINA</v>
      </c>
      <c r="AF474" s="5">
        <f t="shared" si="22"/>
        <v>0.72916666666666663</v>
      </c>
      <c r="AG474" s="5">
        <f t="shared" si="23"/>
        <v>0.75</v>
      </c>
    </row>
    <row r="475" spans="1:33" x14ac:dyDescent="0.25">
      <c r="A475" s="1">
        <v>45567</v>
      </c>
      <c r="B475">
        <v>925</v>
      </c>
      <c r="C475" t="s">
        <v>42</v>
      </c>
      <c r="D475" t="s">
        <v>185</v>
      </c>
      <c r="E475">
        <v>606616</v>
      </c>
      <c r="F475" s="2">
        <v>0.77083333333333337</v>
      </c>
      <c r="G475" t="s">
        <v>6</v>
      </c>
      <c r="H475" s="2">
        <v>0.79166666666666663</v>
      </c>
      <c r="I475">
        <v>50</v>
      </c>
      <c r="J475">
        <v>0</v>
      </c>
      <c r="K475">
        <v>0</v>
      </c>
      <c r="L475">
        <v>4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 s="3" t="str">
        <f t="shared" si="21"/>
        <v>S2S PREMIUM</v>
      </c>
      <c r="AE475" s="3" t="str">
        <f>VLOOKUP(E475,'[1]Nómina Agentes'!$C:$D,2,0)</f>
        <v>SAGRADO NICOLAS</v>
      </c>
      <c r="AF475" s="5">
        <f t="shared" si="22"/>
        <v>0.77083333333333337</v>
      </c>
      <c r="AG475" s="5">
        <f t="shared" si="23"/>
        <v>0.79166666666666663</v>
      </c>
    </row>
    <row r="476" spans="1:33" x14ac:dyDescent="0.25">
      <c r="A476" s="1">
        <v>45567</v>
      </c>
      <c r="B476">
        <v>925</v>
      </c>
      <c r="C476" t="s">
        <v>42</v>
      </c>
      <c r="D476" t="s">
        <v>185</v>
      </c>
      <c r="E476">
        <v>606616</v>
      </c>
      <c r="F476" s="2">
        <v>0.625</v>
      </c>
      <c r="G476" t="s">
        <v>6</v>
      </c>
      <c r="H476" s="2">
        <v>0.64583333333333337</v>
      </c>
      <c r="I476">
        <v>497</v>
      </c>
      <c r="J476">
        <v>48</v>
      </c>
      <c r="K476">
        <v>0</v>
      </c>
      <c r="L476">
        <v>22</v>
      </c>
      <c r="M476">
        <v>0</v>
      </c>
      <c r="N476">
        <v>0</v>
      </c>
      <c r="O476">
        <v>0</v>
      </c>
      <c r="P476">
        <v>7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3</v>
      </c>
      <c r="AC476">
        <v>2</v>
      </c>
      <c r="AD476" s="3" t="str">
        <f t="shared" si="21"/>
        <v>S2S PREMIUM</v>
      </c>
      <c r="AE476" s="3" t="str">
        <f>VLOOKUP(E476,'[1]Nómina Agentes'!$C:$D,2,0)</f>
        <v>SAGRADO NICOLAS</v>
      </c>
      <c r="AF476" s="5">
        <f t="shared" si="22"/>
        <v>0.625</v>
      </c>
      <c r="AG476" s="5">
        <f t="shared" si="23"/>
        <v>0.64583333333333337</v>
      </c>
    </row>
    <row r="477" spans="1:33" x14ac:dyDescent="0.25">
      <c r="A477" s="1">
        <v>45567</v>
      </c>
      <c r="B477">
        <v>925</v>
      </c>
      <c r="C477" t="s">
        <v>42</v>
      </c>
      <c r="D477" t="s">
        <v>185</v>
      </c>
      <c r="E477">
        <v>606616</v>
      </c>
      <c r="F477" s="2">
        <v>0.64583333333333337</v>
      </c>
      <c r="G477" t="s">
        <v>6</v>
      </c>
      <c r="H477" s="2">
        <v>0.66666666666666663</v>
      </c>
      <c r="I477">
        <v>518</v>
      </c>
      <c r="J477">
        <v>0</v>
      </c>
      <c r="K477">
        <v>0</v>
      </c>
      <c r="L477">
        <v>13</v>
      </c>
      <c r="M477">
        <v>0</v>
      </c>
      <c r="N477">
        <v>0</v>
      </c>
      <c r="O477">
        <v>0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4</v>
      </c>
      <c r="AC477">
        <v>0</v>
      </c>
      <c r="AD477" s="3" t="str">
        <f t="shared" si="21"/>
        <v>S2S PREMIUM</v>
      </c>
      <c r="AE477" s="3" t="str">
        <f>VLOOKUP(E477,'[1]Nómina Agentes'!$C:$D,2,0)</f>
        <v>SAGRADO NICOLAS</v>
      </c>
      <c r="AF477" s="5">
        <f t="shared" si="22"/>
        <v>0.64583333333333337</v>
      </c>
      <c r="AG477" s="5">
        <f t="shared" si="23"/>
        <v>0.66666666666666663</v>
      </c>
    </row>
    <row r="478" spans="1:33" x14ac:dyDescent="0.25">
      <c r="A478" s="1">
        <v>45567</v>
      </c>
      <c r="B478">
        <v>925</v>
      </c>
      <c r="C478" t="s">
        <v>42</v>
      </c>
      <c r="D478" t="s">
        <v>185</v>
      </c>
      <c r="E478">
        <v>606616</v>
      </c>
      <c r="F478" s="2">
        <v>0.70833333333333337</v>
      </c>
      <c r="G478" t="s">
        <v>6</v>
      </c>
      <c r="H478" s="2">
        <v>0.72916666666666663</v>
      </c>
      <c r="I478">
        <v>660</v>
      </c>
      <c r="J478">
        <v>0</v>
      </c>
      <c r="K478">
        <v>0</v>
      </c>
      <c r="L478">
        <v>20</v>
      </c>
      <c r="M478">
        <v>0</v>
      </c>
      <c r="N478">
        <v>0</v>
      </c>
      <c r="O478">
        <v>0</v>
      </c>
      <c r="P478">
        <v>204</v>
      </c>
      <c r="Q478">
        <v>191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4</v>
      </c>
      <c r="AC478">
        <v>2</v>
      </c>
      <c r="AD478" s="3" t="str">
        <f t="shared" si="21"/>
        <v>S2S PREMIUM</v>
      </c>
      <c r="AE478" s="3" t="str">
        <f>VLOOKUP(E478,'[1]Nómina Agentes'!$C:$D,2,0)</f>
        <v>SAGRADO NICOLAS</v>
      </c>
      <c r="AF478" s="5">
        <f t="shared" si="22"/>
        <v>0.70833333333333337</v>
      </c>
      <c r="AG478" s="5">
        <f t="shared" si="23"/>
        <v>0.72916666666666663</v>
      </c>
    </row>
    <row r="479" spans="1:33" x14ac:dyDescent="0.25">
      <c r="A479" s="1">
        <v>45567</v>
      </c>
      <c r="B479">
        <v>925</v>
      </c>
      <c r="C479" t="s">
        <v>42</v>
      </c>
      <c r="D479" t="s">
        <v>185</v>
      </c>
      <c r="E479">
        <v>606616</v>
      </c>
      <c r="F479" s="2">
        <v>0.75</v>
      </c>
      <c r="G479" t="s">
        <v>6</v>
      </c>
      <c r="H479" s="2">
        <v>0.77083333333333337</v>
      </c>
      <c r="I479">
        <v>845</v>
      </c>
      <c r="J479">
        <v>28</v>
      </c>
      <c r="K479">
        <v>0</v>
      </c>
      <c r="L479">
        <v>14</v>
      </c>
      <c r="M479">
        <v>0</v>
      </c>
      <c r="N479">
        <v>0</v>
      </c>
      <c r="O479">
        <v>0</v>
      </c>
      <c r="P479">
        <v>5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5</v>
      </c>
      <c r="AC479">
        <v>5</v>
      </c>
      <c r="AD479" s="3" t="str">
        <f t="shared" si="21"/>
        <v>S2S PREMIUM</v>
      </c>
      <c r="AE479" s="3" t="str">
        <f>VLOOKUP(E479,'[1]Nómina Agentes'!$C:$D,2,0)</f>
        <v>SAGRADO NICOLAS</v>
      </c>
      <c r="AF479" s="5">
        <f t="shared" si="22"/>
        <v>0.75</v>
      </c>
      <c r="AG479" s="5">
        <f t="shared" si="23"/>
        <v>0.77083333333333337</v>
      </c>
    </row>
    <row r="480" spans="1:33" x14ac:dyDescent="0.25">
      <c r="A480" s="1">
        <v>45567</v>
      </c>
      <c r="B480">
        <v>925</v>
      </c>
      <c r="C480" t="s">
        <v>42</v>
      </c>
      <c r="D480" t="s">
        <v>185</v>
      </c>
      <c r="E480">
        <v>606616</v>
      </c>
      <c r="F480" s="2">
        <v>0.72916666666666663</v>
      </c>
      <c r="G480" t="s">
        <v>6</v>
      </c>
      <c r="H480" s="2">
        <v>0.75</v>
      </c>
      <c r="I480">
        <v>1033</v>
      </c>
      <c r="J480">
        <v>62</v>
      </c>
      <c r="K480">
        <v>0</v>
      </c>
      <c r="L480">
        <v>17</v>
      </c>
      <c r="M480">
        <v>0</v>
      </c>
      <c r="N480">
        <v>0</v>
      </c>
      <c r="O480">
        <v>0</v>
      </c>
      <c r="P480">
        <v>117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3</v>
      </c>
      <c r="AC480">
        <v>1</v>
      </c>
      <c r="AD480" s="3" t="str">
        <f t="shared" si="21"/>
        <v>S2S PREMIUM</v>
      </c>
      <c r="AE480" s="3" t="str">
        <f>VLOOKUP(E480,'[1]Nómina Agentes'!$C:$D,2,0)</f>
        <v>SAGRADO NICOLAS</v>
      </c>
      <c r="AF480" s="5">
        <f t="shared" si="22"/>
        <v>0.72916666666666663</v>
      </c>
      <c r="AG480" s="5">
        <f t="shared" si="23"/>
        <v>0.75</v>
      </c>
    </row>
    <row r="481" spans="1:33" x14ac:dyDescent="0.25">
      <c r="A481" s="1">
        <v>45567</v>
      </c>
      <c r="B481">
        <v>925</v>
      </c>
      <c r="C481" t="s">
        <v>42</v>
      </c>
      <c r="D481" t="s">
        <v>185</v>
      </c>
      <c r="E481">
        <v>606616</v>
      </c>
      <c r="F481" s="2">
        <v>0.66666666666666663</v>
      </c>
      <c r="G481" t="s">
        <v>6</v>
      </c>
      <c r="H481" s="2">
        <v>0.6875</v>
      </c>
      <c r="I481">
        <v>1081</v>
      </c>
      <c r="J481">
        <v>0</v>
      </c>
      <c r="K481">
        <v>0</v>
      </c>
      <c r="L481">
        <v>13</v>
      </c>
      <c r="M481">
        <v>0</v>
      </c>
      <c r="N481">
        <v>0</v>
      </c>
      <c r="O481">
        <v>0</v>
      </c>
      <c r="P481">
        <v>3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3</v>
      </c>
      <c r="AC481">
        <v>2</v>
      </c>
      <c r="AD481" s="3" t="str">
        <f t="shared" si="21"/>
        <v>S2S PREMIUM</v>
      </c>
      <c r="AE481" s="3" t="str">
        <f>VLOOKUP(E481,'[1]Nómina Agentes'!$C:$D,2,0)</f>
        <v>SAGRADO NICOLAS</v>
      </c>
      <c r="AF481" s="5">
        <f t="shared" si="22"/>
        <v>0.66666666666666663</v>
      </c>
      <c r="AG481" s="5">
        <f t="shared" si="23"/>
        <v>0.6875</v>
      </c>
    </row>
    <row r="482" spans="1:33" x14ac:dyDescent="0.25">
      <c r="A482" s="1">
        <v>45567</v>
      </c>
      <c r="B482">
        <v>925</v>
      </c>
      <c r="C482" t="s">
        <v>42</v>
      </c>
      <c r="D482" t="s">
        <v>185</v>
      </c>
      <c r="E482">
        <v>606616</v>
      </c>
      <c r="F482" s="2">
        <v>0.79166666666666663</v>
      </c>
      <c r="G482" t="s">
        <v>6</v>
      </c>
      <c r="H482" s="2">
        <v>0.8125</v>
      </c>
      <c r="I482">
        <v>1194</v>
      </c>
      <c r="J482">
        <v>0</v>
      </c>
      <c r="K482">
        <v>0</v>
      </c>
      <c r="L482">
        <v>16</v>
      </c>
      <c r="M482">
        <v>0</v>
      </c>
      <c r="N482">
        <v>0</v>
      </c>
      <c r="O482">
        <v>0</v>
      </c>
      <c r="P482">
        <v>55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5</v>
      </c>
      <c r="AC482">
        <v>3</v>
      </c>
      <c r="AD482" s="3" t="str">
        <f t="shared" si="21"/>
        <v>S2S PREMIUM</v>
      </c>
      <c r="AE482" s="3" t="str">
        <f>VLOOKUP(E482,'[1]Nómina Agentes'!$C:$D,2,0)</f>
        <v>SAGRADO NICOLAS</v>
      </c>
      <c r="AF482" s="5">
        <f t="shared" si="22"/>
        <v>0.79166666666666663</v>
      </c>
      <c r="AG482" s="5">
        <f t="shared" si="23"/>
        <v>0.8125</v>
      </c>
    </row>
    <row r="483" spans="1:33" x14ac:dyDescent="0.25">
      <c r="A483" s="1">
        <v>45567</v>
      </c>
      <c r="B483">
        <v>925</v>
      </c>
      <c r="C483" t="s">
        <v>42</v>
      </c>
      <c r="D483" t="s">
        <v>185</v>
      </c>
      <c r="E483">
        <v>606616</v>
      </c>
      <c r="F483" s="2">
        <v>0.8125</v>
      </c>
      <c r="G483" t="s">
        <v>6</v>
      </c>
      <c r="H483" s="2">
        <v>0.83333333333333337</v>
      </c>
      <c r="I483">
        <v>1308</v>
      </c>
      <c r="J483">
        <v>0</v>
      </c>
      <c r="K483">
        <v>0</v>
      </c>
      <c r="L483">
        <v>12</v>
      </c>
      <c r="M483">
        <v>0</v>
      </c>
      <c r="N483">
        <v>0</v>
      </c>
      <c r="O483">
        <v>0</v>
      </c>
      <c r="P483">
        <v>3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3</v>
      </c>
      <c r="AC483">
        <v>2</v>
      </c>
      <c r="AD483" s="3" t="str">
        <f t="shared" si="21"/>
        <v>S2S PREMIUM</v>
      </c>
      <c r="AE483" s="3" t="str">
        <f>VLOOKUP(E483,'[1]Nómina Agentes'!$C:$D,2,0)</f>
        <v>SAGRADO NICOLAS</v>
      </c>
      <c r="AF483" s="5">
        <f t="shared" si="22"/>
        <v>0.8125</v>
      </c>
      <c r="AG483" s="5">
        <f t="shared" si="23"/>
        <v>0.83333333333333337</v>
      </c>
    </row>
    <row r="484" spans="1:33" x14ac:dyDescent="0.25">
      <c r="A484" s="1">
        <v>45567</v>
      </c>
      <c r="B484">
        <v>925</v>
      </c>
      <c r="C484" t="s">
        <v>42</v>
      </c>
      <c r="D484" t="s">
        <v>185</v>
      </c>
      <c r="E484">
        <v>606616</v>
      </c>
      <c r="F484" s="2">
        <v>0.6875</v>
      </c>
      <c r="G484" t="s">
        <v>6</v>
      </c>
      <c r="H484" s="2">
        <v>0.70833333333333337</v>
      </c>
      <c r="I484">
        <v>1316</v>
      </c>
      <c r="J484">
        <v>62</v>
      </c>
      <c r="K484">
        <v>0</v>
      </c>
      <c r="L484">
        <v>16</v>
      </c>
      <c r="M484">
        <v>0</v>
      </c>
      <c r="N484">
        <v>0</v>
      </c>
      <c r="O484">
        <v>0</v>
      </c>
      <c r="P484">
        <v>75</v>
      </c>
      <c r="Q484">
        <v>63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4</v>
      </c>
      <c r="AC484">
        <v>3</v>
      </c>
      <c r="AD484" s="3" t="str">
        <f t="shared" si="21"/>
        <v>S2S PREMIUM</v>
      </c>
      <c r="AE484" s="3" t="str">
        <f>VLOOKUP(E484,'[1]Nómina Agentes'!$C:$D,2,0)</f>
        <v>SAGRADO NICOLAS</v>
      </c>
      <c r="AF484" s="5">
        <f t="shared" si="22"/>
        <v>0.6875</v>
      </c>
      <c r="AG484" s="5">
        <f t="shared" si="23"/>
        <v>0.70833333333333337</v>
      </c>
    </row>
    <row r="485" spans="1:33" x14ac:dyDescent="0.25">
      <c r="A485" s="1">
        <v>45567</v>
      </c>
      <c r="B485">
        <v>925</v>
      </c>
      <c r="C485" t="s">
        <v>42</v>
      </c>
      <c r="D485" t="s">
        <v>120</v>
      </c>
      <c r="E485">
        <v>606623</v>
      </c>
      <c r="F485" s="2">
        <v>0.79166666666666663</v>
      </c>
      <c r="G485" t="s">
        <v>6</v>
      </c>
      <c r="H485" s="2">
        <v>0.8125</v>
      </c>
      <c r="I485">
        <v>231</v>
      </c>
      <c r="J485">
        <v>0</v>
      </c>
      <c r="K485">
        <v>0</v>
      </c>
      <c r="L485">
        <v>4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1</v>
      </c>
      <c r="AC485">
        <v>1</v>
      </c>
      <c r="AD485" s="3" t="str">
        <f t="shared" si="21"/>
        <v>S2S PREMIUM</v>
      </c>
      <c r="AE485" s="3" t="str">
        <f>VLOOKUP(E485,'[1]Nómina Agentes'!$C:$D,2,0)</f>
        <v>CORIA CANDELA</v>
      </c>
      <c r="AF485" s="5">
        <f t="shared" si="22"/>
        <v>0.79166666666666663</v>
      </c>
      <c r="AG485" s="5">
        <f t="shared" si="23"/>
        <v>0.8125</v>
      </c>
    </row>
    <row r="486" spans="1:33" x14ac:dyDescent="0.25">
      <c r="A486" s="1">
        <v>45567</v>
      </c>
      <c r="B486">
        <v>925</v>
      </c>
      <c r="C486" t="s">
        <v>42</v>
      </c>
      <c r="D486" t="s">
        <v>120</v>
      </c>
      <c r="E486">
        <v>606623</v>
      </c>
      <c r="F486" s="2">
        <v>0.64583333333333337</v>
      </c>
      <c r="G486" t="s">
        <v>6</v>
      </c>
      <c r="H486" s="2">
        <v>0.66666666666666663</v>
      </c>
      <c r="I486">
        <v>649</v>
      </c>
      <c r="J486">
        <v>0</v>
      </c>
      <c r="K486">
        <v>0</v>
      </c>
      <c r="L486">
        <v>16</v>
      </c>
      <c r="M486">
        <v>0</v>
      </c>
      <c r="N486">
        <v>0</v>
      </c>
      <c r="O486">
        <v>0</v>
      </c>
      <c r="P486">
        <v>53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4</v>
      </c>
      <c r="AC486">
        <v>4</v>
      </c>
      <c r="AD486" s="3" t="str">
        <f t="shared" si="21"/>
        <v>S2S PREMIUM</v>
      </c>
      <c r="AE486" s="3" t="str">
        <f>VLOOKUP(E486,'[1]Nómina Agentes'!$C:$D,2,0)</f>
        <v>CORIA CANDELA</v>
      </c>
      <c r="AF486" s="5">
        <f t="shared" si="22"/>
        <v>0.64583333333333337</v>
      </c>
      <c r="AG486" s="5">
        <f t="shared" si="23"/>
        <v>0.66666666666666663</v>
      </c>
    </row>
    <row r="487" spans="1:33" x14ac:dyDescent="0.25">
      <c r="A487" s="1">
        <v>45567</v>
      </c>
      <c r="B487">
        <v>925</v>
      </c>
      <c r="C487" t="s">
        <v>42</v>
      </c>
      <c r="D487" t="s">
        <v>120</v>
      </c>
      <c r="E487">
        <v>606623</v>
      </c>
      <c r="F487" s="2">
        <v>0.58333333333333337</v>
      </c>
      <c r="G487" t="s">
        <v>6</v>
      </c>
      <c r="H487" s="2">
        <v>0.60416666666666663</v>
      </c>
      <c r="I487">
        <v>676</v>
      </c>
      <c r="J487">
        <v>0</v>
      </c>
      <c r="K487">
        <v>0</v>
      </c>
      <c r="L487">
        <v>17</v>
      </c>
      <c r="M487">
        <v>0</v>
      </c>
      <c r="N487">
        <v>0</v>
      </c>
      <c r="O487">
        <v>0</v>
      </c>
      <c r="P487">
        <v>229</v>
      </c>
      <c r="Q487">
        <v>162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3</v>
      </c>
      <c r="AC487">
        <v>2</v>
      </c>
      <c r="AD487" s="3" t="str">
        <f t="shared" si="21"/>
        <v>S2S PREMIUM</v>
      </c>
      <c r="AE487" s="3" t="str">
        <f>VLOOKUP(E487,'[1]Nómina Agentes'!$C:$D,2,0)</f>
        <v>CORIA CANDELA</v>
      </c>
      <c r="AF487" s="5">
        <f t="shared" si="22"/>
        <v>0.58333333333333337</v>
      </c>
      <c r="AG487" s="5">
        <f t="shared" si="23"/>
        <v>0.60416666666666663</v>
      </c>
    </row>
    <row r="488" spans="1:33" x14ac:dyDescent="0.25">
      <c r="A488" s="1">
        <v>45567</v>
      </c>
      <c r="B488">
        <v>925</v>
      </c>
      <c r="C488" t="s">
        <v>42</v>
      </c>
      <c r="D488" t="s">
        <v>120</v>
      </c>
      <c r="E488">
        <v>606623</v>
      </c>
      <c r="F488" s="2">
        <v>0.60416666666666663</v>
      </c>
      <c r="G488" t="s">
        <v>6</v>
      </c>
      <c r="H488" s="2">
        <v>0.625</v>
      </c>
      <c r="I488">
        <v>681</v>
      </c>
      <c r="J488">
        <v>0</v>
      </c>
      <c r="K488">
        <v>0</v>
      </c>
      <c r="L488">
        <v>19</v>
      </c>
      <c r="M488">
        <v>0</v>
      </c>
      <c r="N488">
        <v>0</v>
      </c>
      <c r="O488">
        <v>0</v>
      </c>
      <c r="P488">
        <v>102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3</v>
      </c>
      <c r="AC488">
        <v>2</v>
      </c>
      <c r="AD488" s="3" t="str">
        <f t="shared" si="21"/>
        <v>S2S PREMIUM</v>
      </c>
      <c r="AE488" s="3" t="str">
        <f>VLOOKUP(E488,'[1]Nómina Agentes'!$C:$D,2,0)</f>
        <v>CORIA CANDELA</v>
      </c>
      <c r="AF488" s="5">
        <f t="shared" si="22"/>
        <v>0.60416666666666663</v>
      </c>
      <c r="AG488" s="5">
        <f t="shared" si="23"/>
        <v>0.625</v>
      </c>
    </row>
    <row r="489" spans="1:33" x14ac:dyDescent="0.25">
      <c r="A489" s="1">
        <v>45567</v>
      </c>
      <c r="B489">
        <v>925</v>
      </c>
      <c r="C489" t="s">
        <v>42</v>
      </c>
      <c r="D489" t="s">
        <v>120</v>
      </c>
      <c r="E489">
        <v>606623</v>
      </c>
      <c r="F489" s="2">
        <v>0.66666666666666663</v>
      </c>
      <c r="G489" t="s">
        <v>6</v>
      </c>
      <c r="H489" s="2">
        <v>0.6875</v>
      </c>
      <c r="I489">
        <v>760</v>
      </c>
      <c r="J489">
        <v>0</v>
      </c>
      <c r="K489">
        <v>0</v>
      </c>
      <c r="L489">
        <v>16</v>
      </c>
      <c r="M489">
        <v>0</v>
      </c>
      <c r="N489">
        <v>0</v>
      </c>
      <c r="O489">
        <v>0</v>
      </c>
      <c r="P489">
        <v>4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4</v>
      </c>
      <c r="AC489">
        <v>4</v>
      </c>
      <c r="AD489" s="3" t="str">
        <f t="shared" si="21"/>
        <v>S2S PREMIUM</v>
      </c>
      <c r="AE489" s="3" t="str">
        <f>VLOOKUP(E489,'[1]Nómina Agentes'!$C:$D,2,0)</f>
        <v>CORIA CANDELA</v>
      </c>
      <c r="AF489" s="5">
        <f t="shared" si="22"/>
        <v>0.66666666666666663</v>
      </c>
      <c r="AG489" s="5">
        <f t="shared" si="23"/>
        <v>0.6875</v>
      </c>
    </row>
    <row r="490" spans="1:33" x14ac:dyDescent="0.25">
      <c r="A490" s="1">
        <v>45567</v>
      </c>
      <c r="B490">
        <v>925</v>
      </c>
      <c r="C490" t="s">
        <v>42</v>
      </c>
      <c r="D490" t="s">
        <v>120</v>
      </c>
      <c r="E490">
        <v>606623</v>
      </c>
      <c r="F490" s="2">
        <v>0.8125</v>
      </c>
      <c r="G490" t="s">
        <v>6</v>
      </c>
      <c r="H490" s="2">
        <v>0.83333333333333337</v>
      </c>
      <c r="I490">
        <v>870</v>
      </c>
      <c r="J490">
        <v>0</v>
      </c>
      <c r="K490">
        <v>0</v>
      </c>
      <c r="L490">
        <v>14</v>
      </c>
      <c r="M490">
        <v>0</v>
      </c>
      <c r="N490">
        <v>0</v>
      </c>
      <c r="O490">
        <v>0</v>
      </c>
      <c r="P490">
        <v>64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3</v>
      </c>
      <c r="AC490">
        <v>2</v>
      </c>
      <c r="AD490" s="3" t="str">
        <f t="shared" si="21"/>
        <v>S2S PREMIUM</v>
      </c>
      <c r="AE490" s="3" t="str">
        <f>VLOOKUP(E490,'[1]Nómina Agentes'!$C:$D,2,0)</f>
        <v>CORIA CANDELA</v>
      </c>
      <c r="AF490" s="5">
        <f t="shared" si="22"/>
        <v>0.8125</v>
      </c>
      <c r="AG490" s="5">
        <f t="shared" si="23"/>
        <v>0.83333333333333337</v>
      </c>
    </row>
    <row r="491" spans="1:33" x14ac:dyDescent="0.25">
      <c r="A491" s="1">
        <v>45567</v>
      </c>
      <c r="B491">
        <v>925</v>
      </c>
      <c r="C491" t="s">
        <v>42</v>
      </c>
      <c r="D491" t="s">
        <v>120</v>
      </c>
      <c r="E491">
        <v>606623</v>
      </c>
      <c r="F491" s="2">
        <v>0.75</v>
      </c>
      <c r="G491" t="s">
        <v>6</v>
      </c>
      <c r="H491" s="2">
        <v>0.77083333333333337</v>
      </c>
      <c r="I491">
        <v>1011</v>
      </c>
      <c r="J491">
        <v>228</v>
      </c>
      <c r="K491">
        <v>0</v>
      </c>
      <c r="L491">
        <v>12</v>
      </c>
      <c r="M491">
        <v>0</v>
      </c>
      <c r="N491">
        <v>0</v>
      </c>
      <c r="O491">
        <v>0</v>
      </c>
      <c r="P491">
        <v>3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3</v>
      </c>
      <c r="AC491">
        <v>3</v>
      </c>
      <c r="AD491" s="3" t="str">
        <f t="shared" si="21"/>
        <v>S2S PREMIUM</v>
      </c>
      <c r="AE491" s="3" t="str">
        <f>VLOOKUP(E491,'[1]Nómina Agentes'!$C:$D,2,0)</f>
        <v>CORIA CANDELA</v>
      </c>
      <c r="AF491" s="5">
        <f t="shared" si="22"/>
        <v>0.75</v>
      </c>
      <c r="AG491" s="5">
        <f t="shared" si="23"/>
        <v>0.77083333333333337</v>
      </c>
    </row>
    <row r="492" spans="1:33" x14ac:dyDescent="0.25">
      <c r="A492" s="1">
        <v>45567</v>
      </c>
      <c r="B492">
        <v>925</v>
      </c>
      <c r="C492" t="s">
        <v>42</v>
      </c>
      <c r="D492" t="s">
        <v>120</v>
      </c>
      <c r="E492">
        <v>606623</v>
      </c>
      <c r="F492" s="2">
        <v>0.77083333333333337</v>
      </c>
      <c r="G492" t="s">
        <v>6</v>
      </c>
      <c r="H492" s="2">
        <v>0.79166666666666663</v>
      </c>
      <c r="I492">
        <v>1052</v>
      </c>
      <c r="J492">
        <v>0</v>
      </c>
      <c r="K492">
        <v>0</v>
      </c>
      <c r="L492">
        <v>14</v>
      </c>
      <c r="M492">
        <v>0</v>
      </c>
      <c r="N492">
        <v>0</v>
      </c>
      <c r="O492">
        <v>0</v>
      </c>
      <c r="P492">
        <v>149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4</v>
      </c>
      <c r="AC492">
        <v>4</v>
      </c>
      <c r="AD492" s="3" t="str">
        <f t="shared" si="21"/>
        <v>S2S PREMIUM</v>
      </c>
      <c r="AE492" s="3" t="str">
        <f>VLOOKUP(E492,'[1]Nómina Agentes'!$C:$D,2,0)</f>
        <v>CORIA CANDELA</v>
      </c>
      <c r="AF492" s="5">
        <f t="shared" si="22"/>
        <v>0.77083333333333337</v>
      </c>
      <c r="AG492" s="5">
        <f t="shared" si="23"/>
        <v>0.79166666666666663</v>
      </c>
    </row>
    <row r="493" spans="1:33" x14ac:dyDescent="0.25">
      <c r="A493" s="1">
        <v>45567</v>
      </c>
      <c r="B493">
        <v>925</v>
      </c>
      <c r="C493" t="s">
        <v>42</v>
      </c>
      <c r="D493" t="s">
        <v>120</v>
      </c>
      <c r="E493">
        <v>606623</v>
      </c>
      <c r="F493" s="2">
        <v>0.625</v>
      </c>
      <c r="G493" t="s">
        <v>6</v>
      </c>
      <c r="H493" s="2">
        <v>0.64583333333333337</v>
      </c>
      <c r="I493">
        <v>1089</v>
      </c>
      <c r="J493">
        <v>0</v>
      </c>
      <c r="K493">
        <v>0</v>
      </c>
      <c r="L493">
        <v>13</v>
      </c>
      <c r="M493">
        <v>0</v>
      </c>
      <c r="N493">
        <v>0</v>
      </c>
      <c r="O493">
        <v>0</v>
      </c>
      <c r="P493">
        <v>78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3</v>
      </c>
      <c r="AC493">
        <v>3</v>
      </c>
      <c r="AD493" s="3" t="str">
        <f t="shared" si="21"/>
        <v>S2S PREMIUM</v>
      </c>
      <c r="AE493" s="3" t="str">
        <f>VLOOKUP(E493,'[1]Nómina Agentes'!$C:$D,2,0)</f>
        <v>CORIA CANDELA</v>
      </c>
      <c r="AF493" s="5">
        <f t="shared" si="22"/>
        <v>0.625</v>
      </c>
      <c r="AG493" s="5">
        <f t="shared" si="23"/>
        <v>0.64583333333333337</v>
      </c>
    </row>
    <row r="494" spans="1:33" x14ac:dyDescent="0.25">
      <c r="A494" s="1">
        <v>45567</v>
      </c>
      <c r="B494">
        <v>925</v>
      </c>
      <c r="C494" t="s">
        <v>42</v>
      </c>
      <c r="D494" t="s">
        <v>120</v>
      </c>
      <c r="E494">
        <v>606623</v>
      </c>
      <c r="F494" s="2">
        <v>0.72916666666666663</v>
      </c>
      <c r="G494" t="s">
        <v>6</v>
      </c>
      <c r="H494" s="2">
        <v>0.75</v>
      </c>
      <c r="I494">
        <v>1168</v>
      </c>
      <c r="J494">
        <v>0</v>
      </c>
      <c r="K494">
        <v>0</v>
      </c>
      <c r="L494">
        <v>21</v>
      </c>
      <c r="M494">
        <v>0</v>
      </c>
      <c r="N494">
        <v>0</v>
      </c>
      <c r="O494">
        <v>0</v>
      </c>
      <c r="P494">
        <v>5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5</v>
      </c>
      <c r="AC494">
        <v>5</v>
      </c>
      <c r="AD494" s="3" t="str">
        <f t="shared" si="21"/>
        <v>S2S PREMIUM</v>
      </c>
      <c r="AE494" s="3" t="str">
        <f>VLOOKUP(E494,'[1]Nómina Agentes'!$C:$D,2,0)</f>
        <v>CORIA CANDELA</v>
      </c>
      <c r="AF494" s="5">
        <f t="shared" si="22"/>
        <v>0.72916666666666663</v>
      </c>
      <c r="AG494" s="5">
        <f t="shared" si="23"/>
        <v>0.75</v>
      </c>
    </row>
    <row r="495" spans="1:33" x14ac:dyDescent="0.25">
      <c r="A495" s="1">
        <v>45567</v>
      </c>
      <c r="B495">
        <v>925</v>
      </c>
      <c r="C495" t="s">
        <v>42</v>
      </c>
      <c r="D495" t="s">
        <v>120</v>
      </c>
      <c r="E495">
        <v>606623</v>
      </c>
      <c r="F495" s="2">
        <v>0.6875</v>
      </c>
      <c r="G495" t="s">
        <v>6</v>
      </c>
      <c r="H495" s="2">
        <v>0.70833333333333337</v>
      </c>
      <c r="I495">
        <v>1222</v>
      </c>
      <c r="J495">
        <v>0</v>
      </c>
      <c r="K495">
        <v>0</v>
      </c>
      <c r="L495">
        <v>16</v>
      </c>
      <c r="M495">
        <v>0</v>
      </c>
      <c r="N495">
        <v>0</v>
      </c>
      <c r="O495">
        <v>0</v>
      </c>
      <c r="P495">
        <v>235</v>
      </c>
      <c r="Q495">
        <v>97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4</v>
      </c>
      <c r="AC495">
        <v>3</v>
      </c>
      <c r="AD495" s="3" t="str">
        <f t="shared" si="21"/>
        <v>S2S PREMIUM</v>
      </c>
      <c r="AE495" s="3" t="str">
        <f>VLOOKUP(E495,'[1]Nómina Agentes'!$C:$D,2,0)</f>
        <v>CORIA CANDELA</v>
      </c>
      <c r="AF495" s="5">
        <f t="shared" si="22"/>
        <v>0.6875</v>
      </c>
      <c r="AG495" s="5">
        <f t="shared" si="23"/>
        <v>0.70833333333333337</v>
      </c>
    </row>
    <row r="496" spans="1:33" x14ac:dyDescent="0.25">
      <c r="A496" s="1">
        <v>45567</v>
      </c>
      <c r="B496">
        <v>925</v>
      </c>
      <c r="C496" t="s">
        <v>42</v>
      </c>
      <c r="D496" t="s">
        <v>120</v>
      </c>
      <c r="E496">
        <v>606623</v>
      </c>
      <c r="F496" s="2">
        <v>0.70833333333333337</v>
      </c>
      <c r="G496" t="s">
        <v>6</v>
      </c>
      <c r="H496" s="2">
        <v>0.72916666666666663</v>
      </c>
      <c r="I496">
        <v>1279</v>
      </c>
      <c r="J496">
        <v>169</v>
      </c>
      <c r="K496">
        <v>0</v>
      </c>
      <c r="L496">
        <v>16</v>
      </c>
      <c r="M496">
        <v>0</v>
      </c>
      <c r="N496">
        <v>0</v>
      </c>
      <c r="O496">
        <v>0</v>
      </c>
      <c r="P496">
        <v>4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4</v>
      </c>
      <c r="AC496">
        <v>4</v>
      </c>
      <c r="AD496" s="3" t="str">
        <f t="shared" si="21"/>
        <v>S2S PREMIUM</v>
      </c>
      <c r="AE496" s="3" t="str">
        <f>VLOOKUP(E496,'[1]Nómina Agentes'!$C:$D,2,0)</f>
        <v>CORIA CANDELA</v>
      </c>
      <c r="AF496" s="5">
        <f t="shared" si="22"/>
        <v>0.70833333333333337</v>
      </c>
      <c r="AG496" s="5">
        <f t="shared" si="23"/>
        <v>0.72916666666666663</v>
      </c>
    </row>
    <row r="497" spans="1:33" x14ac:dyDescent="0.25">
      <c r="A497" s="1">
        <v>45567</v>
      </c>
      <c r="B497">
        <v>925</v>
      </c>
      <c r="C497" t="s">
        <v>42</v>
      </c>
      <c r="D497" t="s">
        <v>132</v>
      </c>
      <c r="E497">
        <v>606644</v>
      </c>
      <c r="F497" s="2">
        <v>0.58333333333333337</v>
      </c>
      <c r="G497" t="s">
        <v>6</v>
      </c>
      <c r="H497" s="2">
        <v>0.60416666666666663</v>
      </c>
      <c r="I497">
        <v>7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1</v>
      </c>
      <c r="AC497">
        <v>1</v>
      </c>
      <c r="AD497" s="3" t="str">
        <f t="shared" si="21"/>
        <v>S2S PREMIUM</v>
      </c>
      <c r="AE497" s="3" t="str">
        <f>VLOOKUP(E497,'[1]Nómina Agentes'!$C:$D,2,0)</f>
        <v>SALLES MATIAS</v>
      </c>
      <c r="AF497" s="5">
        <f t="shared" si="22"/>
        <v>0.58333333333333337</v>
      </c>
      <c r="AG497" s="5">
        <f t="shared" si="23"/>
        <v>0.60416666666666663</v>
      </c>
    </row>
    <row r="498" spans="1:33" x14ac:dyDescent="0.25">
      <c r="A498" s="1">
        <v>45567</v>
      </c>
      <c r="B498">
        <v>924</v>
      </c>
      <c r="C498" t="s">
        <v>43</v>
      </c>
      <c r="D498" t="s">
        <v>186</v>
      </c>
      <c r="E498">
        <v>606645</v>
      </c>
      <c r="F498" s="2">
        <v>0.64583333333333337</v>
      </c>
      <c r="G498" t="s">
        <v>6</v>
      </c>
      <c r="H498" s="2">
        <v>0.66666666666666663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 s="3" t="str">
        <f t="shared" si="21"/>
        <v>S2S NO PREMIUM</v>
      </c>
      <c r="AE498" s="3" t="str">
        <f>VLOOKUP(E498,'[1]Nómina Agentes'!$C:$D,2,0)</f>
        <v>COLMENARES EMILY</v>
      </c>
      <c r="AF498" s="5">
        <f t="shared" si="22"/>
        <v>0.64583333333333337</v>
      </c>
      <c r="AG498" s="5">
        <f t="shared" si="23"/>
        <v>0.66666666666666663</v>
      </c>
    </row>
    <row r="499" spans="1:33" x14ac:dyDescent="0.25">
      <c r="A499" s="1">
        <v>45567</v>
      </c>
      <c r="B499">
        <v>924</v>
      </c>
      <c r="C499" t="s">
        <v>43</v>
      </c>
      <c r="D499" t="s">
        <v>186</v>
      </c>
      <c r="E499">
        <v>606645</v>
      </c>
      <c r="F499" s="2">
        <v>0.79166666666666663</v>
      </c>
      <c r="G499" t="s">
        <v>6</v>
      </c>
      <c r="H499" s="2">
        <v>0.8125</v>
      </c>
      <c r="I499">
        <v>546</v>
      </c>
      <c r="J499">
        <v>0</v>
      </c>
      <c r="K499">
        <v>0</v>
      </c>
      <c r="L499">
        <v>12</v>
      </c>
      <c r="M499">
        <v>0</v>
      </c>
      <c r="N499">
        <v>0</v>
      </c>
      <c r="O499">
        <v>0</v>
      </c>
      <c r="P499">
        <v>116</v>
      </c>
      <c r="Q499">
        <v>85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4</v>
      </c>
      <c r="AC499">
        <v>2</v>
      </c>
      <c r="AD499" s="3" t="str">
        <f t="shared" si="21"/>
        <v>S2S NO PREMIUM</v>
      </c>
      <c r="AE499" s="3" t="str">
        <f>VLOOKUP(E499,'[1]Nómina Agentes'!$C:$D,2,0)</f>
        <v>COLMENARES EMILY</v>
      </c>
      <c r="AF499" s="5">
        <f t="shared" si="22"/>
        <v>0.79166666666666663</v>
      </c>
      <c r="AG499" s="5">
        <f t="shared" si="23"/>
        <v>0.8125</v>
      </c>
    </row>
    <row r="500" spans="1:33" x14ac:dyDescent="0.25">
      <c r="A500" s="1">
        <v>45567</v>
      </c>
      <c r="B500">
        <v>924</v>
      </c>
      <c r="C500" t="s">
        <v>43</v>
      </c>
      <c r="D500" t="s">
        <v>186</v>
      </c>
      <c r="E500">
        <v>606645</v>
      </c>
      <c r="F500" s="2">
        <v>0.8125</v>
      </c>
      <c r="G500" t="s">
        <v>6</v>
      </c>
      <c r="H500" s="2">
        <v>0.83333333333333337</v>
      </c>
      <c r="I500">
        <v>620</v>
      </c>
      <c r="J500">
        <v>0</v>
      </c>
      <c r="K500">
        <v>0</v>
      </c>
      <c r="L500">
        <v>16</v>
      </c>
      <c r="M500">
        <v>0</v>
      </c>
      <c r="N500">
        <v>0</v>
      </c>
      <c r="O500">
        <v>0</v>
      </c>
      <c r="P500">
        <v>3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4</v>
      </c>
      <c r="AC500">
        <v>2</v>
      </c>
      <c r="AD500" s="3" t="str">
        <f t="shared" si="21"/>
        <v>S2S NO PREMIUM</v>
      </c>
      <c r="AE500" s="3" t="str">
        <f>VLOOKUP(E500,'[1]Nómina Agentes'!$C:$D,2,0)</f>
        <v>COLMENARES EMILY</v>
      </c>
      <c r="AF500" s="5">
        <f t="shared" si="22"/>
        <v>0.8125</v>
      </c>
      <c r="AG500" s="5">
        <f t="shared" si="23"/>
        <v>0.83333333333333337</v>
      </c>
    </row>
    <row r="501" spans="1:33" x14ac:dyDescent="0.25">
      <c r="A501" s="1">
        <v>45567</v>
      </c>
      <c r="B501">
        <v>924</v>
      </c>
      <c r="C501" t="s">
        <v>43</v>
      </c>
      <c r="D501" t="s">
        <v>186</v>
      </c>
      <c r="E501">
        <v>606645</v>
      </c>
      <c r="F501" s="2">
        <v>0.72916666666666663</v>
      </c>
      <c r="G501" t="s">
        <v>6</v>
      </c>
      <c r="H501" s="2">
        <v>0.75</v>
      </c>
      <c r="I501">
        <v>1129</v>
      </c>
      <c r="J501">
        <v>0</v>
      </c>
      <c r="K501">
        <v>0</v>
      </c>
      <c r="L501">
        <v>20</v>
      </c>
      <c r="M501">
        <v>0</v>
      </c>
      <c r="N501">
        <v>0</v>
      </c>
      <c r="O501">
        <v>0</v>
      </c>
      <c r="P501">
        <v>268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5</v>
      </c>
      <c r="AC501">
        <v>5</v>
      </c>
      <c r="AD501" s="3" t="str">
        <f t="shared" si="21"/>
        <v>S2S NO PREMIUM</v>
      </c>
      <c r="AE501" s="3" t="str">
        <f>VLOOKUP(E501,'[1]Nómina Agentes'!$C:$D,2,0)</f>
        <v>COLMENARES EMILY</v>
      </c>
      <c r="AF501" s="5">
        <f t="shared" si="22"/>
        <v>0.72916666666666663</v>
      </c>
      <c r="AG501" s="5">
        <f t="shared" si="23"/>
        <v>0.75</v>
      </c>
    </row>
    <row r="502" spans="1:33" x14ac:dyDescent="0.25">
      <c r="A502" s="1">
        <v>45567</v>
      </c>
      <c r="B502">
        <v>924</v>
      </c>
      <c r="C502" t="s">
        <v>43</v>
      </c>
      <c r="D502" t="s">
        <v>186</v>
      </c>
      <c r="E502">
        <v>606645</v>
      </c>
      <c r="F502" s="2">
        <v>0.66666666666666663</v>
      </c>
      <c r="G502" t="s">
        <v>6</v>
      </c>
      <c r="H502" s="2">
        <v>0.6875</v>
      </c>
      <c r="I502">
        <v>1152</v>
      </c>
      <c r="J502">
        <v>57</v>
      </c>
      <c r="K502">
        <v>0</v>
      </c>
      <c r="L502">
        <v>30</v>
      </c>
      <c r="M502">
        <v>0</v>
      </c>
      <c r="N502">
        <v>0</v>
      </c>
      <c r="O502">
        <v>0</v>
      </c>
      <c r="P502">
        <v>7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6</v>
      </c>
      <c r="AC502">
        <v>3</v>
      </c>
      <c r="AD502" s="3" t="str">
        <f t="shared" si="21"/>
        <v>S2S NO PREMIUM</v>
      </c>
      <c r="AE502" s="3" t="str">
        <f>VLOOKUP(E502,'[1]Nómina Agentes'!$C:$D,2,0)</f>
        <v>COLMENARES EMILY</v>
      </c>
      <c r="AF502" s="5">
        <f t="shared" si="22"/>
        <v>0.66666666666666663</v>
      </c>
      <c r="AG502" s="5">
        <f t="shared" si="23"/>
        <v>0.6875</v>
      </c>
    </row>
    <row r="503" spans="1:33" x14ac:dyDescent="0.25">
      <c r="A503" s="1">
        <v>45567</v>
      </c>
      <c r="B503">
        <v>924</v>
      </c>
      <c r="C503" t="s">
        <v>43</v>
      </c>
      <c r="D503" t="s">
        <v>186</v>
      </c>
      <c r="E503">
        <v>606645</v>
      </c>
      <c r="F503" s="2">
        <v>0.70833333333333337</v>
      </c>
      <c r="G503" t="s">
        <v>6</v>
      </c>
      <c r="H503" s="2">
        <v>0.72916666666666663</v>
      </c>
      <c r="I503">
        <v>1208</v>
      </c>
      <c r="J503">
        <v>0</v>
      </c>
      <c r="K503">
        <v>0</v>
      </c>
      <c r="L503">
        <v>12</v>
      </c>
      <c r="M503">
        <v>0</v>
      </c>
      <c r="N503">
        <v>0</v>
      </c>
      <c r="O503">
        <v>0</v>
      </c>
      <c r="P503">
        <v>74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3</v>
      </c>
      <c r="AC503">
        <v>2</v>
      </c>
      <c r="AD503" s="3" t="str">
        <f t="shared" si="21"/>
        <v>S2S NO PREMIUM</v>
      </c>
      <c r="AE503" s="3" t="str">
        <f>VLOOKUP(E503,'[1]Nómina Agentes'!$C:$D,2,0)</f>
        <v>COLMENARES EMILY</v>
      </c>
      <c r="AF503" s="5">
        <f t="shared" si="22"/>
        <v>0.70833333333333337</v>
      </c>
      <c r="AG503" s="5">
        <f t="shared" si="23"/>
        <v>0.72916666666666663</v>
      </c>
    </row>
    <row r="504" spans="1:33" x14ac:dyDescent="0.25">
      <c r="A504" s="1">
        <v>45567</v>
      </c>
      <c r="B504">
        <v>924</v>
      </c>
      <c r="C504" t="s">
        <v>43</v>
      </c>
      <c r="D504" t="s">
        <v>186</v>
      </c>
      <c r="E504">
        <v>606645</v>
      </c>
      <c r="F504" s="2">
        <v>0.75</v>
      </c>
      <c r="G504" t="s">
        <v>6</v>
      </c>
      <c r="H504" s="2">
        <v>0.77083333333333337</v>
      </c>
      <c r="I504">
        <v>1249</v>
      </c>
      <c r="J504">
        <v>35</v>
      </c>
      <c r="K504">
        <v>0</v>
      </c>
      <c r="L504">
        <v>16</v>
      </c>
      <c r="M504">
        <v>0</v>
      </c>
      <c r="N504">
        <v>0</v>
      </c>
      <c r="O504">
        <v>0</v>
      </c>
      <c r="P504">
        <v>197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5</v>
      </c>
      <c r="AC504">
        <v>3</v>
      </c>
      <c r="AD504" s="3" t="str">
        <f t="shared" si="21"/>
        <v>S2S NO PREMIUM</v>
      </c>
      <c r="AE504" s="3" t="str">
        <f>VLOOKUP(E504,'[1]Nómina Agentes'!$C:$D,2,0)</f>
        <v>COLMENARES EMILY</v>
      </c>
      <c r="AF504" s="5">
        <f t="shared" si="22"/>
        <v>0.75</v>
      </c>
      <c r="AG504" s="5">
        <f t="shared" si="23"/>
        <v>0.77083333333333337</v>
      </c>
    </row>
    <row r="505" spans="1:33" x14ac:dyDescent="0.25">
      <c r="A505" s="1">
        <v>45567</v>
      </c>
      <c r="B505">
        <v>924</v>
      </c>
      <c r="C505" t="s">
        <v>43</v>
      </c>
      <c r="D505" t="s">
        <v>186</v>
      </c>
      <c r="E505">
        <v>606645</v>
      </c>
      <c r="F505" s="2">
        <v>0.77083333333333337</v>
      </c>
      <c r="G505" t="s">
        <v>6</v>
      </c>
      <c r="H505" s="2">
        <v>0.79166666666666663</v>
      </c>
      <c r="I505">
        <v>1318</v>
      </c>
      <c r="J505">
        <v>58</v>
      </c>
      <c r="K505">
        <v>0</v>
      </c>
      <c r="L505">
        <v>12</v>
      </c>
      <c r="M505">
        <v>0</v>
      </c>
      <c r="N505">
        <v>0</v>
      </c>
      <c r="O505">
        <v>0</v>
      </c>
      <c r="P505">
        <v>41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2</v>
      </c>
      <c r="AC505">
        <v>2</v>
      </c>
      <c r="AD505" s="3" t="str">
        <f t="shared" si="21"/>
        <v>S2S NO PREMIUM</v>
      </c>
      <c r="AE505" s="3" t="str">
        <f>VLOOKUP(E505,'[1]Nómina Agentes'!$C:$D,2,0)</f>
        <v>COLMENARES EMILY</v>
      </c>
      <c r="AF505" s="5">
        <f t="shared" si="22"/>
        <v>0.77083333333333337</v>
      </c>
      <c r="AG505" s="5">
        <f t="shared" si="23"/>
        <v>0.79166666666666663</v>
      </c>
    </row>
    <row r="506" spans="1:33" x14ac:dyDescent="0.25">
      <c r="A506" s="1">
        <v>45567</v>
      </c>
      <c r="B506">
        <v>924</v>
      </c>
      <c r="C506" t="s">
        <v>43</v>
      </c>
      <c r="D506" t="s">
        <v>186</v>
      </c>
      <c r="E506">
        <v>606645</v>
      </c>
      <c r="F506" s="2">
        <v>0.6875</v>
      </c>
      <c r="G506" t="s">
        <v>6</v>
      </c>
      <c r="H506" s="2">
        <v>0.70833333333333337</v>
      </c>
      <c r="I506">
        <v>1531</v>
      </c>
      <c r="J506">
        <v>0</v>
      </c>
      <c r="K506">
        <v>0</v>
      </c>
      <c r="L506">
        <v>12</v>
      </c>
      <c r="M506">
        <v>0</v>
      </c>
      <c r="N506">
        <v>0</v>
      </c>
      <c r="O506">
        <v>0</v>
      </c>
      <c r="P506">
        <v>12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3</v>
      </c>
      <c r="AC506">
        <v>3</v>
      </c>
      <c r="AD506" s="3" t="str">
        <f t="shared" si="21"/>
        <v>S2S NO PREMIUM</v>
      </c>
      <c r="AE506" s="3" t="str">
        <f>VLOOKUP(E506,'[1]Nómina Agentes'!$C:$D,2,0)</f>
        <v>COLMENARES EMILY</v>
      </c>
      <c r="AF506" s="5">
        <f t="shared" si="22"/>
        <v>0.6875</v>
      </c>
      <c r="AG506" s="5">
        <f t="shared" si="23"/>
        <v>0.70833333333333337</v>
      </c>
    </row>
    <row r="507" spans="1:33" x14ac:dyDescent="0.25">
      <c r="A507" s="1">
        <v>45567</v>
      </c>
      <c r="B507">
        <v>925</v>
      </c>
      <c r="C507" t="s">
        <v>42</v>
      </c>
      <c r="D507" t="s">
        <v>187</v>
      </c>
      <c r="E507">
        <v>606646</v>
      </c>
      <c r="F507" s="2">
        <v>0.8125</v>
      </c>
      <c r="G507" t="s">
        <v>6</v>
      </c>
      <c r="H507" s="2">
        <v>0.83333333333333337</v>
      </c>
      <c r="I507">
        <v>469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1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1</v>
      </c>
      <c r="AC507">
        <v>1</v>
      </c>
      <c r="AD507" s="3" t="str">
        <f t="shared" si="21"/>
        <v>S2S PREMIUM</v>
      </c>
      <c r="AE507" s="3" t="str">
        <f>VLOOKUP(E507,'[1]Nómina Agentes'!$C:$D,2,0)</f>
        <v>SANCHEZ JUAN MARCELO</v>
      </c>
      <c r="AF507" s="5">
        <f t="shared" si="22"/>
        <v>0.8125</v>
      </c>
      <c r="AG507" s="5">
        <f t="shared" si="23"/>
        <v>0.83333333333333337</v>
      </c>
    </row>
    <row r="508" spans="1:33" x14ac:dyDescent="0.25">
      <c r="A508" s="1">
        <v>45567</v>
      </c>
      <c r="B508">
        <v>925</v>
      </c>
      <c r="C508" t="s">
        <v>42</v>
      </c>
      <c r="D508" t="s">
        <v>187</v>
      </c>
      <c r="E508">
        <v>606646</v>
      </c>
      <c r="F508" s="2">
        <v>0.75</v>
      </c>
      <c r="G508" t="s">
        <v>6</v>
      </c>
      <c r="H508" s="2">
        <v>0.77083333333333337</v>
      </c>
      <c r="I508">
        <v>860</v>
      </c>
      <c r="J508">
        <v>0</v>
      </c>
      <c r="K508">
        <v>0</v>
      </c>
      <c r="L508">
        <v>19</v>
      </c>
      <c r="M508">
        <v>0</v>
      </c>
      <c r="N508">
        <v>0</v>
      </c>
      <c r="O508">
        <v>0</v>
      </c>
      <c r="P508">
        <v>3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3</v>
      </c>
      <c r="AC508">
        <v>3</v>
      </c>
      <c r="AD508" s="3" t="str">
        <f t="shared" si="21"/>
        <v>S2S PREMIUM</v>
      </c>
      <c r="AE508" s="3" t="str">
        <f>VLOOKUP(E508,'[1]Nómina Agentes'!$C:$D,2,0)</f>
        <v>SANCHEZ JUAN MARCELO</v>
      </c>
      <c r="AF508" s="5">
        <f t="shared" si="22"/>
        <v>0.75</v>
      </c>
      <c r="AG508" s="5">
        <f t="shared" si="23"/>
        <v>0.77083333333333337</v>
      </c>
    </row>
    <row r="509" spans="1:33" x14ac:dyDescent="0.25">
      <c r="A509" s="1">
        <v>45567</v>
      </c>
      <c r="B509">
        <v>925</v>
      </c>
      <c r="C509" t="s">
        <v>42</v>
      </c>
      <c r="D509" t="s">
        <v>187</v>
      </c>
      <c r="E509">
        <v>606646</v>
      </c>
      <c r="F509" s="2">
        <v>0.77083333333333337</v>
      </c>
      <c r="G509" t="s">
        <v>6</v>
      </c>
      <c r="H509" s="2">
        <v>0.79166666666666663</v>
      </c>
      <c r="I509">
        <v>1008</v>
      </c>
      <c r="J509">
        <v>0</v>
      </c>
      <c r="K509">
        <v>0</v>
      </c>
      <c r="L509">
        <v>20</v>
      </c>
      <c r="M509">
        <v>0</v>
      </c>
      <c r="N509">
        <v>0</v>
      </c>
      <c r="O509">
        <v>0</v>
      </c>
      <c r="P509">
        <v>5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5</v>
      </c>
      <c r="AC509">
        <v>5</v>
      </c>
      <c r="AD509" s="3" t="str">
        <f t="shared" si="21"/>
        <v>S2S PREMIUM</v>
      </c>
      <c r="AE509" s="3" t="str">
        <f>VLOOKUP(E509,'[1]Nómina Agentes'!$C:$D,2,0)</f>
        <v>SANCHEZ JUAN MARCELO</v>
      </c>
      <c r="AF509" s="5">
        <f t="shared" si="22"/>
        <v>0.77083333333333337</v>
      </c>
      <c r="AG509" s="5">
        <f t="shared" si="23"/>
        <v>0.79166666666666663</v>
      </c>
    </row>
    <row r="510" spans="1:33" x14ac:dyDescent="0.25">
      <c r="A510" s="1">
        <v>45567</v>
      </c>
      <c r="B510">
        <v>925</v>
      </c>
      <c r="C510" t="s">
        <v>42</v>
      </c>
      <c r="D510" t="s">
        <v>187</v>
      </c>
      <c r="E510">
        <v>606646</v>
      </c>
      <c r="F510" s="2">
        <v>0.79166666666666663</v>
      </c>
      <c r="G510" t="s">
        <v>6</v>
      </c>
      <c r="H510" s="2">
        <v>0.8125</v>
      </c>
      <c r="I510">
        <v>1088</v>
      </c>
      <c r="J510">
        <v>112</v>
      </c>
      <c r="K510">
        <v>0</v>
      </c>
      <c r="L510">
        <v>29</v>
      </c>
      <c r="M510">
        <v>0</v>
      </c>
      <c r="N510">
        <v>0</v>
      </c>
      <c r="O510">
        <v>0</v>
      </c>
      <c r="P510">
        <v>110</v>
      </c>
      <c r="Q510">
        <v>77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7</v>
      </c>
      <c r="AC510">
        <v>6</v>
      </c>
      <c r="AD510" s="3" t="str">
        <f t="shared" si="21"/>
        <v>S2S PREMIUM</v>
      </c>
      <c r="AE510" s="3" t="str">
        <f>VLOOKUP(E510,'[1]Nómina Agentes'!$C:$D,2,0)</f>
        <v>SANCHEZ JUAN MARCELO</v>
      </c>
      <c r="AF510" s="5">
        <f t="shared" si="22"/>
        <v>0.79166666666666663</v>
      </c>
      <c r="AG510" s="5">
        <f t="shared" si="23"/>
        <v>0.8125</v>
      </c>
    </row>
    <row r="511" spans="1:33" x14ac:dyDescent="0.25">
      <c r="A511" s="1">
        <v>45567</v>
      </c>
      <c r="B511">
        <v>924</v>
      </c>
      <c r="C511" t="s">
        <v>43</v>
      </c>
      <c r="D511" t="s">
        <v>55</v>
      </c>
      <c r="E511">
        <v>606649</v>
      </c>
      <c r="F511" s="2">
        <v>0.60416666666666663</v>
      </c>
      <c r="G511" t="s">
        <v>6</v>
      </c>
      <c r="H511" s="2">
        <v>0.625</v>
      </c>
      <c r="I511">
        <v>582</v>
      </c>
      <c r="J511">
        <v>4</v>
      </c>
      <c r="K511">
        <v>0</v>
      </c>
      <c r="L511">
        <v>12</v>
      </c>
      <c r="M511">
        <v>0</v>
      </c>
      <c r="N511">
        <v>0</v>
      </c>
      <c r="O511">
        <v>0</v>
      </c>
      <c r="P511">
        <v>61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3</v>
      </c>
      <c r="AC511">
        <v>1</v>
      </c>
      <c r="AD511" s="3" t="str">
        <f t="shared" ref="AD511:AD574" si="24">UPPER(C511)</f>
        <v>S2S NO PREMIUM</v>
      </c>
      <c r="AE511" s="3" t="str">
        <f>VLOOKUP(E511,'[1]Nómina Agentes'!$C:$D,2,0)</f>
        <v>ANDRZEYEVSKI NICOLOSI CAMILA BELEN</v>
      </c>
      <c r="AF511" s="5">
        <f t="shared" ref="AF511:AF574" si="25">F511</f>
        <v>0.60416666666666663</v>
      </c>
      <c r="AG511" s="5">
        <f t="shared" ref="AG511:AG574" si="26">H511</f>
        <v>0.625</v>
      </c>
    </row>
    <row r="512" spans="1:33" x14ac:dyDescent="0.25">
      <c r="A512" s="1">
        <v>45567</v>
      </c>
      <c r="B512">
        <v>924</v>
      </c>
      <c r="C512" t="s">
        <v>43</v>
      </c>
      <c r="D512" t="s">
        <v>55</v>
      </c>
      <c r="E512">
        <v>606649</v>
      </c>
      <c r="F512" s="2">
        <v>0.58333333333333337</v>
      </c>
      <c r="G512" t="s">
        <v>6</v>
      </c>
      <c r="H512" s="2">
        <v>0.60416666666666663</v>
      </c>
      <c r="I512">
        <v>918</v>
      </c>
      <c r="J512">
        <v>0</v>
      </c>
      <c r="K512">
        <v>0</v>
      </c>
      <c r="L512">
        <v>17</v>
      </c>
      <c r="M512">
        <v>0</v>
      </c>
      <c r="N512">
        <v>0</v>
      </c>
      <c r="O512">
        <v>0</v>
      </c>
      <c r="P512">
        <v>4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4</v>
      </c>
      <c r="AC512">
        <v>4</v>
      </c>
      <c r="AD512" s="3" t="str">
        <f t="shared" si="24"/>
        <v>S2S NO PREMIUM</v>
      </c>
      <c r="AE512" s="3" t="str">
        <f>VLOOKUP(E512,'[1]Nómina Agentes'!$C:$D,2,0)</f>
        <v>ANDRZEYEVSKI NICOLOSI CAMILA BELEN</v>
      </c>
      <c r="AF512" s="5">
        <f t="shared" si="25"/>
        <v>0.58333333333333337</v>
      </c>
      <c r="AG512" s="5">
        <f t="shared" si="26"/>
        <v>0.60416666666666663</v>
      </c>
    </row>
    <row r="513" spans="1:33" x14ac:dyDescent="0.25">
      <c r="A513" s="1">
        <v>45567</v>
      </c>
      <c r="B513">
        <v>925</v>
      </c>
      <c r="C513" t="s">
        <v>42</v>
      </c>
      <c r="D513" t="s">
        <v>80</v>
      </c>
      <c r="E513">
        <v>609727</v>
      </c>
      <c r="F513" s="2">
        <v>0.625</v>
      </c>
      <c r="G513" t="s">
        <v>6</v>
      </c>
      <c r="H513" s="2">
        <v>0.64583333333333337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 s="3" t="str">
        <f t="shared" si="24"/>
        <v>S2S PREMIUM</v>
      </c>
      <c r="AE513" s="3" t="str">
        <f>VLOOKUP(E513,'[1]Nómina Agentes'!$C:$D,2,0)</f>
        <v>ZALAZAR BRAIAN EDGARDO</v>
      </c>
      <c r="AF513" s="5">
        <f t="shared" si="25"/>
        <v>0.625</v>
      </c>
      <c r="AG513" s="5">
        <f t="shared" si="26"/>
        <v>0.64583333333333337</v>
      </c>
    </row>
    <row r="514" spans="1:33" x14ac:dyDescent="0.25">
      <c r="A514" s="1">
        <v>45567</v>
      </c>
      <c r="B514">
        <v>925</v>
      </c>
      <c r="C514" t="s">
        <v>42</v>
      </c>
      <c r="D514" t="s">
        <v>80</v>
      </c>
      <c r="E514">
        <v>609727</v>
      </c>
      <c r="F514" s="2">
        <v>0.60416666666666663</v>
      </c>
      <c r="G514" t="s">
        <v>6</v>
      </c>
      <c r="H514" s="2">
        <v>0.625</v>
      </c>
      <c r="I514">
        <v>477</v>
      </c>
      <c r="J514">
        <v>0</v>
      </c>
      <c r="K514">
        <v>0</v>
      </c>
      <c r="L514">
        <v>14</v>
      </c>
      <c r="M514">
        <v>0</v>
      </c>
      <c r="N514">
        <v>0</v>
      </c>
      <c r="O514">
        <v>0</v>
      </c>
      <c r="P514">
        <v>130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3</v>
      </c>
      <c r="AC514">
        <v>3</v>
      </c>
      <c r="AD514" s="3" t="str">
        <f t="shared" si="24"/>
        <v>S2S PREMIUM</v>
      </c>
      <c r="AE514" s="3" t="str">
        <f>VLOOKUP(E514,'[1]Nómina Agentes'!$C:$D,2,0)</f>
        <v>ZALAZAR BRAIAN EDGARDO</v>
      </c>
      <c r="AF514" s="5">
        <f t="shared" si="25"/>
        <v>0.60416666666666663</v>
      </c>
      <c r="AG514" s="5">
        <f t="shared" si="26"/>
        <v>0.625</v>
      </c>
    </row>
    <row r="515" spans="1:33" x14ac:dyDescent="0.25">
      <c r="A515" s="1">
        <v>45567</v>
      </c>
      <c r="B515">
        <v>925</v>
      </c>
      <c r="C515" t="s">
        <v>42</v>
      </c>
      <c r="D515" t="s">
        <v>80</v>
      </c>
      <c r="E515">
        <v>609727</v>
      </c>
      <c r="F515" s="2">
        <v>0.58333333333333337</v>
      </c>
      <c r="G515" t="s">
        <v>6</v>
      </c>
      <c r="H515" s="2">
        <v>0.60416666666666663</v>
      </c>
      <c r="I515">
        <v>969</v>
      </c>
      <c r="J515">
        <v>0</v>
      </c>
      <c r="K515">
        <v>0</v>
      </c>
      <c r="L515">
        <v>14</v>
      </c>
      <c r="M515">
        <v>0</v>
      </c>
      <c r="N515">
        <v>0</v>
      </c>
      <c r="O515">
        <v>0</v>
      </c>
      <c r="P515">
        <v>60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5</v>
      </c>
      <c r="AC515">
        <v>5</v>
      </c>
      <c r="AD515" s="3" t="str">
        <f t="shared" si="24"/>
        <v>S2S PREMIUM</v>
      </c>
      <c r="AE515" s="3" t="str">
        <f>VLOOKUP(E515,'[1]Nómina Agentes'!$C:$D,2,0)</f>
        <v>ZALAZAR BRAIAN EDGARDO</v>
      </c>
      <c r="AF515" s="5">
        <f t="shared" si="25"/>
        <v>0.58333333333333337</v>
      </c>
      <c r="AG515" s="5">
        <f t="shared" si="26"/>
        <v>0.60416666666666663</v>
      </c>
    </row>
    <row r="516" spans="1:33" x14ac:dyDescent="0.25">
      <c r="A516" s="1">
        <v>45567</v>
      </c>
      <c r="B516">
        <v>924</v>
      </c>
      <c r="C516" t="s">
        <v>43</v>
      </c>
      <c r="D516" t="s">
        <v>188</v>
      </c>
      <c r="E516">
        <v>616002</v>
      </c>
      <c r="F516" s="2">
        <v>0.66666666666666663</v>
      </c>
      <c r="G516" t="s">
        <v>6</v>
      </c>
      <c r="H516" s="2">
        <v>0.6875</v>
      </c>
      <c r="I516">
        <v>16</v>
      </c>
      <c r="J516">
        <v>2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58</v>
      </c>
      <c r="Q516">
        <v>1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1</v>
      </c>
      <c r="AC516">
        <v>1</v>
      </c>
      <c r="AD516" s="3" t="str">
        <f t="shared" si="24"/>
        <v>S2S NO PREMIUM</v>
      </c>
      <c r="AE516" s="3" t="e">
        <f>VLOOKUP(E516,'[1]Nómina Agentes'!$C:$D,2,0)</f>
        <v>#N/A</v>
      </c>
      <c r="AF516" s="5">
        <f t="shared" si="25"/>
        <v>0.66666666666666663</v>
      </c>
      <c r="AG516" s="5">
        <f t="shared" si="26"/>
        <v>0.6875</v>
      </c>
    </row>
    <row r="517" spans="1:33" x14ac:dyDescent="0.25">
      <c r="A517" s="1">
        <v>45567</v>
      </c>
      <c r="B517">
        <v>924</v>
      </c>
      <c r="C517" t="s">
        <v>43</v>
      </c>
      <c r="D517" t="s">
        <v>188</v>
      </c>
      <c r="E517">
        <v>616002</v>
      </c>
      <c r="F517" s="2">
        <v>0.625</v>
      </c>
      <c r="G517" t="s">
        <v>6</v>
      </c>
      <c r="H517" s="2">
        <v>0.64583333333333337</v>
      </c>
      <c r="I517">
        <v>498</v>
      </c>
      <c r="J517">
        <v>0</v>
      </c>
      <c r="K517">
        <v>0</v>
      </c>
      <c r="L517">
        <v>16</v>
      </c>
      <c r="M517">
        <v>0</v>
      </c>
      <c r="N517">
        <v>0</v>
      </c>
      <c r="O517">
        <v>0</v>
      </c>
      <c r="P517">
        <v>69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5</v>
      </c>
      <c r="AC517">
        <v>1</v>
      </c>
      <c r="AD517" s="3" t="str">
        <f t="shared" si="24"/>
        <v>S2S NO PREMIUM</v>
      </c>
      <c r="AE517" s="3" t="e">
        <f>VLOOKUP(E517,'[1]Nómina Agentes'!$C:$D,2,0)</f>
        <v>#N/A</v>
      </c>
      <c r="AF517" s="5">
        <f t="shared" si="25"/>
        <v>0.625</v>
      </c>
      <c r="AG517" s="5">
        <f t="shared" si="26"/>
        <v>0.64583333333333337</v>
      </c>
    </row>
    <row r="518" spans="1:33" x14ac:dyDescent="0.25">
      <c r="A518" s="1">
        <v>45567</v>
      </c>
      <c r="B518">
        <v>924</v>
      </c>
      <c r="C518" t="s">
        <v>43</v>
      </c>
      <c r="D518" t="s">
        <v>188</v>
      </c>
      <c r="E518">
        <v>616002</v>
      </c>
      <c r="F518" s="2">
        <v>0.58333333333333337</v>
      </c>
      <c r="G518" t="s">
        <v>6</v>
      </c>
      <c r="H518" s="2">
        <v>0.60416666666666663</v>
      </c>
      <c r="I518">
        <v>641</v>
      </c>
      <c r="J518">
        <v>0</v>
      </c>
      <c r="K518">
        <v>0</v>
      </c>
      <c r="L518">
        <v>9</v>
      </c>
      <c r="M518">
        <v>0</v>
      </c>
      <c r="N518">
        <v>0</v>
      </c>
      <c r="O518">
        <v>0</v>
      </c>
      <c r="P518">
        <v>450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2</v>
      </c>
      <c r="AC518">
        <v>1</v>
      </c>
      <c r="AD518" s="3" t="str">
        <f t="shared" si="24"/>
        <v>S2S NO PREMIUM</v>
      </c>
      <c r="AE518" s="3" t="e">
        <f>VLOOKUP(E518,'[1]Nómina Agentes'!$C:$D,2,0)</f>
        <v>#N/A</v>
      </c>
      <c r="AF518" s="5">
        <f t="shared" si="25"/>
        <v>0.58333333333333337</v>
      </c>
      <c r="AG518" s="5">
        <f t="shared" si="26"/>
        <v>0.60416666666666663</v>
      </c>
    </row>
    <row r="519" spans="1:33" x14ac:dyDescent="0.25">
      <c r="A519" s="1">
        <v>45567</v>
      </c>
      <c r="B519">
        <v>924</v>
      </c>
      <c r="C519" t="s">
        <v>43</v>
      </c>
      <c r="D519" t="s">
        <v>188</v>
      </c>
      <c r="E519">
        <v>616002</v>
      </c>
      <c r="F519" s="2">
        <v>0.64583333333333337</v>
      </c>
      <c r="G519" t="s">
        <v>6</v>
      </c>
      <c r="H519" s="2">
        <v>0.66666666666666663</v>
      </c>
      <c r="I519">
        <v>837</v>
      </c>
      <c r="J519">
        <v>0</v>
      </c>
      <c r="K519">
        <v>0</v>
      </c>
      <c r="L519">
        <v>19</v>
      </c>
      <c r="M519">
        <v>0</v>
      </c>
      <c r="N519">
        <v>0</v>
      </c>
      <c r="O519">
        <v>0</v>
      </c>
      <c r="P519">
        <v>153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4</v>
      </c>
      <c r="AC519">
        <v>2</v>
      </c>
      <c r="AD519" s="3" t="str">
        <f t="shared" si="24"/>
        <v>S2S NO PREMIUM</v>
      </c>
      <c r="AE519" s="3" t="e">
        <f>VLOOKUP(E519,'[1]Nómina Agentes'!$C:$D,2,0)</f>
        <v>#N/A</v>
      </c>
      <c r="AF519" s="5">
        <f t="shared" si="25"/>
        <v>0.64583333333333337</v>
      </c>
      <c r="AG519" s="5">
        <f t="shared" si="26"/>
        <v>0.66666666666666663</v>
      </c>
    </row>
    <row r="520" spans="1:33" x14ac:dyDescent="0.25">
      <c r="A520" s="1">
        <v>45567</v>
      </c>
      <c r="B520">
        <v>924</v>
      </c>
      <c r="C520" t="s">
        <v>43</v>
      </c>
      <c r="D520" t="s">
        <v>188</v>
      </c>
      <c r="E520">
        <v>616002</v>
      </c>
      <c r="F520" s="2">
        <v>0.60416666666666663</v>
      </c>
      <c r="G520" t="s">
        <v>6</v>
      </c>
      <c r="H520" s="2">
        <v>0.625</v>
      </c>
      <c r="I520">
        <v>853</v>
      </c>
      <c r="J520">
        <v>0</v>
      </c>
      <c r="K520">
        <v>0</v>
      </c>
      <c r="L520">
        <v>8</v>
      </c>
      <c r="M520">
        <v>0</v>
      </c>
      <c r="N520">
        <v>0</v>
      </c>
      <c r="O520">
        <v>0</v>
      </c>
      <c r="P520">
        <v>212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1</v>
      </c>
      <c r="AC520">
        <v>1</v>
      </c>
      <c r="AD520" s="3" t="str">
        <f t="shared" si="24"/>
        <v>S2S NO PREMIUM</v>
      </c>
      <c r="AE520" s="3" t="e">
        <f>VLOOKUP(E520,'[1]Nómina Agentes'!$C:$D,2,0)</f>
        <v>#N/A</v>
      </c>
      <c r="AF520" s="5">
        <f t="shared" si="25"/>
        <v>0.60416666666666663</v>
      </c>
      <c r="AG520" s="5">
        <f t="shared" si="26"/>
        <v>0.625</v>
      </c>
    </row>
    <row r="521" spans="1:33" x14ac:dyDescent="0.25">
      <c r="A521" s="1">
        <v>45567</v>
      </c>
      <c r="B521">
        <v>924</v>
      </c>
      <c r="C521" t="s">
        <v>43</v>
      </c>
      <c r="D521" t="s">
        <v>189</v>
      </c>
      <c r="E521">
        <v>616090</v>
      </c>
      <c r="F521" s="2">
        <v>0.77083333333333337</v>
      </c>
      <c r="G521" t="s">
        <v>6</v>
      </c>
      <c r="H521" s="2">
        <v>0.79166666666666663</v>
      </c>
      <c r="I521">
        <v>119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1</v>
      </c>
      <c r="AC521">
        <v>1</v>
      </c>
      <c r="AD521" s="3" t="str">
        <f t="shared" si="24"/>
        <v>S2S NO PREMIUM</v>
      </c>
      <c r="AE521" s="3" t="e">
        <f>VLOOKUP(E521,'[1]Nómina Agentes'!$C:$D,2,0)</f>
        <v>#N/A</v>
      </c>
      <c r="AF521" s="5">
        <f t="shared" si="25"/>
        <v>0.77083333333333337</v>
      </c>
      <c r="AG521" s="5">
        <f t="shared" si="26"/>
        <v>0.79166666666666663</v>
      </c>
    </row>
    <row r="522" spans="1:33" x14ac:dyDescent="0.25">
      <c r="A522" s="1">
        <v>45567</v>
      </c>
      <c r="B522">
        <v>924</v>
      </c>
      <c r="C522" t="s">
        <v>43</v>
      </c>
      <c r="D522" t="s">
        <v>189</v>
      </c>
      <c r="E522">
        <v>616090</v>
      </c>
      <c r="F522" s="2">
        <v>0.79166666666666663</v>
      </c>
      <c r="G522" t="s">
        <v>6</v>
      </c>
      <c r="H522" s="2">
        <v>0.8125</v>
      </c>
      <c r="I522">
        <v>227</v>
      </c>
      <c r="J522">
        <v>0</v>
      </c>
      <c r="K522">
        <v>0</v>
      </c>
      <c r="L522">
        <v>8</v>
      </c>
      <c r="M522">
        <v>0</v>
      </c>
      <c r="N522">
        <v>0</v>
      </c>
      <c r="O522">
        <v>0</v>
      </c>
      <c r="P522">
        <v>0</v>
      </c>
      <c r="Q522">
        <v>203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1</v>
      </c>
      <c r="AC522">
        <v>0</v>
      </c>
      <c r="AD522" s="3" t="str">
        <f t="shared" si="24"/>
        <v>S2S NO PREMIUM</v>
      </c>
      <c r="AE522" s="3" t="e">
        <f>VLOOKUP(E522,'[1]Nómina Agentes'!$C:$D,2,0)</f>
        <v>#N/A</v>
      </c>
      <c r="AF522" s="5">
        <f t="shared" si="25"/>
        <v>0.79166666666666663</v>
      </c>
      <c r="AG522" s="5">
        <f t="shared" si="26"/>
        <v>0.8125</v>
      </c>
    </row>
    <row r="523" spans="1:33" x14ac:dyDescent="0.25">
      <c r="A523" s="1">
        <v>45567</v>
      </c>
      <c r="B523">
        <v>924</v>
      </c>
      <c r="C523" t="s">
        <v>43</v>
      </c>
      <c r="D523" t="s">
        <v>189</v>
      </c>
      <c r="E523">
        <v>616090</v>
      </c>
      <c r="F523" s="2">
        <v>0.58333333333333337</v>
      </c>
      <c r="G523" t="s">
        <v>6</v>
      </c>
      <c r="H523" s="2">
        <v>0.60416666666666663</v>
      </c>
      <c r="I523">
        <v>559</v>
      </c>
      <c r="J523">
        <v>0</v>
      </c>
      <c r="K523">
        <v>0</v>
      </c>
      <c r="L523">
        <v>12</v>
      </c>
      <c r="M523">
        <v>0</v>
      </c>
      <c r="N523">
        <v>0</v>
      </c>
      <c r="O523">
        <v>0</v>
      </c>
      <c r="P523">
        <v>68</v>
      </c>
      <c r="Q523">
        <v>2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3</v>
      </c>
      <c r="AC523">
        <v>2</v>
      </c>
      <c r="AD523" s="3" t="str">
        <f t="shared" si="24"/>
        <v>S2S NO PREMIUM</v>
      </c>
      <c r="AE523" s="3" t="e">
        <f>VLOOKUP(E523,'[1]Nómina Agentes'!$C:$D,2,0)</f>
        <v>#N/A</v>
      </c>
      <c r="AF523" s="5">
        <f t="shared" si="25"/>
        <v>0.58333333333333337</v>
      </c>
      <c r="AG523" s="5">
        <f t="shared" si="26"/>
        <v>0.60416666666666663</v>
      </c>
    </row>
    <row r="524" spans="1:33" x14ac:dyDescent="0.25">
      <c r="A524" s="1">
        <v>45567</v>
      </c>
      <c r="B524">
        <v>924</v>
      </c>
      <c r="C524" t="s">
        <v>43</v>
      </c>
      <c r="D524" t="s">
        <v>189</v>
      </c>
      <c r="E524">
        <v>616090</v>
      </c>
      <c r="F524" s="2">
        <v>0.625</v>
      </c>
      <c r="G524" t="s">
        <v>6</v>
      </c>
      <c r="H524" s="2">
        <v>0.64583333333333337</v>
      </c>
      <c r="I524">
        <v>912</v>
      </c>
      <c r="J524">
        <v>0</v>
      </c>
      <c r="K524">
        <v>0</v>
      </c>
      <c r="L524">
        <v>12</v>
      </c>
      <c r="M524">
        <v>0</v>
      </c>
      <c r="N524">
        <v>0</v>
      </c>
      <c r="O524">
        <v>0</v>
      </c>
      <c r="P524">
        <v>55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3</v>
      </c>
      <c r="AC524">
        <v>1</v>
      </c>
      <c r="AD524" s="3" t="str">
        <f t="shared" si="24"/>
        <v>S2S NO PREMIUM</v>
      </c>
      <c r="AE524" s="3" t="e">
        <f>VLOOKUP(E524,'[1]Nómina Agentes'!$C:$D,2,0)</f>
        <v>#N/A</v>
      </c>
      <c r="AF524" s="5">
        <f t="shared" si="25"/>
        <v>0.625</v>
      </c>
      <c r="AG524" s="5">
        <f t="shared" si="26"/>
        <v>0.64583333333333337</v>
      </c>
    </row>
    <row r="525" spans="1:33" x14ac:dyDescent="0.25">
      <c r="A525" s="1">
        <v>45567</v>
      </c>
      <c r="B525">
        <v>924</v>
      </c>
      <c r="C525" t="s">
        <v>43</v>
      </c>
      <c r="D525" t="s">
        <v>189</v>
      </c>
      <c r="E525">
        <v>616090</v>
      </c>
      <c r="F525" s="2">
        <v>0.64583333333333337</v>
      </c>
      <c r="G525" t="s">
        <v>6</v>
      </c>
      <c r="H525" s="2">
        <v>0.66666666666666663</v>
      </c>
      <c r="I525">
        <v>1008</v>
      </c>
      <c r="J525">
        <v>0</v>
      </c>
      <c r="K525">
        <v>0</v>
      </c>
      <c r="L525">
        <v>16</v>
      </c>
      <c r="M525">
        <v>0</v>
      </c>
      <c r="N525">
        <v>0</v>
      </c>
      <c r="O525">
        <v>0</v>
      </c>
      <c r="P525">
        <v>96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4</v>
      </c>
      <c r="AC525">
        <v>1</v>
      </c>
      <c r="AD525" s="3" t="str">
        <f t="shared" si="24"/>
        <v>S2S NO PREMIUM</v>
      </c>
      <c r="AE525" s="3" t="e">
        <f>VLOOKUP(E525,'[1]Nómina Agentes'!$C:$D,2,0)</f>
        <v>#N/A</v>
      </c>
      <c r="AF525" s="5">
        <f t="shared" si="25"/>
        <v>0.64583333333333337</v>
      </c>
      <c r="AG525" s="5">
        <f t="shared" si="26"/>
        <v>0.66666666666666663</v>
      </c>
    </row>
    <row r="526" spans="1:33" x14ac:dyDescent="0.25">
      <c r="A526" s="1">
        <v>45567</v>
      </c>
      <c r="B526">
        <v>924</v>
      </c>
      <c r="C526" t="s">
        <v>43</v>
      </c>
      <c r="D526" t="s">
        <v>189</v>
      </c>
      <c r="E526">
        <v>616090</v>
      </c>
      <c r="F526" s="2">
        <v>0.8125</v>
      </c>
      <c r="G526" t="s">
        <v>6</v>
      </c>
      <c r="H526" s="2">
        <v>0.83333333333333337</v>
      </c>
      <c r="I526">
        <v>1024</v>
      </c>
      <c r="J526">
        <v>0</v>
      </c>
      <c r="K526">
        <v>0</v>
      </c>
      <c r="L526">
        <v>8</v>
      </c>
      <c r="M526">
        <v>0</v>
      </c>
      <c r="N526">
        <v>0</v>
      </c>
      <c r="O526">
        <v>0</v>
      </c>
      <c r="P526">
        <v>776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2</v>
      </c>
      <c r="AC526">
        <v>2</v>
      </c>
      <c r="AD526" s="3" t="str">
        <f t="shared" si="24"/>
        <v>S2S NO PREMIUM</v>
      </c>
      <c r="AE526" s="3" t="e">
        <f>VLOOKUP(E526,'[1]Nómina Agentes'!$C:$D,2,0)</f>
        <v>#N/A</v>
      </c>
      <c r="AF526" s="5">
        <f t="shared" si="25"/>
        <v>0.8125</v>
      </c>
      <c r="AG526" s="5">
        <f t="shared" si="26"/>
        <v>0.83333333333333337</v>
      </c>
    </row>
    <row r="527" spans="1:33" x14ac:dyDescent="0.25">
      <c r="A527" s="1">
        <v>45567</v>
      </c>
      <c r="B527">
        <v>924</v>
      </c>
      <c r="C527" t="s">
        <v>43</v>
      </c>
      <c r="D527" t="s">
        <v>189</v>
      </c>
      <c r="E527">
        <v>616090</v>
      </c>
      <c r="F527" s="2">
        <v>0.60416666666666663</v>
      </c>
      <c r="G527" t="s">
        <v>6</v>
      </c>
      <c r="H527" s="2">
        <v>0.625</v>
      </c>
      <c r="I527">
        <v>1097</v>
      </c>
      <c r="J527">
        <v>0</v>
      </c>
      <c r="K527">
        <v>0</v>
      </c>
      <c r="L527">
        <v>11</v>
      </c>
      <c r="M527">
        <v>0</v>
      </c>
      <c r="N527">
        <v>0</v>
      </c>
      <c r="O527">
        <v>0</v>
      </c>
      <c r="P527">
        <v>87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2</v>
      </c>
      <c r="AC527">
        <v>2</v>
      </c>
      <c r="AD527" s="3" t="str">
        <f t="shared" si="24"/>
        <v>S2S NO PREMIUM</v>
      </c>
      <c r="AE527" s="3" t="e">
        <f>VLOOKUP(E527,'[1]Nómina Agentes'!$C:$D,2,0)</f>
        <v>#N/A</v>
      </c>
      <c r="AF527" s="5">
        <f t="shared" si="25"/>
        <v>0.60416666666666663</v>
      </c>
      <c r="AG527" s="5">
        <f t="shared" si="26"/>
        <v>0.625</v>
      </c>
    </row>
    <row r="528" spans="1:33" x14ac:dyDescent="0.25">
      <c r="A528" s="1">
        <v>45567</v>
      </c>
      <c r="B528">
        <v>924</v>
      </c>
      <c r="C528" t="s">
        <v>43</v>
      </c>
      <c r="D528" t="s">
        <v>189</v>
      </c>
      <c r="E528">
        <v>616090</v>
      </c>
      <c r="F528" s="2">
        <v>0.72916666666666663</v>
      </c>
      <c r="G528" t="s">
        <v>6</v>
      </c>
      <c r="H528" s="2">
        <v>0.75</v>
      </c>
      <c r="I528">
        <v>1126</v>
      </c>
      <c r="J528">
        <v>14</v>
      </c>
      <c r="K528">
        <v>0</v>
      </c>
      <c r="L528">
        <v>16</v>
      </c>
      <c r="M528">
        <v>0</v>
      </c>
      <c r="N528">
        <v>0</v>
      </c>
      <c r="O528">
        <v>0</v>
      </c>
      <c r="P528">
        <v>234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4</v>
      </c>
      <c r="AC528">
        <v>4</v>
      </c>
      <c r="AD528" s="3" t="str">
        <f t="shared" si="24"/>
        <v>S2S NO PREMIUM</v>
      </c>
      <c r="AE528" s="3" t="e">
        <f>VLOOKUP(E528,'[1]Nómina Agentes'!$C:$D,2,0)</f>
        <v>#N/A</v>
      </c>
      <c r="AF528" s="5">
        <f t="shared" si="25"/>
        <v>0.72916666666666663</v>
      </c>
      <c r="AG528" s="5">
        <f t="shared" si="26"/>
        <v>0.75</v>
      </c>
    </row>
    <row r="529" spans="1:33" x14ac:dyDescent="0.25">
      <c r="A529" s="1">
        <v>45567</v>
      </c>
      <c r="B529">
        <v>924</v>
      </c>
      <c r="C529" t="s">
        <v>43</v>
      </c>
      <c r="D529" t="s">
        <v>189</v>
      </c>
      <c r="E529">
        <v>616090</v>
      </c>
      <c r="F529" s="2">
        <v>0.75</v>
      </c>
      <c r="G529" t="s">
        <v>6</v>
      </c>
      <c r="H529" s="2">
        <v>0.77083333333333337</v>
      </c>
      <c r="I529">
        <v>1204</v>
      </c>
      <c r="J529">
        <v>52</v>
      </c>
      <c r="K529">
        <v>0</v>
      </c>
      <c r="L529">
        <v>22</v>
      </c>
      <c r="M529">
        <v>0</v>
      </c>
      <c r="N529">
        <v>0</v>
      </c>
      <c r="O529">
        <v>0</v>
      </c>
      <c r="P529">
        <v>518</v>
      </c>
      <c r="Q529">
        <v>2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6</v>
      </c>
      <c r="AC529">
        <v>6</v>
      </c>
      <c r="AD529" s="3" t="str">
        <f t="shared" si="24"/>
        <v>S2S NO PREMIUM</v>
      </c>
      <c r="AE529" s="3" t="e">
        <f>VLOOKUP(E529,'[1]Nómina Agentes'!$C:$D,2,0)</f>
        <v>#N/A</v>
      </c>
      <c r="AF529" s="5">
        <f t="shared" si="25"/>
        <v>0.75</v>
      </c>
      <c r="AG529" s="5">
        <f t="shared" si="26"/>
        <v>0.77083333333333337</v>
      </c>
    </row>
    <row r="530" spans="1:33" x14ac:dyDescent="0.25">
      <c r="A530" s="1">
        <v>45567</v>
      </c>
      <c r="B530">
        <v>924</v>
      </c>
      <c r="C530" t="s">
        <v>43</v>
      </c>
      <c r="D530" t="s">
        <v>189</v>
      </c>
      <c r="E530">
        <v>616090</v>
      </c>
      <c r="F530" s="2">
        <v>0.70833333333333337</v>
      </c>
      <c r="G530" t="s">
        <v>6</v>
      </c>
      <c r="H530" s="2">
        <v>0.72916666666666663</v>
      </c>
      <c r="I530">
        <v>1286</v>
      </c>
      <c r="J530">
        <v>3</v>
      </c>
      <c r="K530">
        <v>0</v>
      </c>
      <c r="L530">
        <v>12</v>
      </c>
      <c r="M530">
        <v>0</v>
      </c>
      <c r="N530">
        <v>0</v>
      </c>
      <c r="O530">
        <v>0</v>
      </c>
      <c r="P530">
        <v>181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3</v>
      </c>
      <c r="AC530">
        <v>3</v>
      </c>
      <c r="AD530" s="3" t="str">
        <f t="shared" si="24"/>
        <v>S2S NO PREMIUM</v>
      </c>
      <c r="AE530" s="3" t="e">
        <f>VLOOKUP(E530,'[1]Nómina Agentes'!$C:$D,2,0)</f>
        <v>#N/A</v>
      </c>
      <c r="AF530" s="5">
        <f t="shared" si="25"/>
        <v>0.70833333333333337</v>
      </c>
      <c r="AG530" s="5">
        <f t="shared" si="26"/>
        <v>0.72916666666666663</v>
      </c>
    </row>
    <row r="531" spans="1:33" x14ac:dyDescent="0.25">
      <c r="A531" s="1">
        <v>45567</v>
      </c>
      <c r="B531">
        <v>924</v>
      </c>
      <c r="C531" t="s">
        <v>43</v>
      </c>
      <c r="D531" t="s">
        <v>189</v>
      </c>
      <c r="E531">
        <v>616090</v>
      </c>
      <c r="F531" s="2">
        <v>0.66666666666666663</v>
      </c>
      <c r="G531" t="s">
        <v>6</v>
      </c>
      <c r="H531" s="2">
        <v>0.6875</v>
      </c>
      <c r="I531">
        <v>1335</v>
      </c>
      <c r="J531">
        <v>0</v>
      </c>
      <c r="K531">
        <v>0</v>
      </c>
      <c r="L531">
        <v>16</v>
      </c>
      <c r="M531">
        <v>0</v>
      </c>
      <c r="N531">
        <v>0</v>
      </c>
      <c r="O531">
        <v>0</v>
      </c>
      <c r="P531">
        <v>195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4</v>
      </c>
      <c r="AC531">
        <v>2</v>
      </c>
      <c r="AD531" s="3" t="str">
        <f t="shared" si="24"/>
        <v>S2S NO PREMIUM</v>
      </c>
      <c r="AE531" s="3" t="e">
        <f>VLOOKUP(E531,'[1]Nómina Agentes'!$C:$D,2,0)</f>
        <v>#N/A</v>
      </c>
      <c r="AF531" s="5">
        <f t="shared" si="25"/>
        <v>0.66666666666666663</v>
      </c>
      <c r="AG531" s="5">
        <f t="shared" si="26"/>
        <v>0.6875</v>
      </c>
    </row>
    <row r="532" spans="1:33" x14ac:dyDescent="0.25">
      <c r="A532" s="1">
        <v>45567</v>
      </c>
      <c r="B532">
        <v>924</v>
      </c>
      <c r="C532" t="s">
        <v>43</v>
      </c>
      <c r="D532" t="s">
        <v>189</v>
      </c>
      <c r="E532">
        <v>616090</v>
      </c>
      <c r="F532" s="2">
        <v>0.6875</v>
      </c>
      <c r="G532" t="s">
        <v>6</v>
      </c>
      <c r="H532" s="2">
        <v>0.70833333333333337</v>
      </c>
      <c r="I532">
        <v>1483</v>
      </c>
      <c r="J532">
        <v>0</v>
      </c>
      <c r="K532">
        <v>0</v>
      </c>
      <c r="L532">
        <v>7</v>
      </c>
      <c r="M532">
        <v>0</v>
      </c>
      <c r="N532">
        <v>0</v>
      </c>
      <c r="O532">
        <v>0</v>
      </c>
      <c r="P532">
        <v>80</v>
      </c>
      <c r="Q532">
        <v>2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2</v>
      </c>
      <c r="AC532">
        <v>2</v>
      </c>
      <c r="AD532" s="3" t="str">
        <f t="shared" si="24"/>
        <v>S2S NO PREMIUM</v>
      </c>
      <c r="AE532" s="3" t="e">
        <f>VLOOKUP(E532,'[1]Nómina Agentes'!$C:$D,2,0)</f>
        <v>#N/A</v>
      </c>
      <c r="AF532" s="5">
        <f t="shared" si="25"/>
        <v>0.6875</v>
      </c>
      <c r="AG532" s="5">
        <f t="shared" si="26"/>
        <v>0.70833333333333337</v>
      </c>
    </row>
    <row r="533" spans="1:33" x14ac:dyDescent="0.25">
      <c r="A533" s="1">
        <v>45567</v>
      </c>
      <c r="B533">
        <v>925</v>
      </c>
      <c r="C533" t="s">
        <v>42</v>
      </c>
      <c r="D533" t="s">
        <v>190</v>
      </c>
      <c r="E533">
        <v>616102</v>
      </c>
      <c r="F533" s="2">
        <v>0.58333333333333337</v>
      </c>
      <c r="G533" t="s">
        <v>6</v>
      </c>
      <c r="H533" s="2">
        <v>0.60416666666666663</v>
      </c>
      <c r="I533">
        <v>18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1</v>
      </c>
      <c r="AC533">
        <v>1</v>
      </c>
      <c r="AD533" s="3" t="str">
        <f t="shared" si="24"/>
        <v>S2S PREMIUM</v>
      </c>
      <c r="AE533" s="3" t="e">
        <f>VLOOKUP(E533,'[1]Nómina Agentes'!$C:$D,2,0)</f>
        <v>#N/A</v>
      </c>
      <c r="AF533" s="5">
        <f t="shared" si="25"/>
        <v>0.58333333333333337</v>
      </c>
      <c r="AG533" s="5">
        <f t="shared" si="26"/>
        <v>0.60416666666666663</v>
      </c>
    </row>
    <row r="534" spans="1:33" x14ac:dyDescent="0.25">
      <c r="A534" s="1">
        <v>45567</v>
      </c>
      <c r="B534">
        <v>925</v>
      </c>
      <c r="C534" t="s">
        <v>42</v>
      </c>
      <c r="D534" t="s">
        <v>190</v>
      </c>
      <c r="E534">
        <v>616102</v>
      </c>
      <c r="F534" s="2">
        <v>0.66666666666666663</v>
      </c>
      <c r="G534" t="s">
        <v>6</v>
      </c>
      <c r="H534" s="2">
        <v>0.6875</v>
      </c>
      <c r="I534">
        <v>546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1</v>
      </c>
      <c r="AC534">
        <v>1</v>
      </c>
      <c r="AD534" s="3" t="str">
        <f t="shared" si="24"/>
        <v>S2S PREMIUM</v>
      </c>
      <c r="AE534" s="3" t="e">
        <f>VLOOKUP(E534,'[1]Nómina Agentes'!$C:$D,2,0)</f>
        <v>#N/A</v>
      </c>
      <c r="AF534" s="5">
        <f t="shared" si="25"/>
        <v>0.66666666666666663</v>
      </c>
      <c r="AG534" s="5">
        <f t="shared" si="26"/>
        <v>0.6875</v>
      </c>
    </row>
    <row r="535" spans="1:33" x14ac:dyDescent="0.25">
      <c r="A535" s="1">
        <v>45567</v>
      </c>
      <c r="B535">
        <v>925</v>
      </c>
      <c r="C535" t="s">
        <v>42</v>
      </c>
      <c r="D535" t="s">
        <v>190</v>
      </c>
      <c r="E535">
        <v>616102</v>
      </c>
      <c r="F535" s="2">
        <v>0.60416666666666663</v>
      </c>
      <c r="G535" t="s">
        <v>6</v>
      </c>
      <c r="H535" s="2">
        <v>0.625</v>
      </c>
      <c r="I535">
        <v>606</v>
      </c>
      <c r="J535">
        <v>0</v>
      </c>
      <c r="K535">
        <v>0</v>
      </c>
      <c r="L535">
        <v>8</v>
      </c>
      <c r="M535">
        <v>0</v>
      </c>
      <c r="N535">
        <v>0</v>
      </c>
      <c r="O535">
        <v>0</v>
      </c>
      <c r="P535">
        <v>41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2</v>
      </c>
      <c r="AC535">
        <v>1</v>
      </c>
      <c r="AD535" s="3" t="str">
        <f t="shared" si="24"/>
        <v>S2S PREMIUM</v>
      </c>
      <c r="AE535" s="3" t="e">
        <f>VLOOKUP(E535,'[1]Nómina Agentes'!$C:$D,2,0)</f>
        <v>#N/A</v>
      </c>
      <c r="AF535" s="5">
        <f t="shared" si="25"/>
        <v>0.60416666666666663</v>
      </c>
      <c r="AG535" s="5">
        <f t="shared" si="26"/>
        <v>0.625</v>
      </c>
    </row>
    <row r="536" spans="1:33" x14ac:dyDescent="0.25">
      <c r="A536" s="1">
        <v>45567</v>
      </c>
      <c r="B536">
        <v>925</v>
      </c>
      <c r="C536" t="s">
        <v>42</v>
      </c>
      <c r="D536" t="s">
        <v>190</v>
      </c>
      <c r="E536">
        <v>616102</v>
      </c>
      <c r="F536" s="2">
        <v>0.625</v>
      </c>
      <c r="G536" t="s">
        <v>6</v>
      </c>
      <c r="H536" s="2">
        <v>0.64583333333333337</v>
      </c>
      <c r="I536">
        <v>642</v>
      </c>
      <c r="J536">
        <v>0</v>
      </c>
      <c r="K536">
        <v>0</v>
      </c>
      <c r="L536">
        <v>8</v>
      </c>
      <c r="M536">
        <v>0</v>
      </c>
      <c r="N536">
        <v>0</v>
      </c>
      <c r="O536">
        <v>0</v>
      </c>
      <c r="P536">
        <v>322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1</v>
      </c>
      <c r="AC536">
        <v>0</v>
      </c>
      <c r="AD536" s="3" t="str">
        <f t="shared" si="24"/>
        <v>S2S PREMIUM</v>
      </c>
      <c r="AE536" s="3" t="e">
        <f>VLOOKUP(E536,'[1]Nómina Agentes'!$C:$D,2,0)</f>
        <v>#N/A</v>
      </c>
      <c r="AF536" s="5">
        <f t="shared" si="25"/>
        <v>0.625</v>
      </c>
      <c r="AG536" s="5">
        <f t="shared" si="26"/>
        <v>0.64583333333333337</v>
      </c>
    </row>
    <row r="537" spans="1:33" x14ac:dyDescent="0.25">
      <c r="A537" s="1">
        <v>45567</v>
      </c>
      <c r="B537">
        <v>925</v>
      </c>
      <c r="C537" t="s">
        <v>42</v>
      </c>
      <c r="D537" t="s">
        <v>190</v>
      </c>
      <c r="E537">
        <v>616102</v>
      </c>
      <c r="F537" s="2">
        <v>0.64583333333333337</v>
      </c>
      <c r="G537" t="s">
        <v>6</v>
      </c>
      <c r="H537" s="2">
        <v>0.66666666666666663</v>
      </c>
      <c r="I537">
        <v>1332</v>
      </c>
      <c r="J537">
        <v>0</v>
      </c>
      <c r="K537">
        <v>0</v>
      </c>
      <c r="L537">
        <v>8</v>
      </c>
      <c r="M537">
        <v>0</v>
      </c>
      <c r="N537">
        <v>0</v>
      </c>
      <c r="O537">
        <v>0</v>
      </c>
      <c r="P537">
        <v>101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2</v>
      </c>
      <c r="AC537">
        <v>2</v>
      </c>
      <c r="AD537" s="3" t="str">
        <f t="shared" si="24"/>
        <v>S2S PREMIUM</v>
      </c>
      <c r="AE537" s="3" t="e">
        <f>VLOOKUP(E537,'[1]Nómina Agentes'!$C:$D,2,0)</f>
        <v>#N/A</v>
      </c>
      <c r="AF537" s="5">
        <f t="shared" si="25"/>
        <v>0.64583333333333337</v>
      </c>
      <c r="AG537" s="5">
        <f t="shared" si="26"/>
        <v>0.66666666666666663</v>
      </c>
    </row>
    <row r="538" spans="1:33" x14ac:dyDescent="0.25">
      <c r="A538" s="1">
        <v>45567</v>
      </c>
      <c r="B538">
        <v>924</v>
      </c>
      <c r="C538" t="s">
        <v>43</v>
      </c>
      <c r="D538" t="s">
        <v>191</v>
      </c>
      <c r="E538">
        <v>616206</v>
      </c>
      <c r="F538" s="2">
        <v>0.8125</v>
      </c>
      <c r="G538" t="s">
        <v>6</v>
      </c>
      <c r="H538" s="2">
        <v>0.83333333333333337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 s="3" t="str">
        <f t="shared" si="24"/>
        <v>S2S NO PREMIUM</v>
      </c>
      <c r="AE538" s="3" t="e">
        <f>VLOOKUP(E538,'[1]Nómina Agentes'!$C:$D,2,0)</f>
        <v>#N/A</v>
      </c>
      <c r="AF538" s="5">
        <f t="shared" si="25"/>
        <v>0.8125</v>
      </c>
      <c r="AG538" s="5">
        <f t="shared" si="26"/>
        <v>0.83333333333333337</v>
      </c>
    </row>
    <row r="539" spans="1:33" x14ac:dyDescent="0.25">
      <c r="A539" s="1">
        <v>45567</v>
      </c>
      <c r="B539">
        <v>924</v>
      </c>
      <c r="C539" t="s">
        <v>43</v>
      </c>
      <c r="D539" t="s">
        <v>191</v>
      </c>
      <c r="E539">
        <v>616206</v>
      </c>
      <c r="F539" s="2">
        <v>0.58333333333333337</v>
      </c>
      <c r="G539" t="s">
        <v>6</v>
      </c>
      <c r="H539" s="2">
        <v>0.60416666666666663</v>
      </c>
      <c r="I539">
        <v>658</v>
      </c>
      <c r="J539">
        <v>0</v>
      </c>
      <c r="K539">
        <v>0</v>
      </c>
      <c r="L539">
        <v>16</v>
      </c>
      <c r="M539">
        <v>0</v>
      </c>
      <c r="N539">
        <v>0</v>
      </c>
      <c r="O539">
        <v>0</v>
      </c>
      <c r="P539">
        <v>1</v>
      </c>
      <c r="Q539">
        <v>1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4</v>
      </c>
      <c r="AC539">
        <v>3</v>
      </c>
      <c r="AD539" s="3" t="str">
        <f t="shared" si="24"/>
        <v>S2S NO PREMIUM</v>
      </c>
      <c r="AE539" s="3" t="e">
        <f>VLOOKUP(E539,'[1]Nómina Agentes'!$C:$D,2,0)</f>
        <v>#N/A</v>
      </c>
      <c r="AF539" s="5">
        <f t="shared" si="25"/>
        <v>0.58333333333333337</v>
      </c>
      <c r="AG539" s="5">
        <f t="shared" si="26"/>
        <v>0.60416666666666663</v>
      </c>
    </row>
    <row r="540" spans="1:33" x14ac:dyDescent="0.25">
      <c r="A540" s="1">
        <v>45567</v>
      </c>
      <c r="B540">
        <v>924</v>
      </c>
      <c r="C540" t="s">
        <v>43</v>
      </c>
      <c r="D540" t="s">
        <v>191</v>
      </c>
      <c r="E540">
        <v>616206</v>
      </c>
      <c r="F540" s="2">
        <v>0.60416666666666663</v>
      </c>
      <c r="G540" t="s">
        <v>6</v>
      </c>
      <c r="H540" s="2">
        <v>0.625</v>
      </c>
      <c r="I540">
        <v>702</v>
      </c>
      <c r="J540">
        <v>0</v>
      </c>
      <c r="K540">
        <v>0</v>
      </c>
      <c r="L540">
        <v>12</v>
      </c>
      <c r="M540">
        <v>0</v>
      </c>
      <c r="N540">
        <v>0</v>
      </c>
      <c r="O540">
        <v>0</v>
      </c>
      <c r="P540">
        <v>72</v>
      </c>
      <c r="Q540">
        <v>2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3</v>
      </c>
      <c r="AC540">
        <v>3</v>
      </c>
      <c r="AD540" s="3" t="str">
        <f t="shared" si="24"/>
        <v>S2S NO PREMIUM</v>
      </c>
      <c r="AE540" s="3" t="e">
        <f>VLOOKUP(E540,'[1]Nómina Agentes'!$C:$D,2,0)</f>
        <v>#N/A</v>
      </c>
      <c r="AF540" s="5">
        <f t="shared" si="25"/>
        <v>0.60416666666666663</v>
      </c>
      <c r="AG540" s="5">
        <f t="shared" si="26"/>
        <v>0.625</v>
      </c>
    </row>
    <row r="541" spans="1:33" x14ac:dyDescent="0.25">
      <c r="A541" s="1">
        <v>45567</v>
      </c>
      <c r="B541">
        <v>924</v>
      </c>
      <c r="C541" t="s">
        <v>43</v>
      </c>
      <c r="D541" t="s">
        <v>191</v>
      </c>
      <c r="E541">
        <v>616206</v>
      </c>
      <c r="F541" s="2">
        <v>0.625</v>
      </c>
      <c r="G541" t="s">
        <v>6</v>
      </c>
      <c r="H541" s="2">
        <v>0.64583333333333337</v>
      </c>
      <c r="I541">
        <v>702</v>
      </c>
      <c r="J541">
        <v>0</v>
      </c>
      <c r="K541">
        <v>0</v>
      </c>
      <c r="L541">
        <v>11</v>
      </c>
      <c r="M541">
        <v>0</v>
      </c>
      <c r="N541">
        <v>0</v>
      </c>
      <c r="O541">
        <v>0</v>
      </c>
      <c r="P541">
        <v>334</v>
      </c>
      <c r="Q541">
        <v>88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2</v>
      </c>
      <c r="AC541">
        <v>1</v>
      </c>
      <c r="AD541" s="3" t="str">
        <f t="shared" si="24"/>
        <v>S2S NO PREMIUM</v>
      </c>
      <c r="AE541" s="3" t="e">
        <f>VLOOKUP(E541,'[1]Nómina Agentes'!$C:$D,2,0)</f>
        <v>#N/A</v>
      </c>
      <c r="AF541" s="5">
        <f t="shared" si="25"/>
        <v>0.625</v>
      </c>
      <c r="AG541" s="5">
        <f t="shared" si="26"/>
        <v>0.64583333333333337</v>
      </c>
    </row>
    <row r="542" spans="1:33" x14ac:dyDescent="0.25">
      <c r="A542" s="1">
        <v>45567</v>
      </c>
      <c r="B542">
        <v>924</v>
      </c>
      <c r="C542" t="s">
        <v>43</v>
      </c>
      <c r="D542" t="s">
        <v>191</v>
      </c>
      <c r="E542">
        <v>616206</v>
      </c>
      <c r="F542" s="2">
        <v>0.77083333333333337</v>
      </c>
      <c r="G542" t="s">
        <v>6</v>
      </c>
      <c r="H542" s="2">
        <v>0.79166666666666663</v>
      </c>
      <c r="I542">
        <v>721</v>
      </c>
      <c r="J542">
        <v>0</v>
      </c>
      <c r="K542">
        <v>0</v>
      </c>
      <c r="L542">
        <v>3</v>
      </c>
      <c r="M542">
        <v>0</v>
      </c>
      <c r="N542">
        <v>0</v>
      </c>
      <c r="O542">
        <v>0</v>
      </c>
      <c r="P542">
        <v>214</v>
      </c>
      <c r="Q542">
        <v>345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1</v>
      </c>
      <c r="AC542">
        <v>1</v>
      </c>
      <c r="AD542" s="3" t="str">
        <f t="shared" si="24"/>
        <v>S2S NO PREMIUM</v>
      </c>
      <c r="AE542" s="3" t="e">
        <f>VLOOKUP(E542,'[1]Nómina Agentes'!$C:$D,2,0)</f>
        <v>#N/A</v>
      </c>
      <c r="AF542" s="5">
        <f t="shared" si="25"/>
        <v>0.77083333333333337</v>
      </c>
      <c r="AG542" s="5">
        <f t="shared" si="26"/>
        <v>0.79166666666666663</v>
      </c>
    </row>
    <row r="543" spans="1:33" x14ac:dyDescent="0.25">
      <c r="A543" s="1">
        <v>45567</v>
      </c>
      <c r="B543">
        <v>924</v>
      </c>
      <c r="C543" t="s">
        <v>43</v>
      </c>
      <c r="D543" t="s">
        <v>191</v>
      </c>
      <c r="E543">
        <v>616206</v>
      </c>
      <c r="F543" s="2">
        <v>0.79166666666666663</v>
      </c>
      <c r="G543" t="s">
        <v>6</v>
      </c>
      <c r="H543" s="2">
        <v>0.8125</v>
      </c>
      <c r="I543">
        <v>995</v>
      </c>
      <c r="J543">
        <v>0</v>
      </c>
      <c r="K543">
        <v>0</v>
      </c>
      <c r="L543">
        <v>12</v>
      </c>
      <c r="M543">
        <v>0</v>
      </c>
      <c r="N543">
        <v>0</v>
      </c>
      <c r="O543">
        <v>0</v>
      </c>
      <c r="P543">
        <v>918</v>
      </c>
      <c r="Q543">
        <v>92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4</v>
      </c>
      <c r="AC543">
        <v>3</v>
      </c>
      <c r="AD543" s="3" t="str">
        <f t="shared" si="24"/>
        <v>S2S NO PREMIUM</v>
      </c>
      <c r="AE543" s="3" t="e">
        <f>VLOOKUP(E543,'[1]Nómina Agentes'!$C:$D,2,0)</f>
        <v>#N/A</v>
      </c>
      <c r="AF543" s="5">
        <f t="shared" si="25"/>
        <v>0.79166666666666663</v>
      </c>
      <c r="AG543" s="5">
        <f t="shared" si="26"/>
        <v>0.8125</v>
      </c>
    </row>
    <row r="544" spans="1:33" x14ac:dyDescent="0.25">
      <c r="A544" s="1">
        <v>45567</v>
      </c>
      <c r="B544">
        <v>924</v>
      </c>
      <c r="C544" t="s">
        <v>43</v>
      </c>
      <c r="D544" t="s">
        <v>191</v>
      </c>
      <c r="E544">
        <v>616206</v>
      </c>
      <c r="F544" s="2">
        <v>0.66666666666666663</v>
      </c>
      <c r="G544" t="s">
        <v>6</v>
      </c>
      <c r="H544" s="2">
        <v>0.6875</v>
      </c>
      <c r="I544">
        <v>1045</v>
      </c>
      <c r="J544">
        <v>0</v>
      </c>
      <c r="K544">
        <v>0</v>
      </c>
      <c r="L544">
        <v>16</v>
      </c>
      <c r="M544">
        <v>0</v>
      </c>
      <c r="N544">
        <v>0</v>
      </c>
      <c r="O544">
        <v>0</v>
      </c>
      <c r="P544">
        <v>282</v>
      </c>
      <c r="Q544">
        <v>17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5</v>
      </c>
      <c r="AC544">
        <v>3</v>
      </c>
      <c r="AD544" s="3" t="str">
        <f t="shared" si="24"/>
        <v>S2S NO PREMIUM</v>
      </c>
      <c r="AE544" s="3" t="e">
        <f>VLOOKUP(E544,'[1]Nómina Agentes'!$C:$D,2,0)</f>
        <v>#N/A</v>
      </c>
      <c r="AF544" s="5">
        <f t="shared" si="25"/>
        <v>0.66666666666666663</v>
      </c>
      <c r="AG544" s="5">
        <f t="shared" si="26"/>
        <v>0.6875</v>
      </c>
    </row>
    <row r="545" spans="1:33" x14ac:dyDescent="0.25">
      <c r="A545" s="1">
        <v>45567</v>
      </c>
      <c r="B545">
        <v>924</v>
      </c>
      <c r="C545" t="s">
        <v>43</v>
      </c>
      <c r="D545" t="s">
        <v>191</v>
      </c>
      <c r="E545">
        <v>616206</v>
      </c>
      <c r="F545" s="2">
        <v>0.64583333333333337</v>
      </c>
      <c r="G545" t="s">
        <v>6</v>
      </c>
      <c r="H545" s="2">
        <v>0.66666666666666663</v>
      </c>
      <c r="I545">
        <v>1085</v>
      </c>
      <c r="J545">
        <v>0</v>
      </c>
      <c r="K545">
        <v>0</v>
      </c>
      <c r="L545">
        <v>12</v>
      </c>
      <c r="M545">
        <v>0</v>
      </c>
      <c r="N545">
        <v>0</v>
      </c>
      <c r="O545">
        <v>0</v>
      </c>
      <c r="P545">
        <v>343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3</v>
      </c>
      <c r="AC545">
        <v>3</v>
      </c>
      <c r="AD545" s="3" t="str">
        <f t="shared" si="24"/>
        <v>S2S NO PREMIUM</v>
      </c>
      <c r="AE545" s="3" t="e">
        <f>VLOOKUP(E545,'[1]Nómina Agentes'!$C:$D,2,0)</f>
        <v>#N/A</v>
      </c>
      <c r="AF545" s="5">
        <f t="shared" si="25"/>
        <v>0.64583333333333337</v>
      </c>
      <c r="AG545" s="5">
        <f t="shared" si="26"/>
        <v>0.66666666666666663</v>
      </c>
    </row>
    <row r="546" spans="1:33" x14ac:dyDescent="0.25">
      <c r="A546" s="1">
        <v>45567</v>
      </c>
      <c r="B546">
        <v>924</v>
      </c>
      <c r="C546" t="s">
        <v>43</v>
      </c>
      <c r="D546" t="s">
        <v>191</v>
      </c>
      <c r="E546">
        <v>616206</v>
      </c>
      <c r="F546" s="2">
        <v>0.70833333333333337</v>
      </c>
      <c r="G546" t="s">
        <v>6</v>
      </c>
      <c r="H546" s="2">
        <v>0.72916666666666663</v>
      </c>
      <c r="I546">
        <v>1238</v>
      </c>
      <c r="J546">
        <v>0</v>
      </c>
      <c r="K546">
        <v>0</v>
      </c>
      <c r="L546">
        <v>16</v>
      </c>
      <c r="M546">
        <v>0</v>
      </c>
      <c r="N546">
        <v>0</v>
      </c>
      <c r="O546">
        <v>0</v>
      </c>
      <c r="P546">
        <v>2</v>
      </c>
      <c r="Q546">
        <v>2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5</v>
      </c>
      <c r="AC546">
        <v>4</v>
      </c>
      <c r="AD546" s="3" t="str">
        <f t="shared" si="24"/>
        <v>S2S NO PREMIUM</v>
      </c>
      <c r="AE546" s="3" t="e">
        <f>VLOOKUP(E546,'[1]Nómina Agentes'!$C:$D,2,0)</f>
        <v>#N/A</v>
      </c>
      <c r="AF546" s="5">
        <f t="shared" si="25"/>
        <v>0.70833333333333337</v>
      </c>
      <c r="AG546" s="5">
        <f t="shared" si="26"/>
        <v>0.72916666666666663</v>
      </c>
    </row>
    <row r="547" spans="1:33" x14ac:dyDescent="0.25">
      <c r="A547" s="1">
        <v>45567</v>
      </c>
      <c r="B547">
        <v>924</v>
      </c>
      <c r="C547" t="s">
        <v>43</v>
      </c>
      <c r="D547" t="s">
        <v>191</v>
      </c>
      <c r="E547">
        <v>616206</v>
      </c>
      <c r="F547" s="2">
        <v>0.75</v>
      </c>
      <c r="G547" t="s">
        <v>6</v>
      </c>
      <c r="H547" s="2">
        <v>0.77083333333333337</v>
      </c>
      <c r="I547">
        <v>1274</v>
      </c>
      <c r="J547">
        <v>0</v>
      </c>
      <c r="K547">
        <v>0</v>
      </c>
      <c r="L547">
        <v>16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4</v>
      </c>
      <c r="AC547">
        <v>3</v>
      </c>
      <c r="AD547" s="3" t="str">
        <f t="shared" si="24"/>
        <v>S2S NO PREMIUM</v>
      </c>
      <c r="AE547" s="3" t="e">
        <f>VLOOKUP(E547,'[1]Nómina Agentes'!$C:$D,2,0)</f>
        <v>#N/A</v>
      </c>
      <c r="AF547" s="5">
        <f t="shared" si="25"/>
        <v>0.75</v>
      </c>
      <c r="AG547" s="5">
        <f t="shared" si="26"/>
        <v>0.77083333333333337</v>
      </c>
    </row>
    <row r="548" spans="1:33" x14ac:dyDescent="0.25">
      <c r="A548" s="1">
        <v>45567</v>
      </c>
      <c r="B548">
        <v>924</v>
      </c>
      <c r="C548" t="s">
        <v>43</v>
      </c>
      <c r="D548" t="s">
        <v>191</v>
      </c>
      <c r="E548">
        <v>616206</v>
      </c>
      <c r="F548" s="2">
        <v>0.6875</v>
      </c>
      <c r="G548" t="s">
        <v>6</v>
      </c>
      <c r="H548" s="2">
        <v>0.70833333333333337</v>
      </c>
      <c r="I548">
        <v>1392</v>
      </c>
      <c r="J548">
        <v>0</v>
      </c>
      <c r="K548">
        <v>0</v>
      </c>
      <c r="L548">
        <v>23</v>
      </c>
      <c r="M548">
        <v>0</v>
      </c>
      <c r="N548">
        <v>0</v>
      </c>
      <c r="O548">
        <v>0</v>
      </c>
      <c r="P548">
        <v>60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5</v>
      </c>
      <c r="AC548">
        <v>4</v>
      </c>
      <c r="AD548" s="3" t="str">
        <f t="shared" si="24"/>
        <v>S2S NO PREMIUM</v>
      </c>
      <c r="AE548" s="3" t="e">
        <f>VLOOKUP(E548,'[1]Nómina Agentes'!$C:$D,2,0)</f>
        <v>#N/A</v>
      </c>
      <c r="AF548" s="5">
        <f t="shared" si="25"/>
        <v>0.6875</v>
      </c>
      <c r="AG548" s="5">
        <f t="shared" si="26"/>
        <v>0.70833333333333337</v>
      </c>
    </row>
    <row r="549" spans="1:33" x14ac:dyDescent="0.25">
      <c r="A549" s="1">
        <v>45567</v>
      </c>
      <c r="B549">
        <v>924</v>
      </c>
      <c r="C549" t="s">
        <v>43</v>
      </c>
      <c r="D549" t="s">
        <v>191</v>
      </c>
      <c r="E549">
        <v>616206</v>
      </c>
      <c r="F549" s="2">
        <v>0.72916666666666663</v>
      </c>
      <c r="G549" t="s">
        <v>6</v>
      </c>
      <c r="H549" s="2">
        <v>0.75</v>
      </c>
      <c r="I549">
        <v>1410</v>
      </c>
      <c r="J549">
        <v>0</v>
      </c>
      <c r="K549">
        <v>0</v>
      </c>
      <c r="L549">
        <v>27</v>
      </c>
      <c r="M549">
        <v>0</v>
      </c>
      <c r="N549">
        <v>0</v>
      </c>
      <c r="O549">
        <v>0</v>
      </c>
      <c r="P549">
        <v>2</v>
      </c>
      <c r="Q549">
        <v>2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6</v>
      </c>
      <c r="AC549">
        <v>4</v>
      </c>
      <c r="AD549" s="3" t="str">
        <f t="shared" si="24"/>
        <v>S2S NO PREMIUM</v>
      </c>
      <c r="AE549" s="3" t="e">
        <f>VLOOKUP(E549,'[1]Nómina Agentes'!$C:$D,2,0)</f>
        <v>#N/A</v>
      </c>
      <c r="AF549" s="5">
        <f t="shared" si="25"/>
        <v>0.72916666666666663</v>
      </c>
      <c r="AG549" s="5">
        <f t="shared" si="26"/>
        <v>0.75</v>
      </c>
    </row>
    <row r="550" spans="1:33" x14ac:dyDescent="0.25">
      <c r="A550" s="1">
        <v>45567</v>
      </c>
      <c r="B550">
        <v>924</v>
      </c>
      <c r="C550" t="s">
        <v>43</v>
      </c>
      <c r="D550" t="s">
        <v>192</v>
      </c>
      <c r="E550">
        <v>616221</v>
      </c>
      <c r="F550" s="2">
        <v>0.625</v>
      </c>
      <c r="G550" t="s">
        <v>6</v>
      </c>
      <c r="H550" s="2">
        <v>0.64583333333333337</v>
      </c>
      <c r="I550">
        <v>3</v>
      </c>
      <c r="J550">
        <v>5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101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1</v>
      </c>
      <c r="AC550">
        <v>1</v>
      </c>
      <c r="AD550" s="3" t="str">
        <f t="shared" si="24"/>
        <v>S2S NO PREMIUM</v>
      </c>
      <c r="AE550" s="3" t="e">
        <f>VLOOKUP(E550,'[1]Nómina Agentes'!$C:$D,2,0)</f>
        <v>#N/A</v>
      </c>
      <c r="AF550" s="5">
        <f t="shared" si="25"/>
        <v>0.625</v>
      </c>
      <c r="AG550" s="5">
        <f t="shared" si="26"/>
        <v>0.64583333333333337</v>
      </c>
    </row>
    <row r="551" spans="1:33" x14ac:dyDescent="0.25">
      <c r="A551" s="1">
        <v>45567</v>
      </c>
      <c r="B551">
        <v>924</v>
      </c>
      <c r="C551" t="s">
        <v>43</v>
      </c>
      <c r="D551" t="s">
        <v>192</v>
      </c>
      <c r="E551">
        <v>616221</v>
      </c>
      <c r="F551" s="2">
        <v>0.58333333333333337</v>
      </c>
      <c r="G551" t="s">
        <v>6</v>
      </c>
      <c r="H551" s="2">
        <v>0.60416666666666663</v>
      </c>
      <c r="I551">
        <v>829</v>
      </c>
      <c r="J551">
        <v>0</v>
      </c>
      <c r="K551">
        <v>0</v>
      </c>
      <c r="L551">
        <v>16</v>
      </c>
      <c r="M551">
        <v>0</v>
      </c>
      <c r="N551">
        <v>0</v>
      </c>
      <c r="O551">
        <v>0</v>
      </c>
      <c r="P551">
        <v>60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3</v>
      </c>
      <c r="AC551">
        <v>3</v>
      </c>
      <c r="AD551" s="3" t="str">
        <f t="shared" si="24"/>
        <v>S2S NO PREMIUM</v>
      </c>
      <c r="AE551" s="3" t="e">
        <f>VLOOKUP(E551,'[1]Nómina Agentes'!$C:$D,2,0)</f>
        <v>#N/A</v>
      </c>
      <c r="AF551" s="5">
        <f t="shared" si="25"/>
        <v>0.58333333333333337</v>
      </c>
      <c r="AG551" s="5">
        <f t="shared" si="26"/>
        <v>0.60416666666666663</v>
      </c>
    </row>
    <row r="552" spans="1:33" x14ac:dyDescent="0.25">
      <c r="A552" s="1">
        <v>45567</v>
      </c>
      <c r="B552">
        <v>924</v>
      </c>
      <c r="C552" t="s">
        <v>43</v>
      </c>
      <c r="D552" t="s">
        <v>192</v>
      </c>
      <c r="E552">
        <v>616221</v>
      </c>
      <c r="F552" s="2">
        <v>0.60416666666666663</v>
      </c>
      <c r="G552" t="s">
        <v>6</v>
      </c>
      <c r="H552" s="2">
        <v>0.625</v>
      </c>
      <c r="I552">
        <v>990</v>
      </c>
      <c r="J552">
        <v>0</v>
      </c>
      <c r="K552">
        <v>0</v>
      </c>
      <c r="L552">
        <v>9</v>
      </c>
      <c r="M552">
        <v>0</v>
      </c>
      <c r="N552">
        <v>0</v>
      </c>
      <c r="O552">
        <v>0</v>
      </c>
      <c r="P552">
        <v>152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2</v>
      </c>
      <c r="AC552">
        <v>1</v>
      </c>
      <c r="AD552" s="3" t="str">
        <f t="shared" si="24"/>
        <v>S2S NO PREMIUM</v>
      </c>
      <c r="AE552" s="3" t="e">
        <f>VLOOKUP(E552,'[1]Nómina Agentes'!$C:$D,2,0)</f>
        <v>#N/A</v>
      </c>
      <c r="AF552" s="5">
        <f t="shared" si="25"/>
        <v>0.60416666666666663</v>
      </c>
      <c r="AG552" s="5">
        <f t="shared" si="26"/>
        <v>0.625</v>
      </c>
    </row>
    <row r="553" spans="1:33" x14ac:dyDescent="0.25">
      <c r="A553" s="1">
        <v>45567</v>
      </c>
      <c r="B553">
        <v>924</v>
      </c>
      <c r="C553" t="s">
        <v>43</v>
      </c>
      <c r="D553" t="s">
        <v>193</v>
      </c>
      <c r="E553">
        <v>616238</v>
      </c>
      <c r="F553" s="2">
        <v>0.625</v>
      </c>
      <c r="G553" t="s">
        <v>6</v>
      </c>
      <c r="H553" s="2">
        <v>0.64583333333333337</v>
      </c>
      <c r="I553">
        <v>424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388</v>
      </c>
      <c r="Q553">
        <v>1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1</v>
      </c>
      <c r="AC553">
        <v>1</v>
      </c>
      <c r="AD553" s="3" t="str">
        <f t="shared" si="24"/>
        <v>S2S NO PREMIUM</v>
      </c>
      <c r="AE553" s="3" t="e">
        <f>VLOOKUP(E553,'[1]Nómina Agentes'!$C:$D,2,0)</f>
        <v>#N/A</v>
      </c>
      <c r="AF553" s="5">
        <f t="shared" si="25"/>
        <v>0.625</v>
      </c>
      <c r="AG553" s="5">
        <f t="shared" si="26"/>
        <v>0.64583333333333337</v>
      </c>
    </row>
    <row r="554" spans="1:33" x14ac:dyDescent="0.25">
      <c r="A554" s="1">
        <v>45567</v>
      </c>
      <c r="B554">
        <v>924</v>
      </c>
      <c r="C554" t="s">
        <v>43</v>
      </c>
      <c r="D554" t="s">
        <v>193</v>
      </c>
      <c r="E554">
        <v>616238</v>
      </c>
      <c r="F554" s="2">
        <v>0.60416666666666663</v>
      </c>
      <c r="G554" t="s">
        <v>6</v>
      </c>
      <c r="H554" s="2">
        <v>0.625</v>
      </c>
      <c r="I554">
        <v>800</v>
      </c>
      <c r="J554">
        <v>0</v>
      </c>
      <c r="K554">
        <v>0</v>
      </c>
      <c r="L554">
        <v>16</v>
      </c>
      <c r="M554">
        <v>0</v>
      </c>
      <c r="N554">
        <v>0</v>
      </c>
      <c r="O554">
        <v>0</v>
      </c>
      <c r="P554">
        <v>1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4</v>
      </c>
      <c r="AC554">
        <v>4</v>
      </c>
      <c r="AD554" s="3" t="str">
        <f t="shared" si="24"/>
        <v>S2S NO PREMIUM</v>
      </c>
      <c r="AE554" s="3" t="e">
        <f>VLOOKUP(E554,'[1]Nómina Agentes'!$C:$D,2,0)</f>
        <v>#N/A</v>
      </c>
      <c r="AF554" s="5">
        <f t="shared" si="25"/>
        <v>0.60416666666666663</v>
      </c>
      <c r="AG554" s="5">
        <f t="shared" si="26"/>
        <v>0.625</v>
      </c>
    </row>
    <row r="555" spans="1:33" x14ac:dyDescent="0.25">
      <c r="A555" s="1">
        <v>45567</v>
      </c>
      <c r="B555">
        <v>924</v>
      </c>
      <c r="C555" t="s">
        <v>43</v>
      </c>
      <c r="D555" t="s">
        <v>193</v>
      </c>
      <c r="E555">
        <v>616238</v>
      </c>
      <c r="F555" s="2">
        <v>0.58333333333333337</v>
      </c>
      <c r="G555" t="s">
        <v>6</v>
      </c>
      <c r="H555" s="2">
        <v>0.60416666666666663</v>
      </c>
      <c r="I555">
        <v>1277</v>
      </c>
      <c r="J555">
        <v>0</v>
      </c>
      <c r="K555">
        <v>0</v>
      </c>
      <c r="L555">
        <v>13</v>
      </c>
      <c r="M555">
        <v>0</v>
      </c>
      <c r="N555">
        <v>0</v>
      </c>
      <c r="O555">
        <v>0</v>
      </c>
      <c r="P555">
        <v>1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2</v>
      </c>
      <c r="AC555">
        <v>2</v>
      </c>
      <c r="AD555" s="3" t="str">
        <f t="shared" si="24"/>
        <v>S2S NO PREMIUM</v>
      </c>
      <c r="AE555" s="3" t="e">
        <f>VLOOKUP(E555,'[1]Nómina Agentes'!$C:$D,2,0)</f>
        <v>#N/A</v>
      </c>
      <c r="AF555" s="5">
        <f t="shared" si="25"/>
        <v>0.58333333333333337</v>
      </c>
      <c r="AG555" s="5">
        <f t="shared" si="26"/>
        <v>0.60416666666666663</v>
      </c>
    </row>
    <row r="556" spans="1:33" x14ac:dyDescent="0.25">
      <c r="A556" s="1">
        <v>45567</v>
      </c>
      <c r="B556">
        <v>924</v>
      </c>
      <c r="C556" t="s">
        <v>43</v>
      </c>
      <c r="D556" t="s">
        <v>194</v>
      </c>
      <c r="E556">
        <v>616261</v>
      </c>
      <c r="F556" s="2">
        <v>0.66666666666666663</v>
      </c>
      <c r="G556" t="s">
        <v>6</v>
      </c>
      <c r="H556" s="2">
        <v>0.6875</v>
      </c>
      <c r="I556">
        <v>119</v>
      </c>
      <c r="J556">
        <v>3</v>
      </c>
      <c r="K556">
        <v>0</v>
      </c>
      <c r="L556">
        <v>2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1</v>
      </c>
      <c r="AC556">
        <v>1</v>
      </c>
      <c r="AD556" s="3" t="str">
        <f t="shared" si="24"/>
        <v>S2S NO PREMIUM</v>
      </c>
      <c r="AE556" s="3" t="e">
        <f>VLOOKUP(E556,'[1]Nómina Agentes'!$C:$D,2,0)</f>
        <v>#N/A</v>
      </c>
      <c r="AF556" s="5">
        <f t="shared" si="25"/>
        <v>0.66666666666666663</v>
      </c>
      <c r="AG556" s="5">
        <f t="shared" si="26"/>
        <v>0.6875</v>
      </c>
    </row>
    <row r="557" spans="1:33" x14ac:dyDescent="0.25">
      <c r="A557" s="1">
        <v>45567</v>
      </c>
      <c r="B557">
        <v>924</v>
      </c>
      <c r="C557" t="s">
        <v>43</v>
      </c>
      <c r="D557" t="s">
        <v>194</v>
      </c>
      <c r="E557">
        <v>616261</v>
      </c>
      <c r="F557" s="2">
        <v>0.64583333333333337</v>
      </c>
      <c r="G557" t="s">
        <v>6</v>
      </c>
      <c r="H557" s="2">
        <v>0.66666666666666663</v>
      </c>
      <c r="I557">
        <v>834</v>
      </c>
      <c r="J557">
        <v>0</v>
      </c>
      <c r="K557">
        <v>0</v>
      </c>
      <c r="L557">
        <v>22</v>
      </c>
      <c r="M557">
        <v>0</v>
      </c>
      <c r="N557">
        <v>0</v>
      </c>
      <c r="O557">
        <v>0</v>
      </c>
      <c r="P557">
        <v>2</v>
      </c>
      <c r="Q557">
        <v>2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5</v>
      </c>
      <c r="AC557">
        <v>5</v>
      </c>
      <c r="AD557" s="3" t="str">
        <f t="shared" si="24"/>
        <v>S2S NO PREMIUM</v>
      </c>
      <c r="AE557" s="3" t="e">
        <f>VLOOKUP(E557,'[1]Nómina Agentes'!$C:$D,2,0)</f>
        <v>#N/A</v>
      </c>
      <c r="AF557" s="5">
        <f t="shared" si="25"/>
        <v>0.64583333333333337</v>
      </c>
      <c r="AG557" s="5">
        <f t="shared" si="26"/>
        <v>0.66666666666666663</v>
      </c>
    </row>
    <row r="558" spans="1:33" x14ac:dyDescent="0.25">
      <c r="A558" s="1">
        <v>45567</v>
      </c>
      <c r="B558">
        <v>924</v>
      </c>
      <c r="C558" t="s">
        <v>43</v>
      </c>
      <c r="D558" t="s">
        <v>194</v>
      </c>
      <c r="E558">
        <v>616261</v>
      </c>
      <c r="F558" s="2">
        <v>0.625</v>
      </c>
      <c r="G558" t="s">
        <v>6</v>
      </c>
      <c r="H558" s="2">
        <v>0.64583333333333337</v>
      </c>
      <c r="I558">
        <v>926</v>
      </c>
      <c r="J558">
        <v>0</v>
      </c>
      <c r="K558">
        <v>0</v>
      </c>
      <c r="L558">
        <v>12</v>
      </c>
      <c r="M558">
        <v>0</v>
      </c>
      <c r="N558">
        <v>0</v>
      </c>
      <c r="O558">
        <v>0</v>
      </c>
      <c r="P558">
        <v>67</v>
      </c>
      <c r="Q558">
        <v>65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4</v>
      </c>
      <c r="AC558">
        <v>4</v>
      </c>
      <c r="AD558" s="3" t="str">
        <f t="shared" si="24"/>
        <v>S2S NO PREMIUM</v>
      </c>
      <c r="AE558" s="3" t="e">
        <f>VLOOKUP(E558,'[1]Nómina Agentes'!$C:$D,2,0)</f>
        <v>#N/A</v>
      </c>
      <c r="AF558" s="5">
        <f t="shared" si="25"/>
        <v>0.625</v>
      </c>
      <c r="AG558" s="5">
        <f t="shared" si="26"/>
        <v>0.64583333333333337</v>
      </c>
    </row>
    <row r="559" spans="1:33" x14ac:dyDescent="0.25">
      <c r="A559" s="1">
        <v>45567</v>
      </c>
      <c r="B559">
        <v>924</v>
      </c>
      <c r="C559" t="s">
        <v>43</v>
      </c>
      <c r="D559" t="s">
        <v>194</v>
      </c>
      <c r="E559">
        <v>616261</v>
      </c>
      <c r="F559" s="2">
        <v>0.60416666666666663</v>
      </c>
      <c r="G559" t="s">
        <v>6</v>
      </c>
      <c r="H559" s="2">
        <v>0.625</v>
      </c>
      <c r="I559">
        <v>1015</v>
      </c>
      <c r="J559">
        <v>535</v>
      </c>
      <c r="K559">
        <v>0</v>
      </c>
      <c r="L559">
        <v>8</v>
      </c>
      <c r="M559">
        <v>0</v>
      </c>
      <c r="N559">
        <v>0</v>
      </c>
      <c r="O559">
        <v>0</v>
      </c>
      <c r="P559">
        <v>2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2</v>
      </c>
      <c r="AC559">
        <v>2</v>
      </c>
      <c r="AD559" s="3" t="str">
        <f t="shared" si="24"/>
        <v>S2S NO PREMIUM</v>
      </c>
      <c r="AE559" s="3" t="e">
        <f>VLOOKUP(E559,'[1]Nómina Agentes'!$C:$D,2,0)</f>
        <v>#N/A</v>
      </c>
      <c r="AF559" s="5">
        <f t="shared" si="25"/>
        <v>0.60416666666666663</v>
      </c>
      <c r="AG559" s="5">
        <f t="shared" si="26"/>
        <v>0.625</v>
      </c>
    </row>
    <row r="560" spans="1:33" x14ac:dyDescent="0.25">
      <c r="A560" s="1">
        <v>45567</v>
      </c>
      <c r="B560">
        <v>924</v>
      </c>
      <c r="C560" t="s">
        <v>43</v>
      </c>
      <c r="D560" t="s">
        <v>194</v>
      </c>
      <c r="E560">
        <v>616261</v>
      </c>
      <c r="F560" s="2">
        <v>0.58333333333333337</v>
      </c>
      <c r="G560" t="s">
        <v>6</v>
      </c>
      <c r="H560" s="2">
        <v>0.60416666666666663</v>
      </c>
      <c r="I560">
        <v>1250</v>
      </c>
      <c r="J560">
        <v>0</v>
      </c>
      <c r="K560">
        <v>0</v>
      </c>
      <c r="L560">
        <v>12</v>
      </c>
      <c r="M560">
        <v>0</v>
      </c>
      <c r="N560">
        <v>0</v>
      </c>
      <c r="O560">
        <v>0</v>
      </c>
      <c r="P560">
        <v>1</v>
      </c>
      <c r="Q560">
        <v>1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3</v>
      </c>
      <c r="AC560">
        <v>2</v>
      </c>
      <c r="AD560" s="3" t="str">
        <f t="shared" si="24"/>
        <v>S2S NO PREMIUM</v>
      </c>
      <c r="AE560" s="3" t="e">
        <f>VLOOKUP(E560,'[1]Nómina Agentes'!$C:$D,2,0)</f>
        <v>#N/A</v>
      </c>
      <c r="AF560" s="5">
        <f t="shared" si="25"/>
        <v>0.58333333333333337</v>
      </c>
      <c r="AG560" s="5">
        <f t="shared" si="26"/>
        <v>0.60416666666666663</v>
      </c>
    </row>
    <row r="561" spans="1:33" x14ac:dyDescent="0.25">
      <c r="A561" s="1">
        <v>45567</v>
      </c>
      <c r="B561">
        <v>924</v>
      </c>
      <c r="C561" t="s">
        <v>43</v>
      </c>
      <c r="D561" t="s">
        <v>195</v>
      </c>
      <c r="E561">
        <v>616336</v>
      </c>
      <c r="F561" s="2">
        <v>0.77083333333333337</v>
      </c>
      <c r="G561" t="s">
        <v>6</v>
      </c>
      <c r="H561" s="2">
        <v>0.79166666666666663</v>
      </c>
      <c r="I561">
        <v>10</v>
      </c>
      <c r="J561">
        <v>122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114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1</v>
      </c>
      <c r="AC561">
        <v>1</v>
      </c>
      <c r="AD561" s="3" t="str">
        <f t="shared" si="24"/>
        <v>S2S NO PREMIUM</v>
      </c>
      <c r="AE561" s="3" t="e">
        <f>VLOOKUP(E561,'[1]Nómina Agentes'!$C:$D,2,0)</f>
        <v>#N/A</v>
      </c>
      <c r="AF561" s="5">
        <f t="shared" si="25"/>
        <v>0.77083333333333337</v>
      </c>
      <c r="AG561" s="5">
        <f t="shared" si="26"/>
        <v>0.79166666666666663</v>
      </c>
    </row>
    <row r="562" spans="1:33" x14ac:dyDescent="0.25">
      <c r="A562" s="1">
        <v>45567</v>
      </c>
      <c r="B562">
        <v>924</v>
      </c>
      <c r="C562" t="s">
        <v>43</v>
      </c>
      <c r="D562" t="s">
        <v>195</v>
      </c>
      <c r="E562">
        <v>616336</v>
      </c>
      <c r="F562" s="2">
        <v>0.79166666666666663</v>
      </c>
      <c r="G562" t="s">
        <v>6</v>
      </c>
      <c r="H562" s="2">
        <v>0.8125</v>
      </c>
      <c r="I562">
        <v>537</v>
      </c>
      <c r="J562">
        <v>0</v>
      </c>
      <c r="K562">
        <v>0</v>
      </c>
      <c r="L562">
        <v>12</v>
      </c>
      <c r="M562">
        <v>0</v>
      </c>
      <c r="N562">
        <v>0</v>
      </c>
      <c r="O562">
        <v>0</v>
      </c>
      <c r="P562">
        <v>182</v>
      </c>
      <c r="Q562">
        <v>138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2</v>
      </c>
      <c r="AC562">
        <v>2</v>
      </c>
      <c r="AD562" s="3" t="str">
        <f t="shared" si="24"/>
        <v>S2S NO PREMIUM</v>
      </c>
      <c r="AE562" s="3" t="e">
        <f>VLOOKUP(E562,'[1]Nómina Agentes'!$C:$D,2,0)</f>
        <v>#N/A</v>
      </c>
      <c r="AF562" s="5">
        <f t="shared" si="25"/>
        <v>0.79166666666666663</v>
      </c>
      <c r="AG562" s="5">
        <f t="shared" si="26"/>
        <v>0.8125</v>
      </c>
    </row>
    <row r="563" spans="1:33" x14ac:dyDescent="0.25">
      <c r="A563" s="1">
        <v>45567</v>
      </c>
      <c r="B563">
        <v>924</v>
      </c>
      <c r="C563" t="s">
        <v>43</v>
      </c>
      <c r="D563" t="s">
        <v>195</v>
      </c>
      <c r="E563">
        <v>616336</v>
      </c>
      <c r="F563" s="2">
        <v>0.58333333333333337</v>
      </c>
      <c r="G563" t="s">
        <v>6</v>
      </c>
      <c r="H563" s="2">
        <v>0.60416666666666663</v>
      </c>
      <c r="I563">
        <v>621</v>
      </c>
      <c r="J563">
        <v>0</v>
      </c>
      <c r="K563">
        <v>0</v>
      </c>
      <c r="L563">
        <v>12</v>
      </c>
      <c r="M563">
        <v>0</v>
      </c>
      <c r="N563">
        <v>0</v>
      </c>
      <c r="O563">
        <v>0</v>
      </c>
      <c r="P563">
        <v>0</v>
      </c>
      <c r="Q563">
        <v>42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2</v>
      </c>
      <c r="AC563">
        <v>1</v>
      </c>
      <c r="AD563" s="3" t="str">
        <f t="shared" si="24"/>
        <v>S2S NO PREMIUM</v>
      </c>
      <c r="AE563" s="3" t="e">
        <f>VLOOKUP(E563,'[1]Nómina Agentes'!$C:$D,2,0)</f>
        <v>#N/A</v>
      </c>
      <c r="AF563" s="5">
        <f t="shared" si="25"/>
        <v>0.58333333333333337</v>
      </c>
      <c r="AG563" s="5">
        <f t="shared" si="26"/>
        <v>0.60416666666666663</v>
      </c>
    </row>
    <row r="564" spans="1:33" x14ac:dyDescent="0.25">
      <c r="A564" s="1">
        <v>45567</v>
      </c>
      <c r="B564">
        <v>924</v>
      </c>
      <c r="C564" t="s">
        <v>43</v>
      </c>
      <c r="D564" t="s">
        <v>195</v>
      </c>
      <c r="E564">
        <v>616336</v>
      </c>
      <c r="F564" s="2">
        <v>0.60416666666666663</v>
      </c>
      <c r="G564" t="s">
        <v>6</v>
      </c>
      <c r="H564" s="2">
        <v>0.625</v>
      </c>
      <c r="I564">
        <v>803</v>
      </c>
      <c r="J564">
        <v>0</v>
      </c>
      <c r="K564">
        <v>0</v>
      </c>
      <c r="L564">
        <v>8</v>
      </c>
      <c r="M564">
        <v>0</v>
      </c>
      <c r="N564">
        <v>0</v>
      </c>
      <c r="O564">
        <v>0</v>
      </c>
      <c r="P564">
        <v>280</v>
      </c>
      <c r="Q564">
        <v>148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3</v>
      </c>
      <c r="AC564">
        <v>2</v>
      </c>
      <c r="AD564" s="3" t="str">
        <f t="shared" si="24"/>
        <v>S2S NO PREMIUM</v>
      </c>
      <c r="AE564" s="3" t="e">
        <f>VLOOKUP(E564,'[1]Nómina Agentes'!$C:$D,2,0)</f>
        <v>#N/A</v>
      </c>
      <c r="AF564" s="5">
        <f t="shared" si="25"/>
        <v>0.60416666666666663</v>
      </c>
      <c r="AG564" s="5">
        <f t="shared" si="26"/>
        <v>0.625</v>
      </c>
    </row>
    <row r="565" spans="1:33" x14ac:dyDescent="0.25">
      <c r="A565" s="1">
        <v>45567</v>
      </c>
      <c r="B565">
        <v>924</v>
      </c>
      <c r="C565" t="s">
        <v>43</v>
      </c>
      <c r="D565" t="s">
        <v>195</v>
      </c>
      <c r="E565">
        <v>616336</v>
      </c>
      <c r="F565" s="2">
        <v>0.66666666666666663</v>
      </c>
      <c r="G565" t="s">
        <v>6</v>
      </c>
      <c r="H565" s="2">
        <v>0.6875</v>
      </c>
      <c r="I565">
        <v>1007</v>
      </c>
      <c r="J565">
        <v>0</v>
      </c>
      <c r="K565">
        <v>0</v>
      </c>
      <c r="L565">
        <v>4</v>
      </c>
      <c r="M565">
        <v>0</v>
      </c>
      <c r="N565">
        <v>0</v>
      </c>
      <c r="O565">
        <v>0</v>
      </c>
      <c r="P565">
        <v>625</v>
      </c>
      <c r="Q565">
        <v>1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2</v>
      </c>
      <c r="AC565">
        <v>2</v>
      </c>
      <c r="AD565" s="3" t="str">
        <f t="shared" si="24"/>
        <v>S2S NO PREMIUM</v>
      </c>
      <c r="AE565" s="3" t="e">
        <f>VLOOKUP(E565,'[1]Nómina Agentes'!$C:$D,2,0)</f>
        <v>#N/A</v>
      </c>
      <c r="AF565" s="5">
        <f t="shared" si="25"/>
        <v>0.66666666666666663</v>
      </c>
      <c r="AG565" s="5">
        <f t="shared" si="26"/>
        <v>0.6875</v>
      </c>
    </row>
    <row r="566" spans="1:33" x14ac:dyDescent="0.25">
      <c r="A566" s="1">
        <v>45567</v>
      </c>
      <c r="B566">
        <v>924</v>
      </c>
      <c r="C566" t="s">
        <v>43</v>
      </c>
      <c r="D566" t="s">
        <v>195</v>
      </c>
      <c r="E566">
        <v>616336</v>
      </c>
      <c r="F566" s="2">
        <v>0.8125</v>
      </c>
      <c r="G566" t="s">
        <v>6</v>
      </c>
      <c r="H566" s="2">
        <v>0.83333333333333337</v>
      </c>
      <c r="I566">
        <v>1013</v>
      </c>
      <c r="J566">
        <v>0</v>
      </c>
      <c r="K566">
        <v>0</v>
      </c>
      <c r="L566">
        <v>4</v>
      </c>
      <c r="M566">
        <v>0</v>
      </c>
      <c r="N566">
        <v>0</v>
      </c>
      <c r="O566">
        <v>0</v>
      </c>
      <c r="P566">
        <v>228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1</v>
      </c>
      <c r="AC566">
        <v>1</v>
      </c>
      <c r="AD566" s="3" t="str">
        <f t="shared" si="24"/>
        <v>S2S NO PREMIUM</v>
      </c>
      <c r="AE566" s="3" t="e">
        <f>VLOOKUP(E566,'[1]Nómina Agentes'!$C:$D,2,0)</f>
        <v>#N/A</v>
      </c>
      <c r="AF566" s="5">
        <f t="shared" si="25"/>
        <v>0.8125</v>
      </c>
      <c r="AG566" s="5">
        <f t="shared" si="26"/>
        <v>0.83333333333333337</v>
      </c>
    </row>
    <row r="567" spans="1:33" x14ac:dyDescent="0.25">
      <c r="A567" s="1">
        <v>45567</v>
      </c>
      <c r="B567">
        <v>924</v>
      </c>
      <c r="C567" t="s">
        <v>43</v>
      </c>
      <c r="D567" t="s">
        <v>195</v>
      </c>
      <c r="E567">
        <v>616336</v>
      </c>
      <c r="F567" s="2">
        <v>0.72916666666666663</v>
      </c>
      <c r="G567" t="s">
        <v>6</v>
      </c>
      <c r="H567" s="2">
        <v>0.75</v>
      </c>
      <c r="I567">
        <v>1172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545</v>
      </c>
      <c r="Q567">
        <v>399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1</v>
      </c>
      <c r="AC567">
        <v>1</v>
      </c>
      <c r="AD567" s="3" t="str">
        <f t="shared" si="24"/>
        <v>S2S NO PREMIUM</v>
      </c>
      <c r="AE567" s="3" t="e">
        <f>VLOOKUP(E567,'[1]Nómina Agentes'!$C:$D,2,0)</f>
        <v>#N/A</v>
      </c>
      <c r="AF567" s="5">
        <f t="shared" si="25"/>
        <v>0.72916666666666663</v>
      </c>
      <c r="AG567" s="5">
        <f t="shared" si="26"/>
        <v>0.75</v>
      </c>
    </row>
    <row r="568" spans="1:33" x14ac:dyDescent="0.25">
      <c r="A568" s="1">
        <v>45567</v>
      </c>
      <c r="B568">
        <v>924</v>
      </c>
      <c r="C568" t="s">
        <v>43</v>
      </c>
      <c r="D568" t="s">
        <v>195</v>
      </c>
      <c r="E568">
        <v>616336</v>
      </c>
      <c r="F568" s="2">
        <v>0.625</v>
      </c>
      <c r="G568" t="s">
        <v>6</v>
      </c>
      <c r="H568" s="2">
        <v>0.64583333333333337</v>
      </c>
      <c r="I568">
        <v>1176</v>
      </c>
      <c r="J568">
        <v>0</v>
      </c>
      <c r="K568">
        <v>0</v>
      </c>
      <c r="L568">
        <v>8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1</v>
      </c>
      <c r="AC568">
        <v>0</v>
      </c>
      <c r="AD568" s="3" t="str">
        <f t="shared" si="24"/>
        <v>S2S NO PREMIUM</v>
      </c>
      <c r="AE568" s="3" t="e">
        <f>VLOOKUP(E568,'[1]Nómina Agentes'!$C:$D,2,0)</f>
        <v>#N/A</v>
      </c>
      <c r="AF568" s="5">
        <f t="shared" si="25"/>
        <v>0.625</v>
      </c>
      <c r="AG568" s="5">
        <f t="shared" si="26"/>
        <v>0.64583333333333337</v>
      </c>
    </row>
    <row r="569" spans="1:33" x14ac:dyDescent="0.25">
      <c r="A569" s="1">
        <v>45567</v>
      </c>
      <c r="B569">
        <v>924</v>
      </c>
      <c r="C569" t="s">
        <v>43</v>
      </c>
      <c r="D569" t="s">
        <v>195</v>
      </c>
      <c r="E569">
        <v>616336</v>
      </c>
      <c r="F569" s="2">
        <v>0.75</v>
      </c>
      <c r="G569" t="s">
        <v>6</v>
      </c>
      <c r="H569" s="2">
        <v>0.77083333333333337</v>
      </c>
      <c r="I569">
        <v>1200</v>
      </c>
      <c r="J569">
        <v>34</v>
      </c>
      <c r="K569">
        <v>0</v>
      </c>
      <c r="L569">
        <v>15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3</v>
      </c>
      <c r="AC569">
        <v>3</v>
      </c>
      <c r="AD569" s="3" t="str">
        <f t="shared" si="24"/>
        <v>S2S NO PREMIUM</v>
      </c>
      <c r="AE569" s="3" t="e">
        <f>VLOOKUP(E569,'[1]Nómina Agentes'!$C:$D,2,0)</f>
        <v>#N/A</v>
      </c>
      <c r="AF569" s="5">
        <f t="shared" si="25"/>
        <v>0.75</v>
      </c>
      <c r="AG569" s="5">
        <f t="shared" si="26"/>
        <v>0.77083333333333337</v>
      </c>
    </row>
    <row r="570" spans="1:33" x14ac:dyDescent="0.25">
      <c r="A570" s="1">
        <v>45567</v>
      </c>
      <c r="B570">
        <v>924</v>
      </c>
      <c r="C570" t="s">
        <v>43</v>
      </c>
      <c r="D570" t="s">
        <v>195</v>
      </c>
      <c r="E570">
        <v>616336</v>
      </c>
      <c r="F570" s="2">
        <v>0.6875</v>
      </c>
      <c r="G570" t="s">
        <v>6</v>
      </c>
      <c r="H570" s="2">
        <v>0.70833333333333337</v>
      </c>
      <c r="I570">
        <v>1229</v>
      </c>
      <c r="J570">
        <v>0</v>
      </c>
      <c r="K570">
        <v>0</v>
      </c>
      <c r="L570">
        <v>17</v>
      </c>
      <c r="M570">
        <v>0</v>
      </c>
      <c r="N570">
        <v>0</v>
      </c>
      <c r="O570">
        <v>0</v>
      </c>
      <c r="P570">
        <v>169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4</v>
      </c>
      <c r="AC570">
        <v>2</v>
      </c>
      <c r="AD570" s="3" t="str">
        <f t="shared" si="24"/>
        <v>S2S NO PREMIUM</v>
      </c>
      <c r="AE570" s="3" t="e">
        <f>VLOOKUP(E570,'[1]Nómina Agentes'!$C:$D,2,0)</f>
        <v>#N/A</v>
      </c>
      <c r="AF570" s="5">
        <f t="shared" si="25"/>
        <v>0.6875</v>
      </c>
      <c r="AG570" s="5">
        <f t="shared" si="26"/>
        <v>0.70833333333333337</v>
      </c>
    </row>
    <row r="571" spans="1:33" x14ac:dyDescent="0.25">
      <c r="A571" s="1">
        <v>45567</v>
      </c>
      <c r="B571">
        <v>924</v>
      </c>
      <c r="C571" t="s">
        <v>43</v>
      </c>
      <c r="D571" t="s">
        <v>195</v>
      </c>
      <c r="E571">
        <v>616336</v>
      </c>
      <c r="F571" s="2">
        <v>0.70833333333333337</v>
      </c>
      <c r="G571" t="s">
        <v>6</v>
      </c>
      <c r="H571" s="2">
        <v>0.72916666666666663</v>
      </c>
      <c r="I571">
        <v>1306</v>
      </c>
      <c r="J571">
        <v>0</v>
      </c>
      <c r="K571">
        <v>0</v>
      </c>
      <c r="L571">
        <v>21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4</v>
      </c>
      <c r="AC571">
        <v>4</v>
      </c>
      <c r="AD571" s="3" t="str">
        <f t="shared" si="24"/>
        <v>S2S NO PREMIUM</v>
      </c>
      <c r="AE571" s="3" t="e">
        <f>VLOOKUP(E571,'[1]Nómina Agentes'!$C:$D,2,0)</f>
        <v>#N/A</v>
      </c>
      <c r="AF571" s="5">
        <f t="shared" si="25"/>
        <v>0.70833333333333337</v>
      </c>
      <c r="AG571" s="5">
        <f t="shared" si="26"/>
        <v>0.72916666666666663</v>
      </c>
    </row>
    <row r="572" spans="1:33" x14ac:dyDescent="0.25">
      <c r="A572" s="1">
        <v>45567</v>
      </c>
      <c r="B572">
        <v>924</v>
      </c>
      <c r="C572" t="s">
        <v>43</v>
      </c>
      <c r="D572" t="s">
        <v>195</v>
      </c>
      <c r="E572">
        <v>616336</v>
      </c>
      <c r="F572" s="2">
        <v>0.64583333333333337</v>
      </c>
      <c r="G572" t="s">
        <v>6</v>
      </c>
      <c r="H572" s="2">
        <v>0.66666666666666663</v>
      </c>
      <c r="I572">
        <v>1514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265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 s="3" t="str">
        <f t="shared" si="24"/>
        <v>S2S NO PREMIUM</v>
      </c>
      <c r="AE572" s="3" t="e">
        <f>VLOOKUP(E572,'[1]Nómina Agentes'!$C:$D,2,0)</f>
        <v>#N/A</v>
      </c>
      <c r="AF572" s="5">
        <f t="shared" si="25"/>
        <v>0.64583333333333337</v>
      </c>
      <c r="AG572" s="5">
        <f t="shared" si="26"/>
        <v>0.66666666666666663</v>
      </c>
    </row>
    <row r="573" spans="1:33" x14ac:dyDescent="0.25">
      <c r="A573" s="1">
        <v>45567</v>
      </c>
      <c r="B573">
        <v>924</v>
      </c>
      <c r="C573" t="s">
        <v>43</v>
      </c>
      <c r="D573" t="s">
        <v>196</v>
      </c>
      <c r="E573">
        <v>616370</v>
      </c>
      <c r="F573" s="2">
        <v>0.625</v>
      </c>
      <c r="G573" t="s">
        <v>6</v>
      </c>
      <c r="H573" s="2">
        <v>0.64583333333333337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 s="3" t="str">
        <f t="shared" si="24"/>
        <v>S2S NO PREMIUM</v>
      </c>
      <c r="AE573" s="3" t="e">
        <f>VLOOKUP(E573,'[1]Nómina Agentes'!$C:$D,2,0)</f>
        <v>#N/A</v>
      </c>
      <c r="AF573" s="5">
        <f t="shared" si="25"/>
        <v>0.625</v>
      </c>
      <c r="AG573" s="5">
        <f t="shared" si="26"/>
        <v>0.64583333333333337</v>
      </c>
    </row>
    <row r="574" spans="1:33" x14ac:dyDescent="0.25">
      <c r="A574" s="1">
        <v>45567</v>
      </c>
      <c r="B574">
        <v>924</v>
      </c>
      <c r="C574" t="s">
        <v>43</v>
      </c>
      <c r="D574" t="s">
        <v>196</v>
      </c>
      <c r="E574">
        <v>616370</v>
      </c>
      <c r="F574" s="2">
        <v>0.58333333333333337</v>
      </c>
      <c r="G574" t="s">
        <v>6</v>
      </c>
      <c r="H574" s="2">
        <v>0.60416666666666663</v>
      </c>
      <c r="I574">
        <v>695</v>
      </c>
      <c r="J574">
        <v>0</v>
      </c>
      <c r="K574">
        <v>0</v>
      </c>
      <c r="L574">
        <v>4</v>
      </c>
      <c r="M574">
        <v>0</v>
      </c>
      <c r="N574">
        <v>0</v>
      </c>
      <c r="O574">
        <v>0</v>
      </c>
      <c r="P574">
        <v>304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2</v>
      </c>
      <c r="AC574">
        <v>1</v>
      </c>
      <c r="AD574" s="3" t="str">
        <f t="shared" si="24"/>
        <v>S2S NO PREMIUM</v>
      </c>
      <c r="AE574" s="3" t="e">
        <f>VLOOKUP(E574,'[1]Nómina Agentes'!$C:$D,2,0)</f>
        <v>#N/A</v>
      </c>
      <c r="AF574" s="5">
        <f t="shared" si="25"/>
        <v>0.58333333333333337</v>
      </c>
      <c r="AG574" s="5">
        <f t="shared" si="26"/>
        <v>0.60416666666666663</v>
      </c>
    </row>
    <row r="575" spans="1:33" x14ac:dyDescent="0.25">
      <c r="A575" s="1">
        <v>45567</v>
      </c>
      <c r="B575">
        <v>924</v>
      </c>
      <c r="C575" t="s">
        <v>43</v>
      </c>
      <c r="D575" t="s">
        <v>196</v>
      </c>
      <c r="E575">
        <v>616370</v>
      </c>
      <c r="F575" s="2">
        <v>0.60416666666666663</v>
      </c>
      <c r="G575" t="s">
        <v>6</v>
      </c>
      <c r="H575" s="2">
        <v>0.625</v>
      </c>
      <c r="I575">
        <v>1113</v>
      </c>
      <c r="J575">
        <v>0</v>
      </c>
      <c r="K575">
        <v>0</v>
      </c>
      <c r="L575">
        <v>11</v>
      </c>
      <c r="M575">
        <v>0</v>
      </c>
      <c r="N575">
        <v>0</v>
      </c>
      <c r="O575">
        <v>0</v>
      </c>
      <c r="P575">
        <v>131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2</v>
      </c>
      <c r="AC575">
        <v>2</v>
      </c>
      <c r="AD575" s="3" t="str">
        <f t="shared" ref="AD575:AD638" si="27">UPPER(C575)</f>
        <v>S2S NO PREMIUM</v>
      </c>
      <c r="AE575" s="3" t="e">
        <f>VLOOKUP(E575,'[1]Nómina Agentes'!$C:$D,2,0)</f>
        <v>#N/A</v>
      </c>
      <c r="AF575" s="5">
        <f t="shared" ref="AF575:AF638" si="28">F575</f>
        <v>0.60416666666666663</v>
      </c>
      <c r="AG575" s="5">
        <f t="shared" ref="AG575:AG638" si="29">H575</f>
        <v>0.625</v>
      </c>
    </row>
    <row r="576" spans="1:33" x14ac:dyDescent="0.25">
      <c r="A576" s="1">
        <v>45567</v>
      </c>
      <c r="B576">
        <v>924</v>
      </c>
      <c r="C576" t="s">
        <v>43</v>
      </c>
      <c r="D576" t="s">
        <v>197</v>
      </c>
      <c r="E576">
        <v>616413</v>
      </c>
      <c r="F576" s="2">
        <v>0.625</v>
      </c>
      <c r="G576" t="s">
        <v>6</v>
      </c>
      <c r="H576" s="2">
        <v>0.64583333333333337</v>
      </c>
      <c r="I576">
        <v>115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1</v>
      </c>
      <c r="AC576">
        <v>1</v>
      </c>
      <c r="AD576" s="3" t="str">
        <f t="shared" si="27"/>
        <v>S2S NO PREMIUM</v>
      </c>
      <c r="AE576" s="3" t="e">
        <f>VLOOKUP(E576,'[1]Nómina Agentes'!$C:$D,2,0)</f>
        <v>#N/A</v>
      </c>
      <c r="AF576" s="5">
        <f t="shared" si="28"/>
        <v>0.625</v>
      </c>
      <c r="AG576" s="5">
        <f t="shared" si="29"/>
        <v>0.64583333333333337</v>
      </c>
    </row>
    <row r="577" spans="1:33" x14ac:dyDescent="0.25">
      <c r="A577" s="1">
        <v>45567</v>
      </c>
      <c r="B577">
        <v>924</v>
      </c>
      <c r="C577" t="s">
        <v>43</v>
      </c>
      <c r="D577" t="s">
        <v>197</v>
      </c>
      <c r="E577">
        <v>616413</v>
      </c>
      <c r="F577" s="2">
        <v>0.60416666666666663</v>
      </c>
      <c r="G577" t="s">
        <v>6</v>
      </c>
      <c r="H577" s="2">
        <v>0.625</v>
      </c>
      <c r="I577">
        <v>1244</v>
      </c>
      <c r="J577">
        <v>0</v>
      </c>
      <c r="K577">
        <v>0</v>
      </c>
      <c r="L577">
        <v>8</v>
      </c>
      <c r="M577">
        <v>0</v>
      </c>
      <c r="N577">
        <v>0</v>
      </c>
      <c r="O577">
        <v>0</v>
      </c>
      <c r="P577">
        <v>1</v>
      </c>
      <c r="Q577">
        <v>1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2</v>
      </c>
      <c r="AC577">
        <v>2</v>
      </c>
      <c r="AD577" s="3" t="str">
        <f t="shared" si="27"/>
        <v>S2S NO PREMIUM</v>
      </c>
      <c r="AE577" s="3" t="e">
        <f>VLOOKUP(E577,'[1]Nómina Agentes'!$C:$D,2,0)</f>
        <v>#N/A</v>
      </c>
      <c r="AF577" s="5">
        <f t="shared" si="28"/>
        <v>0.60416666666666663</v>
      </c>
      <c r="AG577" s="5">
        <f t="shared" si="29"/>
        <v>0.625</v>
      </c>
    </row>
    <row r="578" spans="1:33" x14ac:dyDescent="0.25">
      <c r="A578" s="1">
        <v>45567</v>
      </c>
      <c r="B578">
        <v>924</v>
      </c>
      <c r="C578" t="s">
        <v>43</v>
      </c>
      <c r="D578" t="s">
        <v>197</v>
      </c>
      <c r="E578">
        <v>616413</v>
      </c>
      <c r="F578" s="2">
        <v>0.58333333333333337</v>
      </c>
      <c r="G578" t="s">
        <v>6</v>
      </c>
      <c r="H578" s="2">
        <v>0.60416666666666663</v>
      </c>
      <c r="I578">
        <v>1522</v>
      </c>
      <c r="J578">
        <v>0</v>
      </c>
      <c r="K578">
        <v>0</v>
      </c>
      <c r="L578">
        <v>8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1</v>
      </c>
      <c r="AC578">
        <v>1</v>
      </c>
      <c r="AD578" s="3" t="str">
        <f t="shared" si="27"/>
        <v>S2S NO PREMIUM</v>
      </c>
      <c r="AE578" s="3" t="e">
        <f>VLOOKUP(E578,'[1]Nómina Agentes'!$C:$D,2,0)</f>
        <v>#N/A</v>
      </c>
      <c r="AF578" s="5">
        <f t="shared" si="28"/>
        <v>0.58333333333333337</v>
      </c>
      <c r="AG578" s="5">
        <f t="shared" si="29"/>
        <v>0.60416666666666663</v>
      </c>
    </row>
    <row r="579" spans="1:33" x14ac:dyDescent="0.25">
      <c r="A579" s="1">
        <v>45567</v>
      </c>
      <c r="B579">
        <v>924</v>
      </c>
      <c r="C579" t="s">
        <v>43</v>
      </c>
      <c r="D579" t="s">
        <v>198</v>
      </c>
      <c r="E579">
        <v>616414</v>
      </c>
      <c r="F579" s="2">
        <v>0.625</v>
      </c>
      <c r="G579" t="s">
        <v>6</v>
      </c>
      <c r="H579" s="2">
        <v>0.64583333333333337</v>
      </c>
      <c r="I579">
        <v>190</v>
      </c>
      <c r="J579">
        <v>42</v>
      </c>
      <c r="K579">
        <v>0</v>
      </c>
      <c r="L579">
        <v>4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1</v>
      </c>
      <c r="AC579">
        <v>1</v>
      </c>
      <c r="AD579" s="3" t="str">
        <f t="shared" si="27"/>
        <v>S2S NO PREMIUM</v>
      </c>
      <c r="AE579" s="3" t="e">
        <f>VLOOKUP(E579,'[1]Nómina Agentes'!$C:$D,2,0)</f>
        <v>#N/A</v>
      </c>
      <c r="AF579" s="5">
        <f t="shared" si="28"/>
        <v>0.625</v>
      </c>
      <c r="AG579" s="5">
        <f t="shared" si="29"/>
        <v>0.64583333333333337</v>
      </c>
    </row>
    <row r="580" spans="1:33" x14ac:dyDescent="0.25">
      <c r="A580" s="1">
        <v>45567</v>
      </c>
      <c r="B580">
        <v>924</v>
      </c>
      <c r="C580" t="s">
        <v>43</v>
      </c>
      <c r="D580" t="s">
        <v>198</v>
      </c>
      <c r="E580">
        <v>616414</v>
      </c>
      <c r="F580" s="2">
        <v>0.58333333333333337</v>
      </c>
      <c r="G580" t="s">
        <v>6</v>
      </c>
      <c r="H580" s="2">
        <v>0.60416666666666663</v>
      </c>
      <c r="I580">
        <v>265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1</v>
      </c>
      <c r="AC580">
        <v>1</v>
      </c>
      <c r="AD580" s="3" t="str">
        <f t="shared" si="27"/>
        <v>S2S NO PREMIUM</v>
      </c>
      <c r="AE580" s="3" t="e">
        <f>VLOOKUP(E580,'[1]Nómina Agentes'!$C:$D,2,0)</f>
        <v>#N/A</v>
      </c>
      <c r="AF580" s="5">
        <f t="shared" si="28"/>
        <v>0.58333333333333337</v>
      </c>
      <c r="AG580" s="5">
        <f t="shared" si="29"/>
        <v>0.60416666666666663</v>
      </c>
    </row>
    <row r="581" spans="1:33" x14ac:dyDescent="0.25">
      <c r="A581" s="1">
        <v>45567</v>
      </c>
      <c r="B581">
        <v>924</v>
      </c>
      <c r="C581" t="s">
        <v>43</v>
      </c>
      <c r="D581" t="s">
        <v>198</v>
      </c>
      <c r="E581">
        <v>616414</v>
      </c>
      <c r="F581" s="2">
        <v>0.60416666666666663</v>
      </c>
      <c r="G581" t="s">
        <v>6</v>
      </c>
      <c r="H581" s="2">
        <v>0.625</v>
      </c>
      <c r="I581">
        <v>694</v>
      </c>
      <c r="J581">
        <v>26</v>
      </c>
      <c r="K581">
        <v>0</v>
      </c>
      <c r="L581">
        <v>12</v>
      </c>
      <c r="M581">
        <v>0</v>
      </c>
      <c r="N581">
        <v>0</v>
      </c>
      <c r="O581">
        <v>0</v>
      </c>
      <c r="P581">
        <v>1</v>
      </c>
      <c r="Q581">
        <v>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3</v>
      </c>
      <c r="AC581">
        <v>2</v>
      </c>
      <c r="AD581" s="3" t="str">
        <f t="shared" si="27"/>
        <v>S2S NO PREMIUM</v>
      </c>
      <c r="AE581" s="3" t="e">
        <f>VLOOKUP(E581,'[1]Nómina Agentes'!$C:$D,2,0)</f>
        <v>#N/A</v>
      </c>
      <c r="AF581" s="5">
        <f t="shared" si="28"/>
        <v>0.60416666666666663</v>
      </c>
      <c r="AG581" s="5">
        <f t="shared" si="29"/>
        <v>0.625</v>
      </c>
    </row>
    <row r="582" spans="1:33" x14ac:dyDescent="0.25">
      <c r="A582" s="1">
        <v>45567</v>
      </c>
      <c r="B582">
        <v>924</v>
      </c>
      <c r="C582" t="s">
        <v>43</v>
      </c>
      <c r="D582" t="s">
        <v>199</v>
      </c>
      <c r="E582">
        <v>616423</v>
      </c>
      <c r="F582" s="2">
        <v>0.75</v>
      </c>
      <c r="G582" t="s">
        <v>6</v>
      </c>
      <c r="H582" s="2">
        <v>0.77083333333333337</v>
      </c>
      <c r="I582">
        <v>483</v>
      </c>
      <c r="J582">
        <v>0</v>
      </c>
      <c r="K582">
        <v>0</v>
      </c>
      <c r="L582">
        <v>8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3</v>
      </c>
      <c r="AC582">
        <v>2</v>
      </c>
      <c r="AD582" s="3" t="str">
        <f t="shared" si="27"/>
        <v>S2S NO PREMIUM</v>
      </c>
      <c r="AE582" s="3" t="e">
        <f>VLOOKUP(E582,'[1]Nómina Agentes'!$C:$D,2,0)</f>
        <v>#N/A</v>
      </c>
      <c r="AF582" s="5">
        <f t="shared" si="28"/>
        <v>0.75</v>
      </c>
      <c r="AG582" s="5">
        <f t="shared" si="29"/>
        <v>0.77083333333333337</v>
      </c>
    </row>
    <row r="583" spans="1:33" x14ac:dyDescent="0.25">
      <c r="A583" s="1">
        <v>45567</v>
      </c>
      <c r="B583">
        <v>924</v>
      </c>
      <c r="C583" t="s">
        <v>43</v>
      </c>
      <c r="D583" t="s">
        <v>199</v>
      </c>
      <c r="E583">
        <v>616423</v>
      </c>
      <c r="F583" s="2">
        <v>0.77083333333333337</v>
      </c>
      <c r="G583" t="s">
        <v>6</v>
      </c>
      <c r="H583" s="2">
        <v>0.79166666666666663</v>
      </c>
      <c r="I583">
        <v>527</v>
      </c>
      <c r="J583">
        <v>0</v>
      </c>
      <c r="K583">
        <v>0</v>
      </c>
      <c r="L583">
        <v>8</v>
      </c>
      <c r="M583">
        <v>0</v>
      </c>
      <c r="N583">
        <v>0</v>
      </c>
      <c r="O583">
        <v>0</v>
      </c>
      <c r="P583">
        <v>143</v>
      </c>
      <c r="Q583">
        <v>1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2</v>
      </c>
      <c r="AC583">
        <v>2</v>
      </c>
      <c r="AD583" s="3" t="str">
        <f t="shared" si="27"/>
        <v>S2S NO PREMIUM</v>
      </c>
      <c r="AE583" s="3" t="e">
        <f>VLOOKUP(E583,'[1]Nómina Agentes'!$C:$D,2,0)</f>
        <v>#N/A</v>
      </c>
      <c r="AF583" s="5">
        <f t="shared" si="28"/>
        <v>0.77083333333333337</v>
      </c>
      <c r="AG583" s="5">
        <f t="shared" si="29"/>
        <v>0.79166666666666663</v>
      </c>
    </row>
    <row r="584" spans="1:33" x14ac:dyDescent="0.25">
      <c r="A584" s="1">
        <v>45567</v>
      </c>
      <c r="B584">
        <v>924</v>
      </c>
      <c r="C584" t="s">
        <v>43</v>
      </c>
      <c r="D584" t="s">
        <v>199</v>
      </c>
      <c r="E584">
        <v>616423</v>
      </c>
      <c r="F584" s="2">
        <v>0.8125</v>
      </c>
      <c r="G584" t="s">
        <v>6</v>
      </c>
      <c r="H584" s="2">
        <v>0.83333333333333337</v>
      </c>
      <c r="I584">
        <v>632</v>
      </c>
      <c r="J584">
        <v>0</v>
      </c>
      <c r="K584">
        <v>0</v>
      </c>
      <c r="L584">
        <v>8</v>
      </c>
      <c r="M584">
        <v>0</v>
      </c>
      <c r="N584">
        <v>0</v>
      </c>
      <c r="O584">
        <v>0</v>
      </c>
      <c r="P584">
        <v>207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2</v>
      </c>
      <c r="AC584">
        <v>2</v>
      </c>
      <c r="AD584" s="3" t="str">
        <f t="shared" si="27"/>
        <v>S2S NO PREMIUM</v>
      </c>
      <c r="AE584" s="3" t="e">
        <f>VLOOKUP(E584,'[1]Nómina Agentes'!$C:$D,2,0)</f>
        <v>#N/A</v>
      </c>
      <c r="AF584" s="5">
        <f t="shared" si="28"/>
        <v>0.8125</v>
      </c>
      <c r="AG584" s="5">
        <f t="shared" si="29"/>
        <v>0.83333333333333337</v>
      </c>
    </row>
    <row r="585" spans="1:33" x14ac:dyDescent="0.25">
      <c r="A585" s="1">
        <v>45567</v>
      </c>
      <c r="B585">
        <v>924</v>
      </c>
      <c r="C585" t="s">
        <v>43</v>
      </c>
      <c r="D585" t="s">
        <v>199</v>
      </c>
      <c r="E585">
        <v>616423</v>
      </c>
      <c r="F585" s="2">
        <v>0.70833333333333337</v>
      </c>
      <c r="G585" t="s">
        <v>6</v>
      </c>
      <c r="H585" s="2">
        <v>0.72916666666666663</v>
      </c>
      <c r="I585">
        <v>670</v>
      </c>
      <c r="J585">
        <v>0</v>
      </c>
      <c r="K585">
        <v>0</v>
      </c>
      <c r="L585">
        <v>12</v>
      </c>
      <c r="M585">
        <v>0</v>
      </c>
      <c r="N585">
        <v>0</v>
      </c>
      <c r="O585">
        <v>0</v>
      </c>
      <c r="P585">
        <v>1</v>
      </c>
      <c r="Q585">
        <v>1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2</v>
      </c>
      <c r="AC585">
        <v>2</v>
      </c>
      <c r="AD585" s="3" t="str">
        <f t="shared" si="27"/>
        <v>S2S NO PREMIUM</v>
      </c>
      <c r="AE585" s="3" t="e">
        <f>VLOOKUP(E585,'[1]Nómina Agentes'!$C:$D,2,0)</f>
        <v>#N/A</v>
      </c>
      <c r="AF585" s="5">
        <f t="shared" si="28"/>
        <v>0.70833333333333337</v>
      </c>
      <c r="AG585" s="5">
        <f t="shared" si="29"/>
        <v>0.72916666666666663</v>
      </c>
    </row>
    <row r="586" spans="1:33" x14ac:dyDescent="0.25">
      <c r="A586" s="1">
        <v>45567</v>
      </c>
      <c r="B586">
        <v>924</v>
      </c>
      <c r="C586" t="s">
        <v>43</v>
      </c>
      <c r="D586" t="s">
        <v>199</v>
      </c>
      <c r="E586">
        <v>616423</v>
      </c>
      <c r="F586" s="2">
        <v>0.79166666666666663</v>
      </c>
      <c r="G586" t="s">
        <v>6</v>
      </c>
      <c r="H586" s="2">
        <v>0.8125</v>
      </c>
      <c r="I586">
        <v>734</v>
      </c>
      <c r="J586">
        <v>0</v>
      </c>
      <c r="K586">
        <v>0</v>
      </c>
      <c r="L586">
        <v>20</v>
      </c>
      <c r="M586">
        <v>0</v>
      </c>
      <c r="N586">
        <v>0</v>
      </c>
      <c r="O586">
        <v>0</v>
      </c>
      <c r="P586">
        <v>238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4</v>
      </c>
      <c r="AC586">
        <v>4</v>
      </c>
      <c r="AD586" s="3" t="str">
        <f t="shared" si="27"/>
        <v>S2S NO PREMIUM</v>
      </c>
      <c r="AE586" s="3" t="e">
        <f>VLOOKUP(E586,'[1]Nómina Agentes'!$C:$D,2,0)</f>
        <v>#N/A</v>
      </c>
      <c r="AF586" s="5">
        <f t="shared" si="28"/>
        <v>0.79166666666666663</v>
      </c>
      <c r="AG586" s="5">
        <f t="shared" si="29"/>
        <v>0.8125</v>
      </c>
    </row>
    <row r="587" spans="1:33" x14ac:dyDescent="0.25">
      <c r="A587" s="1">
        <v>45567</v>
      </c>
      <c r="B587">
        <v>924</v>
      </c>
      <c r="C587" t="s">
        <v>43</v>
      </c>
      <c r="D587" t="s">
        <v>199</v>
      </c>
      <c r="E587">
        <v>616423</v>
      </c>
      <c r="F587" s="2">
        <v>0.72916666666666663</v>
      </c>
      <c r="G587" t="s">
        <v>6</v>
      </c>
      <c r="H587" s="2">
        <v>0.75</v>
      </c>
      <c r="I587">
        <v>1183</v>
      </c>
      <c r="J587">
        <v>0</v>
      </c>
      <c r="K587">
        <v>0</v>
      </c>
      <c r="L587">
        <v>20</v>
      </c>
      <c r="M587">
        <v>0</v>
      </c>
      <c r="N587">
        <v>0</v>
      </c>
      <c r="O587">
        <v>0</v>
      </c>
      <c r="P587">
        <v>386</v>
      </c>
      <c r="Q587">
        <v>16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5</v>
      </c>
      <c r="AC587">
        <v>2</v>
      </c>
      <c r="AD587" s="3" t="str">
        <f t="shared" si="27"/>
        <v>S2S NO PREMIUM</v>
      </c>
      <c r="AE587" s="3" t="e">
        <f>VLOOKUP(E587,'[1]Nómina Agentes'!$C:$D,2,0)</f>
        <v>#N/A</v>
      </c>
      <c r="AF587" s="5">
        <f t="shared" si="28"/>
        <v>0.72916666666666663</v>
      </c>
      <c r="AG587" s="5">
        <f t="shared" si="29"/>
        <v>0.75</v>
      </c>
    </row>
    <row r="588" spans="1:33" x14ac:dyDescent="0.25">
      <c r="A588" s="1">
        <v>45567</v>
      </c>
      <c r="B588">
        <v>924</v>
      </c>
      <c r="C588" t="s">
        <v>43</v>
      </c>
      <c r="D588" t="s">
        <v>200</v>
      </c>
      <c r="E588">
        <v>616433</v>
      </c>
      <c r="F588" s="2">
        <v>0.75</v>
      </c>
      <c r="G588" t="s">
        <v>6</v>
      </c>
      <c r="H588" s="2">
        <v>0.77083333333333337</v>
      </c>
      <c r="I588">
        <v>227</v>
      </c>
      <c r="J588">
        <v>0</v>
      </c>
      <c r="K588">
        <v>0</v>
      </c>
      <c r="L588">
        <v>4</v>
      </c>
      <c r="M588">
        <v>0</v>
      </c>
      <c r="N588">
        <v>0</v>
      </c>
      <c r="O588">
        <v>0</v>
      </c>
      <c r="P588">
        <v>68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2</v>
      </c>
      <c r="AC588">
        <v>1</v>
      </c>
      <c r="AD588" s="3" t="str">
        <f t="shared" si="27"/>
        <v>S2S NO PREMIUM</v>
      </c>
      <c r="AE588" s="3" t="e">
        <f>VLOOKUP(E588,'[1]Nómina Agentes'!$C:$D,2,0)</f>
        <v>#N/A</v>
      </c>
      <c r="AF588" s="5">
        <f t="shared" si="28"/>
        <v>0.75</v>
      </c>
      <c r="AG588" s="5">
        <f t="shared" si="29"/>
        <v>0.77083333333333337</v>
      </c>
    </row>
    <row r="589" spans="1:33" x14ac:dyDescent="0.25">
      <c r="A589" s="1">
        <v>45567</v>
      </c>
      <c r="B589">
        <v>924</v>
      </c>
      <c r="C589" t="s">
        <v>43</v>
      </c>
      <c r="D589" t="s">
        <v>200</v>
      </c>
      <c r="E589">
        <v>616433</v>
      </c>
      <c r="F589" s="2">
        <v>0.625</v>
      </c>
      <c r="G589" t="s">
        <v>6</v>
      </c>
      <c r="H589" s="2">
        <v>0.64583333333333337</v>
      </c>
      <c r="I589">
        <v>414</v>
      </c>
      <c r="J589">
        <v>0</v>
      </c>
      <c r="K589">
        <v>0</v>
      </c>
      <c r="L589">
        <v>4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1</v>
      </c>
      <c r="AC589">
        <v>1</v>
      </c>
      <c r="AD589" s="3" t="str">
        <f t="shared" si="27"/>
        <v>S2S NO PREMIUM</v>
      </c>
      <c r="AE589" s="3" t="e">
        <f>VLOOKUP(E589,'[1]Nómina Agentes'!$C:$D,2,0)</f>
        <v>#N/A</v>
      </c>
      <c r="AF589" s="5">
        <f t="shared" si="28"/>
        <v>0.625</v>
      </c>
      <c r="AG589" s="5">
        <f t="shared" si="29"/>
        <v>0.64583333333333337</v>
      </c>
    </row>
    <row r="590" spans="1:33" x14ac:dyDescent="0.25">
      <c r="A590" s="1">
        <v>45567</v>
      </c>
      <c r="B590">
        <v>924</v>
      </c>
      <c r="C590" t="s">
        <v>43</v>
      </c>
      <c r="D590" t="s">
        <v>200</v>
      </c>
      <c r="E590">
        <v>616433</v>
      </c>
      <c r="F590" s="2">
        <v>0.66666666666666663</v>
      </c>
      <c r="G590" t="s">
        <v>6</v>
      </c>
      <c r="H590" s="2">
        <v>0.6875</v>
      </c>
      <c r="I590">
        <v>631</v>
      </c>
      <c r="J590">
        <v>0</v>
      </c>
      <c r="K590">
        <v>0</v>
      </c>
      <c r="L590">
        <v>4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1</v>
      </c>
      <c r="AC590">
        <v>1</v>
      </c>
      <c r="AD590" s="3" t="str">
        <f t="shared" si="27"/>
        <v>S2S NO PREMIUM</v>
      </c>
      <c r="AE590" s="3" t="e">
        <f>VLOOKUP(E590,'[1]Nómina Agentes'!$C:$D,2,0)</f>
        <v>#N/A</v>
      </c>
      <c r="AF590" s="5">
        <f t="shared" si="28"/>
        <v>0.66666666666666663</v>
      </c>
      <c r="AG590" s="5">
        <f t="shared" si="29"/>
        <v>0.6875</v>
      </c>
    </row>
    <row r="591" spans="1:33" x14ac:dyDescent="0.25">
      <c r="A591" s="1">
        <v>45567</v>
      </c>
      <c r="B591">
        <v>924</v>
      </c>
      <c r="C591" t="s">
        <v>43</v>
      </c>
      <c r="D591" t="s">
        <v>200</v>
      </c>
      <c r="E591">
        <v>616433</v>
      </c>
      <c r="F591" s="2">
        <v>0.70833333333333337</v>
      </c>
      <c r="G591" t="s">
        <v>6</v>
      </c>
      <c r="H591" s="2">
        <v>0.72916666666666663</v>
      </c>
      <c r="I591">
        <v>858</v>
      </c>
      <c r="J591">
        <v>0</v>
      </c>
      <c r="K591">
        <v>0</v>
      </c>
      <c r="L591">
        <v>8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2</v>
      </c>
      <c r="AC591">
        <v>2</v>
      </c>
      <c r="AD591" s="3" t="str">
        <f t="shared" si="27"/>
        <v>S2S NO PREMIUM</v>
      </c>
      <c r="AE591" s="3" t="e">
        <f>VLOOKUP(E591,'[1]Nómina Agentes'!$C:$D,2,0)</f>
        <v>#N/A</v>
      </c>
      <c r="AF591" s="5">
        <f t="shared" si="28"/>
        <v>0.70833333333333337</v>
      </c>
      <c r="AG591" s="5">
        <f t="shared" si="29"/>
        <v>0.72916666666666663</v>
      </c>
    </row>
    <row r="592" spans="1:33" x14ac:dyDescent="0.25">
      <c r="A592" s="1">
        <v>45567</v>
      </c>
      <c r="B592">
        <v>924</v>
      </c>
      <c r="C592" t="s">
        <v>43</v>
      </c>
      <c r="D592" t="s">
        <v>200</v>
      </c>
      <c r="E592">
        <v>616433</v>
      </c>
      <c r="F592" s="2">
        <v>0.60416666666666663</v>
      </c>
      <c r="G592" t="s">
        <v>6</v>
      </c>
      <c r="H592" s="2">
        <v>0.625</v>
      </c>
      <c r="I592">
        <v>865</v>
      </c>
      <c r="J592">
        <v>0</v>
      </c>
      <c r="K592">
        <v>0</v>
      </c>
      <c r="L592">
        <v>11</v>
      </c>
      <c r="M592">
        <v>0</v>
      </c>
      <c r="N592">
        <v>0</v>
      </c>
      <c r="O592">
        <v>0</v>
      </c>
      <c r="P592">
        <v>53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3</v>
      </c>
      <c r="AC592">
        <v>3</v>
      </c>
      <c r="AD592" s="3" t="str">
        <f t="shared" si="27"/>
        <v>S2S NO PREMIUM</v>
      </c>
      <c r="AE592" s="3" t="e">
        <f>VLOOKUP(E592,'[1]Nómina Agentes'!$C:$D,2,0)</f>
        <v>#N/A</v>
      </c>
      <c r="AF592" s="5">
        <f t="shared" si="28"/>
        <v>0.60416666666666663</v>
      </c>
      <c r="AG592" s="5">
        <f t="shared" si="29"/>
        <v>0.625</v>
      </c>
    </row>
    <row r="593" spans="1:33" x14ac:dyDescent="0.25">
      <c r="A593" s="1">
        <v>45567</v>
      </c>
      <c r="B593">
        <v>924</v>
      </c>
      <c r="C593" t="s">
        <v>43</v>
      </c>
      <c r="D593" t="s">
        <v>200</v>
      </c>
      <c r="E593">
        <v>616433</v>
      </c>
      <c r="F593" s="2">
        <v>0.58333333333333337</v>
      </c>
      <c r="G593" t="s">
        <v>6</v>
      </c>
      <c r="H593" s="2">
        <v>0.60416666666666663</v>
      </c>
      <c r="I593">
        <v>960</v>
      </c>
      <c r="J593">
        <v>0</v>
      </c>
      <c r="K593">
        <v>0</v>
      </c>
      <c r="L593">
        <v>9</v>
      </c>
      <c r="M593">
        <v>0</v>
      </c>
      <c r="N593">
        <v>0</v>
      </c>
      <c r="O593">
        <v>0</v>
      </c>
      <c r="P593">
        <v>1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2</v>
      </c>
      <c r="AC593">
        <v>2</v>
      </c>
      <c r="AD593" s="3" t="str">
        <f t="shared" si="27"/>
        <v>S2S NO PREMIUM</v>
      </c>
      <c r="AE593" s="3" t="e">
        <f>VLOOKUP(E593,'[1]Nómina Agentes'!$C:$D,2,0)</f>
        <v>#N/A</v>
      </c>
      <c r="AF593" s="5">
        <f t="shared" si="28"/>
        <v>0.58333333333333337</v>
      </c>
      <c r="AG593" s="5">
        <f t="shared" si="29"/>
        <v>0.60416666666666663</v>
      </c>
    </row>
    <row r="594" spans="1:33" x14ac:dyDescent="0.25">
      <c r="A594" s="1">
        <v>45567</v>
      </c>
      <c r="B594">
        <v>924</v>
      </c>
      <c r="C594" t="s">
        <v>43</v>
      </c>
      <c r="D594" t="s">
        <v>200</v>
      </c>
      <c r="E594">
        <v>616433</v>
      </c>
      <c r="F594" s="2">
        <v>0.6875</v>
      </c>
      <c r="G594" t="s">
        <v>6</v>
      </c>
      <c r="H594" s="2">
        <v>0.70833333333333337</v>
      </c>
      <c r="I594">
        <v>1053</v>
      </c>
      <c r="J594">
        <v>0</v>
      </c>
      <c r="K594">
        <v>0</v>
      </c>
      <c r="L594">
        <v>20</v>
      </c>
      <c r="M594">
        <v>0</v>
      </c>
      <c r="N594">
        <v>0</v>
      </c>
      <c r="O594">
        <v>0</v>
      </c>
      <c r="P594">
        <v>2</v>
      </c>
      <c r="Q594">
        <v>1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4</v>
      </c>
      <c r="AC594">
        <v>3</v>
      </c>
      <c r="AD594" s="3" t="str">
        <f t="shared" si="27"/>
        <v>S2S NO PREMIUM</v>
      </c>
      <c r="AE594" s="3" t="e">
        <f>VLOOKUP(E594,'[1]Nómina Agentes'!$C:$D,2,0)</f>
        <v>#N/A</v>
      </c>
      <c r="AF594" s="5">
        <f t="shared" si="28"/>
        <v>0.6875</v>
      </c>
      <c r="AG594" s="5">
        <f t="shared" si="29"/>
        <v>0.70833333333333337</v>
      </c>
    </row>
    <row r="595" spans="1:33" x14ac:dyDescent="0.25">
      <c r="A595" s="1">
        <v>45567</v>
      </c>
      <c r="B595">
        <v>924</v>
      </c>
      <c r="C595" t="s">
        <v>43</v>
      </c>
      <c r="D595" t="s">
        <v>200</v>
      </c>
      <c r="E595">
        <v>616433</v>
      </c>
      <c r="F595" s="2">
        <v>0.72916666666666663</v>
      </c>
      <c r="G595" t="s">
        <v>6</v>
      </c>
      <c r="H595" s="2">
        <v>0.75</v>
      </c>
      <c r="I595">
        <v>1279</v>
      </c>
      <c r="J595">
        <v>0</v>
      </c>
      <c r="K595">
        <v>0</v>
      </c>
      <c r="L595">
        <v>8</v>
      </c>
      <c r="M595">
        <v>0</v>
      </c>
      <c r="N595">
        <v>0</v>
      </c>
      <c r="O595">
        <v>0</v>
      </c>
      <c r="P595">
        <v>75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2</v>
      </c>
      <c r="AC595">
        <v>2</v>
      </c>
      <c r="AD595" s="3" t="str">
        <f t="shared" si="27"/>
        <v>S2S NO PREMIUM</v>
      </c>
      <c r="AE595" s="3" t="e">
        <f>VLOOKUP(E595,'[1]Nómina Agentes'!$C:$D,2,0)</f>
        <v>#N/A</v>
      </c>
      <c r="AF595" s="5">
        <f t="shared" si="28"/>
        <v>0.72916666666666663</v>
      </c>
      <c r="AG595" s="5">
        <f t="shared" si="29"/>
        <v>0.75</v>
      </c>
    </row>
    <row r="596" spans="1:33" x14ac:dyDescent="0.25">
      <c r="A596" s="1">
        <v>45567</v>
      </c>
      <c r="B596">
        <v>924</v>
      </c>
      <c r="C596" t="s">
        <v>43</v>
      </c>
      <c r="D596" t="s">
        <v>201</v>
      </c>
      <c r="E596">
        <v>616438</v>
      </c>
      <c r="F596" s="2">
        <v>0.75</v>
      </c>
      <c r="G596" t="s">
        <v>6</v>
      </c>
      <c r="H596" s="2">
        <v>0.77083333333333337</v>
      </c>
      <c r="I596">
        <v>203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464</v>
      </c>
      <c r="Q596">
        <v>27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1</v>
      </c>
      <c r="AC596">
        <v>1</v>
      </c>
      <c r="AD596" s="3" t="str">
        <f t="shared" si="27"/>
        <v>S2S NO PREMIUM</v>
      </c>
      <c r="AE596" s="3" t="e">
        <f>VLOOKUP(E596,'[1]Nómina Agentes'!$C:$D,2,0)</f>
        <v>#N/A</v>
      </c>
      <c r="AF596" s="5">
        <f t="shared" si="28"/>
        <v>0.75</v>
      </c>
      <c r="AG596" s="5">
        <f t="shared" si="29"/>
        <v>0.77083333333333337</v>
      </c>
    </row>
    <row r="597" spans="1:33" x14ac:dyDescent="0.25">
      <c r="A597" s="1">
        <v>45567</v>
      </c>
      <c r="B597">
        <v>924</v>
      </c>
      <c r="C597" t="s">
        <v>43</v>
      </c>
      <c r="D597" t="s">
        <v>201</v>
      </c>
      <c r="E597">
        <v>616438</v>
      </c>
      <c r="F597" s="2">
        <v>0.625</v>
      </c>
      <c r="G597" t="s">
        <v>6</v>
      </c>
      <c r="H597" s="2">
        <v>0.64583333333333337</v>
      </c>
      <c r="I597">
        <v>555</v>
      </c>
      <c r="J597">
        <v>0</v>
      </c>
      <c r="K597">
        <v>0</v>
      </c>
      <c r="L597">
        <v>8</v>
      </c>
      <c r="M597">
        <v>0</v>
      </c>
      <c r="N597">
        <v>0</v>
      </c>
      <c r="O597">
        <v>0</v>
      </c>
      <c r="P597">
        <v>86</v>
      </c>
      <c r="Q597">
        <v>82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2</v>
      </c>
      <c r="AC597">
        <v>1</v>
      </c>
      <c r="AD597" s="3" t="str">
        <f t="shared" si="27"/>
        <v>S2S NO PREMIUM</v>
      </c>
      <c r="AE597" s="3" t="e">
        <f>VLOOKUP(E597,'[1]Nómina Agentes'!$C:$D,2,0)</f>
        <v>#N/A</v>
      </c>
      <c r="AF597" s="5">
        <f t="shared" si="28"/>
        <v>0.625</v>
      </c>
      <c r="AG597" s="5">
        <f t="shared" si="29"/>
        <v>0.64583333333333337</v>
      </c>
    </row>
    <row r="598" spans="1:33" x14ac:dyDescent="0.25">
      <c r="A598" s="1">
        <v>45567</v>
      </c>
      <c r="B598">
        <v>924</v>
      </c>
      <c r="C598" t="s">
        <v>43</v>
      </c>
      <c r="D598" t="s">
        <v>201</v>
      </c>
      <c r="E598">
        <v>616438</v>
      </c>
      <c r="F598" s="2">
        <v>0.8125</v>
      </c>
      <c r="G598" t="s">
        <v>6</v>
      </c>
      <c r="H598" s="2">
        <v>0.83333333333333337</v>
      </c>
      <c r="I598">
        <v>933</v>
      </c>
      <c r="J598">
        <v>0</v>
      </c>
      <c r="K598">
        <v>0</v>
      </c>
      <c r="L598">
        <v>12</v>
      </c>
      <c r="M598">
        <v>0</v>
      </c>
      <c r="N598">
        <v>0</v>
      </c>
      <c r="O598">
        <v>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3</v>
      </c>
      <c r="AC598">
        <v>3</v>
      </c>
      <c r="AD598" s="3" t="str">
        <f t="shared" si="27"/>
        <v>S2S NO PREMIUM</v>
      </c>
      <c r="AE598" s="3" t="e">
        <f>VLOOKUP(E598,'[1]Nómina Agentes'!$C:$D,2,0)</f>
        <v>#N/A</v>
      </c>
      <c r="AF598" s="5">
        <f t="shared" si="28"/>
        <v>0.8125</v>
      </c>
      <c r="AG598" s="5">
        <f t="shared" si="29"/>
        <v>0.83333333333333337</v>
      </c>
    </row>
    <row r="599" spans="1:33" x14ac:dyDescent="0.25">
      <c r="A599" s="1">
        <v>45567</v>
      </c>
      <c r="B599">
        <v>924</v>
      </c>
      <c r="C599" t="s">
        <v>43</v>
      </c>
      <c r="D599" t="s">
        <v>201</v>
      </c>
      <c r="E599">
        <v>616438</v>
      </c>
      <c r="F599" s="2">
        <v>0.6875</v>
      </c>
      <c r="G599" t="s">
        <v>6</v>
      </c>
      <c r="H599" s="2">
        <v>0.70833333333333337</v>
      </c>
      <c r="I599">
        <v>974</v>
      </c>
      <c r="J599">
        <v>0</v>
      </c>
      <c r="K599">
        <v>0</v>
      </c>
      <c r="L599">
        <v>8</v>
      </c>
      <c r="M599">
        <v>0</v>
      </c>
      <c r="N599">
        <v>0</v>
      </c>
      <c r="O599">
        <v>0</v>
      </c>
      <c r="P599">
        <v>266</v>
      </c>
      <c r="Q599">
        <v>243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2</v>
      </c>
      <c r="AC599">
        <v>2</v>
      </c>
      <c r="AD599" s="3" t="str">
        <f t="shared" si="27"/>
        <v>S2S NO PREMIUM</v>
      </c>
      <c r="AE599" s="3" t="e">
        <f>VLOOKUP(E599,'[1]Nómina Agentes'!$C:$D,2,0)</f>
        <v>#N/A</v>
      </c>
      <c r="AF599" s="5">
        <f t="shared" si="28"/>
        <v>0.6875</v>
      </c>
      <c r="AG599" s="5">
        <f t="shared" si="29"/>
        <v>0.70833333333333337</v>
      </c>
    </row>
    <row r="600" spans="1:33" x14ac:dyDescent="0.25">
      <c r="A600" s="1">
        <v>45567</v>
      </c>
      <c r="B600">
        <v>924</v>
      </c>
      <c r="C600" t="s">
        <v>43</v>
      </c>
      <c r="D600" t="s">
        <v>201</v>
      </c>
      <c r="E600">
        <v>616438</v>
      </c>
      <c r="F600" s="2">
        <v>0.64583333333333337</v>
      </c>
      <c r="G600" t="s">
        <v>6</v>
      </c>
      <c r="H600" s="2">
        <v>0.66666666666666663</v>
      </c>
      <c r="I600">
        <v>1027</v>
      </c>
      <c r="J600">
        <v>0</v>
      </c>
      <c r="K600">
        <v>0</v>
      </c>
      <c r="L600">
        <v>12</v>
      </c>
      <c r="M600">
        <v>0</v>
      </c>
      <c r="N600">
        <v>0</v>
      </c>
      <c r="O600">
        <v>0</v>
      </c>
      <c r="P600">
        <v>11</v>
      </c>
      <c r="Q600">
        <v>196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2</v>
      </c>
      <c r="AC600">
        <v>2</v>
      </c>
      <c r="AD600" s="3" t="str">
        <f t="shared" si="27"/>
        <v>S2S NO PREMIUM</v>
      </c>
      <c r="AE600" s="3" t="e">
        <f>VLOOKUP(E600,'[1]Nómina Agentes'!$C:$D,2,0)</f>
        <v>#N/A</v>
      </c>
      <c r="AF600" s="5">
        <f t="shared" si="28"/>
        <v>0.64583333333333337</v>
      </c>
      <c r="AG600" s="5">
        <f t="shared" si="29"/>
        <v>0.66666666666666663</v>
      </c>
    </row>
    <row r="601" spans="1:33" x14ac:dyDescent="0.25">
      <c r="A601" s="1">
        <v>45567</v>
      </c>
      <c r="B601">
        <v>924</v>
      </c>
      <c r="C601" t="s">
        <v>43</v>
      </c>
      <c r="D601" t="s">
        <v>201</v>
      </c>
      <c r="E601">
        <v>616438</v>
      </c>
      <c r="F601" s="2">
        <v>0.79166666666666663</v>
      </c>
      <c r="G601" t="s">
        <v>6</v>
      </c>
      <c r="H601" s="2">
        <v>0.8125</v>
      </c>
      <c r="I601">
        <v>1096</v>
      </c>
      <c r="J601">
        <v>0</v>
      </c>
      <c r="K601">
        <v>0</v>
      </c>
      <c r="L601">
        <v>8</v>
      </c>
      <c r="M601">
        <v>0</v>
      </c>
      <c r="N601">
        <v>0</v>
      </c>
      <c r="O601">
        <v>0</v>
      </c>
      <c r="P601">
        <v>130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3</v>
      </c>
      <c r="AC601">
        <v>2</v>
      </c>
      <c r="AD601" s="3" t="str">
        <f t="shared" si="27"/>
        <v>S2S NO PREMIUM</v>
      </c>
      <c r="AE601" s="3" t="e">
        <f>VLOOKUP(E601,'[1]Nómina Agentes'!$C:$D,2,0)</f>
        <v>#N/A</v>
      </c>
      <c r="AF601" s="5">
        <f t="shared" si="28"/>
        <v>0.79166666666666663</v>
      </c>
      <c r="AG601" s="5">
        <f t="shared" si="29"/>
        <v>0.8125</v>
      </c>
    </row>
    <row r="602" spans="1:33" x14ac:dyDescent="0.25">
      <c r="A602" s="1">
        <v>45567</v>
      </c>
      <c r="B602">
        <v>924</v>
      </c>
      <c r="C602" t="s">
        <v>43</v>
      </c>
      <c r="D602" t="s">
        <v>201</v>
      </c>
      <c r="E602">
        <v>616438</v>
      </c>
      <c r="F602" s="2">
        <v>0.72916666666666663</v>
      </c>
      <c r="G602" t="s">
        <v>6</v>
      </c>
      <c r="H602" s="2">
        <v>0.75</v>
      </c>
      <c r="I602">
        <v>1136</v>
      </c>
      <c r="J602">
        <v>0</v>
      </c>
      <c r="K602">
        <v>0</v>
      </c>
      <c r="L602">
        <v>16</v>
      </c>
      <c r="M602">
        <v>0</v>
      </c>
      <c r="N602">
        <v>0</v>
      </c>
      <c r="O602">
        <v>0</v>
      </c>
      <c r="P602">
        <v>0</v>
      </c>
      <c r="Q602">
        <v>366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4</v>
      </c>
      <c r="AC602">
        <v>4</v>
      </c>
      <c r="AD602" s="3" t="str">
        <f t="shared" si="27"/>
        <v>S2S NO PREMIUM</v>
      </c>
      <c r="AE602" s="3" t="e">
        <f>VLOOKUP(E602,'[1]Nómina Agentes'!$C:$D,2,0)</f>
        <v>#N/A</v>
      </c>
      <c r="AF602" s="5">
        <f t="shared" si="28"/>
        <v>0.72916666666666663</v>
      </c>
      <c r="AG602" s="5">
        <f t="shared" si="29"/>
        <v>0.75</v>
      </c>
    </row>
    <row r="603" spans="1:33" x14ac:dyDescent="0.25">
      <c r="A603" s="1">
        <v>45567</v>
      </c>
      <c r="B603">
        <v>924</v>
      </c>
      <c r="C603" t="s">
        <v>43</v>
      </c>
      <c r="D603" t="s">
        <v>201</v>
      </c>
      <c r="E603">
        <v>616438</v>
      </c>
      <c r="F603" s="2">
        <v>0.70833333333333337</v>
      </c>
      <c r="G603" t="s">
        <v>6</v>
      </c>
      <c r="H603" s="2">
        <v>0.72916666666666663</v>
      </c>
      <c r="I603">
        <v>1237</v>
      </c>
      <c r="J603">
        <v>0</v>
      </c>
      <c r="K603">
        <v>0</v>
      </c>
      <c r="L603">
        <v>16</v>
      </c>
      <c r="M603">
        <v>0</v>
      </c>
      <c r="N603">
        <v>0</v>
      </c>
      <c r="O603">
        <v>0</v>
      </c>
      <c r="P603">
        <v>332</v>
      </c>
      <c r="Q603">
        <v>190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4</v>
      </c>
      <c r="AC603">
        <v>4</v>
      </c>
      <c r="AD603" s="3" t="str">
        <f t="shared" si="27"/>
        <v>S2S NO PREMIUM</v>
      </c>
      <c r="AE603" s="3" t="e">
        <f>VLOOKUP(E603,'[1]Nómina Agentes'!$C:$D,2,0)</f>
        <v>#N/A</v>
      </c>
      <c r="AF603" s="5">
        <f t="shared" si="28"/>
        <v>0.70833333333333337</v>
      </c>
      <c r="AG603" s="5">
        <f t="shared" si="29"/>
        <v>0.72916666666666663</v>
      </c>
    </row>
    <row r="604" spans="1:33" x14ac:dyDescent="0.25">
      <c r="A604" s="1">
        <v>45567</v>
      </c>
      <c r="B604">
        <v>924</v>
      </c>
      <c r="C604" t="s">
        <v>43</v>
      </c>
      <c r="D604" t="s">
        <v>201</v>
      </c>
      <c r="E604">
        <v>616438</v>
      </c>
      <c r="F604" s="2">
        <v>0.77083333333333337</v>
      </c>
      <c r="G604" t="s">
        <v>6</v>
      </c>
      <c r="H604" s="2">
        <v>0.79166666666666663</v>
      </c>
      <c r="I604">
        <v>1296</v>
      </c>
      <c r="J604">
        <v>0</v>
      </c>
      <c r="K604">
        <v>0</v>
      </c>
      <c r="L604">
        <v>7</v>
      </c>
      <c r="M604">
        <v>0</v>
      </c>
      <c r="N604">
        <v>0</v>
      </c>
      <c r="O604">
        <v>0</v>
      </c>
      <c r="P604">
        <v>70</v>
      </c>
      <c r="Q604">
        <v>15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1</v>
      </c>
      <c r="AC604">
        <v>0</v>
      </c>
      <c r="AD604" s="3" t="str">
        <f t="shared" si="27"/>
        <v>S2S NO PREMIUM</v>
      </c>
      <c r="AE604" s="3" t="e">
        <f>VLOOKUP(E604,'[1]Nómina Agentes'!$C:$D,2,0)</f>
        <v>#N/A</v>
      </c>
      <c r="AF604" s="5">
        <f t="shared" si="28"/>
        <v>0.77083333333333337</v>
      </c>
      <c r="AG604" s="5">
        <f t="shared" si="29"/>
        <v>0.79166666666666663</v>
      </c>
    </row>
    <row r="605" spans="1:33" x14ac:dyDescent="0.25">
      <c r="A605" s="1">
        <v>45567</v>
      </c>
      <c r="B605">
        <v>924</v>
      </c>
      <c r="C605" t="s">
        <v>43</v>
      </c>
      <c r="D605" t="s">
        <v>201</v>
      </c>
      <c r="E605">
        <v>616438</v>
      </c>
      <c r="F605" s="2">
        <v>0.66666666666666663</v>
      </c>
      <c r="G605" t="s">
        <v>6</v>
      </c>
      <c r="H605" s="2">
        <v>0.6875</v>
      </c>
      <c r="I605">
        <v>1337</v>
      </c>
      <c r="J605">
        <v>0</v>
      </c>
      <c r="K605">
        <v>0</v>
      </c>
      <c r="L605">
        <v>20</v>
      </c>
      <c r="M605">
        <v>0</v>
      </c>
      <c r="N605">
        <v>0</v>
      </c>
      <c r="O605">
        <v>0</v>
      </c>
      <c r="P605">
        <v>373</v>
      </c>
      <c r="Q605">
        <v>4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5</v>
      </c>
      <c r="AC605">
        <v>5</v>
      </c>
      <c r="AD605" s="3" t="str">
        <f t="shared" si="27"/>
        <v>S2S NO PREMIUM</v>
      </c>
      <c r="AE605" s="3" t="e">
        <f>VLOOKUP(E605,'[1]Nómina Agentes'!$C:$D,2,0)</f>
        <v>#N/A</v>
      </c>
      <c r="AF605" s="5">
        <f t="shared" si="28"/>
        <v>0.66666666666666663</v>
      </c>
      <c r="AG605" s="5">
        <f t="shared" si="29"/>
        <v>0.6875</v>
      </c>
    </row>
    <row r="606" spans="1:33" x14ac:dyDescent="0.25">
      <c r="A606" s="1">
        <v>45567</v>
      </c>
      <c r="B606">
        <v>924</v>
      </c>
      <c r="C606" t="s">
        <v>43</v>
      </c>
      <c r="D606" t="s">
        <v>202</v>
      </c>
      <c r="E606">
        <v>616457</v>
      </c>
      <c r="F606" s="2">
        <v>0.625</v>
      </c>
      <c r="G606" t="s">
        <v>6</v>
      </c>
      <c r="H606" s="2">
        <v>0.64583333333333337</v>
      </c>
      <c r="I606">
        <v>75</v>
      </c>
      <c r="J606">
        <v>2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101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1</v>
      </c>
      <c r="AC606">
        <v>1</v>
      </c>
      <c r="AD606" s="3" t="str">
        <f t="shared" si="27"/>
        <v>S2S NO PREMIUM</v>
      </c>
      <c r="AE606" s="3" t="e">
        <f>VLOOKUP(E606,'[1]Nómina Agentes'!$C:$D,2,0)</f>
        <v>#N/A</v>
      </c>
      <c r="AF606" s="5">
        <f t="shared" si="28"/>
        <v>0.625</v>
      </c>
      <c r="AG606" s="5">
        <f t="shared" si="29"/>
        <v>0.64583333333333337</v>
      </c>
    </row>
    <row r="607" spans="1:33" x14ac:dyDescent="0.25">
      <c r="A607" s="1">
        <v>45567</v>
      </c>
      <c r="B607">
        <v>924</v>
      </c>
      <c r="C607" t="s">
        <v>43</v>
      </c>
      <c r="D607" t="s">
        <v>202</v>
      </c>
      <c r="E607">
        <v>616457</v>
      </c>
      <c r="F607" s="2">
        <v>0.58333333333333337</v>
      </c>
      <c r="G607" t="s">
        <v>6</v>
      </c>
      <c r="H607" s="2">
        <v>0.60416666666666663</v>
      </c>
      <c r="I607">
        <v>930</v>
      </c>
      <c r="J607">
        <v>0</v>
      </c>
      <c r="K607">
        <v>0</v>
      </c>
      <c r="L607">
        <v>8</v>
      </c>
      <c r="M607">
        <v>0</v>
      </c>
      <c r="N607">
        <v>0</v>
      </c>
      <c r="O607">
        <v>0</v>
      </c>
      <c r="P607">
        <v>197</v>
      </c>
      <c r="Q607">
        <v>158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3</v>
      </c>
      <c r="AC607">
        <v>3</v>
      </c>
      <c r="AD607" s="3" t="str">
        <f t="shared" si="27"/>
        <v>S2S NO PREMIUM</v>
      </c>
      <c r="AE607" s="3" t="e">
        <f>VLOOKUP(E607,'[1]Nómina Agentes'!$C:$D,2,0)</f>
        <v>#N/A</v>
      </c>
      <c r="AF607" s="5">
        <f t="shared" si="28"/>
        <v>0.58333333333333337</v>
      </c>
      <c r="AG607" s="5">
        <f t="shared" si="29"/>
        <v>0.60416666666666663</v>
      </c>
    </row>
    <row r="608" spans="1:33" x14ac:dyDescent="0.25">
      <c r="A608" s="1">
        <v>45567</v>
      </c>
      <c r="B608">
        <v>924</v>
      </c>
      <c r="C608" t="s">
        <v>43</v>
      </c>
      <c r="D608" t="s">
        <v>202</v>
      </c>
      <c r="E608">
        <v>616457</v>
      </c>
      <c r="F608" s="2">
        <v>0.60416666666666663</v>
      </c>
      <c r="G608" t="s">
        <v>6</v>
      </c>
      <c r="H608" s="2">
        <v>0.625</v>
      </c>
      <c r="I608">
        <v>1339</v>
      </c>
      <c r="J608">
        <v>0</v>
      </c>
      <c r="K608">
        <v>0</v>
      </c>
      <c r="L608">
        <v>8</v>
      </c>
      <c r="M608">
        <v>0</v>
      </c>
      <c r="N608">
        <v>0</v>
      </c>
      <c r="O608">
        <v>0</v>
      </c>
      <c r="P608">
        <v>0</v>
      </c>
      <c r="Q608">
        <v>91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1</v>
      </c>
      <c r="AC608">
        <v>0</v>
      </c>
      <c r="AD608" s="3" t="str">
        <f t="shared" si="27"/>
        <v>S2S NO PREMIUM</v>
      </c>
      <c r="AE608" s="3" t="e">
        <f>VLOOKUP(E608,'[1]Nómina Agentes'!$C:$D,2,0)</f>
        <v>#N/A</v>
      </c>
      <c r="AF608" s="5">
        <f t="shared" si="28"/>
        <v>0.60416666666666663</v>
      </c>
      <c r="AG608" s="5">
        <f t="shared" si="29"/>
        <v>0.625</v>
      </c>
    </row>
    <row r="609" spans="1:33" x14ac:dyDescent="0.25">
      <c r="A609" s="1">
        <v>45567</v>
      </c>
      <c r="B609">
        <v>924</v>
      </c>
      <c r="C609" t="s">
        <v>43</v>
      </c>
      <c r="D609" t="s">
        <v>203</v>
      </c>
      <c r="E609">
        <v>616481</v>
      </c>
      <c r="F609" s="2">
        <v>0.625</v>
      </c>
      <c r="G609" t="s">
        <v>6</v>
      </c>
      <c r="H609" s="2">
        <v>0.64583333333333337</v>
      </c>
      <c r="I609">
        <v>235</v>
      </c>
      <c r="J609">
        <v>2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743</v>
      </c>
      <c r="Q609">
        <v>98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1</v>
      </c>
      <c r="AC609">
        <v>1</v>
      </c>
      <c r="AD609" s="3" t="str">
        <f t="shared" si="27"/>
        <v>S2S NO PREMIUM</v>
      </c>
      <c r="AE609" s="3" t="e">
        <f>VLOOKUP(E609,'[1]Nómina Agentes'!$C:$D,2,0)</f>
        <v>#N/A</v>
      </c>
      <c r="AF609" s="5">
        <f t="shared" si="28"/>
        <v>0.625</v>
      </c>
      <c r="AG609" s="5">
        <f t="shared" si="29"/>
        <v>0.64583333333333337</v>
      </c>
    </row>
    <row r="610" spans="1:33" x14ac:dyDescent="0.25">
      <c r="A610" s="1">
        <v>45567</v>
      </c>
      <c r="B610">
        <v>924</v>
      </c>
      <c r="C610" t="s">
        <v>43</v>
      </c>
      <c r="D610" t="s">
        <v>203</v>
      </c>
      <c r="E610">
        <v>616481</v>
      </c>
      <c r="F610" s="2">
        <v>0.58333333333333337</v>
      </c>
      <c r="G610" t="s">
        <v>6</v>
      </c>
      <c r="H610" s="2">
        <v>0.60416666666666663</v>
      </c>
      <c r="I610">
        <v>836</v>
      </c>
      <c r="J610">
        <v>0</v>
      </c>
      <c r="K610">
        <v>0</v>
      </c>
      <c r="L610">
        <v>12</v>
      </c>
      <c r="M610">
        <v>0</v>
      </c>
      <c r="N610">
        <v>0</v>
      </c>
      <c r="O610">
        <v>0</v>
      </c>
      <c r="P610">
        <v>479</v>
      </c>
      <c r="Q610">
        <v>191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3</v>
      </c>
      <c r="AC610">
        <v>1</v>
      </c>
      <c r="AD610" s="3" t="str">
        <f t="shared" si="27"/>
        <v>S2S NO PREMIUM</v>
      </c>
      <c r="AE610" s="3" t="e">
        <f>VLOOKUP(E610,'[1]Nómina Agentes'!$C:$D,2,0)</f>
        <v>#N/A</v>
      </c>
      <c r="AF610" s="5">
        <f t="shared" si="28"/>
        <v>0.58333333333333337</v>
      </c>
      <c r="AG610" s="5">
        <f t="shared" si="29"/>
        <v>0.60416666666666663</v>
      </c>
    </row>
    <row r="611" spans="1:33" x14ac:dyDescent="0.25">
      <c r="A611" s="1">
        <v>45567</v>
      </c>
      <c r="B611">
        <v>924</v>
      </c>
      <c r="C611" t="s">
        <v>43</v>
      </c>
      <c r="D611" t="s">
        <v>203</v>
      </c>
      <c r="E611">
        <v>616481</v>
      </c>
      <c r="F611" s="2">
        <v>0.60416666666666663</v>
      </c>
      <c r="G611" t="s">
        <v>6</v>
      </c>
      <c r="H611" s="2">
        <v>0.625</v>
      </c>
      <c r="I611">
        <v>1029</v>
      </c>
      <c r="J611">
        <v>0</v>
      </c>
      <c r="K611">
        <v>0</v>
      </c>
      <c r="L611">
        <v>9</v>
      </c>
      <c r="M611">
        <v>0</v>
      </c>
      <c r="N611">
        <v>0</v>
      </c>
      <c r="O611">
        <v>0</v>
      </c>
      <c r="P611">
        <v>64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2</v>
      </c>
      <c r="AC611">
        <v>2</v>
      </c>
      <c r="AD611" s="3" t="str">
        <f t="shared" si="27"/>
        <v>S2S NO PREMIUM</v>
      </c>
      <c r="AE611" s="3" t="e">
        <f>VLOOKUP(E611,'[1]Nómina Agentes'!$C:$D,2,0)</f>
        <v>#N/A</v>
      </c>
      <c r="AF611" s="5">
        <f t="shared" si="28"/>
        <v>0.60416666666666663</v>
      </c>
      <c r="AG611" s="5">
        <f t="shared" si="29"/>
        <v>0.625</v>
      </c>
    </row>
    <row r="612" spans="1:33" x14ac:dyDescent="0.25">
      <c r="A612" s="1">
        <v>45567</v>
      </c>
      <c r="B612">
        <v>924</v>
      </c>
      <c r="C612" t="s">
        <v>43</v>
      </c>
      <c r="D612" t="s">
        <v>204</v>
      </c>
      <c r="E612">
        <v>616483</v>
      </c>
      <c r="F612" s="2">
        <v>0.625</v>
      </c>
      <c r="G612" t="s">
        <v>6</v>
      </c>
      <c r="H612" s="2">
        <v>0.64583333333333337</v>
      </c>
      <c r="I612">
        <v>276</v>
      </c>
      <c r="J612">
        <v>1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100</v>
      </c>
      <c r="Q612">
        <v>2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1</v>
      </c>
      <c r="AC612">
        <v>1</v>
      </c>
      <c r="AD612" s="3" t="str">
        <f t="shared" si="27"/>
        <v>S2S NO PREMIUM</v>
      </c>
      <c r="AE612" s="3" t="e">
        <f>VLOOKUP(E612,'[1]Nómina Agentes'!$C:$D,2,0)</f>
        <v>#N/A</v>
      </c>
      <c r="AF612" s="5">
        <f t="shared" si="28"/>
        <v>0.625</v>
      </c>
      <c r="AG612" s="5">
        <f t="shared" si="29"/>
        <v>0.64583333333333337</v>
      </c>
    </row>
    <row r="613" spans="1:33" x14ac:dyDescent="0.25">
      <c r="A613" s="1">
        <v>45567</v>
      </c>
      <c r="B613">
        <v>924</v>
      </c>
      <c r="C613" t="s">
        <v>43</v>
      </c>
      <c r="D613" t="s">
        <v>204</v>
      </c>
      <c r="E613">
        <v>616483</v>
      </c>
      <c r="F613" s="2">
        <v>0.58333333333333337</v>
      </c>
      <c r="G613" t="s">
        <v>6</v>
      </c>
      <c r="H613" s="2">
        <v>0.60416666666666663</v>
      </c>
      <c r="I613">
        <v>515</v>
      </c>
      <c r="J613">
        <v>0</v>
      </c>
      <c r="K613">
        <v>0</v>
      </c>
      <c r="L613">
        <v>8</v>
      </c>
      <c r="M613">
        <v>0</v>
      </c>
      <c r="N613">
        <v>0</v>
      </c>
      <c r="O613">
        <v>0</v>
      </c>
      <c r="P613">
        <v>194</v>
      </c>
      <c r="Q613">
        <v>41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2</v>
      </c>
      <c r="AC613">
        <v>1</v>
      </c>
      <c r="AD613" s="3" t="str">
        <f t="shared" si="27"/>
        <v>S2S NO PREMIUM</v>
      </c>
      <c r="AE613" s="3" t="e">
        <f>VLOOKUP(E613,'[1]Nómina Agentes'!$C:$D,2,0)</f>
        <v>#N/A</v>
      </c>
      <c r="AF613" s="5">
        <f t="shared" si="28"/>
        <v>0.58333333333333337</v>
      </c>
      <c r="AG613" s="5">
        <f t="shared" si="29"/>
        <v>0.60416666666666663</v>
      </c>
    </row>
    <row r="614" spans="1:33" x14ac:dyDescent="0.25">
      <c r="A614" s="1">
        <v>45567</v>
      </c>
      <c r="B614">
        <v>924</v>
      </c>
      <c r="C614" t="s">
        <v>43</v>
      </c>
      <c r="D614" t="s">
        <v>204</v>
      </c>
      <c r="E614">
        <v>616483</v>
      </c>
      <c r="F614" s="2">
        <v>0.60416666666666663</v>
      </c>
      <c r="G614" t="s">
        <v>6</v>
      </c>
      <c r="H614" s="2">
        <v>0.625</v>
      </c>
      <c r="I614">
        <v>826</v>
      </c>
      <c r="J614">
        <v>0</v>
      </c>
      <c r="K614">
        <v>0</v>
      </c>
      <c r="L614">
        <v>16</v>
      </c>
      <c r="M614">
        <v>0</v>
      </c>
      <c r="N614">
        <v>0</v>
      </c>
      <c r="O614">
        <v>0</v>
      </c>
      <c r="P614">
        <v>97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3</v>
      </c>
      <c r="AC614">
        <v>2</v>
      </c>
      <c r="AD614" s="3" t="str">
        <f t="shared" si="27"/>
        <v>S2S NO PREMIUM</v>
      </c>
      <c r="AE614" s="3" t="e">
        <f>VLOOKUP(E614,'[1]Nómina Agentes'!$C:$D,2,0)</f>
        <v>#N/A</v>
      </c>
      <c r="AF614" s="5">
        <f t="shared" si="28"/>
        <v>0.60416666666666663</v>
      </c>
      <c r="AG614" s="5">
        <f t="shared" si="29"/>
        <v>0.625</v>
      </c>
    </row>
    <row r="615" spans="1:33" x14ac:dyDescent="0.25">
      <c r="A615" s="1">
        <v>45567</v>
      </c>
      <c r="B615">
        <v>924</v>
      </c>
      <c r="C615" t="s">
        <v>43</v>
      </c>
      <c r="D615" t="s">
        <v>205</v>
      </c>
      <c r="E615">
        <v>616491</v>
      </c>
      <c r="F615" s="2">
        <v>0.66666666666666663</v>
      </c>
      <c r="G615" t="s">
        <v>6</v>
      </c>
      <c r="H615" s="2">
        <v>0.6875</v>
      </c>
      <c r="I615">
        <v>0</v>
      </c>
      <c r="J615">
        <v>2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525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1</v>
      </c>
      <c r="AC615">
        <v>1</v>
      </c>
      <c r="AD615" s="3" t="str">
        <f t="shared" si="27"/>
        <v>S2S NO PREMIUM</v>
      </c>
      <c r="AE615" s="3" t="e">
        <f>VLOOKUP(E615,'[1]Nómina Agentes'!$C:$D,2,0)</f>
        <v>#N/A</v>
      </c>
      <c r="AF615" s="5">
        <f t="shared" si="28"/>
        <v>0.66666666666666663</v>
      </c>
      <c r="AG615" s="5">
        <f t="shared" si="29"/>
        <v>0.6875</v>
      </c>
    </row>
    <row r="616" spans="1:33" x14ac:dyDescent="0.25">
      <c r="A616" s="1">
        <v>45567</v>
      </c>
      <c r="B616">
        <v>924</v>
      </c>
      <c r="C616" t="s">
        <v>43</v>
      </c>
      <c r="D616" t="s">
        <v>205</v>
      </c>
      <c r="E616">
        <v>616491</v>
      </c>
      <c r="F616" s="2">
        <v>0.64583333333333337</v>
      </c>
      <c r="G616" t="s">
        <v>6</v>
      </c>
      <c r="H616" s="2">
        <v>0.66666666666666663</v>
      </c>
      <c r="I616">
        <v>518</v>
      </c>
      <c r="J616">
        <v>649</v>
      </c>
      <c r="K616">
        <v>0</v>
      </c>
      <c r="L616">
        <v>4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 s="3" t="str">
        <f t="shared" si="27"/>
        <v>S2S NO PREMIUM</v>
      </c>
      <c r="AE616" s="3" t="e">
        <f>VLOOKUP(E616,'[1]Nómina Agentes'!$C:$D,2,0)</f>
        <v>#N/A</v>
      </c>
      <c r="AF616" s="5">
        <f t="shared" si="28"/>
        <v>0.64583333333333337</v>
      </c>
      <c r="AG616" s="5">
        <f t="shared" si="29"/>
        <v>0.66666666666666663</v>
      </c>
    </row>
    <row r="617" spans="1:33" x14ac:dyDescent="0.25">
      <c r="A617" s="1">
        <v>45567</v>
      </c>
      <c r="B617">
        <v>924</v>
      </c>
      <c r="C617" t="s">
        <v>43</v>
      </c>
      <c r="D617" t="s">
        <v>205</v>
      </c>
      <c r="E617">
        <v>616491</v>
      </c>
      <c r="F617" s="2">
        <v>0.60416666666666663</v>
      </c>
      <c r="G617" t="s">
        <v>6</v>
      </c>
      <c r="H617" s="2">
        <v>0.625</v>
      </c>
      <c r="I617">
        <v>582</v>
      </c>
      <c r="J617">
        <v>0</v>
      </c>
      <c r="K617">
        <v>0</v>
      </c>
      <c r="L617">
        <v>12</v>
      </c>
      <c r="M617">
        <v>0</v>
      </c>
      <c r="N617">
        <v>0</v>
      </c>
      <c r="O617">
        <v>0</v>
      </c>
      <c r="P617">
        <v>1</v>
      </c>
      <c r="Q617">
        <v>1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3</v>
      </c>
      <c r="AC617">
        <v>2</v>
      </c>
      <c r="AD617" s="3" t="str">
        <f t="shared" si="27"/>
        <v>S2S NO PREMIUM</v>
      </c>
      <c r="AE617" s="3" t="e">
        <f>VLOOKUP(E617,'[1]Nómina Agentes'!$C:$D,2,0)</f>
        <v>#N/A</v>
      </c>
      <c r="AF617" s="5">
        <f t="shared" si="28"/>
        <v>0.60416666666666663</v>
      </c>
      <c r="AG617" s="5">
        <f t="shared" si="29"/>
        <v>0.625</v>
      </c>
    </row>
    <row r="618" spans="1:33" x14ac:dyDescent="0.25">
      <c r="A618" s="1">
        <v>45567</v>
      </c>
      <c r="B618">
        <v>924</v>
      </c>
      <c r="C618" t="s">
        <v>43</v>
      </c>
      <c r="D618" t="s">
        <v>205</v>
      </c>
      <c r="E618">
        <v>616491</v>
      </c>
      <c r="F618" s="2">
        <v>0.625</v>
      </c>
      <c r="G618" t="s">
        <v>6</v>
      </c>
      <c r="H618" s="2">
        <v>0.64583333333333337</v>
      </c>
      <c r="I618">
        <v>967</v>
      </c>
      <c r="J618">
        <v>33</v>
      </c>
      <c r="K618">
        <v>0</v>
      </c>
      <c r="L618">
        <v>4</v>
      </c>
      <c r="M618">
        <v>0</v>
      </c>
      <c r="N618">
        <v>0</v>
      </c>
      <c r="O618">
        <v>0</v>
      </c>
      <c r="P618">
        <v>328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2</v>
      </c>
      <c r="AC618">
        <v>2</v>
      </c>
      <c r="AD618" s="3" t="str">
        <f t="shared" si="27"/>
        <v>S2S NO PREMIUM</v>
      </c>
      <c r="AE618" s="3" t="e">
        <f>VLOOKUP(E618,'[1]Nómina Agentes'!$C:$D,2,0)</f>
        <v>#N/A</v>
      </c>
      <c r="AF618" s="5">
        <f t="shared" si="28"/>
        <v>0.625</v>
      </c>
      <c r="AG618" s="5">
        <f t="shared" si="29"/>
        <v>0.64583333333333337</v>
      </c>
    </row>
    <row r="619" spans="1:33" x14ac:dyDescent="0.25">
      <c r="A619" s="1">
        <v>45567</v>
      </c>
      <c r="B619">
        <v>924</v>
      </c>
      <c r="C619" t="s">
        <v>43</v>
      </c>
      <c r="D619" t="s">
        <v>205</v>
      </c>
      <c r="E619">
        <v>616491</v>
      </c>
      <c r="F619" s="2">
        <v>0.58333333333333337</v>
      </c>
      <c r="G619" t="s">
        <v>6</v>
      </c>
      <c r="H619" s="2">
        <v>0.60416666666666663</v>
      </c>
      <c r="I619">
        <v>1127</v>
      </c>
      <c r="J619">
        <v>0</v>
      </c>
      <c r="K619">
        <v>0</v>
      </c>
      <c r="L619">
        <v>16</v>
      </c>
      <c r="M619">
        <v>0</v>
      </c>
      <c r="N619">
        <v>0</v>
      </c>
      <c r="O619">
        <v>0</v>
      </c>
      <c r="P619">
        <v>1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3</v>
      </c>
      <c r="AC619">
        <v>2</v>
      </c>
      <c r="AD619" s="3" t="str">
        <f t="shared" si="27"/>
        <v>S2S NO PREMIUM</v>
      </c>
      <c r="AE619" s="3" t="e">
        <f>VLOOKUP(E619,'[1]Nómina Agentes'!$C:$D,2,0)</f>
        <v>#N/A</v>
      </c>
      <c r="AF619" s="5">
        <f t="shared" si="28"/>
        <v>0.58333333333333337</v>
      </c>
      <c r="AG619" s="5">
        <f t="shared" si="29"/>
        <v>0.60416666666666663</v>
      </c>
    </row>
    <row r="620" spans="1:33" x14ac:dyDescent="0.25">
      <c r="A620" s="1">
        <v>45567</v>
      </c>
      <c r="B620">
        <v>924</v>
      </c>
      <c r="C620" t="s">
        <v>43</v>
      </c>
      <c r="D620" t="s">
        <v>206</v>
      </c>
      <c r="E620">
        <v>616494</v>
      </c>
      <c r="F620" s="2">
        <v>0.64583333333333337</v>
      </c>
      <c r="G620" t="s">
        <v>6</v>
      </c>
      <c r="H620" s="2">
        <v>0.66666666666666663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 s="3" t="str">
        <f t="shared" si="27"/>
        <v>S2S NO PREMIUM</v>
      </c>
      <c r="AE620" s="3" t="e">
        <f>VLOOKUP(E620,'[1]Nómina Agentes'!$C:$D,2,0)</f>
        <v>#N/A</v>
      </c>
      <c r="AF620" s="5">
        <f t="shared" si="28"/>
        <v>0.64583333333333337</v>
      </c>
      <c r="AG620" s="5">
        <f t="shared" si="29"/>
        <v>0.66666666666666663</v>
      </c>
    </row>
    <row r="621" spans="1:33" x14ac:dyDescent="0.25">
      <c r="A621" s="1">
        <v>45567</v>
      </c>
      <c r="B621">
        <v>924</v>
      </c>
      <c r="C621" t="s">
        <v>43</v>
      </c>
      <c r="D621" t="s">
        <v>206</v>
      </c>
      <c r="E621">
        <v>616494</v>
      </c>
      <c r="F621" s="2">
        <v>0.70833333333333337</v>
      </c>
      <c r="G621" t="s">
        <v>6</v>
      </c>
      <c r="H621" s="2">
        <v>0.72916666666666663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 s="3" t="str">
        <f t="shared" si="27"/>
        <v>S2S NO PREMIUM</v>
      </c>
      <c r="AE621" s="3" t="e">
        <f>VLOOKUP(E621,'[1]Nómina Agentes'!$C:$D,2,0)</f>
        <v>#N/A</v>
      </c>
      <c r="AF621" s="5">
        <f t="shared" si="28"/>
        <v>0.70833333333333337</v>
      </c>
      <c r="AG621" s="5">
        <f t="shared" si="29"/>
        <v>0.72916666666666663</v>
      </c>
    </row>
    <row r="622" spans="1:33" x14ac:dyDescent="0.25">
      <c r="A622" s="1">
        <v>45567</v>
      </c>
      <c r="B622">
        <v>924</v>
      </c>
      <c r="C622" t="s">
        <v>43</v>
      </c>
      <c r="D622" t="s">
        <v>206</v>
      </c>
      <c r="E622">
        <v>616494</v>
      </c>
      <c r="F622" s="2">
        <v>0.625</v>
      </c>
      <c r="G622" t="s">
        <v>6</v>
      </c>
      <c r="H622" s="2">
        <v>0.64583333333333337</v>
      </c>
      <c r="I622">
        <v>824</v>
      </c>
      <c r="J622">
        <v>0</v>
      </c>
      <c r="K622">
        <v>0</v>
      </c>
      <c r="L622">
        <v>12</v>
      </c>
      <c r="M622">
        <v>0</v>
      </c>
      <c r="N622">
        <v>0</v>
      </c>
      <c r="O622">
        <v>0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4</v>
      </c>
      <c r="AC622">
        <v>1</v>
      </c>
      <c r="AD622" s="3" t="str">
        <f t="shared" si="27"/>
        <v>S2S NO PREMIUM</v>
      </c>
      <c r="AE622" s="3" t="e">
        <f>VLOOKUP(E622,'[1]Nómina Agentes'!$C:$D,2,0)</f>
        <v>#N/A</v>
      </c>
      <c r="AF622" s="5">
        <f t="shared" si="28"/>
        <v>0.625</v>
      </c>
      <c r="AG622" s="5">
        <f t="shared" si="29"/>
        <v>0.64583333333333337</v>
      </c>
    </row>
    <row r="623" spans="1:33" x14ac:dyDescent="0.25">
      <c r="A623" s="1">
        <v>45567</v>
      </c>
      <c r="B623">
        <v>924</v>
      </c>
      <c r="C623" t="s">
        <v>43</v>
      </c>
      <c r="D623" t="s">
        <v>206</v>
      </c>
      <c r="E623">
        <v>616494</v>
      </c>
      <c r="F623" s="2">
        <v>0.58333333333333337</v>
      </c>
      <c r="G623" t="s">
        <v>6</v>
      </c>
      <c r="H623" s="2">
        <v>0.60416666666666663</v>
      </c>
      <c r="I623">
        <v>915</v>
      </c>
      <c r="J623">
        <v>0</v>
      </c>
      <c r="K623">
        <v>0</v>
      </c>
      <c r="L623">
        <v>12</v>
      </c>
      <c r="M623">
        <v>0</v>
      </c>
      <c r="N623">
        <v>0</v>
      </c>
      <c r="O623">
        <v>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3</v>
      </c>
      <c r="AC623">
        <v>1</v>
      </c>
      <c r="AD623" s="3" t="str">
        <f t="shared" si="27"/>
        <v>S2S NO PREMIUM</v>
      </c>
      <c r="AE623" s="3" t="e">
        <f>VLOOKUP(E623,'[1]Nómina Agentes'!$C:$D,2,0)</f>
        <v>#N/A</v>
      </c>
      <c r="AF623" s="5">
        <f t="shared" si="28"/>
        <v>0.58333333333333337</v>
      </c>
      <c r="AG623" s="5">
        <f t="shared" si="29"/>
        <v>0.60416666666666663</v>
      </c>
    </row>
    <row r="624" spans="1:33" x14ac:dyDescent="0.25">
      <c r="A624" s="1">
        <v>45567</v>
      </c>
      <c r="B624">
        <v>924</v>
      </c>
      <c r="C624" t="s">
        <v>43</v>
      </c>
      <c r="D624" t="s">
        <v>206</v>
      </c>
      <c r="E624">
        <v>616494</v>
      </c>
      <c r="F624" s="2">
        <v>0.6875</v>
      </c>
      <c r="G624" t="s">
        <v>6</v>
      </c>
      <c r="H624" s="2">
        <v>0.70833333333333337</v>
      </c>
      <c r="I624">
        <v>997</v>
      </c>
      <c r="J624">
        <v>0</v>
      </c>
      <c r="K624">
        <v>0</v>
      </c>
      <c r="L624">
        <v>12</v>
      </c>
      <c r="M624">
        <v>0</v>
      </c>
      <c r="N624">
        <v>0</v>
      </c>
      <c r="O624">
        <v>0</v>
      </c>
      <c r="P624">
        <v>87</v>
      </c>
      <c r="Q624">
        <v>41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4</v>
      </c>
      <c r="AC624">
        <v>1</v>
      </c>
      <c r="AD624" s="3" t="str">
        <f t="shared" si="27"/>
        <v>S2S NO PREMIUM</v>
      </c>
      <c r="AE624" s="3" t="e">
        <f>VLOOKUP(E624,'[1]Nómina Agentes'!$C:$D,2,0)</f>
        <v>#N/A</v>
      </c>
      <c r="AF624" s="5">
        <f t="shared" si="28"/>
        <v>0.6875</v>
      </c>
      <c r="AG624" s="5">
        <f t="shared" si="29"/>
        <v>0.70833333333333337</v>
      </c>
    </row>
    <row r="625" spans="1:33" x14ac:dyDescent="0.25">
      <c r="A625" s="1">
        <v>45567</v>
      </c>
      <c r="B625">
        <v>924</v>
      </c>
      <c r="C625" t="s">
        <v>43</v>
      </c>
      <c r="D625" t="s">
        <v>206</v>
      </c>
      <c r="E625">
        <v>616494</v>
      </c>
      <c r="F625" s="2">
        <v>0.60416666666666663</v>
      </c>
      <c r="G625" t="s">
        <v>6</v>
      </c>
      <c r="H625" s="2">
        <v>0.625</v>
      </c>
      <c r="I625">
        <v>1034</v>
      </c>
      <c r="J625">
        <v>0</v>
      </c>
      <c r="K625">
        <v>0</v>
      </c>
      <c r="L625">
        <v>13</v>
      </c>
      <c r="M625">
        <v>0</v>
      </c>
      <c r="N625">
        <v>0</v>
      </c>
      <c r="O625">
        <v>0</v>
      </c>
      <c r="P625">
        <v>2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3</v>
      </c>
      <c r="AC625">
        <v>1</v>
      </c>
      <c r="AD625" s="3" t="str">
        <f t="shared" si="27"/>
        <v>S2S NO PREMIUM</v>
      </c>
      <c r="AE625" s="3" t="e">
        <f>VLOOKUP(E625,'[1]Nómina Agentes'!$C:$D,2,0)</f>
        <v>#N/A</v>
      </c>
      <c r="AF625" s="5">
        <f t="shared" si="28"/>
        <v>0.60416666666666663</v>
      </c>
      <c r="AG625" s="5">
        <f t="shared" si="29"/>
        <v>0.625</v>
      </c>
    </row>
    <row r="626" spans="1:33" x14ac:dyDescent="0.25">
      <c r="A626" s="1">
        <v>45567</v>
      </c>
      <c r="B626">
        <v>924</v>
      </c>
      <c r="C626" t="s">
        <v>43</v>
      </c>
      <c r="D626" t="s">
        <v>206</v>
      </c>
      <c r="E626">
        <v>616494</v>
      </c>
      <c r="F626" s="2">
        <v>0.66666666666666663</v>
      </c>
      <c r="G626" t="s">
        <v>6</v>
      </c>
      <c r="H626" s="2">
        <v>0.6875</v>
      </c>
      <c r="I626">
        <v>1302</v>
      </c>
      <c r="J626">
        <v>0</v>
      </c>
      <c r="K626">
        <v>0</v>
      </c>
      <c r="L626">
        <v>23</v>
      </c>
      <c r="M626">
        <v>0</v>
      </c>
      <c r="N626">
        <v>0</v>
      </c>
      <c r="O626">
        <v>0</v>
      </c>
      <c r="P626">
        <v>3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5</v>
      </c>
      <c r="AC626">
        <v>3</v>
      </c>
      <c r="AD626" s="3" t="str">
        <f t="shared" si="27"/>
        <v>S2S NO PREMIUM</v>
      </c>
      <c r="AE626" s="3" t="e">
        <f>VLOOKUP(E626,'[1]Nómina Agentes'!$C:$D,2,0)</f>
        <v>#N/A</v>
      </c>
      <c r="AF626" s="5">
        <f t="shared" si="28"/>
        <v>0.66666666666666663</v>
      </c>
      <c r="AG626" s="5">
        <f t="shared" si="29"/>
        <v>0.6875</v>
      </c>
    </row>
    <row r="627" spans="1:33" x14ac:dyDescent="0.25">
      <c r="A627" s="1">
        <v>45567</v>
      </c>
      <c r="B627">
        <v>925</v>
      </c>
      <c r="C627" t="s">
        <v>42</v>
      </c>
      <c r="D627" t="s">
        <v>207</v>
      </c>
      <c r="E627">
        <v>616517</v>
      </c>
      <c r="F627" s="2">
        <v>0.625</v>
      </c>
      <c r="G627" t="s">
        <v>6</v>
      </c>
      <c r="H627" s="2">
        <v>0.64583333333333337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 s="3" t="str">
        <f t="shared" si="27"/>
        <v>S2S PREMIUM</v>
      </c>
      <c r="AE627" s="3" t="e">
        <f>VLOOKUP(E627,'[1]Nómina Agentes'!$C:$D,2,0)</f>
        <v>#N/A</v>
      </c>
      <c r="AF627" s="5">
        <f t="shared" si="28"/>
        <v>0.625</v>
      </c>
      <c r="AG627" s="5">
        <f t="shared" si="29"/>
        <v>0.64583333333333337</v>
      </c>
    </row>
    <row r="628" spans="1:33" x14ac:dyDescent="0.25">
      <c r="A628" s="1">
        <v>45567</v>
      </c>
      <c r="B628">
        <v>925</v>
      </c>
      <c r="C628" t="s">
        <v>42</v>
      </c>
      <c r="D628" t="s">
        <v>207</v>
      </c>
      <c r="E628">
        <v>616517</v>
      </c>
      <c r="F628" s="2">
        <v>0.58333333333333337</v>
      </c>
      <c r="G628" t="s">
        <v>6</v>
      </c>
      <c r="H628" s="2">
        <v>0.60416666666666663</v>
      </c>
      <c r="I628">
        <v>735</v>
      </c>
      <c r="J628">
        <v>0</v>
      </c>
      <c r="K628">
        <v>0</v>
      </c>
      <c r="L628">
        <v>16</v>
      </c>
      <c r="M628">
        <v>0</v>
      </c>
      <c r="N628">
        <v>0</v>
      </c>
      <c r="O628">
        <v>0</v>
      </c>
      <c r="P628">
        <v>3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3</v>
      </c>
      <c r="AC628">
        <v>3</v>
      </c>
      <c r="AD628" s="3" t="str">
        <f t="shared" si="27"/>
        <v>S2S PREMIUM</v>
      </c>
      <c r="AE628" s="3" t="e">
        <f>VLOOKUP(E628,'[1]Nómina Agentes'!$C:$D,2,0)</f>
        <v>#N/A</v>
      </c>
      <c r="AF628" s="5">
        <f t="shared" si="28"/>
        <v>0.58333333333333337</v>
      </c>
      <c r="AG628" s="5">
        <f t="shared" si="29"/>
        <v>0.60416666666666663</v>
      </c>
    </row>
    <row r="629" spans="1:33" x14ac:dyDescent="0.25">
      <c r="A629" s="1">
        <v>45567</v>
      </c>
      <c r="B629">
        <v>925</v>
      </c>
      <c r="C629" t="s">
        <v>42</v>
      </c>
      <c r="D629" t="s">
        <v>207</v>
      </c>
      <c r="E629">
        <v>616517</v>
      </c>
      <c r="F629" s="2">
        <v>0.60416666666666663</v>
      </c>
      <c r="G629" t="s">
        <v>6</v>
      </c>
      <c r="H629" s="2">
        <v>0.625</v>
      </c>
      <c r="I629">
        <v>933</v>
      </c>
      <c r="J629">
        <v>4</v>
      </c>
      <c r="K629">
        <v>0</v>
      </c>
      <c r="L629">
        <v>12</v>
      </c>
      <c r="M629">
        <v>0</v>
      </c>
      <c r="N629">
        <v>0</v>
      </c>
      <c r="O629">
        <v>0</v>
      </c>
      <c r="P629">
        <v>59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4</v>
      </c>
      <c r="AC629">
        <v>3</v>
      </c>
      <c r="AD629" s="3" t="str">
        <f t="shared" si="27"/>
        <v>S2S PREMIUM</v>
      </c>
      <c r="AE629" s="3" t="e">
        <f>VLOOKUP(E629,'[1]Nómina Agentes'!$C:$D,2,0)</f>
        <v>#N/A</v>
      </c>
      <c r="AF629" s="5">
        <f t="shared" si="28"/>
        <v>0.60416666666666663</v>
      </c>
      <c r="AG629" s="5">
        <f t="shared" si="29"/>
        <v>0.625</v>
      </c>
    </row>
    <row r="630" spans="1:33" x14ac:dyDescent="0.25">
      <c r="A630" s="1">
        <v>45567</v>
      </c>
      <c r="B630">
        <v>924</v>
      </c>
      <c r="C630" t="s">
        <v>43</v>
      </c>
      <c r="D630" t="s">
        <v>208</v>
      </c>
      <c r="E630">
        <v>616518</v>
      </c>
      <c r="F630" s="2">
        <v>0.625</v>
      </c>
      <c r="G630" t="s">
        <v>6</v>
      </c>
      <c r="H630" s="2">
        <v>0.64583333333333337</v>
      </c>
      <c r="I630">
        <v>16</v>
      </c>
      <c r="J630">
        <v>24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179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1</v>
      </c>
      <c r="AC630">
        <v>1</v>
      </c>
      <c r="AD630" s="3" t="str">
        <f t="shared" si="27"/>
        <v>S2S NO PREMIUM</v>
      </c>
      <c r="AE630" s="3" t="e">
        <f>VLOOKUP(E630,'[1]Nómina Agentes'!$C:$D,2,0)</f>
        <v>#N/A</v>
      </c>
      <c r="AF630" s="5">
        <f t="shared" si="28"/>
        <v>0.625</v>
      </c>
      <c r="AG630" s="5">
        <f t="shared" si="29"/>
        <v>0.64583333333333337</v>
      </c>
    </row>
    <row r="631" spans="1:33" x14ac:dyDescent="0.25">
      <c r="A631" s="1">
        <v>45567</v>
      </c>
      <c r="B631">
        <v>924</v>
      </c>
      <c r="C631" t="s">
        <v>43</v>
      </c>
      <c r="D631" t="s">
        <v>208</v>
      </c>
      <c r="E631">
        <v>616518</v>
      </c>
      <c r="F631" s="2">
        <v>0.58333333333333337</v>
      </c>
      <c r="G631" t="s">
        <v>6</v>
      </c>
      <c r="H631" s="2">
        <v>0.60416666666666663</v>
      </c>
      <c r="I631">
        <v>828</v>
      </c>
      <c r="J631">
        <v>0</v>
      </c>
      <c r="K631">
        <v>0</v>
      </c>
      <c r="L631">
        <v>18</v>
      </c>
      <c r="M631">
        <v>0</v>
      </c>
      <c r="N631">
        <v>0</v>
      </c>
      <c r="O631">
        <v>0</v>
      </c>
      <c r="P631">
        <v>6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4</v>
      </c>
      <c r="AC631">
        <v>2</v>
      </c>
      <c r="AD631" s="3" t="str">
        <f t="shared" si="27"/>
        <v>S2S NO PREMIUM</v>
      </c>
      <c r="AE631" s="3" t="e">
        <f>VLOOKUP(E631,'[1]Nómina Agentes'!$C:$D,2,0)</f>
        <v>#N/A</v>
      </c>
      <c r="AF631" s="5">
        <f t="shared" si="28"/>
        <v>0.58333333333333337</v>
      </c>
      <c r="AG631" s="5">
        <f t="shared" si="29"/>
        <v>0.60416666666666663</v>
      </c>
    </row>
    <row r="632" spans="1:33" x14ac:dyDescent="0.25">
      <c r="A632" s="1">
        <v>45567</v>
      </c>
      <c r="B632">
        <v>924</v>
      </c>
      <c r="C632" t="s">
        <v>43</v>
      </c>
      <c r="D632" t="s">
        <v>208</v>
      </c>
      <c r="E632">
        <v>616518</v>
      </c>
      <c r="F632" s="2">
        <v>0.60416666666666663</v>
      </c>
      <c r="G632" t="s">
        <v>6</v>
      </c>
      <c r="H632" s="2">
        <v>0.625</v>
      </c>
      <c r="I632">
        <v>842</v>
      </c>
      <c r="J632">
        <v>0</v>
      </c>
      <c r="K632">
        <v>0</v>
      </c>
      <c r="L632">
        <v>8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1</v>
      </c>
      <c r="AC632">
        <v>1</v>
      </c>
      <c r="AD632" s="3" t="str">
        <f t="shared" si="27"/>
        <v>S2S NO PREMIUM</v>
      </c>
      <c r="AE632" s="3" t="e">
        <f>VLOOKUP(E632,'[1]Nómina Agentes'!$C:$D,2,0)</f>
        <v>#N/A</v>
      </c>
      <c r="AF632" s="5">
        <f t="shared" si="28"/>
        <v>0.60416666666666663</v>
      </c>
      <c r="AG632" s="5">
        <f t="shared" si="29"/>
        <v>0.625</v>
      </c>
    </row>
    <row r="633" spans="1:33" x14ac:dyDescent="0.25">
      <c r="A633" s="1">
        <v>45567</v>
      </c>
      <c r="B633">
        <v>924</v>
      </c>
      <c r="C633" t="s">
        <v>43</v>
      </c>
      <c r="D633" t="s">
        <v>209</v>
      </c>
      <c r="E633">
        <v>616520</v>
      </c>
      <c r="F633" s="2">
        <v>0.8125</v>
      </c>
      <c r="G633" t="s">
        <v>6</v>
      </c>
      <c r="H633" s="2">
        <v>0.83333333333333337</v>
      </c>
      <c r="I633">
        <v>608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1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1</v>
      </c>
      <c r="AC633">
        <v>1</v>
      </c>
      <c r="AD633" s="3" t="str">
        <f t="shared" si="27"/>
        <v>S2S NO PREMIUM</v>
      </c>
      <c r="AE633" s="3" t="e">
        <f>VLOOKUP(E633,'[1]Nómina Agentes'!$C:$D,2,0)</f>
        <v>#N/A</v>
      </c>
      <c r="AF633" s="5">
        <f t="shared" si="28"/>
        <v>0.8125</v>
      </c>
      <c r="AG633" s="5">
        <f t="shared" si="29"/>
        <v>0.83333333333333337</v>
      </c>
    </row>
    <row r="634" spans="1:33" x14ac:dyDescent="0.25">
      <c r="A634" s="1">
        <v>45567</v>
      </c>
      <c r="B634">
        <v>924</v>
      </c>
      <c r="C634" t="s">
        <v>43</v>
      </c>
      <c r="D634" t="s">
        <v>209</v>
      </c>
      <c r="E634">
        <v>616520</v>
      </c>
      <c r="F634" s="2">
        <v>0.79166666666666663</v>
      </c>
      <c r="G634" t="s">
        <v>6</v>
      </c>
      <c r="H634" s="2">
        <v>0.8125</v>
      </c>
      <c r="I634">
        <v>939</v>
      </c>
      <c r="J634">
        <v>0</v>
      </c>
      <c r="K634">
        <v>0</v>
      </c>
      <c r="L634">
        <v>16</v>
      </c>
      <c r="M634">
        <v>0</v>
      </c>
      <c r="N634">
        <v>0</v>
      </c>
      <c r="O634">
        <v>0</v>
      </c>
      <c r="P634">
        <v>4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4</v>
      </c>
      <c r="AC634">
        <v>4</v>
      </c>
      <c r="AD634" s="3" t="str">
        <f t="shared" si="27"/>
        <v>S2S NO PREMIUM</v>
      </c>
      <c r="AE634" s="3" t="e">
        <f>VLOOKUP(E634,'[1]Nómina Agentes'!$C:$D,2,0)</f>
        <v>#N/A</v>
      </c>
      <c r="AF634" s="5">
        <f t="shared" si="28"/>
        <v>0.79166666666666663</v>
      </c>
      <c r="AG634" s="5">
        <f t="shared" si="29"/>
        <v>0.8125</v>
      </c>
    </row>
    <row r="635" spans="1:33" x14ac:dyDescent="0.25">
      <c r="A635" s="1">
        <v>45567</v>
      </c>
      <c r="B635">
        <v>924</v>
      </c>
      <c r="C635" t="s">
        <v>43</v>
      </c>
      <c r="D635" t="s">
        <v>209</v>
      </c>
      <c r="E635">
        <v>616520</v>
      </c>
      <c r="F635" s="2">
        <v>0.64583333333333337</v>
      </c>
      <c r="G635" t="s">
        <v>6</v>
      </c>
      <c r="H635" s="2">
        <v>0.66666666666666663</v>
      </c>
      <c r="I635">
        <v>969</v>
      </c>
      <c r="J635">
        <v>0</v>
      </c>
      <c r="K635">
        <v>0</v>
      </c>
      <c r="L635">
        <v>16</v>
      </c>
      <c r="M635">
        <v>0</v>
      </c>
      <c r="N635">
        <v>0</v>
      </c>
      <c r="O635">
        <v>0</v>
      </c>
      <c r="P635">
        <v>67</v>
      </c>
      <c r="Q635">
        <v>50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4</v>
      </c>
      <c r="AC635">
        <v>4</v>
      </c>
      <c r="AD635" s="3" t="str">
        <f t="shared" si="27"/>
        <v>S2S NO PREMIUM</v>
      </c>
      <c r="AE635" s="3" t="e">
        <f>VLOOKUP(E635,'[1]Nómina Agentes'!$C:$D,2,0)</f>
        <v>#N/A</v>
      </c>
      <c r="AF635" s="5">
        <f t="shared" si="28"/>
        <v>0.64583333333333337</v>
      </c>
      <c r="AG635" s="5">
        <f t="shared" si="29"/>
        <v>0.66666666666666663</v>
      </c>
    </row>
    <row r="636" spans="1:33" x14ac:dyDescent="0.25">
      <c r="A636" s="1">
        <v>45567</v>
      </c>
      <c r="B636">
        <v>924</v>
      </c>
      <c r="C636" t="s">
        <v>43</v>
      </c>
      <c r="D636" t="s">
        <v>209</v>
      </c>
      <c r="E636">
        <v>616520</v>
      </c>
      <c r="F636" s="2">
        <v>0.625</v>
      </c>
      <c r="G636" t="s">
        <v>6</v>
      </c>
      <c r="H636" s="2">
        <v>0.64583333333333337</v>
      </c>
      <c r="I636">
        <v>1002</v>
      </c>
      <c r="J636">
        <v>0</v>
      </c>
      <c r="K636">
        <v>0</v>
      </c>
      <c r="L636">
        <v>13</v>
      </c>
      <c r="M636">
        <v>0</v>
      </c>
      <c r="N636">
        <v>0</v>
      </c>
      <c r="O636">
        <v>0</v>
      </c>
      <c r="P636">
        <v>1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2</v>
      </c>
      <c r="AC636">
        <v>1</v>
      </c>
      <c r="AD636" s="3" t="str">
        <f t="shared" si="27"/>
        <v>S2S NO PREMIUM</v>
      </c>
      <c r="AE636" s="3" t="e">
        <f>VLOOKUP(E636,'[1]Nómina Agentes'!$C:$D,2,0)</f>
        <v>#N/A</v>
      </c>
      <c r="AF636" s="5">
        <f t="shared" si="28"/>
        <v>0.625</v>
      </c>
      <c r="AG636" s="5">
        <f t="shared" si="29"/>
        <v>0.64583333333333337</v>
      </c>
    </row>
    <row r="637" spans="1:33" x14ac:dyDescent="0.25">
      <c r="A637" s="1">
        <v>45567</v>
      </c>
      <c r="B637">
        <v>924</v>
      </c>
      <c r="C637" t="s">
        <v>43</v>
      </c>
      <c r="D637" t="s">
        <v>209</v>
      </c>
      <c r="E637">
        <v>616520</v>
      </c>
      <c r="F637" s="2">
        <v>0.77083333333333337</v>
      </c>
      <c r="G637" t="s">
        <v>6</v>
      </c>
      <c r="H637" s="2">
        <v>0.79166666666666663</v>
      </c>
      <c r="I637">
        <v>1126</v>
      </c>
      <c r="J637">
        <v>0</v>
      </c>
      <c r="K637">
        <v>0</v>
      </c>
      <c r="L637">
        <v>16</v>
      </c>
      <c r="M637">
        <v>0</v>
      </c>
      <c r="N637">
        <v>0</v>
      </c>
      <c r="O637">
        <v>0</v>
      </c>
      <c r="P637">
        <v>3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4</v>
      </c>
      <c r="AC637">
        <v>3</v>
      </c>
      <c r="AD637" s="3" t="str">
        <f t="shared" si="27"/>
        <v>S2S NO PREMIUM</v>
      </c>
      <c r="AE637" s="3" t="e">
        <f>VLOOKUP(E637,'[1]Nómina Agentes'!$C:$D,2,0)</f>
        <v>#N/A</v>
      </c>
      <c r="AF637" s="5">
        <f t="shared" si="28"/>
        <v>0.77083333333333337</v>
      </c>
      <c r="AG637" s="5">
        <f t="shared" si="29"/>
        <v>0.79166666666666663</v>
      </c>
    </row>
    <row r="638" spans="1:33" x14ac:dyDescent="0.25">
      <c r="A638" s="1">
        <v>45567</v>
      </c>
      <c r="B638">
        <v>924</v>
      </c>
      <c r="C638" t="s">
        <v>43</v>
      </c>
      <c r="D638" t="s">
        <v>209</v>
      </c>
      <c r="E638">
        <v>616520</v>
      </c>
      <c r="F638" s="2">
        <v>0.66666666666666663</v>
      </c>
      <c r="G638" t="s">
        <v>6</v>
      </c>
      <c r="H638" s="2">
        <v>0.6875</v>
      </c>
      <c r="I638">
        <v>1270</v>
      </c>
      <c r="J638">
        <v>0</v>
      </c>
      <c r="K638">
        <v>0</v>
      </c>
      <c r="L638">
        <v>12</v>
      </c>
      <c r="M638">
        <v>0</v>
      </c>
      <c r="N638">
        <v>0</v>
      </c>
      <c r="O638">
        <v>0</v>
      </c>
      <c r="P638">
        <v>182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3</v>
      </c>
      <c r="AC638">
        <v>3</v>
      </c>
      <c r="AD638" s="3" t="str">
        <f t="shared" si="27"/>
        <v>S2S NO PREMIUM</v>
      </c>
      <c r="AE638" s="3" t="e">
        <f>VLOOKUP(E638,'[1]Nómina Agentes'!$C:$D,2,0)</f>
        <v>#N/A</v>
      </c>
      <c r="AF638" s="5">
        <f t="shared" si="28"/>
        <v>0.66666666666666663</v>
      </c>
      <c r="AG638" s="5">
        <f t="shared" si="29"/>
        <v>0.6875</v>
      </c>
    </row>
    <row r="639" spans="1:33" x14ac:dyDescent="0.25">
      <c r="A639" s="1">
        <v>45567</v>
      </c>
      <c r="B639">
        <v>924</v>
      </c>
      <c r="C639" t="s">
        <v>43</v>
      </c>
      <c r="D639" t="s">
        <v>209</v>
      </c>
      <c r="E639">
        <v>616520</v>
      </c>
      <c r="F639" s="2">
        <v>0.72916666666666663</v>
      </c>
      <c r="G639" t="s">
        <v>6</v>
      </c>
      <c r="H639" s="2">
        <v>0.75</v>
      </c>
      <c r="I639">
        <v>1302</v>
      </c>
      <c r="J639">
        <v>0</v>
      </c>
      <c r="K639">
        <v>0</v>
      </c>
      <c r="L639">
        <v>16</v>
      </c>
      <c r="M639">
        <v>0</v>
      </c>
      <c r="N639">
        <v>0</v>
      </c>
      <c r="O639">
        <v>0</v>
      </c>
      <c r="P639">
        <v>102</v>
      </c>
      <c r="Q639">
        <v>94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4</v>
      </c>
      <c r="AC639">
        <v>4</v>
      </c>
      <c r="AD639" s="3" t="str">
        <f t="shared" ref="AD639:AD702" si="30">UPPER(C639)</f>
        <v>S2S NO PREMIUM</v>
      </c>
      <c r="AE639" s="3" t="e">
        <f>VLOOKUP(E639,'[1]Nómina Agentes'!$C:$D,2,0)</f>
        <v>#N/A</v>
      </c>
      <c r="AF639" s="5">
        <f t="shared" ref="AF639:AF702" si="31">F639</f>
        <v>0.72916666666666663</v>
      </c>
      <c r="AG639" s="5">
        <f t="shared" ref="AG639:AG702" si="32">H639</f>
        <v>0.75</v>
      </c>
    </row>
    <row r="640" spans="1:33" x14ac:dyDescent="0.25">
      <c r="A640" s="1">
        <v>45567</v>
      </c>
      <c r="B640">
        <v>924</v>
      </c>
      <c r="C640" t="s">
        <v>43</v>
      </c>
      <c r="D640" t="s">
        <v>209</v>
      </c>
      <c r="E640">
        <v>616520</v>
      </c>
      <c r="F640" s="2">
        <v>0.6875</v>
      </c>
      <c r="G640" t="s">
        <v>6</v>
      </c>
      <c r="H640" s="2">
        <v>0.70833333333333337</v>
      </c>
      <c r="I640">
        <v>1417</v>
      </c>
      <c r="J640">
        <v>0</v>
      </c>
      <c r="K640">
        <v>0</v>
      </c>
      <c r="L640">
        <v>17</v>
      </c>
      <c r="M640">
        <v>0</v>
      </c>
      <c r="N640">
        <v>0</v>
      </c>
      <c r="O640">
        <v>0</v>
      </c>
      <c r="P640">
        <v>3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4</v>
      </c>
      <c r="AC640">
        <v>4</v>
      </c>
      <c r="AD640" s="3" t="str">
        <f t="shared" si="30"/>
        <v>S2S NO PREMIUM</v>
      </c>
      <c r="AE640" s="3" t="e">
        <f>VLOOKUP(E640,'[1]Nómina Agentes'!$C:$D,2,0)</f>
        <v>#N/A</v>
      </c>
      <c r="AF640" s="5">
        <f t="shared" si="31"/>
        <v>0.6875</v>
      </c>
      <c r="AG640" s="5">
        <f t="shared" si="32"/>
        <v>0.70833333333333337</v>
      </c>
    </row>
    <row r="641" spans="1:33" x14ac:dyDescent="0.25">
      <c r="A641" s="1">
        <v>45567</v>
      </c>
      <c r="B641">
        <v>924</v>
      </c>
      <c r="C641" t="s">
        <v>43</v>
      </c>
      <c r="D641" t="s">
        <v>209</v>
      </c>
      <c r="E641">
        <v>616520</v>
      </c>
      <c r="F641" s="2">
        <v>0.75</v>
      </c>
      <c r="G641" t="s">
        <v>6</v>
      </c>
      <c r="H641" s="2">
        <v>0.77083333333333337</v>
      </c>
      <c r="I641">
        <v>1535</v>
      </c>
      <c r="J641">
        <v>0</v>
      </c>
      <c r="K641">
        <v>0</v>
      </c>
      <c r="L641">
        <v>21</v>
      </c>
      <c r="M641">
        <v>0</v>
      </c>
      <c r="N641">
        <v>0</v>
      </c>
      <c r="O641">
        <v>0</v>
      </c>
      <c r="P641">
        <v>254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5</v>
      </c>
      <c r="AC641">
        <v>5</v>
      </c>
      <c r="AD641" s="3" t="str">
        <f t="shared" si="30"/>
        <v>S2S NO PREMIUM</v>
      </c>
      <c r="AE641" s="3" t="e">
        <f>VLOOKUP(E641,'[1]Nómina Agentes'!$C:$D,2,0)</f>
        <v>#N/A</v>
      </c>
      <c r="AF641" s="5">
        <f t="shared" si="31"/>
        <v>0.75</v>
      </c>
      <c r="AG641" s="5">
        <f t="shared" si="32"/>
        <v>0.77083333333333337</v>
      </c>
    </row>
    <row r="642" spans="1:33" x14ac:dyDescent="0.25">
      <c r="A642" s="1">
        <v>45567</v>
      </c>
      <c r="B642">
        <v>924</v>
      </c>
      <c r="C642" t="s">
        <v>43</v>
      </c>
      <c r="D642" t="s">
        <v>209</v>
      </c>
      <c r="E642">
        <v>616520</v>
      </c>
      <c r="F642" s="2">
        <v>0.70833333333333337</v>
      </c>
      <c r="G642" t="s">
        <v>6</v>
      </c>
      <c r="H642" s="2">
        <v>0.72916666666666663</v>
      </c>
      <c r="I642">
        <v>1553</v>
      </c>
      <c r="J642">
        <v>0</v>
      </c>
      <c r="K642">
        <v>0</v>
      </c>
      <c r="L642">
        <v>16</v>
      </c>
      <c r="M642">
        <v>0</v>
      </c>
      <c r="N642">
        <v>0</v>
      </c>
      <c r="O642">
        <v>0</v>
      </c>
      <c r="P642">
        <v>2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4</v>
      </c>
      <c r="AC642">
        <v>3</v>
      </c>
      <c r="AD642" s="3" t="str">
        <f t="shared" si="30"/>
        <v>S2S NO PREMIUM</v>
      </c>
      <c r="AE642" s="3" t="e">
        <f>VLOOKUP(E642,'[1]Nómina Agentes'!$C:$D,2,0)</f>
        <v>#N/A</v>
      </c>
      <c r="AF642" s="5">
        <f t="shared" si="31"/>
        <v>0.70833333333333337</v>
      </c>
      <c r="AG642" s="5">
        <f t="shared" si="32"/>
        <v>0.72916666666666663</v>
      </c>
    </row>
    <row r="643" spans="1:33" x14ac:dyDescent="0.25">
      <c r="A643" s="1">
        <v>45567</v>
      </c>
      <c r="B643">
        <v>924</v>
      </c>
      <c r="C643" t="s">
        <v>43</v>
      </c>
      <c r="D643" t="s">
        <v>210</v>
      </c>
      <c r="E643">
        <v>616522</v>
      </c>
      <c r="F643" s="2">
        <v>0.60416666666666663</v>
      </c>
      <c r="G643" t="s">
        <v>6</v>
      </c>
      <c r="H643" s="2">
        <v>0.625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1</v>
      </c>
      <c r="AC643">
        <v>1</v>
      </c>
      <c r="AD643" s="3" t="str">
        <f t="shared" si="30"/>
        <v>S2S NO PREMIUM</v>
      </c>
      <c r="AE643" s="3" t="e">
        <f>VLOOKUP(E643,'[1]Nómina Agentes'!$C:$D,2,0)</f>
        <v>#N/A</v>
      </c>
      <c r="AF643" s="5">
        <f t="shared" si="31"/>
        <v>0.60416666666666663</v>
      </c>
      <c r="AG643" s="5">
        <f t="shared" si="32"/>
        <v>0.625</v>
      </c>
    </row>
    <row r="644" spans="1:33" x14ac:dyDescent="0.25">
      <c r="A644" s="1">
        <v>45567</v>
      </c>
      <c r="B644">
        <v>924</v>
      </c>
      <c r="C644" t="s">
        <v>43</v>
      </c>
      <c r="D644" t="s">
        <v>210</v>
      </c>
      <c r="E644">
        <v>616522</v>
      </c>
      <c r="F644" s="2">
        <v>0.66666666666666663</v>
      </c>
      <c r="G644" t="s">
        <v>6</v>
      </c>
      <c r="H644" s="2">
        <v>0.6875</v>
      </c>
      <c r="I644">
        <v>86</v>
      </c>
      <c r="J644">
        <v>2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95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1</v>
      </c>
      <c r="AC644">
        <v>1</v>
      </c>
      <c r="AD644" s="3" t="str">
        <f t="shared" si="30"/>
        <v>S2S NO PREMIUM</v>
      </c>
      <c r="AE644" s="3" t="e">
        <f>VLOOKUP(E644,'[1]Nómina Agentes'!$C:$D,2,0)</f>
        <v>#N/A</v>
      </c>
      <c r="AF644" s="5">
        <f t="shared" si="31"/>
        <v>0.66666666666666663</v>
      </c>
      <c r="AG644" s="5">
        <f t="shared" si="32"/>
        <v>0.6875</v>
      </c>
    </row>
    <row r="645" spans="1:33" x14ac:dyDescent="0.25">
      <c r="A645" s="1">
        <v>45567</v>
      </c>
      <c r="B645">
        <v>924</v>
      </c>
      <c r="C645" t="s">
        <v>43</v>
      </c>
      <c r="D645" t="s">
        <v>210</v>
      </c>
      <c r="E645">
        <v>616522</v>
      </c>
      <c r="F645" s="2">
        <v>0.58333333333333337</v>
      </c>
      <c r="G645" t="s">
        <v>6</v>
      </c>
      <c r="H645" s="2">
        <v>0.60416666666666663</v>
      </c>
      <c r="I645">
        <v>291</v>
      </c>
      <c r="J645">
        <v>1201</v>
      </c>
      <c r="K645">
        <v>0</v>
      </c>
      <c r="L645">
        <v>8</v>
      </c>
      <c r="M645">
        <v>0</v>
      </c>
      <c r="N645">
        <v>0</v>
      </c>
      <c r="O645">
        <v>0</v>
      </c>
      <c r="P645">
        <v>520</v>
      </c>
      <c r="Q645">
        <v>1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2</v>
      </c>
      <c r="AC645">
        <v>1</v>
      </c>
      <c r="AD645" s="3" t="str">
        <f t="shared" si="30"/>
        <v>S2S NO PREMIUM</v>
      </c>
      <c r="AE645" s="3" t="e">
        <f>VLOOKUP(E645,'[1]Nómina Agentes'!$C:$D,2,0)</f>
        <v>#N/A</v>
      </c>
      <c r="AF645" s="5">
        <f t="shared" si="31"/>
        <v>0.58333333333333337</v>
      </c>
      <c r="AG645" s="5">
        <f t="shared" si="32"/>
        <v>0.60416666666666663</v>
      </c>
    </row>
    <row r="646" spans="1:33" x14ac:dyDescent="0.25">
      <c r="A646" s="1">
        <v>45567</v>
      </c>
      <c r="B646">
        <v>924</v>
      </c>
      <c r="C646" t="s">
        <v>43</v>
      </c>
      <c r="D646" t="s">
        <v>210</v>
      </c>
      <c r="E646">
        <v>616522</v>
      </c>
      <c r="F646" s="2">
        <v>0.625</v>
      </c>
      <c r="G646" t="s">
        <v>6</v>
      </c>
      <c r="H646" s="2">
        <v>0.64583333333333337</v>
      </c>
      <c r="I646">
        <v>565</v>
      </c>
      <c r="J646">
        <v>0</v>
      </c>
      <c r="K646">
        <v>0</v>
      </c>
      <c r="L646">
        <v>8</v>
      </c>
      <c r="M646">
        <v>0</v>
      </c>
      <c r="N646">
        <v>0</v>
      </c>
      <c r="O646">
        <v>0</v>
      </c>
      <c r="P646">
        <v>1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1</v>
      </c>
      <c r="AC646">
        <v>1</v>
      </c>
      <c r="AD646" s="3" t="str">
        <f t="shared" si="30"/>
        <v>S2S NO PREMIUM</v>
      </c>
      <c r="AE646" s="3" t="e">
        <f>VLOOKUP(E646,'[1]Nómina Agentes'!$C:$D,2,0)</f>
        <v>#N/A</v>
      </c>
      <c r="AF646" s="5">
        <f t="shared" si="31"/>
        <v>0.625</v>
      </c>
      <c r="AG646" s="5">
        <f t="shared" si="32"/>
        <v>0.64583333333333337</v>
      </c>
    </row>
    <row r="647" spans="1:33" x14ac:dyDescent="0.25">
      <c r="A647" s="1">
        <v>45567</v>
      </c>
      <c r="B647">
        <v>924</v>
      </c>
      <c r="C647" t="s">
        <v>43</v>
      </c>
      <c r="D647" t="s">
        <v>210</v>
      </c>
      <c r="E647">
        <v>616522</v>
      </c>
      <c r="F647" s="2">
        <v>0.64583333333333337</v>
      </c>
      <c r="G647" t="s">
        <v>6</v>
      </c>
      <c r="H647" s="2">
        <v>0.66666666666666663</v>
      </c>
      <c r="I647">
        <v>849</v>
      </c>
      <c r="J647">
        <v>0</v>
      </c>
      <c r="K647">
        <v>0</v>
      </c>
      <c r="L647">
        <v>16</v>
      </c>
      <c r="M647">
        <v>0</v>
      </c>
      <c r="N647">
        <v>0</v>
      </c>
      <c r="O647">
        <v>0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4</v>
      </c>
      <c r="AC647">
        <v>3</v>
      </c>
      <c r="AD647" s="3" t="str">
        <f t="shared" si="30"/>
        <v>S2S NO PREMIUM</v>
      </c>
      <c r="AE647" s="3" t="e">
        <f>VLOOKUP(E647,'[1]Nómina Agentes'!$C:$D,2,0)</f>
        <v>#N/A</v>
      </c>
      <c r="AF647" s="5">
        <f t="shared" si="31"/>
        <v>0.64583333333333337</v>
      </c>
      <c r="AG647" s="5">
        <f t="shared" si="32"/>
        <v>0.66666666666666663</v>
      </c>
    </row>
    <row r="648" spans="1:33" x14ac:dyDescent="0.25">
      <c r="A648" s="1">
        <v>45567</v>
      </c>
      <c r="B648">
        <v>925</v>
      </c>
      <c r="C648" t="s">
        <v>42</v>
      </c>
      <c r="D648" t="s">
        <v>211</v>
      </c>
      <c r="E648">
        <v>616528</v>
      </c>
      <c r="F648" s="2">
        <v>0.75</v>
      </c>
      <c r="G648" t="s">
        <v>6</v>
      </c>
      <c r="H648" s="2">
        <v>0.77083333333333337</v>
      </c>
      <c r="I648">
        <v>95</v>
      </c>
      <c r="J648">
        <v>3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59</v>
      </c>
      <c r="Q648">
        <v>1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1</v>
      </c>
      <c r="AC648">
        <v>1</v>
      </c>
      <c r="AD648" s="3" t="str">
        <f t="shared" si="30"/>
        <v>S2S PREMIUM</v>
      </c>
      <c r="AE648" s="3" t="e">
        <f>VLOOKUP(E648,'[1]Nómina Agentes'!$C:$D,2,0)</f>
        <v>#N/A</v>
      </c>
      <c r="AF648" s="5">
        <f t="shared" si="31"/>
        <v>0.75</v>
      </c>
      <c r="AG648" s="5">
        <f t="shared" si="32"/>
        <v>0.77083333333333337</v>
      </c>
    </row>
    <row r="649" spans="1:33" x14ac:dyDescent="0.25">
      <c r="A649" s="1">
        <v>45567</v>
      </c>
      <c r="B649">
        <v>925</v>
      </c>
      <c r="C649" t="s">
        <v>42</v>
      </c>
      <c r="D649" t="s">
        <v>211</v>
      </c>
      <c r="E649">
        <v>616528</v>
      </c>
      <c r="F649" s="2">
        <v>0.625</v>
      </c>
      <c r="G649" t="s">
        <v>6</v>
      </c>
      <c r="H649" s="2">
        <v>0.64583333333333337</v>
      </c>
      <c r="I649">
        <v>226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1</v>
      </c>
      <c r="AC649">
        <v>1</v>
      </c>
      <c r="AD649" s="3" t="str">
        <f t="shared" si="30"/>
        <v>S2S PREMIUM</v>
      </c>
      <c r="AE649" s="3" t="e">
        <f>VLOOKUP(E649,'[1]Nómina Agentes'!$C:$D,2,0)</f>
        <v>#N/A</v>
      </c>
      <c r="AF649" s="5">
        <f t="shared" si="31"/>
        <v>0.625</v>
      </c>
      <c r="AG649" s="5">
        <f t="shared" si="32"/>
        <v>0.64583333333333337</v>
      </c>
    </row>
    <row r="650" spans="1:33" x14ac:dyDescent="0.25">
      <c r="A650" s="1">
        <v>45567</v>
      </c>
      <c r="B650">
        <v>925</v>
      </c>
      <c r="C650" t="s">
        <v>42</v>
      </c>
      <c r="D650" t="s">
        <v>211</v>
      </c>
      <c r="E650">
        <v>616528</v>
      </c>
      <c r="F650" s="2">
        <v>0.6875</v>
      </c>
      <c r="G650" t="s">
        <v>6</v>
      </c>
      <c r="H650" s="2">
        <v>0.70833333333333337</v>
      </c>
      <c r="I650">
        <v>581</v>
      </c>
      <c r="J650">
        <v>0</v>
      </c>
      <c r="K650">
        <v>0</v>
      </c>
      <c r="L650">
        <v>13</v>
      </c>
      <c r="M650">
        <v>0</v>
      </c>
      <c r="N650">
        <v>0</v>
      </c>
      <c r="O650">
        <v>0</v>
      </c>
      <c r="P650">
        <v>161</v>
      </c>
      <c r="Q650">
        <v>149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2</v>
      </c>
      <c r="AC650">
        <v>2</v>
      </c>
      <c r="AD650" s="3" t="str">
        <f t="shared" si="30"/>
        <v>S2S PREMIUM</v>
      </c>
      <c r="AE650" s="3" t="e">
        <f>VLOOKUP(E650,'[1]Nómina Agentes'!$C:$D,2,0)</f>
        <v>#N/A</v>
      </c>
      <c r="AF650" s="5">
        <f t="shared" si="31"/>
        <v>0.6875</v>
      </c>
      <c r="AG650" s="5">
        <f t="shared" si="32"/>
        <v>0.70833333333333337</v>
      </c>
    </row>
    <row r="651" spans="1:33" x14ac:dyDescent="0.25">
      <c r="A651" s="1">
        <v>45567</v>
      </c>
      <c r="B651">
        <v>925</v>
      </c>
      <c r="C651" t="s">
        <v>42</v>
      </c>
      <c r="D651" t="s">
        <v>211</v>
      </c>
      <c r="E651">
        <v>616528</v>
      </c>
      <c r="F651" s="2">
        <v>0.70833333333333337</v>
      </c>
      <c r="G651" t="s">
        <v>6</v>
      </c>
      <c r="H651" s="2">
        <v>0.72916666666666663</v>
      </c>
      <c r="I651">
        <v>672</v>
      </c>
      <c r="J651">
        <v>0</v>
      </c>
      <c r="K651">
        <v>0</v>
      </c>
      <c r="L651">
        <v>12</v>
      </c>
      <c r="M651">
        <v>0</v>
      </c>
      <c r="N651">
        <v>0</v>
      </c>
      <c r="O651">
        <v>0</v>
      </c>
      <c r="P651">
        <v>876</v>
      </c>
      <c r="Q651">
        <v>586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3</v>
      </c>
      <c r="AC651">
        <v>1</v>
      </c>
      <c r="AD651" s="3" t="str">
        <f t="shared" si="30"/>
        <v>S2S PREMIUM</v>
      </c>
      <c r="AE651" s="3" t="e">
        <f>VLOOKUP(E651,'[1]Nómina Agentes'!$C:$D,2,0)</f>
        <v>#N/A</v>
      </c>
      <c r="AF651" s="5">
        <f t="shared" si="31"/>
        <v>0.70833333333333337</v>
      </c>
      <c r="AG651" s="5">
        <f t="shared" si="32"/>
        <v>0.72916666666666663</v>
      </c>
    </row>
    <row r="652" spans="1:33" x14ac:dyDescent="0.25">
      <c r="A652" s="1">
        <v>45567</v>
      </c>
      <c r="B652">
        <v>925</v>
      </c>
      <c r="C652" t="s">
        <v>42</v>
      </c>
      <c r="D652" t="s">
        <v>211</v>
      </c>
      <c r="E652">
        <v>616528</v>
      </c>
      <c r="F652" s="2">
        <v>0.64583333333333337</v>
      </c>
      <c r="G652" t="s">
        <v>6</v>
      </c>
      <c r="H652" s="2">
        <v>0.66666666666666663</v>
      </c>
      <c r="I652">
        <v>685</v>
      </c>
      <c r="J652">
        <v>0</v>
      </c>
      <c r="K652">
        <v>0</v>
      </c>
      <c r="L652">
        <v>13</v>
      </c>
      <c r="M652">
        <v>0</v>
      </c>
      <c r="N652">
        <v>0</v>
      </c>
      <c r="O652">
        <v>0</v>
      </c>
      <c r="P652">
        <v>112</v>
      </c>
      <c r="Q652">
        <v>99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2</v>
      </c>
      <c r="AC652">
        <v>2</v>
      </c>
      <c r="AD652" s="3" t="str">
        <f t="shared" si="30"/>
        <v>S2S PREMIUM</v>
      </c>
      <c r="AE652" s="3" t="e">
        <f>VLOOKUP(E652,'[1]Nómina Agentes'!$C:$D,2,0)</f>
        <v>#N/A</v>
      </c>
      <c r="AF652" s="5">
        <f t="shared" si="31"/>
        <v>0.64583333333333337</v>
      </c>
      <c r="AG652" s="5">
        <f t="shared" si="32"/>
        <v>0.66666666666666663</v>
      </c>
    </row>
    <row r="653" spans="1:33" x14ac:dyDescent="0.25">
      <c r="A653" s="1">
        <v>45567</v>
      </c>
      <c r="B653">
        <v>925</v>
      </c>
      <c r="C653" t="s">
        <v>42</v>
      </c>
      <c r="D653" t="s">
        <v>211</v>
      </c>
      <c r="E653">
        <v>616528</v>
      </c>
      <c r="F653" s="2">
        <v>0.60416666666666663</v>
      </c>
      <c r="G653" t="s">
        <v>6</v>
      </c>
      <c r="H653" s="2">
        <v>0.625</v>
      </c>
      <c r="I653">
        <v>726</v>
      </c>
      <c r="J653">
        <v>0</v>
      </c>
      <c r="K653">
        <v>0</v>
      </c>
      <c r="L653">
        <v>12</v>
      </c>
      <c r="M653">
        <v>0</v>
      </c>
      <c r="N653">
        <v>0</v>
      </c>
      <c r="O653">
        <v>0</v>
      </c>
      <c r="P653">
        <v>223</v>
      </c>
      <c r="Q653">
        <v>74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3</v>
      </c>
      <c r="AC653">
        <v>3</v>
      </c>
      <c r="AD653" s="3" t="str">
        <f t="shared" si="30"/>
        <v>S2S PREMIUM</v>
      </c>
      <c r="AE653" s="3" t="e">
        <f>VLOOKUP(E653,'[1]Nómina Agentes'!$C:$D,2,0)</f>
        <v>#N/A</v>
      </c>
      <c r="AF653" s="5">
        <f t="shared" si="31"/>
        <v>0.60416666666666663</v>
      </c>
      <c r="AG653" s="5">
        <f t="shared" si="32"/>
        <v>0.625</v>
      </c>
    </row>
    <row r="654" spans="1:33" x14ac:dyDescent="0.25">
      <c r="A654" s="1">
        <v>45567</v>
      </c>
      <c r="B654">
        <v>925</v>
      </c>
      <c r="C654" t="s">
        <v>42</v>
      </c>
      <c r="D654" t="s">
        <v>211</v>
      </c>
      <c r="E654">
        <v>616528</v>
      </c>
      <c r="F654" s="2">
        <v>0.66666666666666663</v>
      </c>
      <c r="G654" t="s">
        <v>6</v>
      </c>
      <c r="H654" s="2">
        <v>0.6875</v>
      </c>
      <c r="I654">
        <v>953</v>
      </c>
      <c r="J654">
        <v>0</v>
      </c>
      <c r="K654">
        <v>0</v>
      </c>
      <c r="L654">
        <v>12</v>
      </c>
      <c r="M654">
        <v>0</v>
      </c>
      <c r="N654">
        <v>0</v>
      </c>
      <c r="O654">
        <v>0</v>
      </c>
      <c r="P654">
        <v>34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4</v>
      </c>
      <c r="AC654">
        <v>4</v>
      </c>
      <c r="AD654" s="3" t="str">
        <f t="shared" si="30"/>
        <v>S2S PREMIUM</v>
      </c>
      <c r="AE654" s="3" t="e">
        <f>VLOOKUP(E654,'[1]Nómina Agentes'!$C:$D,2,0)</f>
        <v>#N/A</v>
      </c>
      <c r="AF654" s="5">
        <f t="shared" si="31"/>
        <v>0.66666666666666663</v>
      </c>
      <c r="AG654" s="5">
        <f t="shared" si="32"/>
        <v>0.6875</v>
      </c>
    </row>
    <row r="655" spans="1:33" x14ac:dyDescent="0.25">
      <c r="A655" s="1">
        <v>45567</v>
      </c>
      <c r="B655">
        <v>925</v>
      </c>
      <c r="C655" t="s">
        <v>42</v>
      </c>
      <c r="D655" t="s">
        <v>211</v>
      </c>
      <c r="E655">
        <v>616528</v>
      </c>
      <c r="F655" s="2">
        <v>0.58333333333333337</v>
      </c>
      <c r="G655" t="s">
        <v>6</v>
      </c>
      <c r="H655" s="2">
        <v>0.60416666666666663</v>
      </c>
      <c r="I655">
        <v>1095</v>
      </c>
      <c r="J655">
        <v>0</v>
      </c>
      <c r="K655">
        <v>0</v>
      </c>
      <c r="L655">
        <v>12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3</v>
      </c>
      <c r="AC655">
        <v>3</v>
      </c>
      <c r="AD655" s="3" t="str">
        <f t="shared" si="30"/>
        <v>S2S PREMIUM</v>
      </c>
      <c r="AE655" s="3" t="e">
        <f>VLOOKUP(E655,'[1]Nómina Agentes'!$C:$D,2,0)</f>
        <v>#N/A</v>
      </c>
      <c r="AF655" s="5">
        <f t="shared" si="31"/>
        <v>0.58333333333333337</v>
      </c>
      <c r="AG655" s="5">
        <f t="shared" si="32"/>
        <v>0.60416666666666663</v>
      </c>
    </row>
    <row r="656" spans="1:33" x14ac:dyDescent="0.25">
      <c r="A656" s="1">
        <v>45567</v>
      </c>
      <c r="B656">
        <v>925</v>
      </c>
      <c r="C656" t="s">
        <v>42</v>
      </c>
      <c r="D656" t="s">
        <v>211</v>
      </c>
      <c r="E656">
        <v>616528</v>
      </c>
      <c r="F656" s="2">
        <v>0.72916666666666663</v>
      </c>
      <c r="G656" t="s">
        <v>6</v>
      </c>
      <c r="H656" s="2">
        <v>0.75</v>
      </c>
      <c r="I656">
        <v>1125</v>
      </c>
      <c r="J656">
        <v>0</v>
      </c>
      <c r="K656">
        <v>0</v>
      </c>
      <c r="L656">
        <v>16</v>
      </c>
      <c r="M656">
        <v>0</v>
      </c>
      <c r="N656">
        <v>0</v>
      </c>
      <c r="O656">
        <v>0</v>
      </c>
      <c r="P656">
        <v>1</v>
      </c>
      <c r="Q656">
        <v>1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4</v>
      </c>
      <c r="AC656">
        <v>4</v>
      </c>
      <c r="AD656" s="3" t="str">
        <f t="shared" si="30"/>
        <v>S2S PREMIUM</v>
      </c>
      <c r="AE656" s="3" t="e">
        <f>VLOOKUP(E656,'[1]Nómina Agentes'!$C:$D,2,0)</f>
        <v>#N/A</v>
      </c>
      <c r="AF656" s="5">
        <f t="shared" si="31"/>
        <v>0.72916666666666663</v>
      </c>
      <c r="AG656" s="5">
        <f t="shared" si="32"/>
        <v>0.75</v>
      </c>
    </row>
    <row r="657" spans="1:33" x14ac:dyDescent="0.25">
      <c r="A657" s="1">
        <v>45567</v>
      </c>
      <c r="B657">
        <v>924</v>
      </c>
      <c r="C657" t="s">
        <v>43</v>
      </c>
      <c r="D657" t="s">
        <v>212</v>
      </c>
      <c r="E657">
        <v>616530</v>
      </c>
      <c r="F657" s="2">
        <v>0.79166666666666663</v>
      </c>
      <c r="G657" t="s">
        <v>6</v>
      </c>
      <c r="H657" s="2">
        <v>0.8125</v>
      </c>
      <c r="I657">
        <v>0</v>
      </c>
      <c r="J657">
        <v>23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1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1</v>
      </c>
      <c r="AC657">
        <v>1</v>
      </c>
      <c r="AD657" s="3" t="str">
        <f t="shared" si="30"/>
        <v>S2S NO PREMIUM</v>
      </c>
      <c r="AE657" s="3" t="e">
        <f>VLOOKUP(E657,'[1]Nómina Agentes'!$C:$D,2,0)</f>
        <v>#N/A</v>
      </c>
      <c r="AF657" s="5">
        <f t="shared" si="31"/>
        <v>0.79166666666666663</v>
      </c>
      <c r="AG657" s="5">
        <f t="shared" si="32"/>
        <v>0.8125</v>
      </c>
    </row>
    <row r="658" spans="1:33" x14ac:dyDescent="0.25">
      <c r="A658" s="1">
        <v>45567</v>
      </c>
      <c r="B658">
        <v>924</v>
      </c>
      <c r="C658" t="s">
        <v>43</v>
      </c>
      <c r="D658" t="s">
        <v>212</v>
      </c>
      <c r="E658">
        <v>616530</v>
      </c>
      <c r="F658" s="2">
        <v>0.70833333333333337</v>
      </c>
      <c r="G658" t="s">
        <v>6</v>
      </c>
      <c r="H658" s="2">
        <v>0.72916666666666663</v>
      </c>
      <c r="I658">
        <v>277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84</v>
      </c>
      <c r="Q658">
        <v>1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1</v>
      </c>
      <c r="AC658">
        <v>1</v>
      </c>
      <c r="AD658" s="3" t="str">
        <f t="shared" si="30"/>
        <v>S2S NO PREMIUM</v>
      </c>
      <c r="AE658" s="3" t="e">
        <f>VLOOKUP(E658,'[1]Nómina Agentes'!$C:$D,2,0)</f>
        <v>#N/A</v>
      </c>
      <c r="AF658" s="5">
        <f t="shared" si="31"/>
        <v>0.70833333333333337</v>
      </c>
      <c r="AG658" s="5">
        <f t="shared" si="32"/>
        <v>0.72916666666666663</v>
      </c>
    </row>
    <row r="659" spans="1:33" x14ac:dyDescent="0.25">
      <c r="A659" s="1">
        <v>45567</v>
      </c>
      <c r="B659">
        <v>924</v>
      </c>
      <c r="C659" t="s">
        <v>43</v>
      </c>
      <c r="D659" t="s">
        <v>212</v>
      </c>
      <c r="E659">
        <v>616530</v>
      </c>
      <c r="F659" s="2">
        <v>0.72916666666666663</v>
      </c>
      <c r="G659" t="s">
        <v>6</v>
      </c>
      <c r="H659" s="2">
        <v>0.75</v>
      </c>
      <c r="I659">
        <v>283</v>
      </c>
      <c r="J659">
        <v>0</v>
      </c>
      <c r="K659">
        <v>0</v>
      </c>
      <c r="L659">
        <v>16</v>
      </c>
      <c r="M659">
        <v>0</v>
      </c>
      <c r="N659">
        <v>0</v>
      </c>
      <c r="O659">
        <v>0</v>
      </c>
      <c r="P659">
        <v>1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3</v>
      </c>
      <c r="AC659">
        <v>2</v>
      </c>
      <c r="AD659" s="3" t="str">
        <f t="shared" si="30"/>
        <v>S2S NO PREMIUM</v>
      </c>
      <c r="AE659" s="3" t="e">
        <f>VLOOKUP(E659,'[1]Nómina Agentes'!$C:$D,2,0)</f>
        <v>#N/A</v>
      </c>
      <c r="AF659" s="5">
        <f t="shared" si="31"/>
        <v>0.72916666666666663</v>
      </c>
      <c r="AG659" s="5">
        <f t="shared" si="32"/>
        <v>0.75</v>
      </c>
    </row>
    <row r="660" spans="1:33" x14ac:dyDescent="0.25">
      <c r="A660" s="1">
        <v>45567</v>
      </c>
      <c r="B660">
        <v>924</v>
      </c>
      <c r="C660" t="s">
        <v>43</v>
      </c>
      <c r="D660" t="s">
        <v>212</v>
      </c>
      <c r="E660">
        <v>616530</v>
      </c>
      <c r="F660" s="2">
        <v>0.60416666666666663</v>
      </c>
      <c r="G660" t="s">
        <v>6</v>
      </c>
      <c r="H660" s="2">
        <v>0.625</v>
      </c>
      <c r="I660">
        <v>479</v>
      </c>
      <c r="J660">
        <v>0</v>
      </c>
      <c r="K660">
        <v>0</v>
      </c>
      <c r="L660">
        <v>19</v>
      </c>
      <c r="M660">
        <v>0</v>
      </c>
      <c r="N660">
        <v>0</v>
      </c>
      <c r="O660">
        <v>0</v>
      </c>
      <c r="P660">
        <v>70</v>
      </c>
      <c r="Q660">
        <v>1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4</v>
      </c>
      <c r="AC660">
        <v>3</v>
      </c>
      <c r="AD660" s="3" t="str">
        <f t="shared" si="30"/>
        <v>S2S NO PREMIUM</v>
      </c>
      <c r="AE660" s="3" t="e">
        <f>VLOOKUP(E660,'[1]Nómina Agentes'!$C:$D,2,0)</f>
        <v>#N/A</v>
      </c>
      <c r="AF660" s="5">
        <f t="shared" si="31"/>
        <v>0.60416666666666663</v>
      </c>
      <c r="AG660" s="5">
        <f t="shared" si="32"/>
        <v>0.625</v>
      </c>
    </row>
    <row r="661" spans="1:33" x14ac:dyDescent="0.25">
      <c r="A661" s="1">
        <v>45567</v>
      </c>
      <c r="B661">
        <v>924</v>
      </c>
      <c r="C661" t="s">
        <v>43</v>
      </c>
      <c r="D661" t="s">
        <v>212</v>
      </c>
      <c r="E661">
        <v>616530</v>
      </c>
      <c r="F661" s="2">
        <v>0.58333333333333337</v>
      </c>
      <c r="G661" t="s">
        <v>6</v>
      </c>
      <c r="H661" s="2">
        <v>0.60416666666666663</v>
      </c>
      <c r="I661">
        <v>570</v>
      </c>
      <c r="J661">
        <v>0</v>
      </c>
      <c r="K661">
        <v>0</v>
      </c>
      <c r="L661">
        <v>16</v>
      </c>
      <c r="M661">
        <v>0</v>
      </c>
      <c r="N661">
        <v>0</v>
      </c>
      <c r="O661">
        <v>0</v>
      </c>
      <c r="P661">
        <v>88</v>
      </c>
      <c r="Q661">
        <v>1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4</v>
      </c>
      <c r="AC661">
        <v>4</v>
      </c>
      <c r="AD661" s="3" t="str">
        <f t="shared" si="30"/>
        <v>S2S NO PREMIUM</v>
      </c>
      <c r="AE661" s="3" t="e">
        <f>VLOOKUP(E661,'[1]Nómina Agentes'!$C:$D,2,0)</f>
        <v>#N/A</v>
      </c>
      <c r="AF661" s="5">
        <f t="shared" si="31"/>
        <v>0.58333333333333337</v>
      </c>
      <c r="AG661" s="5">
        <f t="shared" si="32"/>
        <v>0.60416666666666663</v>
      </c>
    </row>
    <row r="662" spans="1:33" x14ac:dyDescent="0.25">
      <c r="A662" s="1">
        <v>45567</v>
      </c>
      <c r="B662">
        <v>924</v>
      </c>
      <c r="C662" t="s">
        <v>43</v>
      </c>
      <c r="D662" t="s">
        <v>212</v>
      </c>
      <c r="E662">
        <v>616530</v>
      </c>
      <c r="F662" s="2">
        <v>0.625</v>
      </c>
      <c r="G662" t="s">
        <v>6</v>
      </c>
      <c r="H662" s="2">
        <v>0.64583333333333337</v>
      </c>
      <c r="I662">
        <v>675</v>
      </c>
      <c r="J662">
        <v>82</v>
      </c>
      <c r="K662">
        <v>0</v>
      </c>
      <c r="L662">
        <v>16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</v>
      </c>
      <c r="AC662">
        <v>3</v>
      </c>
      <c r="AD662" s="3" t="str">
        <f t="shared" si="30"/>
        <v>S2S NO PREMIUM</v>
      </c>
      <c r="AE662" s="3" t="e">
        <f>VLOOKUP(E662,'[1]Nómina Agentes'!$C:$D,2,0)</f>
        <v>#N/A</v>
      </c>
      <c r="AF662" s="5">
        <f t="shared" si="31"/>
        <v>0.625</v>
      </c>
      <c r="AG662" s="5">
        <f t="shared" si="32"/>
        <v>0.64583333333333337</v>
      </c>
    </row>
    <row r="663" spans="1:33" x14ac:dyDescent="0.25">
      <c r="A663" s="1">
        <v>45567</v>
      </c>
      <c r="B663">
        <v>924</v>
      </c>
      <c r="C663" t="s">
        <v>43</v>
      </c>
      <c r="D663" t="s">
        <v>212</v>
      </c>
      <c r="E663">
        <v>616530</v>
      </c>
      <c r="F663" s="2">
        <v>0.77083333333333337</v>
      </c>
      <c r="G663" t="s">
        <v>6</v>
      </c>
      <c r="H663" s="2">
        <v>0.79166666666666663</v>
      </c>
      <c r="I663">
        <v>687</v>
      </c>
      <c r="J663">
        <v>28</v>
      </c>
      <c r="K663">
        <v>0</v>
      </c>
      <c r="L663">
        <v>18</v>
      </c>
      <c r="M663">
        <v>0</v>
      </c>
      <c r="N663">
        <v>0</v>
      </c>
      <c r="O663">
        <v>0</v>
      </c>
      <c r="P663">
        <v>350</v>
      </c>
      <c r="Q663">
        <v>1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4</v>
      </c>
      <c r="AC663">
        <v>4</v>
      </c>
      <c r="AD663" s="3" t="str">
        <f t="shared" si="30"/>
        <v>S2S NO PREMIUM</v>
      </c>
      <c r="AE663" s="3" t="e">
        <f>VLOOKUP(E663,'[1]Nómina Agentes'!$C:$D,2,0)</f>
        <v>#N/A</v>
      </c>
      <c r="AF663" s="5">
        <f t="shared" si="31"/>
        <v>0.77083333333333337</v>
      </c>
      <c r="AG663" s="5">
        <f t="shared" si="32"/>
        <v>0.79166666666666663</v>
      </c>
    </row>
    <row r="664" spans="1:33" x14ac:dyDescent="0.25">
      <c r="A664" s="1">
        <v>45567</v>
      </c>
      <c r="B664">
        <v>924</v>
      </c>
      <c r="C664" t="s">
        <v>43</v>
      </c>
      <c r="D664" t="s">
        <v>212</v>
      </c>
      <c r="E664">
        <v>616530</v>
      </c>
      <c r="F664" s="2">
        <v>0.75</v>
      </c>
      <c r="G664" t="s">
        <v>6</v>
      </c>
      <c r="H664" s="2">
        <v>0.77083333333333337</v>
      </c>
      <c r="I664">
        <v>825</v>
      </c>
      <c r="J664">
        <v>166</v>
      </c>
      <c r="K664">
        <v>0</v>
      </c>
      <c r="L664">
        <v>16</v>
      </c>
      <c r="M664">
        <v>0</v>
      </c>
      <c r="N664">
        <v>0</v>
      </c>
      <c r="O664">
        <v>0</v>
      </c>
      <c r="P664">
        <v>392</v>
      </c>
      <c r="Q664">
        <v>1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4</v>
      </c>
      <c r="AC664">
        <v>3</v>
      </c>
      <c r="AD664" s="3" t="str">
        <f t="shared" si="30"/>
        <v>S2S NO PREMIUM</v>
      </c>
      <c r="AE664" s="3" t="e">
        <f>VLOOKUP(E664,'[1]Nómina Agentes'!$C:$D,2,0)</f>
        <v>#N/A</v>
      </c>
      <c r="AF664" s="5">
        <f t="shared" si="31"/>
        <v>0.75</v>
      </c>
      <c r="AG664" s="5">
        <f t="shared" si="32"/>
        <v>0.77083333333333337</v>
      </c>
    </row>
    <row r="665" spans="1:33" x14ac:dyDescent="0.25">
      <c r="A665" s="1">
        <v>45567</v>
      </c>
      <c r="B665">
        <v>924</v>
      </c>
      <c r="C665" t="s">
        <v>43</v>
      </c>
      <c r="D665" t="s">
        <v>212</v>
      </c>
      <c r="E665">
        <v>616530</v>
      </c>
      <c r="F665" s="2">
        <v>0.64583333333333337</v>
      </c>
      <c r="G665" t="s">
        <v>6</v>
      </c>
      <c r="H665" s="2">
        <v>0.66666666666666663</v>
      </c>
      <c r="I665">
        <v>828</v>
      </c>
      <c r="J665">
        <v>0</v>
      </c>
      <c r="K665">
        <v>0</v>
      </c>
      <c r="L665">
        <v>22</v>
      </c>
      <c r="M665">
        <v>0</v>
      </c>
      <c r="N665">
        <v>0</v>
      </c>
      <c r="O665">
        <v>0</v>
      </c>
      <c r="P665">
        <v>169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4</v>
      </c>
      <c r="AC665">
        <v>4</v>
      </c>
      <c r="AD665" s="3" t="str">
        <f t="shared" si="30"/>
        <v>S2S NO PREMIUM</v>
      </c>
      <c r="AE665" s="3" t="e">
        <f>VLOOKUP(E665,'[1]Nómina Agentes'!$C:$D,2,0)</f>
        <v>#N/A</v>
      </c>
      <c r="AF665" s="5">
        <f t="shared" si="31"/>
        <v>0.64583333333333337</v>
      </c>
      <c r="AG665" s="5">
        <f t="shared" si="32"/>
        <v>0.66666666666666663</v>
      </c>
    </row>
    <row r="666" spans="1:33" x14ac:dyDescent="0.25">
      <c r="A666" s="1">
        <v>45567</v>
      </c>
      <c r="B666">
        <v>924</v>
      </c>
      <c r="C666" t="s">
        <v>43</v>
      </c>
      <c r="D666" t="s">
        <v>212</v>
      </c>
      <c r="E666">
        <v>616530</v>
      </c>
      <c r="F666" s="2">
        <v>0.66666666666666663</v>
      </c>
      <c r="G666" t="s">
        <v>6</v>
      </c>
      <c r="H666" s="2">
        <v>0.6875</v>
      </c>
      <c r="I666">
        <v>976</v>
      </c>
      <c r="J666">
        <v>0</v>
      </c>
      <c r="K666">
        <v>0</v>
      </c>
      <c r="L666">
        <v>17</v>
      </c>
      <c r="M666">
        <v>0</v>
      </c>
      <c r="N666">
        <v>0</v>
      </c>
      <c r="O666">
        <v>0</v>
      </c>
      <c r="P666">
        <v>445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5</v>
      </c>
      <c r="AC666">
        <v>4</v>
      </c>
      <c r="AD666" s="3" t="str">
        <f t="shared" si="30"/>
        <v>S2S NO PREMIUM</v>
      </c>
      <c r="AE666" s="3" t="e">
        <f>VLOOKUP(E666,'[1]Nómina Agentes'!$C:$D,2,0)</f>
        <v>#N/A</v>
      </c>
      <c r="AF666" s="5">
        <f t="shared" si="31"/>
        <v>0.66666666666666663</v>
      </c>
      <c r="AG666" s="5">
        <f t="shared" si="32"/>
        <v>0.6875</v>
      </c>
    </row>
    <row r="667" spans="1:33" x14ac:dyDescent="0.25">
      <c r="A667" s="1">
        <v>45567</v>
      </c>
      <c r="B667">
        <v>924</v>
      </c>
      <c r="C667" t="s">
        <v>43</v>
      </c>
      <c r="D667" t="s">
        <v>212</v>
      </c>
      <c r="E667">
        <v>616530</v>
      </c>
      <c r="F667" s="2">
        <v>0.6875</v>
      </c>
      <c r="G667" t="s">
        <v>6</v>
      </c>
      <c r="H667" s="2">
        <v>0.70833333333333337</v>
      </c>
      <c r="I667">
        <v>1045</v>
      </c>
      <c r="J667">
        <v>0</v>
      </c>
      <c r="K667">
        <v>0</v>
      </c>
      <c r="L667">
        <v>25</v>
      </c>
      <c r="M667">
        <v>0</v>
      </c>
      <c r="N667">
        <v>0</v>
      </c>
      <c r="O667">
        <v>0</v>
      </c>
      <c r="P667">
        <v>233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5</v>
      </c>
      <c r="AC667">
        <v>5</v>
      </c>
      <c r="AD667" s="3" t="str">
        <f t="shared" si="30"/>
        <v>S2S NO PREMIUM</v>
      </c>
      <c r="AE667" s="3" t="e">
        <f>VLOOKUP(E667,'[1]Nómina Agentes'!$C:$D,2,0)</f>
        <v>#N/A</v>
      </c>
      <c r="AF667" s="5">
        <f t="shared" si="31"/>
        <v>0.6875</v>
      </c>
      <c r="AG667" s="5">
        <f t="shared" si="32"/>
        <v>0.70833333333333337</v>
      </c>
    </row>
    <row r="668" spans="1:33" x14ac:dyDescent="0.25">
      <c r="A668" s="1">
        <v>45567</v>
      </c>
      <c r="B668">
        <v>924</v>
      </c>
      <c r="C668" t="s">
        <v>43</v>
      </c>
      <c r="D668" t="s">
        <v>213</v>
      </c>
      <c r="E668">
        <v>616590</v>
      </c>
      <c r="F668" s="2">
        <v>0.77083333333333337</v>
      </c>
      <c r="G668" t="s">
        <v>6</v>
      </c>
      <c r="H668" s="2">
        <v>0.79166666666666663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 s="3" t="str">
        <f t="shared" si="30"/>
        <v>S2S NO PREMIUM</v>
      </c>
      <c r="AE668" s="3" t="e">
        <f>VLOOKUP(E668,'[1]Nómina Agentes'!$C:$D,2,0)</f>
        <v>#N/A</v>
      </c>
      <c r="AF668" s="5">
        <f t="shared" si="31"/>
        <v>0.77083333333333337</v>
      </c>
      <c r="AG668" s="5">
        <f t="shared" si="32"/>
        <v>0.79166666666666663</v>
      </c>
    </row>
    <row r="669" spans="1:33" x14ac:dyDescent="0.25">
      <c r="A669" s="1">
        <v>45567</v>
      </c>
      <c r="B669">
        <v>924</v>
      </c>
      <c r="C669" t="s">
        <v>43</v>
      </c>
      <c r="D669" t="s">
        <v>213</v>
      </c>
      <c r="E669">
        <v>616590</v>
      </c>
      <c r="F669" s="2">
        <v>0.79166666666666663</v>
      </c>
      <c r="G669" t="s">
        <v>6</v>
      </c>
      <c r="H669" s="2">
        <v>0.8125</v>
      </c>
      <c r="I669">
        <v>626</v>
      </c>
      <c r="J669">
        <v>161</v>
      </c>
      <c r="K669">
        <v>0</v>
      </c>
      <c r="L669">
        <v>11</v>
      </c>
      <c r="M669">
        <v>0</v>
      </c>
      <c r="N669">
        <v>0</v>
      </c>
      <c r="O669">
        <v>0</v>
      </c>
      <c r="P669">
        <v>395</v>
      </c>
      <c r="Q669">
        <v>166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2</v>
      </c>
      <c r="AC669">
        <v>2</v>
      </c>
      <c r="AD669" s="3" t="str">
        <f t="shared" si="30"/>
        <v>S2S NO PREMIUM</v>
      </c>
      <c r="AE669" s="3" t="e">
        <f>VLOOKUP(E669,'[1]Nómina Agentes'!$C:$D,2,0)</f>
        <v>#N/A</v>
      </c>
      <c r="AF669" s="5">
        <f t="shared" si="31"/>
        <v>0.79166666666666663</v>
      </c>
      <c r="AG669" s="5">
        <f t="shared" si="32"/>
        <v>0.8125</v>
      </c>
    </row>
    <row r="670" spans="1:33" x14ac:dyDescent="0.25">
      <c r="A670" s="1">
        <v>45567</v>
      </c>
      <c r="B670">
        <v>924</v>
      </c>
      <c r="C670" t="s">
        <v>43</v>
      </c>
      <c r="D670" t="s">
        <v>213</v>
      </c>
      <c r="E670">
        <v>616590</v>
      </c>
      <c r="F670" s="2">
        <v>0.58333333333333337</v>
      </c>
      <c r="G670" t="s">
        <v>6</v>
      </c>
      <c r="H670" s="2">
        <v>0.60416666666666663</v>
      </c>
      <c r="I670">
        <v>710</v>
      </c>
      <c r="J670">
        <v>24</v>
      </c>
      <c r="K670">
        <v>0</v>
      </c>
      <c r="L670">
        <v>12</v>
      </c>
      <c r="M670">
        <v>0</v>
      </c>
      <c r="N670">
        <v>0</v>
      </c>
      <c r="O670">
        <v>0</v>
      </c>
      <c r="P670">
        <v>381</v>
      </c>
      <c r="Q670">
        <v>211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3</v>
      </c>
      <c r="AC670">
        <v>3</v>
      </c>
      <c r="AD670" s="3" t="str">
        <f t="shared" si="30"/>
        <v>S2S NO PREMIUM</v>
      </c>
      <c r="AE670" s="3" t="e">
        <f>VLOOKUP(E670,'[1]Nómina Agentes'!$C:$D,2,0)</f>
        <v>#N/A</v>
      </c>
      <c r="AF670" s="5">
        <f t="shared" si="31"/>
        <v>0.58333333333333337</v>
      </c>
      <c r="AG670" s="5">
        <f t="shared" si="32"/>
        <v>0.60416666666666663</v>
      </c>
    </row>
    <row r="671" spans="1:33" x14ac:dyDescent="0.25">
      <c r="A671" s="1">
        <v>45567</v>
      </c>
      <c r="B671">
        <v>924</v>
      </c>
      <c r="C671" t="s">
        <v>43</v>
      </c>
      <c r="D671" t="s">
        <v>213</v>
      </c>
      <c r="E671">
        <v>616590</v>
      </c>
      <c r="F671" s="2">
        <v>0.8125</v>
      </c>
      <c r="G671" t="s">
        <v>6</v>
      </c>
      <c r="H671" s="2">
        <v>0.83333333333333337</v>
      </c>
      <c r="I671">
        <v>771</v>
      </c>
      <c r="J671">
        <v>2</v>
      </c>
      <c r="K671">
        <v>0</v>
      </c>
      <c r="L671">
        <v>8</v>
      </c>
      <c r="M671">
        <v>0</v>
      </c>
      <c r="N671">
        <v>0</v>
      </c>
      <c r="O671">
        <v>0</v>
      </c>
      <c r="P671">
        <v>213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3</v>
      </c>
      <c r="AC671">
        <v>3</v>
      </c>
      <c r="AD671" s="3" t="str">
        <f t="shared" si="30"/>
        <v>S2S NO PREMIUM</v>
      </c>
      <c r="AE671" s="3" t="e">
        <f>VLOOKUP(E671,'[1]Nómina Agentes'!$C:$D,2,0)</f>
        <v>#N/A</v>
      </c>
      <c r="AF671" s="5">
        <f t="shared" si="31"/>
        <v>0.8125</v>
      </c>
      <c r="AG671" s="5">
        <f t="shared" si="32"/>
        <v>0.83333333333333337</v>
      </c>
    </row>
    <row r="672" spans="1:33" x14ac:dyDescent="0.25">
      <c r="A672" s="1">
        <v>45567</v>
      </c>
      <c r="B672">
        <v>924</v>
      </c>
      <c r="C672" t="s">
        <v>43</v>
      </c>
      <c r="D672" t="s">
        <v>213</v>
      </c>
      <c r="E672">
        <v>616590</v>
      </c>
      <c r="F672" s="2">
        <v>0.75</v>
      </c>
      <c r="G672" t="s">
        <v>6</v>
      </c>
      <c r="H672" s="2">
        <v>0.77083333333333337</v>
      </c>
      <c r="I672">
        <v>772</v>
      </c>
      <c r="J672">
        <v>19</v>
      </c>
      <c r="K672">
        <v>0</v>
      </c>
      <c r="L672">
        <v>4</v>
      </c>
      <c r="M672">
        <v>0</v>
      </c>
      <c r="N672">
        <v>0</v>
      </c>
      <c r="O672">
        <v>0</v>
      </c>
      <c r="P672">
        <v>511</v>
      </c>
      <c r="Q672">
        <v>47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2</v>
      </c>
      <c r="AC672">
        <v>1</v>
      </c>
      <c r="AD672" s="3" t="str">
        <f t="shared" si="30"/>
        <v>S2S NO PREMIUM</v>
      </c>
      <c r="AE672" s="3" t="e">
        <f>VLOOKUP(E672,'[1]Nómina Agentes'!$C:$D,2,0)</f>
        <v>#N/A</v>
      </c>
      <c r="AF672" s="5">
        <f t="shared" si="31"/>
        <v>0.75</v>
      </c>
      <c r="AG672" s="5">
        <f t="shared" si="32"/>
        <v>0.77083333333333337</v>
      </c>
    </row>
    <row r="673" spans="1:33" x14ac:dyDescent="0.25">
      <c r="A673" s="1">
        <v>45567</v>
      </c>
      <c r="B673">
        <v>924</v>
      </c>
      <c r="C673" t="s">
        <v>43</v>
      </c>
      <c r="D673" t="s">
        <v>213</v>
      </c>
      <c r="E673">
        <v>616590</v>
      </c>
      <c r="F673" s="2">
        <v>0.60416666666666663</v>
      </c>
      <c r="G673" t="s">
        <v>6</v>
      </c>
      <c r="H673" s="2">
        <v>0.625</v>
      </c>
      <c r="I673">
        <v>848</v>
      </c>
      <c r="J673">
        <v>31</v>
      </c>
      <c r="K673">
        <v>0</v>
      </c>
      <c r="L673">
        <v>8</v>
      </c>
      <c r="M673">
        <v>0</v>
      </c>
      <c r="N673">
        <v>0</v>
      </c>
      <c r="O673">
        <v>0</v>
      </c>
      <c r="P673">
        <v>172</v>
      </c>
      <c r="Q673">
        <v>1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2</v>
      </c>
      <c r="AC673">
        <v>2</v>
      </c>
      <c r="AD673" s="3" t="str">
        <f t="shared" si="30"/>
        <v>S2S NO PREMIUM</v>
      </c>
      <c r="AE673" s="3" t="e">
        <f>VLOOKUP(E673,'[1]Nómina Agentes'!$C:$D,2,0)</f>
        <v>#N/A</v>
      </c>
      <c r="AF673" s="5">
        <f t="shared" si="31"/>
        <v>0.60416666666666663</v>
      </c>
      <c r="AG673" s="5">
        <f t="shared" si="32"/>
        <v>0.625</v>
      </c>
    </row>
    <row r="674" spans="1:33" x14ac:dyDescent="0.25">
      <c r="A674" s="1">
        <v>45567</v>
      </c>
      <c r="B674">
        <v>924</v>
      </c>
      <c r="C674" t="s">
        <v>43</v>
      </c>
      <c r="D674" t="s">
        <v>213</v>
      </c>
      <c r="E674">
        <v>616590</v>
      </c>
      <c r="F674" s="2">
        <v>0.64583333333333337</v>
      </c>
      <c r="G674" t="s">
        <v>6</v>
      </c>
      <c r="H674" s="2">
        <v>0.66666666666666663</v>
      </c>
      <c r="I674">
        <v>1024</v>
      </c>
      <c r="J674">
        <v>14</v>
      </c>
      <c r="K674">
        <v>0</v>
      </c>
      <c r="L674">
        <v>19</v>
      </c>
      <c r="M674">
        <v>0</v>
      </c>
      <c r="N674">
        <v>0</v>
      </c>
      <c r="O674">
        <v>0</v>
      </c>
      <c r="P674">
        <v>152</v>
      </c>
      <c r="Q674">
        <v>2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5</v>
      </c>
      <c r="AC674">
        <v>4</v>
      </c>
      <c r="AD674" s="3" t="str">
        <f t="shared" si="30"/>
        <v>S2S NO PREMIUM</v>
      </c>
      <c r="AE674" s="3" t="e">
        <f>VLOOKUP(E674,'[1]Nómina Agentes'!$C:$D,2,0)</f>
        <v>#N/A</v>
      </c>
      <c r="AF674" s="5">
        <f t="shared" si="31"/>
        <v>0.64583333333333337</v>
      </c>
      <c r="AG674" s="5">
        <f t="shared" si="32"/>
        <v>0.66666666666666663</v>
      </c>
    </row>
    <row r="675" spans="1:33" x14ac:dyDescent="0.25">
      <c r="A675" s="1">
        <v>45567</v>
      </c>
      <c r="B675">
        <v>924</v>
      </c>
      <c r="C675" t="s">
        <v>43</v>
      </c>
      <c r="D675" t="s">
        <v>213</v>
      </c>
      <c r="E675">
        <v>616590</v>
      </c>
      <c r="F675" s="2">
        <v>0.66666666666666663</v>
      </c>
      <c r="G675" t="s">
        <v>6</v>
      </c>
      <c r="H675" s="2">
        <v>0.6875</v>
      </c>
      <c r="I675">
        <v>1084</v>
      </c>
      <c r="J675">
        <v>8</v>
      </c>
      <c r="K675">
        <v>0</v>
      </c>
      <c r="L675">
        <v>13</v>
      </c>
      <c r="M675">
        <v>0</v>
      </c>
      <c r="N675">
        <v>0</v>
      </c>
      <c r="O675">
        <v>0</v>
      </c>
      <c r="P675">
        <v>85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3</v>
      </c>
      <c r="AC675">
        <v>2</v>
      </c>
      <c r="AD675" s="3" t="str">
        <f t="shared" si="30"/>
        <v>S2S NO PREMIUM</v>
      </c>
      <c r="AE675" s="3" t="e">
        <f>VLOOKUP(E675,'[1]Nómina Agentes'!$C:$D,2,0)</f>
        <v>#N/A</v>
      </c>
      <c r="AF675" s="5">
        <f t="shared" si="31"/>
        <v>0.66666666666666663</v>
      </c>
      <c r="AG675" s="5">
        <f t="shared" si="32"/>
        <v>0.6875</v>
      </c>
    </row>
    <row r="676" spans="1:33" x14ac:dyDescent="0.25">
      <c r="A676" s="1">
        <v>45567</v>
      </c>
      <c r="B676">
        <v>924</v>
      </c>
      <c r="C676" t="s">
        <v>43</v>
      </c>
      <c r="D676" t="s">
        <v>213</v>
      </c>
      <c r="E676">
        <v>616590</v>
      </c>
      <c r="F676" s="2">
        <v>0.625</v>
      </c>
      <c r="G676" t="s">
        <v>6</v>
      </c>
      <c r="H676" s="2">
        <v>0.64583333333333337</v>
      </c>
      <c r="I676">
        <v>1346</v>
      </c>
      <c r="J676">
        <v>3</v>
      </c>
      <c r="K676">
        <v>0</v>
      </c>
      <c r="L676">
        <v>8</v>
      </c>
      <c r="M676">
        <v>0</v>
      </c>
      <c r="N676">
        <v>0</v>
      </c>
      <c r="O676">
        <v>0</v>
      </c>
      <c r="P676">
        <v>50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2</v>
      </c>
      <c r="AC676">
        <v>2</v>
      </c>
      <c r="AD676" s="3" t="str">
        <f t="shared" si="30"/>
        <v>S2S NO PREMIUM</v>
      </c>
      <c r="AE676" s="3" t="e">
        <f>VLOOKUP(E676,'[1]Nómina Agentes'!$C:$D,2,0)</f>
        <v>#N/A</v>
      </c>
      <c r="AF676" s="5">
        <f t="shared" si="31"/>
        <v>0.625</v>
      </c>
      <c r="AG676" s="5">
        <f t="shared" si="32"/>
        <v>0.64583333333333337</v>
      </c>
    </row>
    <row r="677" spans="1:33" x14ac:dyDescent="0.25">
      <c r="A677" s="1">
        <v>45567</v>
      </c>
      <c r="B677">
        <v>924</v>
      </c>
      <c r="C677" t="s">
        <v>43</v>
      </c>
      <c r="D677" t="s">
        <v>213</v>
      </c>
      <c r="E677">
        <v>616590</v>
      </c>
      <c r="F677" s="2">
        <v>0.6875</v>
      </c>
      <c r="G677" t="s">
        <v>6</v>
      </c>
      <c r="H677" s="2">
        <v>0.70833333333333337</v>
      </c>
      <c r="I677">
        <v>1375</v>
      </c>
      <c r="J677">
        <v>0</v>
      </c>
      <c r="K677">
        <v>0</v>
      </c>
      <c r="L677">
        <v>19</v>
      </c>
      <c r="M677">
        <v>0</v>
      </c>
      <c r="N677">
        <v>0</v>
      </c>
      <c r="O677">
        <v>0</v>
      </c>
      <c r="P677">
        <v>2</v>
      </c>
      <c r="Q677">
        <v>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5</v>
      </c>
      <c r="AC677">
        <v>5</v>
      </c>
      <c r="AD677" s="3" t="str">
        <f t="shared" si="30"/>
        <v>S2S NO PREMIUM</v>
      </c>
      <c r="AE677" s="3" t="e">
        <f>VLOOKUP(E677,'[1]Nómina Agentes'!$C:$D,2,0)</f>
        <v>#N/A</v>
      </c>
      <c r="AF677" s="5">
        <f t="shared" si="31"/>
        <v>0.6875</v>
      </c>
      <c r="AG677" s="5">
        <f t="shared" si="32"/>
        <v>0.70833333333333337</v>
      </c>
    </row>
    <row r="678" spans="1:33" x14ac:dyDescent="0.25">
      <c r="A678" s="1">
        <v>45567</v>
      </c>
      <c r="B678">
        <v>924</v>
      </c>
      <c r="C678" t="s">
        <v>43</v>
      </c>
      <c r="D678" t="s">
        <v>213</v>
      </c>
      <c r="E678">
        <v>616590</v>
      </c>
      <c r="F678" s="2">
        <v>0.72916666666666663</v>
      </c>
      <c r="G678" t="s">
        <v>6</v>
      </c>
      <c r="H678" s="2">
        <v>0.75</v>
      </c>
      <c r="I678">
        <v>1423</v>
      </c>
      <c r="J678">
        <v>0</v>
      </c>
      <c r="K678">
        <v>0</v>
      </c>
      <c r="L678">
        <v>12</v>
      </c>
      <c r="M678">
        <v>0</v>
      </c>
      <c r="N678">
        <v>0</v>
      </c>
      <c r="O678">
        <v>0</v>
      </c>
      <c r="P678">
        <v>1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4</v>
      </c>
      <c r="AC678">
        <v>3</v>
      </c>
      <c r="AD678" s="3" t="str">
        <f t="shared" si="30"/>
        <v>S2S NO PREMIUM</v>
      </c>
      <c r="AE678" s="3" t="e">
        <f>VLOOKUP(E678,'[1]Nómina Agentes'!$C:$D,2,0)</f>
        <v>#N/A</v>
      </c>
      <c r="AF678" s="5">
        <f t="shared" si="31"/>
        <v>0.72916666666666663</v>
      </c>
      <c r="AG678" s="5">
        <f t="shared" si="32"/>
        <v>0.75</v>
      </c>
    </row>
    <row r="679" spans="1:33" x14ac:dyDescent="0.25">
      <c r="A679" s="1">
        <v>45567</v>
      </c>
      <c r="B679">
        <v>924</v>
      </c>
      <c r="C679" t="s">
        <v>43</v>
      </c>
      <c r="D679" t="s">
        <v>213</v>
      </c>
      <c r="E679">
        <v>616590</v>
      </c>
      <c r="F679" s="2">
        <v>0.70833333333333337</v>
      </c>
      <c r="G679" t="s">
        <v>6</v>
      </c>
      <c r="H679" s="2">
        <v>0.72916666666666663</v>
      </c>
      <c r="I679">
        <v>1537</v>
      </c>
      <c r="J679">
        <v>0</v>
      </c>
      <c r="K679">
        <v>0</v>
      </c>
      <c r="L679">
        <v>16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3</v>
      </c>
      <c r="AC679">
        <v>3</v>
      </c>
      <c r="AD679" s="3" t="str">
        <f t="shared" si="30"/>
        <v>S2S NO PREMIUM</v>
      </c>
      <c r="AE679" s="3" t="e">
        <f>VLOOKUP(E679,'[1]Nómina Agentes'!$C:$D,2,0)</f>
        <v>#N/A</v>
      </c>
      <c r="AF679" s="5">
        <f t="shared" si="31"/>
        <v>0.70833333333333337</v>
      </c>
      <c r="AG679" s="5">
        <f t="shared" si="32"/>
        <v>0.72916666666666663</v>
      </c>
    </row>
    <row r="680" spans="1:33" x14ac:dyDescent="0.25">
      <c r="A680" s="1">
        <v>45567</v>
      </c>
      <c r="B680">
        <v>924</v>
      </c>
      <c r="C680" t="s">
        <v>43</v>
      </c>
      <c r="D680" t="s">
        <v>214</v>
      </c>
      <c r="E680">
        <v>616597</v>
      </c>
      <c r="F680" s="2">
        <v>0.58333333333333337</v>
      </c>
      <c r="G680" t="s">
        <v>6</v>
      </c>
      <c r="H680" s="2">
        <v>0.60416666666666663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 s="3" t="str">
        <f t="shared" si="30"/>
        <v>S2S NO PREMIUM</v>
      </c>
      <c r="AE680" s="3" t="e">
        <f>VLOOKUP(E680,'[1]Nómina Agentes'!$C:$D,2,0)</f>
        <v>#N/A</v>
      </c>
      <c r="AF680" s="5">
        <f t="shared" si="31"/>
        <v>0.58333333333333337</v>
      </c>
      <c r="AG680" s="5">
        <f t="shared" si="32"/>
        <v>0.60416666666666663</v>
      </c>
    </row>
    <row r="681" spans="1:33" x14ac:dyDescent="0.25">
      <c r="A681" s="1">
        <v>45567</v>
      </c>
      <c r="B681">
        <v>924</v>
      </c>
      <c r="C681" t="s">
        <v>43</v>
      </c>
      <c r="D681" t="s">
        <v>214</v>
      </c>
      <c r="E681">
        <v>616597</v>
      </c>
      <c r="F681" s="2">
        <v>0.77083333333333337</v>
      </c>
      <c r="G681" t="s">
        <v>6</v>
      </c>
      <c r="H681" s="2">
        <v>0.79166666666666663</v>
      </c>
      <c r="I681">
        <v>90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1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1</v>
      </c>
      <c r="AC681">
        <v>1</v>
      </c>
      <c r="AD681" s="3" t="str">
        <f t="shared" si="30"/>
        <v>S2S NO PREMIUM</v>
      </c>
      <c r="AE681" s="3" t="e">
        <f>VLOOKUP(E681,'[1]Nómina Agentes'!$C:$D,2,0)</f>
        <v>#N/A</v>
      </c>
      <c r="AF681" s="5">
        <f t="shared" si="31"/>
        <v>0.77083333333333337</v>
      </c>
      <c r="AG681" s="5">
        <f t="shared" si="32"/>
        <v>0.79166666666666663</v>
      </c>
    </row>
    <row r="682" spans="1:33" x14ac:dyDescent="0.25">
      <c r="A682" s="1">
        <v>45567</v>
      </c>
      <c r="B682">
        <v>924</v>
      </c>
      <c r="C682" t="s">
        <v>43</v>
      </c>
      <c r="D682" t="s">
        <v>214</v>
      </c>
      <c r="E682">
        <v>616597</v>
      </c>
      <c r="F682" s="2">
        <v>0.79166666666666663</v>
      </c>
      <c r="G682" t="s">
        <v>6</v>
      </c>
      <c r="H682" s="2">
        <v>0.8125</v>
      </c>
      <c r="I682">
        <v>658</v>
      </c>
      <c r="J682">
        <v>0</v>
      </c>
      <c r="K682">
        <v>0</v>
      </c>
      <c r="L682">
        <v>12</v>
      </c>
      <c r="M682">
        <v>0</v>
      </c>
      <c r="N682">
        <v>0</v>
      </c>
      <c r="O682">
        <v>0</v>
      </c>
      <c r="P682">
        <v>134</v>
      </c>
      <c r="Q682">
        <v>60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2</v>
      </c>
      <c r="AC682">
        <v>1</v>
      </c>
      <c r="AD682" s="3" t="str">
        <f t="shared" si="30"/>
        <v>S2S NO PREMIUM</v>
      </c>
      <c r="AE682" s="3" t="e">
        <f>VLOOKUP(E682,'[1]Nómina Agentes'!$C:$D,2,0)</f>
        <v>#N/A</v>
      </c>
      <c r="AF682" s="5">
        <f t="shared" si="31"/>
        <v>0.79166666666666663</v>
      </c>
      <c r="AG682" s="5">
        <f t="shared" si="32"/>
        <v>0.8125</v>
      </c>
    </row>
    <row r="683" spans="1:33" x14ac:dyDescent="0.25">
      <c r="A683" s="1">
        <v>45567</v>
      </c>
      <c r="B683">
        <v>924</v>
      </c>
      <c r="C683" t="s">
        <v>43</v>
      </c>
      <c r="D683" t="s">
        <v>214</v>
      </c>
      <c r="E683">
        <v>616597</v>
      </c>
      <c r="F683" s="2">
        <v>0.625</v>
      </c>
      <c r="G683" t="s">
        <v>6</v>
      </c>
      <c r="H683" s="2">
        <v>0.64583333333333337</v>
      </c>
      <c r="I683">
        <v>879</v>
      </c>
      <c r="J683">
        <v>0</v>
      </c>
      <c r="K683">
        <v>0</v>
      </c>
      <c r="L683">
        <v>12</v>
      </c>
      <c r="M683">
        <v>0</v>
      </c>
      <c r="N683">
        <v>0</v>
      </c>
      <c r="O683">
        <v>0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4</v>
      </c>
      <c r="AC683">
        <v>4</v>
      </c>
      <c r="AD683" s="3" t="str">
        <f t="shared" si="30"/>
        <v>S2S NO PREMIUM</v>
      </c>
      <c r="AE683" s="3" t="e">
        <f>VLOOKUP(E683,'[1]Nómina Agentes'!$C:$D,2,0)</f>
        <v>#N/A</v>
      </c>
      <c r="AF683" s="5">
        <f t="shared" si="31"/>
        <v>0.625</v>
      </c>
      <c r="AG683" s="5">
        <f t="shared" si="32"/>
        <v>0.64583333333333337</v>
      </c>
    </row>
    <row r="684" spans="1:33" x14ac:dyDescent="0.25">
      <c r="A684" s="1">
        <v>45567</v>
      </c>
      <c r="B684">
        <v>924</v>
      </c>
      <c r="C684" t="s">
        <v>43</v>
      </c>
      <c r="D684" t="s">
        <v>214</v>
      </c>
      <c r="E684">
        <v>616597</v>
      </c>
      <c r="F684" s="2">
        <v>0.60416666666666663</v>
      </c>
      <c r="G684" t="s">
        <v>6</v>
      </c>
      <c r="H684" s="2">
        <v>0.625</v>
      </c>
      <c r="I684">
        <v>1005</v>
      </c>
      <c r="J684">
        <v>0</v>
      </c>
      <c r="K684">
        <v>0</v>
      </c>
      <c r="L684">
        <v>12</v>
      </c>
      <c r="M684">
        <v>0</v>
      </c>
      <c r="N684">
        <v>0</v>
      </c>
      <c r="O684">
        <v>0</v>
      </c>
      <c r="P684">
        <v>53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2</v>
      </c>
      <c r="AC684">
        <v>1</v>
      </c>
      <c r="AD684" s="3" t="str">
        <f t="shared" si="30"/>
        <v>S2S NO PREMIUM</v>
      </c>
      <c r="AE684" s="3" t="e">
        <f>VLOOKUP(E684,'[1]Nómina Agentes'!$C:$D,2,0)</f>
        <v>#N/A</v>
      </c>
      <c r="AF684" s="5">
        <f t="shared" si="31"/>
        <v>0.60416666666666663</v>
      </c>
      <c r="AG684" s="5">
        <f t="shared" si="32"/>
        <v>0.625</v>
      </c>
    </row>
    <row r="685" spans="1:33" x14ac:dyDescent="0.25">
      <c r="A685" s="1">
        <v>45567</v>
      </c>
      <c r="B685">
        <v>924</v>
      </c>
      <c r="C685" t="s">
        <v>43</v>
      </c>
      <c r="D685" t="s">
        <v>214</v>
      </c>
      <c r="E685">
        <v>616597</v>
      </c>
      <c r="F685" s="2">
        <v>0.72916666666666663</v>
      </c>
      <c r="G685" t="s">
        <v>6</v>
      </c>
      <c r="H685" s="2">
        <v>0.75</v>
      </c>
      <c r="I685">
        <v>1013</v>
      </c>
      <c r="J685">
        <v>0</v>
      </c>
      <c r="K685">
        <v>0</v>
      </c>
      <c r="L685">
        <v>16</v>
      </c>
      <c r="M685">
        <v>0</v>
      </c>
      <c r="N685">
        <v>0</v>
      </c>
      <c r="O685">
        <v>0</v>
      </c>
      <c r="P685">
        <v>770</v>
      </c>
      <c r="Q685">
        <v>540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4</v>
      </c>
      <c r="AC685">
        <v>3</v>
      </c>
      <c r="AD685" s="3" t="str">
        <f t="shared" si="30"/>
        <v>S2S NO PREMIUM</v>
      </c>
      <c r="AE685" s="3" t="e">
        <f>VLOOKUP(E685,'[1]Nómina Agentes'!$C:$D,2,0)</f>
        <v>#N/A</v>
      </c>
      <c r="AF685" s="5">
        <f t="shared" si="31"/>
        <v>0.72916666666666663</v>
      </c>
      <c r="AG685" s="5">
        <f t="shared" si="32"/>
        <v>0.75</v>
      </c>
    </row>
    <row r="686" spans="1:33" x14ac:dyDescent="0.25">
      <c r="A686" s="1">
        <v>45567</v>
      </c>
      <c r="B686">
        <v>924</v>
      </c>
      <c r="C686" t="s">
        <v>43</v>
      </c>
      <c r="D686" t="s">
        <v>214</v>
      </c>
      <c r="E686">
        <v>616597</v>
      </c>
      <c r="F686" s="2">
        <v>0.8125</v>
      </c>
      <c r="G686" t="s">
        <v>6</v>
      </c>
      <c r="H686" s="2">
        <v>0.83333333333333337</v>
      </c>
      <c r="I686">
        <v>1041</v>
      </c>
      <c r="J686">
        <v>0</v>
      </c>
      <c r="K686">
        <v>0</v>
      </c>
      <c r="L686">
        <v>8</v>
      </c>
      <c r="M686">
        <v>0</v>
      </c>
      <c r="N686">
        <v>0</v>
      </c>
      <c r="O686">
        <v>0</v>
      </c>
      <c r="P686">
        <v>141</v>
      </c>
      <c r="Q686">
        <v>88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2</v>
      </c>
      <c r="AC686">
        <v>2</v>
      </c>
      <c r="AD686" s="3" t="str">
        <f t="shared" si="30"/>
        <v>S2S NO PREMIUM</v>
      </c>
      <c r="AE686" s="3" t="e">
        <f>VLOOKUP(E686,'[1]Nómina Agentes'!$C:$D,2,0)</f>
        <v>#N/A</v>
      </c>
      <c r="AF686" s="5">
        <f t="shared" si="31"/>
        <v>0.8125</v>
      </c>
      <c r="AG686" s="5">
        <f t="shared" si="32"/>
        <v>0.83333333333333337</v>
      </c>
    </row>
    <row r="687" spans="1:33" x14ac:dyDescent="0.25">
      <c r="A687" s="1">
        <v>45567</v>
      </c>
      <c r="B687">
        <v>924</v>
      </c>
      <c r="C687" t="s">
        <v>43</v>
      </c>
      <c r="D687" t="s">
        <v>214</v>
      </c>
      <c r="E687">
        <v>616597</v>
      </c>
      <c r="F687" s="2">
        <v>0.64583333333333337</v>
      </c>
      <c r="G687" t="s">
        <v>6</v>
      </c>
      <c r="H687" s="2">
        <v>0.66666666666666663</v>
      </c>
      <c r="I687">
        <v>1042</v>
      </c>
      <c r="J687">
        <v>0</v>
      </c>
      <c r="K687">
        <v>0</v>
      </c>
      <c r="L687">
        <v>12</v>
      </c>
      <c r="M687">
        <v>0</v>
      </c>
      <c r="N687">
        <v>0</v>
      </c>
      <c r="O687">
        <v>0</v>
      </c>
      <c r="P687">
        <v>2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2</v>
      </c>
      <c r="AC687">
        <v>2</v>
      </c>
      <c r="AD687" s="3" t="str">
        <f t="shared" si="30"/>
        <v>S2S NO PREMIUM</v>
      </c>
      <c r="AE687" s="3" t="e">
        <f>VLOOKUP(E687,'[1]Nómina Agentes'!$C:$D,2,0)</f>
        <v>#N/A</v>
      </c>
      <c r="AF687" s="5">
        <f t="shared" si="31"/>
        <v>0.64583333333333337</v>
      </c>
      <c r="AG687" s="5">
        <f t="shared" si="32"/>
        <v>0.66666666666666663</v>
      </c>
    </row>
    <row r="688" spans="1:33" x14ac:dyDescent="0.25">
      <c r="A688" s="1">
        <v>45567</v>
      </c>
      <c r="B688">
        <v>924</v>
      </c>
      <c r="C688" t="s">
        <v>43</v>
      </c>
      <c r="D688" t="s">
        <v>214</v>
      </c>
      <c r="E688">
        <v>616597</v>
      </c>
      <c r="F688" s="2">
        <v>0.70833333333333337</v>
      </c>
      <c r="G688" t="s">
        <v>6</v>
      </c>
      <c r="H688" s="2">
        <v>0.72916666666666663</v>
      </c>
      <c r="I688">
        <v>1255</v>
      </c>
      <c r="J688">
        <v>0</v>
      </c>
      <c r="K688">
        <v>0</v>
      </c>
      <c r="L688">
        <v>16</v>
      </c>
      <c r="M688">
        <v>0</v>
      </c>
      <c r="N688">
        <v>0</v>
      </c>
      <c r="O688">
        <v>0</v>
      </c>
      <c r="P688">
        <v>3</v>
      </c>
      <c r="Q688">
        <v>77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4</v>
      </c>
      <c r="AC688">
        <v>2</v>
      </c>
      <c r="AD688" s="3" t="str">
        <f t="shared" si="30"/>
        <v>S2S NO PREMIUM</v>
      </c>
      <c r="AE688" s="3" t="e">
        <f>VLOOKUP(E688,'[1]Nómina Agentes'!$C:$D,2,0)</f>
        <v>#N/A</v>
      </c>
      <c r="AF688" s="5">
        <f t="shared" si="31"/>
        <v>0.70833333333333337</v>
      </c>
      <c r="AG688" s="5">
        <f t="shared" si="32"/>
        <v>0.72916666666666663</v>
      </c>
    </row>
    <row r="689" spans="1:33" x14ac:dyDescent="0.25">
      <c r="A689" s="1">
        <v>45567</v>
      </c>
      <c r="B689">
        <v>924</v>
      </c>
      <c r="C689" t="s">
        <v>43</v>
      </c>
      <c r="D689" t="s">
        <v>214</v>
      </c>
      <c r="E689">
        <v>616597</v>
      </c>
      <c r="F689" s="2">
        <v>0.66666666666666663</v>
      </c>
      <c r="G689" t="s">
        <v>6</v>
      </c>
      <c r="H689" s="2">
        <v>0.6875</v>
      </c>
      <c r="I689">
        <v>1280</v>
      </c>
      <c r="J689">
        <v>0</v>
      </c>
      <c r="K689">
        <v>0</v>
      </c>
      <c r="L689">
        <v>12</v>
      </c>
      <c r="M689">
        <v>0</v>
      </c>
      <c r="N689">
        <v>0</v>
      </c>
      <c r="O689">
        <v>0</v>
      </c>
      <c r="P689">
        <v>91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3</v>
      </c>
      <c r="AC689">
        <v>2</v>
      </c>
      <c r="AD689" s="3" t="str">
        <f t="shared" si="30"/>
        <v>S2S NO PREMIUM</v>
      </c>
      <c r="AE689" s="3" t="e">
        <f>VLOOKUP(E689,'[1]Nómina Agentes'!$C:$D,2,0)</f>
        <v>#N/A</v>
      </c>
      <c r="AF689" s="5">
        <f t="shared" si="31"/>
        <v>0.66666666666666663</v>
      </c>
      <c r="AG689" s="5">
        <f t="shared" si="32"/>
        <v>0.6875</v>
      </c>
    </row>
    <row r="690" spans="1:33" x14ac:dyDescent="0.25">
      <c r="A690" s="1">
        <v>45567</v>
      </c>
      <c r="B690">
        <v>924</v>
      </c>
      <c r="C690" t="s">
        <v>43</v>
      </c>
      <c r="D690" t="s">
        <v>214</v>
      </c>
      <c r="E690">
        <v>616597</v>
      </c>
      <c r="F690" s="2">
        <v>0.6875</v>
      </c>
      <c r="G690" t="s">
        <v>6</v>
      </c>
      <c r="H690" s="2">
        <v>0.70833333333333337</v>
      </c>
      <c r="I690">
        <v>1448</v>
      </c>
      <c r="J690">
        <v>0</v>
      </c>
      <c r="K690">
        <v>0</v>
      </c>
      <c r="L690">
        <v>16</v>
      </c>
      <c r="M690">
        <v>0</v>
      </c>
      <c r="N690">
        <v>0</v>
      </c>
      <c r="O690">
        <v>0</v>
      </c>
      <c r="P690">
        <v>3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4</v>
      </c>
      <c r="AC690">
        <v>4</v>
      </c>
      <c r="AD690" s="3" t="str">
        <f t="shared" si="30"/>
        <v>S2S NO PREMIUM</v>
      </c>
      <c r="AE690" s="3" t="e">
        <f>VLOOKUP(E690,'[1]Nómina Agentes'!$C:$D,2,0)</f>
        <v>#N/A</v>
      </c>
      <c r="AF690" s="5">
        <f t="shared" si="31"/>
        <v>0.6875</v>
      </c>
      <c r="AG690" s="5">
        <f t="shared" si="32"/>
        <v>0.70833333333333337</v>
      </c>
    </row>
    <row r="691" spans="1:33" x14ac:dyDescent="0.25">
      <c r="A691" s="1">
        <v>45567</v>
      </c>
      <c r="B691">
        <v>924</v>
      </c>
      <c r="C691" t="s">
        <v>43</v>
      </c>
      <c r="D691" t="s">
        <v>214</v>
      </c>
      <c r="E691">
        <v>616597</v>
      </c>
      <c r="F691" s="2">
        <v>0.75</v>
      </c>
      <c r="G691" t="s">
        <v>6</v>
      </c>
      <c r="H691" s="2">
        <v>0.77083333333333337</v>
      </c>
      <c r="I691">
        <v>1616</v>
      </c>
      <c r="J691">
        <v>51</v>
      </c>
      <c r="K691">
        <v>0</v>
      </c>
      <c r="L691">
        <v>16</v>
      </c>
      <c r="M691">
        <v>0</v>
      </c>
      <c r="N691">
        <v>0</v>
      </c>
      <c r="O691">
        <v>0</v>
      </c>
      <c r="P691">
        <v>3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4</v>
      </c>
      <c r="AC691">
        <v>3</v>
      </c>
      <c r="AD691" s="3" t="str">
        <f t="shared" si="30"/>
        <v>S2S NO PREMIUM</v>
      </c>
      <c r="AE691" s="3" t="e">
        <f>VLOOKUP(E691,'[1]Nómina Agentes'!$C:$D,2,0)</f>
        <v>#N/A</v>
      </c>
      <c r="AF691" s="5">
        <f t="shared" si="31"/>
        <v>0.75</v>
      </c>
      <c r="AG691" s="5">
        <f t="shared" si="32"/>
        <v>0.77083333333333337</v>
      </c>
    </row>
    <row r="692" spans="1:33" x14ac:dyDescent="0.25">
      <c r="A692" s="1">
        <v>45567</v>
      </c>
      <c r="B692">
        <v>925</v>
      </c>
      <c r="C692" t="s">
        <v>42</v>
      </c>
      <c r="D692" t="s">
        <v>215</v>
      </c>
      <c r="E692">
        <v>616602</v>
      </c>
      <c r="F692" s="2">
        <v>0.625</v>
      </c>
      <c r="G692" t="s">
        <v>6</v>
      </c>
      <c r="H692" s="2">
        <v>0.64583333333333337</v>
      </c>
      <c r="I692">
        <v>444</v>
      </c>
      <c r="J692">
        <v>0</v>
      </c>
      <c r="K692">
        <v>0</v>
      </c>
      <c r="L692">
        <v>4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 s="3" t="str">
        <f t="shared" si="30"/>
        <v>S2S PREMIUM</v>
      </c>
      <c r="AE692" s="3" t="e">
        <f>VLOOKUP(E692,'[1]Nómina Agentes'!$C:$D,2,0)</f>
        <v>#N/A</v>
      </c>
      <c r="AF692" s="5">
        <f t="shared" si="31"/>
        <v>0.625</v>
      </c>
      <c r="AG692" s="5">
        <f t="shared" si="32"/>
        <v>0.64583333333333337</v>
      </c>
    </row>
    <row r="693" spans="1:33" x14ac:dyDescent="0.25">
      <c r="A693" s="1">
        <v>45567</v>
      </c>
      <c r="B693">
        <v>925</v>
      </c>
      <c r="C693" t="s">
        <v>42</v>
      </c>
      <c r="D693" t="s">
        <v>215</v>
      </c>
      <c r="E693">
        <v>616602</v>
      </c>
      <c r="F693" s="2">
        <v>0.64583333333333337</v>
      </c>
      <c r="G693" t="s">
        <v>6</v>
      </c>
      <c r="H693" s="2">
        <v>0.66666666666666663</v>
      </c>
      <c r="I693">
        <v>509</v>
      </c>
      <c r="J693">
        <v>0</v>
      </c>
      <c r="K693">
        <v>0</v>
      </c>
      <c r="L693">
        <v>8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3</v>
      </c>
      <c r="AC693">
        <v>3</v>
      </c>
      <c r="AD693" s="3" t="str">
        <f t="shared" si="30"/>
        <v>S2S PREMIUM</v>
      </c>
      <c r="AE693" s="3" t="e">
        <f>VLOOKUP(E693,'[1]Nómina Agentes'!$C:$D,2,0)</f>
        <v>#N/A</v>
      </c>
      <c r="AF693" s="5">
        <f t="shared" si="31"/>
        <v>0.64583333333333337</v>
      </c>
      <c r="AG693" s="5">
        <f t="shared" si="32"/>
        <v>0.66666666666666663</v>
      </c>
    </row>
    <row r="694" spans="1:33" x14ac:dyDescent="0.25">
      <c r="A694" s="1">
        <v>45567</v>
      </c>
      <c r="B694">
        <v>925</v>
      </c>
      <c r="C694" t="s">
        <v>42</v>
      </c>
      <c r="D694" t="s">
        <v>215</v>
      </c>
      <c r="E694">
        <v>616602</v>
      </c>
      <c r="F694" s="2">
        <v>0.8125</v>
      </c>
      <c r="G694" t="s">
        <v>6</v>
      </c>
      <c r="H694" s="2">
        <v>0.83333333333333337</v>
      </c>
      <c r="I694">
        <v>627</v>
      </c>
      <c r="J694">
        <v>0</v>
      </c>
      <c r="K694">
        <v>0</v>
      </c>
      <c r="L694">
        <v>4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 s="3" t="str">
        <f t="shared" si="30"/>
        <v>S2S PREMIUM</v>
      </c>
      <c r="AE694" s="3" t="e">
        <f>VLOOKUP(E694,'[1]Nómina Agentes'!$C:$D,2,0)</f>
        <v>#N/A</v>
      </c>
      <c r="AF694" s="5">
        <f t="shared" si="31"/>
        <v>0.8125</v>
      </c>
      <c r="AG694" s="5">
        <f t="shared" si="32"/>
        <v>0.83333333333333337</v>
      </c>
    </row>
    <row r="695" spans="1:33" x14ac:dyDescent="0.25">
      <c r="A695" s="1">
        <v>45567</v>
      </c>
      <c r="B695">
        <v>925</v>
      </c>
      <c r="C695" t="s">
        <v>42</v>
      </c>
      <c r="D695" t="s">
        <v>215</v>
      </c>
      <c r="E695">
        <v>616602</v>
      </c>
      <c r="F695" s="2">
        <v>0.70833333333333337</v>
      </c>
      <c r="G695" t="s">
        <v>6</v>
      </c>
      <c r="H695" s="2">
        <v>0.72916666666666663</v>
      </c>
      <c r="I695">
        <v>768</v>
      </c>
      <c r="J695">
        <v>0</v>
      </c>
      <c r="K695">
        <v>0</v>
      </c>
      <c r="L695">
        <v>12</v>
      </c>
      <c r="M695">
        <v>0</v>
      </c>
      <c r="N695">
        <v>0</v>
      </c>
      <c r="O695">
        <v>0</v>
      </c>
      <c r="P695">
        <v>368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3</v>
      </c>
      <c r="AC695">
        <v>2</v>
      </c>
      <c r="AD695" s="3" t="str">
        <f t="shared" si="30"/>
        <v>S2S PREMIUM</v>
      </c>
      <c r="AE695" s="3" t="e">
        <f>VLOOKUP(E695,'[1]Nómina Agentes'!$C:$D,2,0)</f>
        <v>#N/A</v>
      </c>
      <c r="AF695" s="5">
        <f t="shared" si="31"/>
        <v>0.70833333333333337</v>
      </c>
      <c r="AG695" s="5">
        <f t="shared" si="32"/>
        <v>0.72916666666666663</v>
      </c>
    </row>
    <row r="696" spans="1:33" x14ac:dyDescent="0.25">
      <c r="A696" s="1">
        <v>45567</v>
      </c>
      <c r="B696">
        <v>925</v>
      </c>
      <c r="C696" t="s">
        <v>42</v>
      </c>
      <c r="D696" t="s">
        <v>215</v>
      </c>
      <c r="E696">
        <v>616602</v>
      </c>
      <c r="F696" s="2">
        <v>0.75</v>
      </c>
      <c r="G696" t="s">
        <v>6</v>
      </c>
      <c r="H696" s="2">
        <v>0.77083333333333337</v>
      </c>
      <c r="I696">
        <v>910</v>
      </c>
      <c r="J696">
        <v>216</v>
      </c>
      <c r="K696">
        <v>0</v>
      </c>
      <c r="L696">
        <v>8</v>
      </c>
      <c r="M696">
        <v>0</v>
      </c>
      <c r="N696">
        <v>0</v>
      </c>
      <c r="O696">
        <v>0</v>
      </c>
      <c r="P696">
        <v>376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2</v>
      </c>
      <c r="AC696">
        <v>2</v>
      </c>
      <c r="AD696" s="3" t="str">
        <f t="shared" si="30"/>
        <v>S2S PREMIUM</v>
      </c>
      <c r="AE696" s="3" t="e">
        <f>VLOOKUP(E696,'[1]Nómina Agentes'!$C:$D,2,0)</f>
        <v>#N/A</v>
      </c>
      <c r="AF696" s="5">
        <f t="shared" si="31"/>
        <v>0.75</v>
      </c>
      <c r="AG696" s="5">
        <f t="shared" si="32"/>
        <v>0.77083333333333337</v>
      </c>
    </row>
    <row r="697" spans="1:33" x14ac:dyDescent="0.25">
      <c r="A697" s="1">
        <v>45567</v>
      </c>
      <c r="B697">
        <v>925</v>
      </c>
      <c r="C697" t="s">
        <v>42</v>
      </c>
      <c r="D697" t="s">
        <v>215</v>
      </c>
      <c r="E697">
        <v>616602</v>
      </c>
      <c r="F697" s="2">
        <v>0.79166666666666663</v>
      </c>
      <c r="G697" t="s">
        <v>6</v>
      </c>
      <c r="H697" s="2">
        <v>0.8125</v>
      </c>
      <c r="I697">
        <v>937</v>
      </c>
      <c r="J697">
        <v>8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1</v>
      </c>
      <c r="AC697">
        <v>1</v>
      </c>
      <c r="AD697" s="3" t="str">
        <f t="shared" si="30"/>
        <v>S2S PREMIUM</v>
      </c>
      <c r="AE697" s="3" t="e">
        <f>VLOOKUP(E697,'[1]Nómina Agentes'!$C:$D,2,0)</f>
        <v>#N/A</v>
      </c>
      <c r="AF697" s="5">
        <f t="shared" si="31"/>
        <v>0.79166666666666663</v>
      </c>
      <c r="AG697" s="5">
        <f t="shared" si="32"/>
        <v>0.8125</v>
      </c>
    </row>
    <row r="698" spans="1:33" x14ac:dyDescent="0.25">
      <c r="A698" s="1">
        <v>45567</v>
      </c>
      <c r="B698">
        <v>925</v>
      </c>
      <c r="C698" t="s">
        <v>42</v>
      </c>
      <c r="D698" t="s">
        <v>215</v>
      </c>
      <c r="E698">
        <v>616602</v>
      </c>
      <c r="F698" s="2">
        <v>0.66666666666666663</v>
      </c>
      <c r="G698" t="s">
        <v>6</v>
      </c>
      <c r="H698" s="2">
        <v>0.6875</v>
      </c>
      <c r="I698">
        <v>1084</v>
      </c>
      <c r="J698">
        <v>0</v>
      </c>
      <c r="K698">
        <v>0</v>
      </c>
      <c r="L698">
        <v>16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3</v>
      </c>
      <c r="AC698">
        <v>3</v>
      </c>
      <c r="AD698" s="3" t="str">
        <f t="shared" si="30"/>
        <v>S2S PREMIUM</v>
      </c>
      <c r="AE698" s="3" t="e">
        <f>VLOOKUP(E698,'[1]Nómina Agentes'!$C:$D,2,0)</f>
        <v>#N/A</v>
      </c>
      <c r="AF698" s="5">
        <f t="shared" si="31"/>
        <v>0.66666666666666663</v>
      </c>
      <c r="AG698" s="5">
        <f t="shared" si="32"/>
        <v>0.6875</v>
      </c>
    </row>
    <row r="699" spans="1:33" x14ac:dyDescent="0.25">
      <c r="A699" s="1">
        <v>45567</v>
      </c>
      <c r="B699">
        <v>925</v>
      </c>
      <c r="C699" t="s">
        <v>42</v>
      </c>
      <c r="D699" t="s">
        <v>215</v>
      </c>
      <c r="E699">
        <v>616602</v>
      </c>
      <c r="F699" s="2">
        <v>0.6875</v>
      </c>
      <c r="G699" t="s">
        <v>6</v>
      </c>
      <c r="H699" s="2">
        <v>0.70833333333333337</v>
      </c>
      <c r="I699">
        <v>1183</v>
      </c>
      <c r="J699">
        <v>0</v>
      </c>
      <c r="K699">
        <v>0</v>
      </c>
      <c r="L699">
        <v>16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4</v>
      </c>
      <c r="AC699">
        <v>3</v>
      </c>
      <c r="AD699" s="3" t="str">
        <f t="shared" si="30"/>
        <v>S2S PREMIUM</v>
      </c>
      <c r="AE699" s="3" t="e">
        <f>VLOOKUP(E699,'[1]Nómina Agentes'!$C:$D,2,0)</f>
        <v>#N/A</v>
      </c>
      <c r="AF699" s="5">
        <f t="shared" si="31"/>
        <v>0.6875</v>
      </c>
      <c r="AG699" s="5">
        <f t="shared" si="32"/>
        <v>0.70833333333333337</v>
      </c>
    </row>
    <row r="700" spans="1:33" x14ac:dyDescent="0.25">
      <c r="A700" s="1">
        <v>45567</v>
      </c>
      <c r="B700">
        <v>925</v>
      </c>
      <c r="C700" t="s">
        <v>42</v>
      </c>
      <c r="D700" t="s">
        <v>215</v>
      </c>
      <c r="E700">
        <v>616602</v>
      </c>
      <c r="F700" s="2">
        <v>0.77083333333333337</v>
      </c>
      <c r="G700" t="s">
        <v>6</v>
      </c>
      <c r="H700" s="2">
        <v>0.79166666666666663</v>
      </c>
      <c r="I700">
        <v>1314</v>
      </c>
      <c r="J700">
        <v>0</v>
      </c>
      <c r="K700">
        <v>0</v>
      </c>
      <c r="L700">
        <v>12</v>
      </c>
      <c r="M700">
        <v>0</v>
      </c>
      <c r="N700">
        <v>0</v>
      </c>
      <c r="O700">
        <v>0</v>
      </c>
      <c r="P700">
        <v>1</v>
      </c>
      <c r="Q700">
        <v>1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3</v>
      </c>
      <c r="AC700">
        <v>3</v>
      </c>
      <c r="AD700" s="3" t="str">
        <f t="shared" si="30"/>
        <v>S2S PREMIUM</v>
      </c>
      <c r="AE700" s="3" t="e">
        <f>VLOOKUP(E700,'[1]Nómina Agentes'!$C:$D,2,0)</f>
        <v>#N/A</v>
      </c>
      <c r="AF700" s="5">
        <f t="shared" si="31"/>
        <v>0.77083333333333337</v>
      </c>
      <c r="AG700" s="5">
        <f t="shared" si="32"/>
        <v>0.79166666666666663</v>
      </c>
    </row>
    <row r="701" spans="1:33" x14ac:dyDescent="0.25">
      <c r="A701" s="1">
        <v>45567</v>
      </c>
      <c r="B701">
        <v>925</v>
      </c>
      <c r="C701" t="s">
        <v>42</v>
      </c>
      <c r="D701" t="s">
        <v>215</v>
      </c>
      <c r="E701">
        <v>616602</v>
      </c>
      <c r="F701" s="2">
        <v>0.72916666666666663</v>
      </c>
      <c r="G701" t="s">
        <v>6</v>
      </c>
      <c r="H701" s="2">
        <v>0.75</v>
      </c>
      <c r="I701">
        <v>1648</v>
      </c>
      <c r="J701">
        <v>0</v>
      </c>
      <c r="K701">
        <v>0</v>
      </c>
      <c r="L701">
        <v>4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1</v>
      </c>
      <c r="AC701">
        <v>0</v>
      </c>
      <c r="AD701" s="3" t="str">
        <f t="shared" si="30"/>
        <v>S2S PREMIUM</v>
      </c>
      <c r="AE701" s="3" t="e">
        <f>VLOOKUP(E701,'[1]Nómina Agentes'!$C:$D,2,0)</f>
        <v>#N/A</v>
      </c>
      <c r="AF701" s="5">
        <f t="shared" si="31"/>
        <v>0.72916666666666663</v>
      </c>
      <c r="AG701" s="5">
        <f t="shared" si="32"/>
        <v>0.75</v>
      </c>
    </row>
    <row r="702" spans="1:33" x14ac:dyDescent="0.25">
      <c r="A702" s="1">
        <v>45567</v>
      </c>
      <c r="B702">
        <v>925</v>
      </c>
      <c r="C702" t="s">
        <v>42</v>
      </c>
      <c r="D702" t="s">
        <v>216</v>
      </c>
      <c r="E702">
        <v>616605</v>
      </c>
      <c r="F702" s="2">
        <v>0.8125</v>
      </c>
      <c r="G702" t="s">
        <v>6</v>
      </c>
      <c r="H702" s="2">
        <v>0.83333333333333337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1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1</v>
      </c>
      <c r="AC702">
        <v>1</v>
      </c>
      <c r="AD702" s="3" t="str">
        <f t="shared" si="30"/>
        <v>S2S PREMIUM</v>
      </c>
      <c r="AE702" s="3" t="e">
        <f>VLOOKUP(E702,'[1]Nómina Agentes'!$C:$D,2,0)</f>
        <v>#N/A</v>
      </c>
      <c r="AF702" s="5">
        <f t="shared" si="31"/>
        <v>0.8125</v>
      </c>
      <c r="AG702" s="5">
        <f t="shared" si="32"/>
        <v>0.83333333333333337</v>
      </c>
    </row>
    <row r="703" spans="1:33" x14ac:dyDescent="0.25">
      <c r="A703" s="1">
        <v>45567</v>
      </c>
      <c r="B703">
        <v>925</v>
      </c>
      <c r="C703" t="s">
        <v>42</v>
      </c>
      <c r="D703" t="s">
        <v>216</v>
      </c>
      <c r="E703">
        <v>616605</v>
      </c>
      <c r="F703" s="2">
        <v>0.66666666666666663</v>
      </c>
      <c r="G703" t="s">
        <v>6</v>
      </c>
      <c r="H703" s="2">
        <v>0.6875</v>
      </c>
      <c r="I703">
        <v>702</v>
      </c>
      <c r="J703">
        <v>0</v>
      </c>
      <c r="K703">
        <v>0</v>
      </c>
      <c r="L703">
        <v>16</v>
      </c>
      <c r="M703">
        <v>0</v>
      </c>
      <c r="N703">
        <v>0</v>
      </c>
      <c r="O703">
        <v>0</v>
      </c>
      <c r="P703">
        <v>4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5</v>
      </c>
      <c r="AC703">
        <v>4</v>
      </c>
      <c r="AD703" s="3" t="str">
        <f t="shared" ref="AD703:AD766" si="33">UPPER(C703)</f>
        <v>S2S PREMIUM</v>
      </c>
      <c r="AE703" s="3" t="e">
        <f>VLOOKUP(E703,'[1]Nómina Agentes'!$C:$D,2,0)</f>
        <v>#N/A</v>
      </c>
      <c r="AF703" s="5">
        <f t="shared" ref="AF703:AF766" si="34">F703</f>
        <v>0.66666666666666663</v>
      </c>
      <c r="AG703" s="5">
        <f t="shared" ref="AG703:AG766" si="35">H703</f>
        <v>0.6875</v>
      </c>
    </row>
    <row r="704" spans="1:33" x14ac:dyDescent="0.25">
      <c r="A704" s="1">
        <v>45567</v>
      </c>
      <c r="B704">
        <v>925</v>
      </c>
      <c r="C704" t="s">
        <v>42</v>
      </c>
      <c r="D704" t="s">
        <v>216</v>
      </c>
      <c r="E704">
        <v>616605</v>
      </c>
      <c r="F704" s="2">
        <v>0.75</v>
      </c>
      <c r="G704" t="s">
        <v>6</v>
      </c>
      <c r="H704" s="2">
        <v>0.77083333333333337</v>
      </c>
      <c r="I704">
        <v>746</v>
      </c>
      <c r="J704">
        <v>0</v>
      </c>
      <c r="K704">
        <v>0</v>
      </c>
      <c r="L704">
        <v>13</v>
      </c>
      <c r="M704">
        <v>0</v>
      </c>
      <c r="N704">
        <v>0</v>
      </c>
      <c r="O704">
        <v>0</v>
      </c>
      <c r="P704">
        <v>2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2</v>
      </c>
      <c r="AC704">
        <v>1</v>
      </c>
      <c r="AD704" s="3" t="str">
        <f t="shared" si="33"/>
        <v>S2S PREMIUM</v>
      </c>
      <c r="AE704" s="3" t="e">
        <f>VLOOKUP(E704,'[1]Nómina Agentes'!$C:$D,2,0)</f>
        <v>#N/A</v>
      </c>
      <c r="AF704" s="5">
        <f t="shared" si="34"/>
        <v>0.75</v>
      </c>
      <c r="AG704" s="5">
        <f t="shared" si="35"/>
        <v>0.77083333333333337</v>
      </c>
    </row>
    <row r="705" spans="1:33" x14ac:dyDescent="0.25">
      <c r="A705" s="1">
        <v>45567</v>
      </c>
      <c r="B705">
        <v>925</v>
      </c>
      <c r="C705" t="s">
        <v>42</v>
      </c>
      <c r="D705" t="s">
        <v>216</v>
      </c>
      <c r="E705">
        <v>616605</v>
      </c>
      <c r="F705" s="2">
        <v>0.625</v>
      </c>
      <c r="G705" t="s">
        <v>6</v>
      </c>
      <c r="H705" s="2">
        <v>0.64583333333333337</v>
      </c>
      <c r="I705">
        <v>768</v>
      </c>
      <c r="J705">
        <v>0</v>
      </c>
      <c r="K705">
        <v>0</v>
      </c>
      <c r="L705">
        <v>12</v>
      </c>
      <c r="M705">
        <v>0</v>
      </c>
      <c r="N705">
        <v>0</v>
      </c>
      <c r="O705">
        <v>0</v>
      </c>
      <c r="P705">
        <v>63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2</v>
      </c>
      <c r="AC705">
        <v>2</v>
      </c>
      <c r="AD705" s="3" t="str">
        <f t="shared" si="33"/>
        <v>S2S PREMIUM</v>
      </c>
      <c r="AE705" s="3" t="e">
        <f>VLOOKUP(E705,'[1]Nómina Agentes'!$C:$D,2,0)</f>
        <v>#N/A</v>
      </c>
      <c r="AF705" s="5">
        <f t="shared" si="34"/>
        <v>0.625</v>
      </c>
      <c r="AG705" s="5">
        <f t="shared" si="35"/>
        <v>0.64583333333333337</v>
      </c>
    </row>
    <row r="706" spans="1:33" x14ac:dyDescent="0.25">
      <c r="A706" s="1">
        <v>45567</v>
      </c>
      <c r="B706">
        <v>925</v>
      </c>
      <c r="C706" t="s">
        <v>42</v>
      </c>
      <c r="D706" t="s">
        <v>216</v>
      </c>
      <c r="E706">
        <v>616605</v>
      </c>
      <c r="F706" s="2">
        <v>0.77083333333333337</v>
      </c>
      <c r="G706" t="s">
        <v>6</v>
      </c>
      <c r="H706" s="2">
        <v>0.79166666666666663</v>
      </c>
      <c r="I706">
        <v>979</v>
      </c>
      <c r="J706">
        <v>0</v>
      </c>
      <c r="K706">
        <v>0</v>
      </c>
      <c r="L706">
        <v>20</v>
      </c>
      <c r="M706">
        <v>0</v>
      </c>
      <c r="N706">
        <v>0</v>
      </c>
      <c r="O706">
        <v>0</v>
      </c>
      <c r="P706">
        <v>3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6</v>
      </c>
      <c r="AC706">
        <v>3</v>
      </c>
      <c r="AD706" s="3" t="str">
        <f t="shared" si="33"/>
        <v>S2S PREMIUM</v>
      </c>
      <c r="AE706" s="3" t="e">
        <f>VLOOKUP(E706,'[1]Nómina Agentes'!$C:$D,2,0)</f>
        <v>#N/A</v>
      </c>
      <c r="AF706" s="5">
        <f t="shared" si="34"/>
        <v>0.77083333333333337</v>
      </c>
      <c r="AG706" s="5">
        <f t="shared" si="35"/>
        <v>0.79166666666666663</v>
      </c>
    </row>
    <row r="707" spans="1:33" x14ac:dyDescent="0.25">
      <c r="A707" s="1">
        <v>45567</v>
      </c>
      <c r="B707">
        <v>925</v>
      </c>
      <c r="C707" t="s">
        <v>42</v>
      </c>
      <c r="D707" t="s">
        <v>216</v>
      </c>
      <c r="E707">
        <v>616605</v>
      </c>
      <c r="F707" s="2">
        <v>0.64583333333333337</v>
      </c>
      <c r="G707" t="s">
        <v>6</v>
      </c>
      <c r="H707" s="2">
        <v>0.66666666666666663</v>
      </c>
      <c r="I707">
        <v>1108</v>
      </c>
      <c r="J707">
        <v>0</v>
      </c>
      <c r="K707">
        <v>0</v>
      </c>
      <c r="L707">
        <v>8</v>
      </c>
      <c r="M707">
        <v>0</v>
      </c>
      <c r="N707">
        <v>0</v>
      </c>
      <c r="O707">
        <v>0</v>
      </c>
      <c r="P707">
        <v>71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2</v>
      </c>
      <c r="AC707">
        <v>2</v>
      </c>
      <c r="AD707" s="3" t="str">
        <f t="shared" si="33"/>
        <v>S2S PREMIUM</v>
      </c>
      <c r="AE707" s="3" t="e">
        <f>VLOOKUP(E707,'[1]Nómina Agentes'!$C:$D,2,0)</f>
        <v>#N/A</v>
      </c>
      <c r="AF707" s="5">
        <f t="shared" si="34"/>
        <v>0.64583333333333337</v>
      </c>
      <c r="AG707" s="5">
        <f t="shared" si="35"/>
        <v>0.66666666666666663</v>
      </c>
    </row>
    <row r="708" spans="1:33" x14ac:dyDescent="0.25">
      <c r="A708" s="1">
        <v>45567</v>
      </c>
      <c r="B708">
        <v>925</v>
      </c>
      <c r="C708" t="s">
        <v>42</v>
      </c>
      <c r="D708" t="s">
        <v>216</v>
      </c>
      <c r="E708">
        <v>616605</v>
      </c>
      <c r="F708" s="2">
        <v>0.70833333333333337</v>
      </c>
      <c r="G708" t="s">
        <v>6</v>
      </c>
      <c r="H708" s="2">
        <v>0.72916666666666663</v>
      </c>
      <c r="I708">
        <v>1128</v>
      </c>
      <c r="J708">
        <v>0</v>
      </c>
      <c r="K708">
        <v>0</v>
      </c>
      <c r="L708">
        <v>12</v>
      </c>
      <c r="M708">
        <v>0</v>
      </c>
      <c r="N708">
        <v>0</v>
      </c>
      <c r="O708">
        <v>0</v>
      </c>
      <c r="P708">
        <v>427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3</v>
      </c>
      <c r="AC708">
        <v>3</v>
      </c>
      <c r="AD708" s="3" t="str">
        <f t="shared" si="33"/>
        <v>S2S PREMIUM</v>
      </c>
      <c r="AE708" s="3" t="e">
        <f>VLOOKUP(E708,'[1]Nómina Agentes'!$C:$D,2,0)</f>
        <v>#N/A</v>
      </c>
      <c r="AF708" s="5">
        <f t="shared" si="34"/>
        <v>0.70833333333333337</v>
      </c>
      <c r="AG708" s="5">
        <f t="shared" si="35"/>
        <v>0.72916666666666663</v>
      </c>
    </row>
    <row r="709" spans="1:33" x14ac:dyDescent="0.25">
      <c r="A709" s="1">
        <v>45567</v>
      </c>
      <c r="B709">
        <v>925</v>
      </c>
      <c r="C709" t="s">
        <v>42</v>
      </c>
      <c r="D709" t="s">
        <v>216</v>
      </c>
      <c r="E709">
        <v>616605</v>
      </c>
      <c r="F709" s="2">
        <v>0.72916666666666663</v>
      </c>
      <c r="G709" t="s">
        <v>6</v>
      </c>
      <c r="H709" s="2">
        <v>0.75</v>
      </c>
      <c r="I709">
        <v>1129</v>
      </c>
      <c r="J709">
        <v>0</v>
      </c>
      <c r="K709">
        <v>0</v>
      </c>
      <c r="L709">
        <v>24</v>
      </c>
      <c r="M709">
        <v>0</v>
      </c>
      <c r="N709">
        <v>0</v>
      </c>
      <c r="O709">
        <v>0</v>
      </c>
      <c r="P709">
        <v>66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6</v>
      </c>
      <c r="AC709">
        <v>4</v>
      </c>
      <c r="AD709" s="3" t="str">
        <f t="shared" si="33"/>
        <v>S2S PREMIUM</v>
      </c>
      <c r="AE709" s="3" t="e">
        <f>VLOOKUP(E709,'[1]Nómina Agentes'!$C:$D,2,0)</f>
        <v>#N/A</v>
      </c>
      <c r="AF709" s="5">
        <f t="shared" si="34"/>
        <v>0.72916666666666663</v>
      </c>
      <c r="AG709" s="5">
        <f t="shared" si="35"/>
        <v>0.75</v>
      </c>
    </row>
    <row r="710" spans="1:33" x14ac:dyDescent="0.25">
      <c r="A710" s="1">
        <v>45567</v>
      </c>
      <c r="B710">
        <v>925</v>
      </c>
      <c r="C710" t="s">
        <v>42</v>
      </c>
      <c r="D710" t="s">
        <v>216</v>
      </c>
      <c r="E710">
        <v>616605</v>
      </c>
      <c r="F710" s="2">
        <v>0.6875</v>
      </c>
      <c r="G710" t="s">
        <v>6</v>
      </c>
      <c r="H710" s="2">
        <v>0.70833333333333337</v>
      </c>
      <c r="I710">
        <v>1226</v>
      </c>
      <c r="J710">
        <v>0</v>
      </c>
      <c r="K710">
        <v>0</v>
      </c>
      <c r="L710">
        <v>8</v>
      </c>
      <c r="M710">
        <v>0</v>
      </c>
      <c r="N710">
        <v>0</v>
      </c>
      <c r="O710">
        <v>0</v>
      </c>
      <c r="P710">
        <v>1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1</v>
      </c>
      <c r="AC710">
        <v>1</v>
      </c>
      <c r="AD710" s="3" t="str">
        <f t="shared" si="33"/>
        <v>S2S PREMIUM</v>
      </c>
      <c r="AE710" s="3" t="e">
        <f>VLOOKUP(E710,'[1]Nómina Agentes'!$C:$D,2,0)</f>
        <v>#N/A</v>
      </c>
      <c r="AF710" s="5">
        <f t="shared" si="34"/>
        <v>0.6875</v>
      </c>
      <c r="AG710" s="5">
        <f t="shared" si="35"/>
        <v>0.70833333333333337</v>
      </c>
    </row>
    <row r="711" spans="1:33" x14ac:dyDescent="0.25">
      <c r="A711" s="1">
        <v>45567</v>
      </c>
      <c r="B711">
        <v>925</v>
      </c>
      <c r="C711" t="s">
        <v>42</v>
      </c>
      <c r="D711" t="s">
        <v>216</v>
      </c>
      <c r="E711">
        <v>616605</v>
      </c>
      <c r="F711" s="2">
        <v>0.79166666666666663</v>
      </c>
      <c r="G711" t="s">
        <v>6</v>
      </c>
      <c r="H711" s="2">
        <v>0.8125</v>
      </c>
      <c r="I711">
        <v>1370</v>
      </c>
      <c r="J711">
        <v>0</v>
      </c>
      <c r="K711">
        <v>0</v>
      </c>
      <c r="L711">
        <v>19</v>
      </c>
      <c r="M711">
        <v>0</v>
      </c>
      <c r="N711">
        <v>0</v>
      </c>
      <c r="O711">
        <v>0</v>
      </c>
      <c r="P711">
        <v>36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5</v>
      </c>
      <c r="AC711">
        <v>5</v>
      </c>
      <c r="AD711" s="3" t="str">
        <f t="shared" si="33"/>
        <v>S2S PREMIUM</v>
      </c>
      <c r="AE711" s="3" t="e">
        <f>VLOOKUP(E711,'[1]Nómina Agentes'!$C:$D,2,0)</f>
        <v>#N/A</v>
      </c>
      <c r="AF711" s="5">
        <f t="shared" si="34"/>
        <v>0.79166666666666663</v>
      </c>
      <c r="AG711" s="5">
        <f t="shared" si="35"/>
        <v>0.8125</v>
      </c>
    </row>
    <row r="712" spans="1:33" x14ac:dyDescent="0.25">
      <c r="A712" s="1">
        <v>45567</v>
      </c>
      <c r="B712">
        <v>924</v>
      </c>
      <c r="C712" t="s">
        <v>43</v>
      </c>
      <c r="D712" t="s">
        <v>217</v>
      </c>
      <c r="E712">
        <v>625572</v>
      </c>
      <c r="F712" s="2">
        <v>0.75</v>
      </c>
      <c r="G712" t="s">
        <v>6</v>
      </c>
      <c r="H712" s="2">
        <v>0.77083333333333337</v>
      </c>
      <c r="I712">
        <v>125</v>
      </c>
      <c r="J712">
        <v>0</v>
      </c>
      <c r="K712">
        <v>0</v>
      </c>
      <c r="L712">
        <v>4</v>
      </c>
      <c r="M712">
        <v>0</v>
      </c>
      <c r="N712">
        <v>0</v>
      </c>
      <c r="O712">
        <v>0</v>
      </c>
      <c r="P712">
        <v>0</v>
      </c>
      <c r="Q712">
        <v>92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 s="3" t="str">
        <f t="shared" si="33"/>
        <v>S2S NO PREMIUM</v>
      </c>
      <c r="AE712" s="3" t="e">
        <f>VLOOKUP(E712,'[1]Nómina Agentes'!$C:$D,2,0)</f>
        <v>#N/A</v>
      </c>
      <c r="AF712" s="5">
        <f t="shared" si="34"/>
        <v>0.75</v>
      </c>
      <c r="AG712" s="5">
        <f t="shared" si="35"/>
        <v>0.77083333333333337</v>
      </c>
    </row>
    <row r="713" spans="1:33" x14ac:dyDescent="0.25">
      <c r="A713" s="1">
        <v>45567</v>
      </c>
      <c r="B713">
        <v>925</v>
      </c>
      <c r="C713" t="s">
        <v>42</v>
      </c>
      <c r="D713" t="s">
        <v>217</v>
      </c>
      <c r="E713">
        <v>625572</v>
      </c>
      <c r="F713" s="2">
        <v>0.75</v>
      </c>
      <c r="G713" t="s">
        <v>6</v>
      </c>
      <c r="H713" s="2">
        <v>0.77083333333333337</v>
      </c>
      <c r="I713">
        <v>163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1</v>
      </c>
      <c r="AC713">
        <v>1</v>
      </c>
      <c r="AD713" s="3" t="str">
        <f t="shared" si="33"/>
        <v>S2S PREMIUM</v>
      </c>
      <c r="AE713" s="3" t="e">
        <f>VLOOKUP(E713,'[1]Nómina Agentes'!$C:$D,2,0)</f>
        <v>#N/A</v>
      </c>
      <c r="AF713" s="5">
        <f t="shared" si="34"/>
        <v>0.75</v>
      </c>
      <c r="AG713" s="5">
        <f t="shared" si="35"/>
        <v>0.77083333333333337</v>
      </c>
    </row>
    <row r="714" spans="1:33" x14ac:dyDescent="0.25">
      <c r="A714" s="1">
        <v>45567</v>
      </c>
      <c r="B714">
        <v>924</v>
      </c>
      <c r="C714" t="s">
        <v>43</v>
      </c>
      <c r="D714" t="s">
        <v>217</v>
      </c>
      <c r="E714">
        <v>625572</v>
      </c>
      <c r="F714" s="2">
        <v>0.8125</v>
      </c>
      <c r="G714" t="s">
        <v>6</v>
      </c>
      <c r="H714" s="2">
        <v>0.83333333333333337</v>
      </c>
      <c r="I714">
        <v>269</v>
      </c>
      <c r="J714">
        <v>0</v>
      </c>
      <c r="K714">
        <v>0</v>
      </c>
      <c r="L714">
        <v>4</v>
      </c>
      <c r="M714">
        <v>0</v>
      </c>
      <c r="N714">
        <v>0</v>
      </c>
      <c r="O714">
        <v>0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2</v>
      </c>
      <c r="AC714">
        <v>1</v>
      </c>
      <c r="AD714" s="3" t="str">
        <f t="shared" si="33"/>
        <v>S2S NO PREMIUM</v>
      </c>
      <c r="AE714" s="3" t="e">
        <f>VLOOKUP(E714,'[1]Nómina Agentes'!$C:$D,2,0)</f>
        <v>#N/A</v>
      </c>
      <c r="AF714" s="5">
        <f t="shared" si="34"/>
        <v>0.8125</v>
      </c>
      <c r="AG714" s="5">
        <f t="shared" si="35"/>
        <v>0.83333333333333337</v>
      </c>
    </row>
    <row r="715" spans="1:33" x14ac:dyDescent="0.25">
      <c r="A715" s="1">
        <v>45567</v>
      </c>
      <c r="B715">
        <v>925</v>
      </c>
      <c r="C715" t="s">
        <v>42</v>
      </c>
      <c r="D715" t="s">
        <v>217</v>
      </c>
      <c r="E715">
        <v>625572</v>
      </c>
      <c r="F715" s="2">
        <v>0.66666666666666663</v>
      </c>
      <c r="G715" t="s">
        <v>6</v>
      </c>
      <c r="H715" s="2">
        <v>0.6875</v>
      </c>
      <c r="I715">
        <v>478</v>
      </c>
      <c r="J715">
        <v>0</v>
      </c>
      <c r="K715">
        <v>0</v>
      </c>
      <c r="L715">
        <v>12</v>
      </c>
      <c r="M715">
        <v>0</v>
      </c>
      <c r="N715">
        <v>0</v>
      </c>
      <c r="O715">
        <v>0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4</v>
      </c>
      <c r="AC715">
        <v>3</v>
      </c>
      <c r="AD715" s="3" t="str">
        <f t="shared" si="33"/>
        <v>S2S PREMIUM</v>
      </c>
      <c r="AE715" s="3" t="e">
        <f>VLOOKUP(E715,'[1]Nómina Agentes'!$C:$D,2,0)</f>
        <v>#N/A</v>
      </c>
      <c r="AF715" s="5">
        <f t="shared" si="34"/>
        <v>0.66666666666666663</v>
      </c>
      <c r="AG715" s="5">
        <f t="shared" si="35"/>
        <v>0.6875</v>
      </c>
    </row>
    <row r="716" spans="1:33" x14ac:dyDescent="0.25">
      <c r="A716" s="1">
        <v>45567</v>
      </c>
      <c r="B716">
        <v>925</v>
      </c>
      <c r="C716" t="s">
        <v>42</v>
      </c>
      <c r="D716" t="s">
        <v>217</v>
      </c>
      <c r="E716">
        <v>625572</v>
      </c>
      <c r="F716" s="2">
        <v>0.70833333333333337</v>
      </c>
      <c r="G716" t="s">
        <v>6</v>
      </c>
      <c r="H716" s="2">
        <v>0.72916666666666663</v>
      </c>
      <c r="I716">
        <v>638</v>
      </c>
      <c r="J716">
        <v>0</v>
      </c>
      <c r="K716">
        <v>0</v>
      </c>
      <c r="L716">
        <v>4</v>
      </c>
      <c r="M716">
        <v>0</v>
      </c>
      <c r="N716">
        <v>0</v>
      </c>
      <c r="O716">
        <v>0</v>
      </c>
      <c r="P716">
        <v>1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1</v>
      </c>
      <c r="AC716">
        <v>1</v>
      </c>
      <c r="AD716" s="3" t="str">
        <f t="shared" si="33"/>
        <v>S2S PREMIUM</v>
      </c>
      <c r="AE716" s="3" t="e">
        <f>VLOOKUP(E716,'[1]Nómina Agentes'!$C:$D,2,0)</f>
        <v>#N/A</v>
      </c>
      <c r="AF716" s="5">
        <f t="shared" si="34"/>
        <v>0.70833333333333337</v>
      </c>
      <c r="AG716" s="5">
        <f t="shared" si="35"/>
        <v>0.72916666666666663</v>
      </c>
    </row>
    <row r="717" spans="1:33" x14ac:dyDescent="0.25">
      <c r="A717" s="1">
        <v>45567</v>
      </c>
      <c r="B717">
        <v>925</v>
      </c>
      <c r="C717" t="s">
        <v>42</v>
      </c>
      <c r="D717" t="s">
        <v>217</v>
      </c>
      <c r="E717">
        <v>625572</v>
      </c>
      <c r="F717" s="2">
        <v>0.60416666666666663</v>
      </c>
      <c r="G717" t="s">
        <v>6</v>
      </c>
      <c r="H717" s="2">
        <v>0.625</v>
      </c>
      <c r="I717">
        <v>670</v>
      </c>
      <c r="J717">
        <v>0</v>
      </c>
      <c r="K717">
        <v>0</v>
      </c>
      <c r="L717">
        <v>12</v>
      </c>
      <c r="M717">
        <v>0</v>
      </c>
      <c r="N717">
        <v>0</v>
      </c>
      <c r="O717">
        <v>0</v>
      </c>
      <c r="P717">
        <v>181</v>
      </c>
      <c r="Q717">
        <v>162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4</v>
      </c>
      <c r="AC717">
        <v>4</v>
      </c>
      <c r="AD717" s="3" t="str">
        <f t="shared" si="33"/>
        <v>S2S PREMIUM</v>
      </c>
      <c r="AE717" s="3" t="e">
        <f>VLOOKUP(E717,'[1]Nómina Agentes'!$C:$D,2,0)</f>
        <v>#N/A</v>
      </c>
      <c r="AF717" s="5">
        <f t="shared" si="34"/>
        <v>0.60416666666666663</v>
      </c>
      <c r="AG717" s="5">
        <f t="shared" si="35"/>
        <v>0.625</v>
      </c>
    </row>
    <row r="718" spans="1:33" x14ac:dyDescent="0.25">
      <c r="A718" s="1">
        <v>45567</v>
      </c>
      <c r="B718">
        <v>925</v>
      </c>
      <c r="C718" t="s">
        <v>42</v>
      </c>
      <c r="D718" t="s">
        <v>217</v>
      </c>
      <c r="E718">
        <v>625572</v>
      </c>
      <c r="F718" s="2">
        <v>0.58333333333333337</v>
      </c>
      <c r="G718" t="s">
        <v>6</v>
      </c>
      <c r="H718" s="2">
        <v>0.60416666666666663</v>
      </c>
      <c r="I718">
        <v>674</v>
      </c>
      <c r="J718">
        <v>0</v>
      </c>
      <c r="K718">
        <v>0</v>
      </c>
      <c r="L718">
        <v>16</v>
      </c>
      <c r="M718">
        <v>0</v>
      </c>
      <c r="N718">
        <v>0</v>
      </c>
      <c r="O718">
        <v>0</v>
      </c>
      <c r="P718">
        <v>3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3</v>
      </c>
      <c r="AC718">
        <v>3</v>
      </c>
      <c r="AD718" s="3" t="str">
        <f t="shared" si="33"/>
        <v>S2S PREMIUM</v>
      </c>
      <c r="AE718" s="3" t="e">
        <f>VLOOKUP(E718,'[1]Nómina Agentes'!$C:$D,2,0)</f>
        <v>#N/A</v>
      </c>
      <c r="AF718" s="5">
        <f t="shared" si="34"/>
        <v>0.58333333333333337</v>
      </c>
      <c r="AG718" s="5">
        <f t="shared" si="35"/>
        <v>0.60416666666666663</v>
      </c>
    </row>
    <row r="719" spans="1:33" x14ac:dyDescent="0.25">
      <c r="A719" s="1">
        <v>45567</v>
      </c>
      <c r="B719">
        <v>924</v>
      </c>
      <c r="C719" t="s">
        <v>43</v>
      </c>
      <c r="D719" t="s">
        <v>217</v>
      </c>
      <c r="E719">
        <v>625572</v>
      </c>
      <c r="F719" s="2">
        <v>0.77083333333333337</v>
      </c>
      <c r="G719" t="s">
        <v>6</v>
      </c>
      <c r="H719" s="2">
        <v>0.79166666666666663</v>
      </c>
      <c r="I719">
        <v>802</v>
      </c>
      <c r="J719">
        <v>0</v>
      </c>
      <c r="K719">
        <v>0</v>
      </c>
      <c r="L719">
        <v>20</v>
      </c>
      <c r="M719">
        <v>0</v>
      </c>
      <c r="N719">
        <v>0</v>
      </c>
      <c r="O719">
        <v>0</v>
      </c>
      <c r="P719">
        <v>126</v>
      </c>
      <c r="Q719">
        <v>9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5</v>
      </c>
      <c r="AC719">
        <v>4</v>
      </c>
      <c r="AD719" s="3" t="str">
        <f t="shared" si="33"/>
        <v>S2S NO PREMIUM</v>
      </c>
      <c r="AE719" s="3" t="e">
        <f>VLOOKUP(E719,'[1]Nómina Agentes'!$C:$D,2,0)</f>
        <v>#N/A</v>
      </c>
      <c r="AF719" s="5">
        <f t="shared" si="34"/>
        <v>0.77083333333333337</v>
      </c>
      <c r="AG719" s="5">
        <f t="shared" si="35"/>
        <v>0.79166666666666663</v>
      </c>
    </row>
    <row r="720" spans="1:33" x14ac:dyDescent="0.25">
      <c r="A720" s="1">
        <v>45567</v>
      </c>
      <c r="B720">
        <v>925</v>
      </c>
      <c r="C720" t="s">
        <v>42</v>
      </c>
      <c r="D720" t="s">
        <v>217</v>
      </c>
      <c r="E720">
        <v>625572</v>
      </c>
      <c r="F720" s="2">
        <v>0.64583333333333337</v>
      </c>
      <c r="G720" t="s">
        <v>6</v>
      </c>
      <c r="H720" s="2">
        <v>0.66666666666666663</v>
      </c>
      <c r="I720">
        <v>861</v>
      </c>
      <c r="J720">
        <v>0</v>
      </c>
      <c r="K720">
        <v>0</v>
      </c>
      <c r="L720">
        <v>12</v>
      </c>
      <c r="M720">
        <v>0</v>
      </c>
      <c r="N720">
        <v>0</v>
      </c>
      <c r="O720">
        <v>0</v>
      </c>
      <c r="P720">
        <v>5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3</v>
      </c>
      <c r="AC720">
        <v>3</v>
      </c>
      <c r="AD720" s="3" t="str">
        <f t="shared" si="33"/>
        <v>S2S PREMIUM</v>
      </c>
      <c r="AE720" s="3" t="e">
        <f>VLOOKUP(E720,'[1]Nómina Agentes'!$C:$D,2,0)</f>
        <v>#N/A</v>
      </c>
      <c r="AF720" s="5">
        <f t="shared" si="34"/>
        <v>0.64583333333333337</v>
      </c>
      <c r="AG720" s="5">
        <f t="shared" si="35"/>
        <v>0.66666666666666663</v>
      </c>
    </row>
    <row r="721" spans="1:33" x14ac:dyDescent="0.25">
      <c r="A721" s="1">
        <v>45567</v>
      </c>
      <c r="B721">
        <v>925</v>
      </c>
      <c r="C721" t="s">
        <v>42</v>
      </c>
      <c r="D721" t="s">
        <v>217</v>
      </c>
      <c r="E721">
        <v>625572</v>
      </c>
      <c r="F721" s="2">
        <v>0.625</v>
      </c>
      <c r="G721" t="s">
        <v>6</v>
      </c>
      <c r="H721" s="2">
        <v>0.64583333333333337</v>
      </c>
      <c r="I721">
        <v>917</v>
      </c>
      <c r="J721">
        <v>0</v>
      </c>
      <c r="K721">
        <v>0</v>
      </c>
      <c r="L721">
        <v>16</v>
      </c>
      <c r="M721">
        <v>0</v>
      </c>
      <c r="N721">
        <v>0</v>
      </c>
      <c r="O721">
        <v>0</v>
      </c>
      <c r="P721">
        <v>122</v>
      </c>
      <c r="Q721">
        <v>108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3</v>
      </c>
      <c r="AC721">
        <v>3</v>
      </c>
      <c r="AD721" s="3" t="str">
        <f t="shared" si="33"/>
        <v>S2S PREMIUM</v>
      </c>
      <c r="AE721" s="3" t="e">
        <f>VLOOKUP(E721,'[1]Nómina Agentes'!$C:$D,2,0)</f>
        <v>#N/A</v>
      </c>
      <c r="AF721" s="5">
        <f t="shared" si="34"/>
        <v>0.625</v>
      </c>
      <c r="AG721" s="5">
        <f t="shared" si="35"/>
        <v>0.64583333333333337</v>
      </c>
    </row>
    <row r="722" spans="1:33" x14ac:dyDescent="0.25">
      <c r="A722" s="1">
        <v>45567</v>
      </c>
      <c r="B722">
        <v>924</v>
      </c>
      <c r="C722" t="s">
        <v>43</v>
      </c>
      <c r="D722" t="s">
        <v>217</v>
      </c>
      <c r="E722">
        <v>625572</v>
      </c>
      <c r="F722" s="2">
        <v>0.79166666666666663</v>
      </c>
      <c r="G722" t="s">
        <v>6</v>
      </c>
      <c r="H722" s="2">
        <v>0.8125</v>
      </c>
      <c r="I722">
        <v>1005</v>
      </c>
      <c r="J722">
        <v>0</v>
      </c>
      <c r="K722">
        <v>0</v>
      </c>
      <c r="L722">
        <v>16</v>
      </c>
      <c r="M722">
        <v>0</v>
      </c>
      <c r="N722">
        <v>0</v>
      </c>
      <c r="O722">
        <v>0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4</v>
      </c>
      <c r="AC722">
        <v>4</v>
      </c>
      <c r="AD722" s="3" t="str">
        <f t="shared" si="33"/>
        <v>S2S NO PREMIUM</v>
      </c>
      <c r="AE722" s="3" t="e">
        <f>VLOOKUP(E722,'[1]Nómina Agentes'!$C:$D,2,0)</f>
        <v>#N/A</v>
      </c>
      <c r="AF722" s="5">
        <f t="shared" si="34"/>
        <v>0.79166666666666663</v>
      </c>
      <c r="AG722" s="5">
        <f t="shared" si="35"/>
        <v>0.8125</v>
      </c>
    </row>
    <row r="723" spans="1:33" x14ac:dyDescent="0.25">
      <c r="A723" s="1">
        <v>45567</v>
      </c>
      <c r="B723">
        <v>925</v>
      </c>
      <c r="C723" t="s">
        <v>42</v>
      </c>
      <c r="D723" t="s">
        <v>217</v>
      </c>
      <c r="E723">
        <v>625572</v>
      </c>
      <c r="F723" s="2">
        <v>0.6875</v>
      </c>
      <c r="G723" t="s">
        <v>6</v>
      </c>
      <c r="H723" s="2">
        <v>0.70833333333333337</v>
      </c>
      <c r="I723">
        <v>1222</v>
      </c>
      <c r="J723">
        <v>0</v>
      </c>
      <c r="K723">
        <v>0</v>
      </c>
      <c r="L723">
        <v>12</v>
      </c>
      <c r="M723">
        <v>0</v>
      </c>
      <c r="N723">
        <v>0</v>
      </c>
      <c r="O723">
        <v>0</v>
      </c>
      <c r="P723">
        <v>288</v>
      </c>
      <c r="Q723">
        <v>255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2</v>
      </c>
      <c r="AC723">
        <v>1</v>
      </c>
      <c r="AD723" s="3" t="str">
        <f t="shared" si="33"/>
        <v>S2S PREMIUM</v>
      </c>
      <c r="AE723" s="3" t="e">
        <f>VLOOKUP(E723,'[1]Nómina Agentes'!$C:$D,2,0)</f>
        <v>#N/A</v>
      </c>
      <c r="AF723" s="5">
        <f t="shared" si="34"/>
        <v>0.6875</v>
      </c>
      <c r="AG723" s="5">
        <f t="shared" si="35"/>
        <v>0.70833333333333337</v>
      </c>
    </row>
    <row r="724" spans="1:33" x14ac:dyDescent="0.25">
      <c r="A724" s="1">
        <v>45567</v>
      </c>
      <c r="B724">
        <v>925</v>
      </c>
      <c r="C724" t="s">
        <v>42</v>
      </c>
      <c r="D724" t="s">
        <v>217</v>
      </c>
      <c r="E724">
        <v>625572</v>
      </c>
      <c r="F724" s="2">
        <v>0.72916666666666663</v>
      </c>
      <c r="G724" t="s">
        <v>6</v>
      </c>
      <c r="H724" s="2">
        <v>0.75</v>
      </c>
      <c r="I724">
        <v>1546</v>
      </c>
      <c r="J724">
        <v>0</v>
      </c>
      <c r="K724">
        <v>0</v>
      </c>
      <c r="L724">
        <v>12</v>
      </c>
      <c r="M724">
        <v>0</v>
      </c>
      <c r="N724">
        <v>0</v>
      </c>
      <c r="O724">
        <v>0</v>
      </c>
      <c r="P724">
        <v>35</v>
      </c>
      <c r="Q724">
        <v>32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3</v>
      </c>
      <c r="AC724">
        <v>2</v>
      </c>
      <c r="AD724" s="3" t="str">
        <f t="shared" si="33"/>
        <v>S2S PREMIUM</v>
      </c>
      <c r="AE724" s="3" t="e">
        <f>VLOOKUP(E724,'[1]Nómina Agentes'!$C:$D,2,0)</f>
        <v>#N/A</v>
      </c>
      <c r="AF724" s="5">
        <f t="shared" si="34"/>
        <v>0.72916666666666663</v>
      </c>
      <c r="AG724" s="5">
        <f t="shared" si="35"/>
        <v>0.75</v>
      </c>
    </row>
    <row r="725" spans="1:33" x14ac:dyDescent="0.25">
      <c r="A725" s="1">
        <v>45567</v>
      </c>
      <c r="B725">
        <v>924</v>
      </c>
      <c r="C725" t="s">
        <v>43</v>
      </c>
      <c r="D725" t="s">
        <v>218</v>
      </c>
      <c r="E725">
        <v>628010</v>
      </c>
      <c r="F725" s="2">
        <v>0.625</v>
      </c>
      <c r="G725" t="s">
        <v>6</v>
      </c>
      <c r="H725" s="2">
        <v>0.64583333333333337</v>
      </c>
      <c r="I725">
        <v>13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1</v>
      </c>
      <c r="AC725">
        <v>0</v>
      </c>
      <c r="AD725" s="3" t="str">
        <f t="shared" si="33"/>
        <v>S2S NO PREMIUM</v>
      </c>
      <c r="AE725" s="3" t="e">
        <f>VLOOKUP(E725,'[1]Nómina Agentes'!$C:$D,2,0)</f>
        <v>#N/A</v>
      </c>
      <c r="AF725" s="5">
        <f t="shared" si="34"/>
        <v>0.625</v>
      </c>
      <c r="AG725" s="5">
        <f t="shared" si="35"/>
        <v>0.64583333333333337</v>
      </c>
    </row>
    <row r="726" spans="1:33" x14ac:dyDescent="0.25">
      <c r="A726" s="1">
        <v>45567</v>
      </c>
      <c r="B726">
        <v>924</v>
      </c>
      <c r="C726" t="s">
        <v>43</v>
      </c>
      <c r="D726" t="s">
        <v>218</v>
      </c>
      <c r="E726">
        <v>628010</v>
      </c>
      <c r="F726" s="2">
        <v>0.60416666666666663</v>
      </c>
      <c r="G726" t="s">
        <v>6</v>
      </c>
      <c r="H726" s="2">
        <v>0.625</v>
      </c>
      <c r="I726">
        <v>203</v>
      </c>
      <c r="J726">
        <v>0</v>
      </c>
      <c r="K726">
        <v>0</v>
      </c>
      <c r="L726">
        <v>8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1</v>
      </c>
      <c r="AC726">
        <v>0</v>
      </c>
      <c r="AD726" s="3" t="str">
        <f t="shared" si="33"/>
        <v>S2S NO PREMIUM</v>
      </c>
      <c r="AE726" s="3" t="e">
        <f>VLOOKUP(E726,'[1]Nómina Agentes'!$C:$D,2,0)</f>
        <v>#N/A</v>
      </c>
      <c r="AF726" s="5">
        <f t="shared" si="34"/>
        <v>0.60416666666666663</v>
      </c>
      <c r="AG726" s="5">
        <f t="shared" si="35"/>
        <v>0.625</v>
      </c>
    </row>
    <row r="727" spans="1:33" x14ac:dyDescent="0.25">
      <c r="A727" s="1">
        <v>45567</v>
      </c>
      <c r="B727">
        <v>924</v>
      </c>
      <c r="C727" t="s">
        <v>43</v>
      </c>
      <c r="D727" t="s">
        <v>218</v>
      </c>
      <c r="E727">
        <v>628010</v>
      </c>
      <c r="F727" s="2">
        <v>0.58333333333333337</v>
      </c>
      <c r="G727" t="s">
        <v>6</v>
      </c>
      <c r="H727" s="2">
        <v>0.60416666666666663</v>
      </c>
      <c r="I727">
        <v>577</v>
      </c>
      <c r="J727">
        <v>0</v>
      </c>
      <c r="K727">
        <v>0</v>
      </c>
      <c r="L727">
        <v>16</v>
      </c>
      <c r="M727">
        <v>0</v>
      </c>
      <c r="N727">
        <v>0</v>
      </c>
      <c r="O727">
        <v>0</v>
      </c>
      <c r="P727">
        <v>141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5</v>
      </c>
      <c r="AC727">
        <v>4</v>
      </c>
      <c r="AD727" s="3" t="str">
        <f t="shared" si="33"/>
        <v>S2S NO PREMIUM</v>
      </c>
      <c r="AE727" s="3" t="e">
        <f>VLOOKUP(E727,'[1]Nómina Agentes'!$C:$D,2,0)</f>
        <v>#N/A</v>
      </c>
      <c r="AF727" s="5">
        <f t="shared" si="34"/>
        <v>0.58333333333333337</v>
      </c>
      <c r="AG727" s="5">
        <f t="shared" si="35"/>
        <v>0.60416666666666663</v>
      </c>
    </row>
    <row r="728" spans="1:33" x14ac:dyDescent="0.25">
      <c r="A728" s="1">
        <v>45567</v>
      </c>
      <c r="B728">
        <v>925</v>
      </c>
      <c r="C728" t="s">
        <v>42</v>
      </c>
      <c r="D728" t="s">
        <v>219</v>
      </c>
      <c r="E728">
        <v>628026</v>
      </c>
      <c r="F728" s="2">
        <v>0.625</v>
      </c>
      <c r="G728" t="s">
        <v>6</v>
      </c>
      <c r="H728" s="2">
        <v>0.64583333333333337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 s="3" t="str">
        <f t="shared" si="33"/>
        <v>S2S PREMIUM</v>
      </c>
      <c r="AE728" s="3" t="e">
        <f>VLOOKUP(E728,'[1]Nómina Agentes'!$C:$D,2,0)</f>
        <v>#N/A</v>
      </c>
      <c r="AF728" s="5">
        <f t="shared" si="34"/>
        <v>0.625</v>
      </c>
      <c r="AG728" s="5">
        <f t="shared" si="35"/>
        <v>0.64583333333333337</v>
      </c>
    </row>
    <row r="729" spans="1:33" x14ac:dyDescent="0.25">
      <c r="A729" s="1">
        <v>45567</v>
      </c>
      <c r="B729">
        <v>925</v>
      </c>
      <c r="C729" t="s">
        <v>42</v>
      </c>
      <c r="D729" t="s">
        <v>219</v>
      </c>
      <c r="E729">
        <v>628026</v>
      </c>
      <c r="F729" s="2">
        <v>0.60416666666666663</v>
      </c>
      <c r="G729" t="s">
        <v>6</v>
      </c>
      <c r="H729" s="2">
        <v>0.625</v>
      </c>
      <c r="I729">
        <v>524</v>
      </c>
      <c r="J729">
        <v>0</v>
      </c>
      <c r="K729">
        <v>0</v>
      </c>
      <c r="L729">
        <v>8</v>
      </c>
      <c r="M729">
        <v>0</v>
      </c>
      <c r="N729">
        <v>0</v>
      </c>
      <c r="O729">
        <v>0</v>
      </c>
      <c r="P729">
        <v>2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2</v>
      </c>
      <c r="AC729">
        <v>2</v>
      </c>
      <c r="AD729" s="3" t="str">
        <f t="shared" si="33"/>
        <v>S2S PREMIUM</v>
      </c>
      <c r="AE729" s="3" t="e">
        <f>VLOOKUP(E729,'[1]Nómina Agentes'!$C:$D,2,0)</f>
        <v>#N/A</v>
      </c>
      <c r="AF729" s="5">
        <f t="shared" si="34"/>
        <v>0.60416666666666663</v>
      </c>
      <c r="AG729" s="5">
        <f t="shared" si="35"/>
        <v>0.625</v>
      </c>
    </row>
    <row r="730" spans="1:33" x14ac:dyDescent="0.25">
      <c r="A730" s="1">
        <v>45567</v>
      </c>
      <c r="B730">
        <v>925</v>
      </c>
      <c r="C730" t="s">
        <v>42</v>
      </c>
      <c r="D730" t="s">
        <v>219</v>
      </c>
      <c r="E730">
        <v>628026</v>
      </c>
      <c r="F730" s="2">
        <v>0.58333333333333337</v>
      </c>
      <c r="G730" t="s">
        <v>6</v>
      </c>
      <c r="H730" s="2">
        <v>0.60416666666666663</v>
      </c>
      <c r="I730">
        <v>753</v>
      </c>
      <c r="J730">
        <v>0</v>
      </c>
      <c r="K730">
        <v>0</v>
      </c>
      <c r="L730">
        <v>4</v>
      </c>
      <c r="M730">
        <v>0</v>
      </c>
      <c r="N730">
        <v>0</v>
      </c>
      <c r="O730">
        <v>0</v>
      </c>
      <c r="P730">
        <v>2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2</v>
      </c>
      <c r="AC730">
        <v>2</v>
      </c>
      <c r="AD730" s="3" t="str">
        <f t="shared" si="33"/>
        <v>S2S PREMIUM</v>
      </c>
      <c r="AE730" s="3" t="e">
        <f>VLOOKUP(E730,'[1]Nómina Agentes'!$C:$D,2,0)</f>
        <v>#N/A</v>
      </c>
      <c r="AF730" s="5">
        <f t="shared" si="34"/>
        <v>0.58333333333333337</v>
      </c>
      <c r="AG730" s="5">
        <f t="shared" si="35"/>
        <v>0.60416666666666663</v>
      </c>
    </row>
    <row r="731" spans="1:33" x14ac:dyDescent="0.25">
      <c r="A731" s="1">
        <v>45567</v>
      </c>
      <c r="B731">
        <v>925</v>
      </c>
      <c r="C731" t="s">
        <v>42</v>
      </c>
      <c r="D731" t="s">
        <v>220</v>
      </c>
      <c r="E731">
        <v>628032</v>
      </c>
      <c r="F731" s="2">
        <v>0.58333333333333337</v>
      </c>
      <c r="G731" t="s">
        <v>6</v>
      </c>
      <c r="H731" s="2">
        <v>0.60416666666666663</v>
      </c>
      <c r="I731">
        <v>562</v>
      </c>
      <c r="J731">
        <v>0</v>
      </c>
      <c r="K731">
        <v>0</v>
      </c>
      <c r="L731">
        <v>8</v>
      </c>
      <c r="M731">
        <v>0</v>
      </c>
      <c r="N731">
        <v>0</v>
      </c>
      <c r="O731">
        <v>0</v>
      </c>
      <c r="P731">
        <v>4</v>
      </c>
      <c r="Q731">
        <v>120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1</v>
      </c>
      <c r="AC731">
        <v>1</v>
      </c>
      <c r="AD731" s="3" t="str">
        <f t="shared" si="33"/>
        <v>S2S PREMIUM</v>
      </c>
      <c r="AE731" s="3" t="e">
        <f>VLOOKUP(E731,'[1]Nómina Agentes'!$C:$D,2,0)</f>
        <v>#N/A</v>
      </c>
      <c r="AF731" s="5">
        <f t="shared" si="34"/>
        <v>0.58333333333333337</v>
      </c>
      <c r="AG731" s="5">
        <f t="shared" si="35"/>
        <v>0.60416666666666663</v>
      </c>
    </row>
    <row r="732" spans="1:33" x14ac:dyDescent="0.25">
      <c r="A732" s="1">
        <v>45567</v>
      </c>
      <c r="B732">
        <v>925</v>
      </c>
      <c r="C732" t="s">
        <v>42</v>
      </c>
      <c r="D732" t="s">
        <v>220</v>
      </c>
      <c r="E732">
        <v>628032</v>
      </c>
      <c r="F732" s="2">
        <v>0.625</v>
      </c>
      <c r="G732" t="s">
        <v>6</v>
      </c>
      <c r="H732" s="2">
        <v>0.64583333333333337</v>
      </c>
      <c r="I732">
        <v>585</v>
      </c>
      <c r="J732">
        <v>6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1</v>
      </c>
      <c r="AC732">
        <v>1</v>
      </c>
      <c r="AD732" s="3" t="str">
        <f t="shared" si="33"/>
        <v>S2S PREMIUM</v>
      </c>
      <c r="AE732" s="3" t="e">
        <f>VLOOKUP(E732,'[1]Nómina Agentes'!$C:$D,2,0)</f>
        <v>#N/A</v>
      </c>
      <c r="AF732" s="5">
        <f t="shared" si="34"/>
        <v>0.625</v>
      </c>
      <c r="AG732" s="5">
        <f t="shared" si="35"/>
        <v>0.64583333333333337</v>
      </c>
    </row>
    <row r="733" spans="1:33" x14ac:dyDescent="0.25">
      <c r="A733" s="1">
        <v>45567</v>
      </c>
      <c r="B733">
        <v>925</v>
      </c>
      <c r="C733" t="s">
        <v>42</v>
      </c>
      <c r="D733" t="s">
        <v>220</v>
      </c>
      <c r="E733">
        <v>628032</v>
      </c>
      <c r="F733" s="2">
        <v>0.60416666666666663</v>
      </c>
      <c r="G733" t="s">
        <v>6</v>
      </c>
      <c r="H733" s="2">
        <v>0.625</v>
      </c>
      <c r="I733">
        <v>1209</v>
      </c>
      <c r="J733">
        <v>0</v>
      </c>
      <c r="K733">
        <v>0</v>
      </c>
      <c r="L733">
        <v>8</v>
      </c>
      <c r="M733">
        <v>0</v>
      </c>
      <c r="N733">
        <v>0</v>
      </c>
      <c r="O733">
        <v>0</v>
      </c>
      <c r="P733">
        <v>180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2</v>
      </c>
      <c r="AC733">
        <v>2</v>
      </c>
      <c r="AD733" s="3" t="str">
        <f t="shared" si="33"/>
        <v>S2S PREMIUM</v>
      </c>
      <c r="AE733" s="3" t="e">
        <f>VLOOKUP(E733,'[1]Nómina Agentes'!$C:$D,2,0)</f>
        <v>#N/A</v>
      </c>
      <c r="AF733" s="5">
        <f t="shared" si="34"/>
        <v>0.60416666666666663</v>
      </c>
      <c r="AG733" s="5">
        <f t="shared" si="35"/>
        <v>0.625</v>
      </c>
    </row>
    <row r="734" spans="1:33" x14ac:dyDescent="0.25">
      <c r="A734" s="1">
        <v>45567</v>
      </c>
      <c r="B734">
        <v>924</v>
      </c>
      <c r="C734" t="s">
        <v>43</v>
      </c>
      <c r="D734" t="s">
        <v>221</v>
      </c>
      <c r="E734">
        <v>628034</v>
      </c>
      <c r="F734" s="2">
        <v>0.64583333333333337</v>
      </c>
      <c r="G734" t="s">
        <v>6</v>
      </c>
      <c r="H734" s="2">
        <v>0.66666666666666663</v>
      </c>
      <c r="I734">
        <v>109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1</v>
      </c>
      <c r="AC734">
        <v>0</v>
      </c>
      <c r="AD734" s="3" t="str">
        <f t="shared" si="33"/>
        <v>S2S NO PREMIUM</v>
      </c>
      <c r="AE734" s="3" t="e">
        <f>VLOOKUP(E734,'[1]Nómina Agentes'!$C:$D,2,0)</f>
        <v>#N/A</v>
      </c>
      <c r="AF734" s="5">
        <f t="shared" si="34"/>
        <v>0.64583333333333337</v>
      </c>
      <c r="AG734" s="5">
        <f t="shared" si="35"/>
        <v>0.66666666666666663</v>
      </c>
    </row>
    <row r="735" spans="1:33" x14ac:dyDescent="0.25">
      <c r="A735" s="1">
        <v>45567</v>
      </c>
      <c r="B735">
        <v>924</v>
      </c>
      <c r="C735" t="s">
        <v>43</v>
      </c>
      <c r="D735" t="s">
        <v>221</v>
      </c>
      <c r="E735">
        <v>628034</v>
      </c>
      <c r="F735" s="2">
        <v>0.625</v>
      </c>
      <c r="G735" t="s">
        <v>6</v>
      </c>
      <c r="H735" s="2">
        <v>0.64583333333333337</v>
      </c>
      <c r="I735">
        <v>348</v>
      </c>
      <c r="J735">
        <v>0</v>
      </c>
      <c r="K735">
        <v>0</v>
      </c>
      <c r="L735">
        <v>12</v>
      </c>
      <c r="M735">
        <v>0</v>
      </c>
      <c r="N735">
        <v>0</v>
      </c>
      <c r="O735">
        <v>0</v>
      </c>
      <c r="P735">
        <v>270</v>
      </c>
      <c r="Q735">
        <v>256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2</v>
      </c>
      <c r="AC735">
        <v>2</v>
      </c>
      <c r="AD735" s="3" t="str">
        <f t="shared" si="33"/>
        <v>S2S NO PREMIUM</v>
      </c>
      <c r="AE735" s="3" t="e">
        <f>VLOOKUP(E735,'[1]Nómina Agentes'!$C:$D,2,0)</f>
        <v>#N/A</v>
      </c>
      <c r="AF735" s="5">
        <f t="shared" si="34"/>
        <v>0.625</v>
      </c>
      <c r="AG735" s="5">
        <f t="shared" si="35"/>
        <v>0.64583333333333337</v>
      </c>
    </row>
    <row r="736" spans="1:33" x14ac:dyDescent="0.25">
      <c r="A736" s="1">
        <v>45567</v>
      </c>
      <c r="B736">
        <v>924</v>
      </c>
      <c r="C736" t="s">
        <v>43</v>
      </c>
      <c r="D736" t="s">
        <v>221</v>
      </c>
      <c r="E736">
        <v>628034</v>
      </c>
      <c r="F736" s="2">
        <v>0.60416666666666663</v>
      </c>
      <c r="G736" t="s">
        <v>6</v>
      </c>
      <c r="H736" s="2">
        <v>0.625</v>
      </c>
      <c r="I736">
        <v>810</v>
      </c>
      <c r="J736">
        <v>0</v>
      </c>
      <c r="K736">
        <v>0</v>
      </c>
      <c r="L736">
        <v>8</v>
      </c>
      <c r="M736">
        <v>0</v>
      </c>
      <c r="N736">
        <v>0</v>
      </c>
      <c r="O736">
        <v>0</v>
      </c>
      <c r="P736">
        <v>3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3</v>
      </c>
      <c r="AC736">
        <v>3</v>
      </c>
      <c r="AD736" s="3" t="str">
        <f t="shared" si="33"/>
        <v>S2S NO PREMIUM</v>
      </c>
      <c r="AE736" s="3" t="e">
        <f>VLOOKUP(E736,'[1]Nómina Agentes'!$C:$D,2,0)</f>
        <v>#N/A</v>
      </c>
      <c r="AF736" s="5">
        <f t="shared" si="34"/>
        <v>0.60416666666666663</v>
      </c>
      <c r="AG736" s="5">
        <f t="shared" si="35"/>
        <v>0.625</v>
      </c>
    </row>
    <row r="737" spans="1:33" x14ac:dyDescent="0.25">
      <c r="A737" s="1">
        <v>45567</v>
      </c>
      <c r="B737">
        <v>924</v>
      </c>
      <c r="C737" t="s">
        <v>43</v>
      </c>
      <c r="D737" t="s">
        <v>221</v>
      </c>
      <c r="E737">
        <v>628034</v>
      </c>
      <c r="F737" s="2">
        <v>0.58333333333333337</v>
      </c>
      <c r="G737" t="s">
        <v>6</v>
      </c>
      <c r="H737" s="2">
        <v>0.60416666666666663</v>
      </c>
      <c r="I737">
        <v>895</v>
      </c>
      <c r="J737">
        <v>0</v>
      </c>
      <c r="K737">
        <v>0</v>
      </c>
      <c r="L737">
        <v>12</v>
      </c>
      <c r="M737">
        <v>0</v>
      </c>
      <c r="N737">
        <v>0</v>
      </c>
      <c r="O737">
        <v>0</v>
      </c>
      <c r="P737">
        <v>2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2</v>
      </c>
      <c r="AC737">
        <v>2</v>
      </c>
      <c r="AD737" s="3" t="str">
        <f t="shared" si="33"/>
        <v>S2S NO PREMIUM</v>
      </c>
      <c r="AE737" s="3" t="e">
        <f>VLOOKUP(E737,'[1]Nómina Agentes'!$C:$D,2,0)</f>
        <v>#N/A</v>
      </c>
      <c r="AF737" s="5">
        <f t="shared" si="34"/>
        <v>0.58333333333333337</v>
      </c>
      <c r="AG737" s="5">
        <f t="shared" si="35"/>
        <v>0.60416666666666663</v>
      </c>
    </row>
    <row r="738" spans="1:33" x14ac:dyDescent="0.25">
      <c r="A738" s="1">
        <v>45567</v>
      </c>
      <c r="B738">
        <v>925</v>
      </c>
      <c r="C738" t="s">
        <v>42</v>
      </c>
      <c r="D738" t="s">
        <v>222</v>
      </c>
      <c r="E738">
        <v>628044</v>
      </c>
      <c r="F738" s="2">
        <v>0.625</v>
      </c>
      <c r="G738" t="s">
        <v>6</v>
      </c>
      <c r="H738" s="2">
        <v>0.64583333333333337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 s="3" t="str">
        <f t="shared" si="33"/>
        <v>S2S PREMIUM</v>
      </c>
      <c r="AE738" s="3" t="e">
        <f>VLOOKUP(E738,'[1]Nómina Agentes'!$C:$D,2,0)</f>
        <v>#N/A</v>
      </c>
      <c r="AF738" s="5">
        <f t="shared" si="34"/>
        <v>0.625</v>
      </c>
      <c r="AG738" s="5">
        <f t="shared" si="35"/>
        <v>0.64583333333333337</v>
      </c>
    </row>
    <row r="739" spans="1:33" x14ac:dyDescent="0.25">
      <c r="A739" s="1">
        <v>45567</v>
      </c>
      <c r="B739">
        <v>925</v>
      </c>
      <c r="C739" t="s">
        <v>42</v>
      </c>
      <c r="D739" t="s">
        <v>222</v>
      </c>
      <c r="E739">
        <v>628044</v>
      </c>
      <c r="F739" s="2">
        <v>0.60416666666666663</v>
      </c>
      <c r="G739" t="s">
        <v>6</v>
      </c>
      <c r="H739" s="2">
        <v>0.625</v>
      </c>
      <c r="I739">
        <v>892</v>
      </c>
      <c r="J739">
        <v>0</v>
      </c>
      <c r="K739">
        <v>0</v>
      </c>
      <c r="L739">
        <v>8</v>
      </c>
      <c r="M739">
        <v>0</v>
      </c>
      <c r="N739">
        <v>0</v>
      </c>
      <c r="O739">
        <v>0</v>
      </c>
      <c r="P739">
        <v>2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2</v>
      </c>
      <c r="AC739">
        <v>2</v>
      </c>
      <c r="AD739" s="3" t="str">
        <f t="shared" si="33"/>
        <v>S2S PREMIUM</v>
      </c>
      <c r="AE739" s="3" t="e">
        <f>VLOOKUP(E739,'[1]Nómina Agentes'!$C:$D,2,0)</f>
        <v>#N/A</v>
      </c>
      <c r="AF739" s="5">
        <f t="shared" si="34"/>
        <v>0.60416666666666663</v>
      </c>
      <c r="AG739" s="5">
        <f t="shared" si="35"/>
        <v>0.625</v>
      </c>
    </row>
    <row r="740" spans="1:33" x14ac:dyDescent="0.25">
      <c r="A740" s="1">
        <v>45567</v>
      </c>
      <c r="B740">
        <v>925</v>
      </c>
      <c r="C740" t="s">
        <v>42</v>
      </c>
      <c r="D740" t="s">
        <v>222</v>
      </c>
      <c r="E740">
        <v>628044</v>
      </c>
      <c r="F740" s="2">
        <v>0.58333333333333337</v>
      </c>
      <c r="G740" t="s">
        <v>6</v>
      </c>
      <c r="H740" s="2">
        <v>0.60416666666666663</v>
      </c>
      <c r="I740">
        <v>1029</v>
      </c>
      <c r="J740">
        <v>0</v>
      </c>
      <c r="K740">
        <v>0</v>
      </c>
      <c r="L740">
        <v>16</v>
      </c>
      <c r="M740">
        <v>0</v>
      </c>
      <c r="N740">
        <v>0</v>
      </c>
      <c r="O740">
        <v>0</v>
      </c>
      <c r="P740">
        <v>6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4</v>
      </c>
      <c r="AC740">
        <v>4</v>
      </c>
      <c r="AD740" s="3" t="str">
        <f t="shared" si="33"/>
        <v>S2S PREMIUM</v>
      </c>
      <c r="AE740" s="3" t="e">
        <f>VLOOKUP(E740,'[1]Nómina Agentes'!$C:$D,2,0)</f>
        <v>#N/A</v>
      </c>
      <c r="AF740" s="5">
        <f t="shared" si="34"/>
        <v>0.58333333333333337</v>
      </c>
      <c r="AG740" s="5">
        <f t="shared" si="35"/>
        <v>0.60416666666666663</v>
      </c>
    </row>
    <row r="741" spans="1:33" x14ac:dyDescent="0.25">
      <c r="A741" s="1">
        <v>45567</v>
      </c>
      <c r="B741">
        <v>924</v>
      </c>
      <c r="C741" t="s">
        <v>43</v>
      </c>
      <c r="D741" t="s">
        <v>223</v>
      </c>
      <c r="E741">
        <v>628070</v>
      </c>
      <c r="F741" s="2">
        <v>0.64583333333333337</v>
      </c>
      <c r="G741" t="s">
        <v>6</v>
      </c>
      <c r="H741" s="2">
        <v>0.66666666666666663</v>
      </c>
      <c r="I741">
        <v>222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30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1</v>
      </c>
      <c r="AC741">
        <v>1</v>
      </c>
      <c r="AD741" s="3" t="str">
        <f t="shared" si="33"/>
        <v>S2S NO PREMIUM</v>
      </c>
      <c r="AE741" s="3" t="e">
        <f>VLOOKUP(E741,'[1]Nómina Agentes'!$C:$D,2,0)</f>
        <v>#N/A</v>
      </c>
      <c r="AF741" s="5">
        <f t="shared" si="34"/>
        <v>0.64583333333333337</v>
      </c>
      <c r="AG741" s="5">
        <f t="shared" si="35"/>
        <v>0.66666666666666663</v>
      </c>
    </row>
    <row r="742" spans="1:33" x14ac:dyDescent="0.25">
      <c r="A742" s="1">
        <v>45567</v>
      </c>
      <c r="B742">
        <v>924</v>
      </c>
      <c r="C742" t="s">
        <v>43</v>
      </c>
      <c r="D742" t="s">
        <v>223</v>
      </c>
      <c r="E742">
        <v>628070</v>
      </c>
      <c r="F742" s="2">
        <v>0.60416666666666663</v>
      </c>
      <c r="G742" t="s">
        <v>6</v>
      </c>
      <c r="H742" s="2">
        <v>0.625</v>
      </c>
      <c r="I742">
        <v>690</v>
      </c>
      <c r="J742">
        <v>0</v>
      </c>
      <c r="K742">
        <v>0</v>
      </c>
      <c r="L742">
        <v>16</v>
      </c>
      <c r="M742">
        <v>0</v>
      </c>
      <c r="N742">
        <v>0</v>
      </c>
      <c r="O742">
        <v>0</v>
      </c>
      <c r="P742">
        <v>200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4</v>
      </c>
      <c r="AC742">
        <v>4</v>
      </c>
      <c r="AD742" s="3" t="str">
        <f t="shared" si="33"/>
        <v>S2S NO PREMIUM</v>
      </c>
      <c r="AE742" s="3" t="e">
        <f>VLOOKUP(E742,'[1]Nómina Agentes'!$C:$D,2,0)</f>
        <v>#N/A</v>
      </c>
      <c r="AF742" s="5">
        <f t="shared" si="34"/>
        <v>0.60416666666666663</v>
      </c>
      <c r="AG742" s="5">
        <f t="shared" si="35"/>
        <v>0.625</v>
      </c>
    </row>
    <row r="743" spans="1:33" x14ac:dyDescent="0.25">
      <c r="A743" s="1">
        <v>45567</v>
      </c>
      <c r="B743">
        <v>924</v>
      </c>
      <c r="C743" t="s">
        <v>43</v>
      </c>
      <c r="D743" t="s">
        <v>223</v>
      </c>
      <c r="E743">
        <v>628070</v>
      </c>
      <c r="F743" s="2">
        <v>0.625</v>
      </c>
      <c r="G743" t="s">
        <v>6</v>
      </c>
      <c r="H743" s="2">
        <v>0.64583333333333337</v>
      </c>
      <c r="I743">
        <v>765</v>
      </c>
      <c r="J743">
        <v>0</v>
      </c>
      <c r="K743">
        <v>0</v>
      </c>
      <c r="L743">
        <v>12</v>
      </c>
      <c r="M743">
        <v>0</v>
      </c>
      <c r="N743">
        <v>0</v>
      </c>
      <c r="O743">
        <v>0</v>
      </c>
      <c r="P743">
        <v>102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2</v>
      </c>
      <c r="AC743">
        <v>2</v>
      </c>
      <c r="AD743" s="3" t="str">
        <f t="shared" si="33"/>
        <v>S2S NO PREMIUM</v>
      </c>
      <c r="AE743" s="3" t="e">
        <f>VLOOKUP(E743,'[1]Nómina Agentes'!$C:$D,2,0)</f>
        <v>#N/A</v>
      </c>
      <c r="AF743" s="5">
        <f t="shared" si="34"/>
        <v>0.625</v>
      </c>
      <c r="AG743" s="5">
        <f t="shared" si="35"/>
        <v>0.64583333333333337</v>
      </c>
    </row>
    <row r="744" spans="1:33" x14ac:dyDescent="0.25">
      <c r="A744" s="1">
        <v>45567</v>
      </c>
      <c r="B744">
        <v>924</v>
      </c>
      <c r="C744" t="s">
        <v>43</v>
      </c>
      <c r="D744" t="s">
        <v>223</v>
      </c>
      <c r="E744">
        <v>628070</v>
      </c>
      <c r="F744" s="2">
        <v>0.58333333333333337</v>
      </c>
      <c r="G744" t="s">
        <v>6</v>
      </c>
      <c r="H744" s="2">
        <v>0.60416666666666663</v>
      </c>
      <c r="I744">
        <v>1038</v>
      </c>
      <c r="J744">
        <v>0</v>
      </c>
      <c r="K744">
        <v>0</v>
      </c>
      <c r="L744">
        <v>8</v>
      </c>
      <c r="M744">
        <v>0</v>
      </c>
      <c r="N744">
        <v>0</v>
      </c>
      <c r="O744">
        <v>0</v>
      </c>
      <c r="P744">
        <v>198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2</v>
      </c>
      <c r="AC744">
        <v>2</v>
      </c>
      <c r="AD744" s="3" t="str">
        <f t="shared" si="33"/>
        <v>S2S NO PREMIUM</v>
      </c>
      <c r="AE744" s="3" t="e">
        <f>VLOOKUP(E744,'[1]Nómina Agentes'!$C:$D,2,0)</f>
        <v>#N/A</v>
      </c>
      <c r="AF744" s="5">
        <f t="shared" si="34"/>
        <v>0.58333333333333337</v>
      </c>
      <c r="AG744" s="5">
        <f t="shared" si="35"/>
        <v>0.60416666666666663</v>
      </c>
    </row>
    <row r="745" spans="1:33" x14ac:dyDescent="0.25">
      <c r="A745" s="1">
        <v>45567</v>
      </c>
      <c r="B745">
        <v>924</v>
      </c>
      <c r="C745" t="s">
        <v>43</v>
      </c>
      <c r="D745" t="s">
        <v>224</v>
      </c>
      <c r="E745">
        <v>628092</v>
      </c>
      <c r="F745" s="2">
        <v>0.64583333333333337</v>
      </c>
      <c r="G745" t="s">
        <v>6</v>
      </c>
      <c r="H745" s="2">
        <v>0.66666666666666663</v>
      </c>
      <c r="I745">
        <v>154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1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1</v>
      </c>
      <c r="AC745">
        <v>1</v>
      </c>
      <c r="AD745" s="3" t="str">
        <f t="shared" si="33"/>
        <v>S2S NO PREMIUM</v>
      </c>
      <c r="AE745" s="3" t="e">
        <f>VLOOKUP(E745,'[1]Nómina Agentes'!$C:$D,2,0)</f>
        <v>#N/A</v>
      </c>
      <c r="AF745" s="5">
        <f t="shared" si="34"/>
        <v>0.64583333333333337</v>
      </c>
      <c r="AG745" s="5">
        <f t="shared" si="35"/>
        <v>0.66666666666666663</v>
      </c>
    </row>
    <row r="746" spans="1:33" x14ac:dyDescent="0.25">
      <c r="A746" s="1">
        <v>45567</v>
      </c>
      <c r="B746">
        <v>924</v>
      </c>
      <c r="C746" t="s">
        <v>43</v>
      </c>
      <c r="D746" t="s">
        <v>224</v>
      </c>
      <c r="E746">
        <v>628092</v>
      </c>
      <c r="F746" s="2">
        <v>0.625</v>
      </c>
      <c r="G746" t="s">
        <v>6</v>
      </c>
      <c r="H746" s="2">
        <v>0.64583333333333337</v>
      </c>
      <c r="I746">
        <v>371</v>
      </c>
      <c r="J746">
        <v>0</v>
      </c>
      <c r="K746">
        <v>0</v>
      </c>
      <c r="L746">
        <v>8</v>
      </c>
      <c r="M746">
        <v>0</v>
      </c>
      <c r="N746">
        <v>0</v>
      </c>
      <c r="O746">
        <v>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1</v>
      </c>
      <c r="AC746">
        <v>1</v>
      </c>
      <c r="AD746" s="3" t="str">
        <f t="shared" si="33"/>
        <v>S2S NO PREMIUM</v>
      </c>
      <c r="AE746" s="3" t="e">
        <f>VLOOKUP(E746,'[1]Nómina Agentes'!$C:$D,2,0)</f>
        <v>#N/A</v>
      </c>
      <c r="AF746" s="5">
        <f t="shared" si="34"/>
        <v>0.625</v>
      </c>
      <c r="AG746" s="5">
        <f t="shared" si="35"/>
        <v>0.64583333333333337</v>
      </c>
    </row>
    <row r="747" spans="1:33" x14ac:dyDescent="0.25">
      <c r="A747" s="1">
        <v>45567</v>
      </c>
      <c r="B747">
        <v>925</v>
      </c>
      <c r="C747" t="s">
        <v>42</v>
      </c>
      <c r="D747" t="s">
        <v>225</v>
      </c>
      <c r="E747">
        <v>628094</v>
      </c>
      <c r="F747" s="2">
        <v>0.6875</v>
      </c>
      <c r="G747" t="s">
        <v>6</v>
      </c>
      <c r="H747" s="2">
        <v>0.70833333333333337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 s="3" t="str">
        <f t="shared" si="33"/>
        <v>S2S PREMIUM</v>
      </c>
      <c r="AE747" s="3" t="e">
        <f>VLOOKUP(E747,'[1]Nómina Agentes'!$C:$D,2,0)</f>
        <v>#N/A</v>
      </c>
      <c r="AF747" s="5">
        <f t="shared" si="34"/>
        <v>0.6875</v>
      </c>
      <c r="AG747" s="5">
        <f t="shared" si="35"/>
        <v>0.70833333333333337</v>
      </c>
    </row>
    <row r="748" spans="1:33" x14ac:dyDescent="0.25">
      <c r="A748" s="1">
        <v>45567</v>
      </c>
      <c r="B748">
        <v>925</v>
      </c>
      <c r="C748" t="s">
        <v>42</v>
      </c>
      <c r="D748" t="s">
        <v>225</v>
      </c>
      <c r="E748">
        <v>628094</v>
      </c>
      <c r="F748" s="2">
        <v>0.625</v>
      </c>
      <c r="G748" t="s">
        <v>6</v>
      </c>
      <c r="H748" s="2">
        <v>0.64583333333333337</v>
      </c>
      <c r="I748">
        <v>280</v>
      </c>
      <c r="J748">
        <v>0</v>
      </c>
      <c r="K748">
        <v>0</v>
      </c>
      <c r="L748">
        <v>8</v>
      </c>
      <c r="M748">
        <v>0</v>
      </c>
      <c r="N748">
        <v>0</v>
      </c>
      <c r="O748">
        <v>0</v>
      </c>
      <c r="P748">
        <v>99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2</v>
      </c>
      <c r="AC748">
        <v>2</v>
      </c>
      <c r="AD748" s="3" t="str">
        <f t="shared" si="33"/>
        <v>S2S PREMIUM</v>
      </c>
      <c r="AE748" s="3" t="e">
        <f>VLOOKUP(E748,'[1]Nómina Agentes'!$C:$D,2,0)</f>
        <v>#N/A</v>
      </c>
      <c r="AF748" s="5">
        <f t="shared" si="34"/>
        <v>0.625</v>
      </c>
      <c r="AG748" s="5">
        <f t="shared" si="35"/>
        <v>0.64583333333333337</v>
      </c>
    </row>
    <row r="749" spans="1:33" x14ac:dyDescent="0.25">
      <c r="A749" s="1">
        <v>45567</v>
      </c>
      <c r="B749">
        <v>925</v>
      </c>
      <c r="C749" t="s">
        <v>42</v>
      </c>
      <c r="D749" t="s">
        <v>225</v>
      </c>
      <c r="E749">
        <v>628094</v>
      </c>
      <c r="F749" s="2">
        <v>0.60416666666666663</v>
      </c>
      <c r="G749" t="s">
        <v>6</v>
      </c>
      <c r="H749" s="2">
        <v>0.625</v>
      </c>
      <c r="I749">
        <v>534</v>
      </c>
      <c r="J749">
        <v>0</v>
      </c>
      <c r="K749">
        <v>0</v>
      </c>
      <c r="L749">
        <v>15</v>
      </c>
      <c r="M749">
        <v>0</v>
      </c>
      <c r="N749">
        <v>0</v>
      </c>
      <c r="O749">
        <v>0</v>
      </c>
      <c r="P749">
        <v>1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3</v>
      </c>
      <c r="AC749">
        <v>1</v>
      </c>
      <c r="AD749" s="3" t="str">
        <f t="shared" si="33"/>
        <v>S2S PREMIUM</v>
      </c>
      <c r="AE749" s="3" t="e">
        <f>VLOOKUP(E749,'[1]Nómina Agentes'!$C:$D,2,0)</f>
        <v>#N/A</v>
      </c>
      <c r="AF749" s="5">
        <f t="shared" si="34"/>
        <v>0.60416666666666663</v>
      </c>
      <c r="AG749" s="5">
        <f t="shared" si="35"/>
        <v>0.625</v>
      </c>
    </row>
    <row r="750" spans="1:33" x14ac:dyDescent="0.25">
      <c r="A750" s="1">
        <v>45567</v>
      </c>
      <c r="B750">
        <v>925</v>
      </c>
      <c r="C750" t="s">
        <v>42</v>
      </c>
      <c r="D750" t="s">
        <v>225</v>
      </c>
      <c r="E750">
        <v>628094</v>
      </c>
      <c r="F750" s="2">
        <v>0.58333333333333337</v>
      </c>
      <c r="G750" t="s">
        <v>6</v>
      </c>
      <c r="H750" s="2">
        <v>0.60416666666666663</v>
      </c>
      <c r="I750">
        <v>732</v>
      </c>
      <c r="J750">
        <v>0</v>
      </c>
      <c r="K750">
        <v>0</v>
      </c>
      <c r="L750">
        <v>12</v>
      </c>
      <c r="M750">
        <v>0</v>
      </c>
      <c r="N750">
        <v>0</v>
      </c>
      <c r="O750">
        <v>0</v>
      </c>
      <c r="P750">
        <v>289</v>
      </c>
      <c r="Q750">
        <v>125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4</v>
      </c>
      <c r="AC750">
        <v>4</v>
      </c>
      <c r="AD750" s="3" t="str">
        <f t="shared" si="33"/>
        <v>S2S PREMIUM</v>
      </c>
      <c r="AE750" s="3" t="e">
        <f>VLOOKUP(E750,'[1]Nómina Agentes'!$C:$D,2,0)</f>
        <v>#N/A</v>
      </c>
      <c r="AF750" s="5">
        <f t="shared" si="34"/>
        <v>0.58333333333333337</v>
      </c>
      <c r="AG750" s="5">
        <f t="shared" si="35"/>
        <v>0.60416666666666663</v>
      </c>
    </row>
    <row r="751" spans="1:33" x14ac:dyDescent="0.25">
      <c r="A751" s="1">
        <v>45567</v>
      </c>
      <c r="B751">
        <v>925</v>
      </c>
      <c r="C751" t="s">
        <v>42</v>
      </c>
      <c r="D751" t="s">
        <v>225</v>
      </c>
      <c r="E751">
        <v>628094</v>
      </c>
      <c r="F751" s="2">
        <v>0.66666666666666663</v>
      </c>
      <c r="G751" t="s">
        <v>6</v>
      </c>
      <c r="H751" s="2">
        <v>0.6875</v>
      </c>
      <c r="I751">
        <v>943</v>
      </c>
      <c r="J751">
        <v>0</v>
      </c>
      <c r="K751">
        <v>0</v>
      </c>
      <c r="L751">
        <v>13</v>
      </c>
      <c r="M751">
        <v>0</v>
      </c>
      <c r="N751">
        <v>0</v>
      </c>
      <c r="O751">
        <v>0</v>
      </c>
      <c r="P751">
        <v>4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4</v>
      </c>
      <c r="AC751">
        <v>4</v>
      </c>
      <c r="AD751" s="3" t="str">
        <f t="shared" si="33"/>
        <v>S2S PREMIUM</v>
      </c>
      <c r="AE751" s="3" t="e">
        <f>VLOOKUP(E751,'[1]Nómina Agentes'!$C:$D,2,0)</f>
        <v>#N/A</v>
      </c>
      <c r="AF751" s="5">
        <f t="shared" si="34"/>
        <v>0.66666666666666663</v>
      </c>
      <c r="AG751" s="5">
        <f t="shared" si="35"/>
        <v>0.6875</v>
      </c>
    </row>
    <row r="752" spans="1:33" x14ac:dyDescent="0.25">
      <c r="A752" s="1">
        <v>45567</v>
      </c>
      <c r="B752">
        <v>925</v>
      </c>
      <c r="C752" t="s">
        <v>42</v>
      </c>
      <c r="D752" t="s">
        <v>225</v>
      </c>
      <c r="E752">
        <v>628094</v>
      </c>
      <c r="F752" s="2">
        <v>0.64583333333333337</v>
      </c>
      <c r="G752" t="s">
        <v>6</v>
      </c>
      <c r="H752" s="2">
        <v>0.66666666666666663</v>
      </c>
      <c r="I752">
        <v>1243</v>
      </c>
      <c r="J752">
        <v>0</v>
      </c>
      <c r="K752">
        <v>0</v>
      </c>
      <c r="L752">
        <v>8</v>
      </c>
      <c r="M752">
        <v>0</v>
      </c>
      <c r="N752">
        <v>0</v>
      </c>
      <c r="O752">
        <v>0</v>
      </c>
      <c r="P752">
        <v>2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2</v>
      </c>
      <c r="AC752">
        <v>2</v>
      </c>
      <c r="AD752" s="3" t="str">
        <f t="shared" si="33"/>
        <v>S2S PREMIUM</v>
      </c>
      <c r="AE752" s="3" t="e">
        <f>VLOOKUP(E752,'[1]Nómina Agentes'!$C:$D,2,0)</f>
        <v>#N/A</v>
      </c>
      <c r="AF752" s="5">
        <f t="shared" si="34"/>
        <v>0.64583333333333337</v>
      </c>
      <c r="AG752" s="5">
        <f t="shared" si="35"/>
        <v>0.66666666666666663</v>
      </c>
    </row>
    <row r="753" spans="1:33" x14ac:dyDescent="0.25">
      <c r="A753" s="1">
        <v>45567</v>
      </c>
      <c r="B753">
        <v>925</v>
      </c>
      <c r="C753" t="s">
        <v>42</v>
      </c>
      <c r="D753" t="s">
        <v>226</v>
      </c>
      <c r="E753">
        <v>628100</v>
      </c>
      <c r="F753" s="2">
        <v>0.79166666666666663</v>
      </c>
      <c r="G753" t="s">
        <v>6</v>
      </c>
      <c r="H753" s="2">
        <v>0.8125</v>
      </c>
      <c r="I753">
        <v>488</v>
      </c>
      <c r="J753">
        <v>0</v>
      </c>
      <c r="K753">
        <v>0</v>
      </c>
      <c r="L753">
        <v>20</v>
      </c>
      <c r="M753">
        <v>0</v>
      </c>
      <c r="N753">
        <v>0</v>
      </c>
      <c r="O753">
        <v>0</v>
      </c>
      <c r="P753">
        <v>3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4</v>
      </c>
      <c r="AC753">
        <v>3</v>
      </c>
      <c r="AD753" s="3" t="str">
        <f t="shared" si="33"/>
        <v>S2S PREMIUM</v>
      </c>
      <c r="AE753" s="3" t="e">
        <f>VLOOKUP(E753,'[1]Nómina Agentes'!$C:$D,2,0)</f>
        <v>#N/A</v>
      </c>
      <c r="AF753" s="5">
        <f t="shared" si="34"/>
        <v>0.79166666666666663</v>
      </c>
      <c r="AG753" s="5">
        <f t="shared" si="35"/>
        <v>0.8125</v>
      </c>
    </row>
    <row r="754" spans="1:33" x14ac:dyDescent="0.25">
      <c r="A754" s="1">
        <v>45567</v>
      </c>
      <c r="B754">
        <v>925</v>
      </c>
      <c r="C754" t="s">
        <v>42</v>
      </c>
      <c r="D754" t="s">
        <v>226</v>
      </c>
      <c r="E754">
        <v>628100</v>
      </c>
      <c r="F754" s="2">
        <v>0.625</v>
      </c>
      <c r="G754" t="s">
        <v>6</v>
      </c>
      <c r="H754" s="2">
        <v>0.64583333333333337</v>
      </c>
      <c r="I754">
        <v>609</v>
      </c>
      <c r="J754">
        <v>0</v>
      </c>
      <c r="K754">
        <v>0</v>
      </c>
      <c r="L754">
        <v>16</v>
      </c>
      <c r="M754">
        <v>0</v>
      </c>
      <c r="N754">
        <v>0</v>
      </c>
      <c r="O754">
        <v>0</v>
      </c>
      <c r="P754">
        <v>2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3</v>
      </c>
      <c r="AC754">
        <v>2</v>
      </c>
      <c r="AD754" s="3" t="str">
        <f t="shared" si="33"/>
        <v>S2S PREMIUM</v>
      </c>
      <c r="AE754" s="3" t="e">
        <f>VLOOKUP(E754,'[1]Nómina Agentes'!$C:$D,2,0)</f>
        <v>#N/A</v>
      </c>
      <c r="AF754" s="5">
        <f t="shared" si="34"/>
        <v>0.625</v>
      </c>
      <c r="AG754" s="5">
        <f t="shared" si="35"/>
        <v>0.64583333333333337</v>
      </c>
    </row>
    <row r="755" spans="1:33" x14ac:dyDescent="0.25">
      <c r="A755" s="1">
        <v>45567</v>
      </c>
      <c r="B755">
        <v>925</v>
      </c>
      <c r="C755" t="s">
        <v>42</v>
      </c>
      <c r="D755" t="s">
        <v>226</v>
      </c>
      <c r="E755">
        <v>628100</v>
      </c>
      <c r="F755" s="2">
        <v>0.64583333333333337</v>
      </c>
      <c r="G755" t="s">
        <v>6</v>
      </c>
      <c r="H755" s="2">
        <v>0.66666666666666663</v>
      </c>
      <c r="I755">
        <v>616</v>
      </c>
      <c r="J755">
        <v>0</v>
      </c>
      <c r="K755">
        <v>0</v>
      </c>
      <c r="L755">
        <v>11</v>
      </c>
      <c r="M755">
        <v>0</v>
      </c>
      <c r="N755">
        <v>0</v>
      </c>
      <c r="O755">
        <v>0</v>
      </c>
      <c r="P755">
        <v>3</v>
      </c>
      <c r="Q755">
        <v>133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3</v>
      </c>
      <c r="AC755">
        <v>3</v>
      </c>
      <c r="AD755" s="3" t="str">
        <f t="shared" si="33"/>
        <v>S2S PREMIUM</v>
      </c>
      <c r="AE755" s="3" t="e">
        <f>VLOOKUP(E755,'[1]Nómina Agentes'!$C:$D,2,0)</f>
        <v>#N/A</v>
      </c>
      <c r="AF755" s="5">
        <f t="shared" si="34"/>
        <v>0.64583333333333337</v>
      </c>
      <c r="AG755" s="5">
        <f t="shared" si="35"/>
        <v>0.66666666666666663</v>
      </c>
    </row>
    <row r="756" spans="1:33" x14ac:dyDescent="0.25">
      <c r="A756" s="1">
        <v>45567</v>
      </c>
      <c r="B756">
        <v>925</v>
      </c>
      <c r="C756" t="s">
        <v>42</v>
      </c>
      <c r="D756" t="s">
        <v>226</v>
      </c>
      <c r="E756">
        <v>628100</v>
      </c>
      <c r="F756" s="2">
        <v>0.77083333333333337</v>
      </c>
      <c r="G756" t="s">
        <v>6</v>
      </c>
      <c r="H756" s="2">
        <v>0.79166666666666663</v>
      </c>
      <c r="I756">
        <v>635</v>
      </c>
      <c r="J756">
        <v>0</v>
      </c>
      <c r="K756">
        <v>0</v>
      </c>
      <c r="L756">
        <v>16</v>
      </c>
      <c r="M756">
        <v>0</v>
      </c>
      <c r="N756">
        <v>0</v>
      </c>
      <c r="O756">
        <v>0</v>
      </c>
      <c r="P756">
        <v>115</v>
      </c>
      <c r="Q756">
        <v>29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4</v>
      </c>
      <c r="AC756">
        <v>3</v>
      </c>
      <c r="AD756" s="3" t="str">
        <f t="shared" si="33"/>
        <v>S2S PREMIUM</v>
      </c>
      <c r="AE756" s="3" t="e">
        <f>VLOOKUP(E756,'[1]Nómina Agentes'!$C:$D,2,0)</f>
        <v>#N/A</v>
      </c>
      <c r="AF756" s="5">
        <f t="shared" si="34"/>
        <v>0.77083333333333337</v>
      </c>
      <c r="AG756" s="5">
        <f t="shared" si="35"/>
        <v>0.79166666666666663</v>
      </c>
    </row>
    <row r="757" spans="1:33" x14ac:dyDescent="0.25">
      <c r="A757" s="1">
        <v>45567</v>
      </c>
      <c r="B757">
        <v>925</v>
      </c>
      <c r="C757" t="s">
        <v>42</v>
      </c>
      <c r="D757" t="s">
        <v>226</v>
      </c>
      <c r="E757">
        <v>628100</v>
      </c>
      <c r="F757" s="2">
        <v>0.70833333333333337</v>
      </c>
      <c r="G757" t="s">
        <v>6</v>
      </c>
      <c r="H757" s="2">
        <v>0.72916666666666663</v>
      </c>
      <c r="I757">
        <v>733</v>
      </c>
      <c r="J757">
        <v>0</v>
      </c>
      <c r="K757">
        <v>0</v>
      </c>
      <c r="L757">
        <v>19</v>
      </c>
      <c r="M757">
        <v>0</v>
      </c>
      <c r="N757">
        <v>0</v>
      </c>
      <c r="O757">
        <v>0</v>
      </c>
      <c r="P757">
        <v>97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6</v>
      </c>
      <c r="AC757">
        <v>5</v>
      </c>
      <c r="AD757" s="3" t="str">
        <f t="shared" si="33"/>
        <v>S2S PREMIUM</v>
      </c>
      <c r="AE757" s="3" t="e">
        <f>VLOOKUP(E757,'[1]Nómina Agentes'!$C:$D,2,0)</f>
        <v>#N/A</v>
      </c>
      <c r="AF757" s="5">
        <f t="shared" si="34"/>
        <v>0.70833333333333337</v>
      </c>
      <c r="AG757" s="5">
        <f t="shared" si="35"/>
        <v>0.72916666666666663</v>
      </c>
    </row>
    <row r="758" spans="1:33" x14ac:dyDescent="0.25">
      <c r="A758" s="1">
        <v>45567</v>
      </c>
      <c r="B758">
        <v>925</v>
      </c>
      <c r="C758" t="s">
        <v>42</v>
      </c>
      <c r="D758" t="s">
        <v>226</v>
      </c>
      <c r="E758">
        <v>628100</v>
      </c>
      <c r="F758" s="2">
        <v>0.66666666666666663</v>
      </c>
      <c r="G758" t="s">
        <v>6</v>
      </c>
      <c r="H758" s="2">
        <v>0.6875</v>
      </c>
      <c r="I758">
        <v>743</v>
      </c>
      <c r="J758">
        <v>0</v>
      </c>
      <c r="K758">
        <v>0</v>
      </c>
      <c r="L758">
        <v>12</v>
      </c>
      <c r="M758">
        <v>0</v>
      </c>
      <c r="N758">
        <v>0</v>
      </c>
      <c r="O758">
        <v>0</v>
      </c>
      <c r="P758">
        <v>451</v>
      </c>
      <c r="Q758">
        <v>42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3</v>
      </c>
      <c r="AC758">
        <v>2</v>
      </c>
      <c r="AD758" s="3" t="str">
        <f t="shared" si="33"/>
        <v>S2S PREMIUM</v>
      </c>
      <c r="AE758" s="3" t="e">
        <f>VLOOKUP(E758,'[1]Nómina Agentes'!$C:$D,2,0)</f>
        <v>#N/A</v>
      </c>
      <c r="AF758" s="5">
        <f t="shared" si="34"/>
        <v>0.66666666666666663</v>
      </c>
      <c r="AG758" s="5">
        <f t="shared" si="35"/>
        <v>0.6875</v>
      </c>
    </row>
    <row r="759" spans="1:33" x14ac:dyDescent="0.25">
      <c r="A759" s="1">
        <v>45567</v>
      </c>
      <c r="B759">
        <v>925</v>
      </c>
      <c r="C759" t="s">
        <v>42</v>
      </c>
      <c r="D759" t="s">
        <v>226</v>
      </c>
      <c r="E759">
        <v>628100</v>
      </c>
      <c r="F759" s="2">
        <v>0.75</v>
      </c>
      <c r="G759" t="s">
        <v>6</v>
      </c>
      <c r="H759" s="2">
        <v>0.77083333333333337</v>
      </c>
      <c r="I759">
        <v>983</v>
      </c>
      <c r="J759">
        <v>0</v>
      </c>
      <c r="K759">
        <v>0</v>
      </c>
      <c r="L759">
        <v>10</v>
      </c>
      <c r="M759">
        <v>0</v>
      </c>
      <c r="N759">
        <v>0</v>
      </c>
      <c r="O759">
        <v>0</v>
      </c>
      <c r="P759">
        <v>44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4</v>
      </c>
      <c r="AC759">
        <v>4</v>
      </c>
      <c r="AD759" s="3" t="str">
        <f t="shared" si="33"/>
        <v>S2S PREMIUM</v>
      </c>
      <c r="AE759" s="3" t="e">
        <f>VLOOKUP(E759,'[1]Nómina Agentes'!$C:$D,2,0)</f>
        <v>#N/A</v>
      </c>
      <c r="AF759" s="5">
        <f t="shared" si="34"/>
        <v>0.75</v>
      </c>
      <c r="AG759" s="5">
        <f t="shared" si="35"/>
        <v>0.77083333333333337</v>
      </c>
    </row>
    <row r="760" spans="1:33" x14ac:dyDescent="0.25">
      <c r="A760" s="1">
        <v>45567</v>
      </c>
      <c r="B760">
        <v>925</v>
      </c>
      <c r="C760" t="s">
        <v>42</v>
      </c>
      <c r="D760" t="s">
        <v>226</v>
      </c>
      <c r="E760">
        <v>628100</v>
      </c>
      <c r="F760" s="2">
        <v>0.72916666666666663</v>
      </c>
      <c r="G760" t="s">
        <v>6</v>
      </c>
      <c r="H760" s="2">
        <v>0.75</v>
      </c>
      <c r="I760">
        <v>1002</v>
      </c>
      <c r="J760">
        <v>0</v>
      </c>
      <c r="K760">
        <v>0</v>
      </c>
      <c r="L760">
        <v>12</v>
      </c>
      <c r="M760">
        <v>0</v>
      </c>
      <c r="N760">
        <v>0</v>
      </c>
      <c r="O760">
        <v>0</v>
      </c>
      <c r="P760">
        <v>457</v>
      </c>
      <c r="Q760">
        <v>38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2</v>
      </c>
      <c r="AC760">
        <v>1</v>
      </c>
      <c r="AD760" s="3" t="str">
        <f t="shared" si="33"/>
        <v>S2S PREMIUM</v>
      </c>
      <c r="AE760" s="3" t="e">
        <f>VLOOKUP(E760,'[1]Nómina Agentes'!$C:$D,2,0)</f>
        <v>#N/A</v>
      </c>
      <c r="AF760" s="5">
        <f t="shared" si="34"/>
        <v>0.72916666666666663</v>
      </c>
      <c r="AG760" s="5">
        <f t="shared" si="35"/>
        <v>0.75</v>
      </c>
    </row>
    <row r="761" spans="1:33" x14ac:dyDescent="0.25">
      <c r="A761" s="1">
        <v>45567</v>
      </c>
      <c r="B761">
        <v>925</v>
      </c>
      <c r="C761" t="s">
        <v>42</v>
      </c>
      <c r="D761" t="s">
        <v>226</v>
      </c>
      <c r="E761">
        <v>628100</v>
      </c>
      <c r="F761" s="2">
        <v>0.6875</v>
      </c>
      <c r="G761" t="s">
        <v>6</v>
      </c>
      <c r="H761" s="2">
        <v>0.70833333333333337</v>
      </c>
      <c r="I761">
        <v>1068</v>
      </c>
      <c r="J761">
        <v>0</v>
      </c>
      <c r="K761">
        <v>0</v>
      </c>
      <c r="L761">
        <v>20</v>
      </c>
      <c r="M761">
        <v>0</v>
      </c>
      <c r="N761">
        <v>0</v>
      </c>
      <c r="O761">
        <v>0</v>
      </c>
      <c r="P761">
        <v>29</v>
      </c>
      <c r="Q761">
        <v>1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5</v>
      </c>
      <c r="AC761">
        <v>4</v>
      </c>
      <c r="AD761" s="3" t="str">
        <f t="shared" si="33"/>
        <v>S2S PREMIUM</v>
      </c>
      <c r="AE761" s="3" t="e">
        <f>VLOOKUP(E761,'[1]Nómina Agentes'!$C:$D,2,0)</f>
        <v>#N/A</v>
      </c>
      <c r="AF761" s="5">
        <f t="shared" si="34"/>
        <v>0.6875</v>
      </c>
      <c r="AG761" s="5">
        <f t="shared" si="35"/>
        <v>0.70833333333333337</v>
      </c>
    </row>
    <row r="762" spans="1:33" x14ac:dyDescent="0.25">
      <c r="A762" s="1">
        <v>45567</v>
      </c>
      <c r="B762">
        <v>925</v>
      </c>
      <c r="C762" t="s">
        <v>42</v>
      </c>
      <c r="D762" t="s">
        <v>226</v>
      </c>
      <c r="E762">
        <v>628100</v>
      </c>
      <c r="F762" s="2">
        <v>0.8125</v>
      </c>
      <c r="G762" t="s">
        <v>6</v>
      </c>
      <c r="H762" s="2">
        <v>0.83333333333333337</v>
      </c>
      <c r="I762">
        <v>1106</v>
      </c>
      <c r="J762">
        <v>0</v>
      </c>
      <c r="K762">
        <v>0</v>
      </c>
      <c r="L762">
        <v>12</v>
      </c>
      <c r="M762">
        <v>0</v>
      </c>
      <c r="N762">
        <v>0</v>
      </c>
      <c r="O762">
        <v>0</v>
      </c>
      <c r="P762">
        <v>81</v>
      </c>
      <c r="Q762">
        <v>3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3</v>
      </c>
      <c r="AC762">
        <v>2</v>
      </c>
      <c r="AD762" s="3" t="str">
        <f t="shared" si="33"/>
        <v>S2S PREMIUM</v>
      </c>
      <c r="AE762" s="3" t="e">
        <f>VLOOKUP(E762,'[1]Nómina Agentes'!$C:$D,2,0)</f>
        <v>#N/A</v>
      </c>
      <c r="AF762" s="5">
        <f t="shared" si="34"/>
        <v>0.8125</v>
      </c>
      <c r="AG762" s="5">
        <f t="shared" si="35"/>
        <v>0.83333333333333337</v>
      </c>
    </row>
    <row r="763" spans="1:33" x14ac:dyDescent="0.25">
      <c r="A763" s="1">
        <v>45567</v>
      </c>
      <c r="B763">
        <v>925</v>
      </c>
      <c r="C763" t="s">
        <v>42</v>
      </c>
      <c r="D763" t="s">
        <v>227</v>
      </c>
      <c r="E763">
        <v>628107</v>
      </c>
      <c r="F763" s="2">
        <v>0.58333333333333337</v>
      </c>
      <c r="G763" t="s">
        <v>6</v>
      </c>
      <c r="H763" s="2">
        <v>0.60416666666666663</v>
      </c>
      <c r="I763">
        <v>63</v>
      </c>
      <c r="J763">
        <v>0</v>
      </c>
      <c r="K763">
        <v>0</v>
      </c>
      <c r="L763">
        <v>4</v>
      </c>
      <c r="M763">
        <v>0</v>
      </c>
      <c r="N763">
        <v>0</v>
      </c>
      <c r="O763">
        <v>0</v>
      </c>
      <c r="P763">
        <v>159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1</v>
      </c>
      <c r="AC763">
        <v>1</v>
      </c>
      <c r="AD763" s="3" t="str">
        <f t="shared" si="33"/>
        <v>S2S PREMIUM</v>
      </c>
      <c r="AE763" s="3" t="e">
        <f>VLOOKUP(E763,'[1]Nómina Agentes'!$C:$D,2,0)</f>
        <v>#N/A</v>
      </c>
      <c r="AF763" s="5">
        <f t="shared" si="34"/>
        <v>0.58333333333333337</v>
      </c>
      <c r="AG763" s="5">
        <f t="shared" si="35"/>
        <v>0.60416666666666663</v>
      </c>
    </row>
    <row r="764" spans="1:33" x14ac:dyDescent="0.25">
      <c r="A764" s="1">
        <v>45567</v>
      </c>
      <c r="B764">
        <v>924</v>
      </c>
      <c r="C764" t="s">
        <v>43</v>
      </c>
      <c r="D764" t="s">
        <v>227</v>
      </c>
      <c r="E764">
        <v>628107</v>
      </c>
      <c r="F764" s="2">
        <v>0.75</v>
      </c>
      <c r="G764" t="s">
        <v>6</v>
      </c>
      <c r="H764" s="2">
        <v>0.77083333333333337</v>
      </c>
      <c r="I764">
        <v>214</v>
      </c>
      <c r="J764">
        <v>0</v>
      </c>
      <c r="K764">
        <v>0</v>
      </c>
      <c r="L764">
        <v>4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 s="3" t="str">
        <f t="shared" si="33"/>
        <v>S2S NO PREMIUM</v>
      </c>
      <c r="AE764" s="3" t="e">
        <f>VLOOKUP(E764,'[1]Nómina Agentes'!$C:$D,2,0)</f>
        <v>#N/A</v>
      </c>
      <c r="AF764" s="5">
        <f t="shared" si="34"/>
        <v>0.75</v>
      </c>
      <c r="AG764" s="5">
        <f t="shared" si="35"/>
        <v>0.77083333333333337</v>
      </c>
    </row>
    <row r="765" spans="1:33" x14ac:dyDescent="0.25">
      <c r="A765" s="1">
        <v>45567</v>
      </c>
      <c r="B765">
        <v>924</v>
      </c>
      <c r="C765" t="s">
        <v>43</v>
      </c>
      <c r="D765" t="s">
        <v>227</v>
      </c>
      <c r="E765">
        <v>628107</v>
      </c>
      <c r="F765" s="2">
        <v>0.79166666666666663</v>
      </c>
      <c r="G765" t="s">
        <v>6</v>
      </c>
      <c r="H765" s="2">
        <v>0.8125</v>
      </c>
      <c r="I765">
        <v>267</v>
      </c>
      <c r="J765">
        <v>0</v>
      </c>
      <c r="K765">
        <v>0</v>
      </c>
      <c r="L765">
        <v>4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 s="3" t="str">
        <f t="shared" si="33"/>
        <v>S2S NO PREMIUM</v>
      </c>
      <c r="AE765" s="3" t="e">
        <f>VLOOKUP(E765,'[1]Nómina Agentes'!$C:$D,2,0)</f>
        <v>#N/A</v>
      </c>
      <c r="AF765" s="5">
        <f t="shared" si="34"/>
        <v>0.79166666666666663</v>
      </c>
      <c r="AG765" s="5">
        <f t="shared" si="35"/>
        <v>0.8125</v>
      </c>
    </row>
    <row r="766" spans="1:33" x14ac:dyDescent="0.25">
      <c r="A766" s="1">
        <v>45567</v>
      </c>
      <c r="B766">
        <v>925</v>
      </c>
      <c r="C766" t="s">
        <v>42</v>
      </c>
      <c r="D766" t="s">
        <v>227</v>
      </c>
      <c r="E766">
        <v>628107</v>
      </c>
      <c r="F766" s="2">
        <v>0.70833333333333337</v>
      </c>
      <c r="G766" t="s">
        <v>6</v>
      </c>
      <c r="H766" s="2">
        <v>0.72916666666666663</v>
      </c>
      <c r="I766">
        <v>294</v>
      </c>
      <c r="J766">
        <v>0</v>
      </c>
      <c r="K766">
        <v>0</v>
      </c>
      <c r="L766">
        <v>8</v>
      </c>
      <c r="M766">
        <v>0</v>
      </c>
      <c r="N766">
        <v>0</v>
      </c>
      <c r="O766">
        <v>0</v>
      </c>
      <c r="P766">
        <v>95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1</v>
      </c>
      <c r="AC766">
        <v>1</v>
      </c>
      <c r="AD766" s="3" t="str">
        <f t="shared" si="33"/>
        <v>S2S PREMIUM</v>
      </c>
      <c r="AE766" s="3" t="e">
        <f>VLOOKUP(E766,'[1]Nómina Agentes'!$C:$D,2,0)</f>
        <v>#N/A</v>
      </c>
      <c r="AF766" s="5">
        <f t="shared" si="34"/>
        <v>0.70833333333333337</v>
      </c>
      <c r="AG766" s="5">
        <f t="shared" si="35"/>
        <v>0.72916666666666663</v>
      </c>
    </row>
    <row r="767" spans="1:33" x14ac:dyDescent="0.25">
      <c r="A767" s="1">
        <v>45567</v>
      </c>
      <c r="B767">
        <v>924</v>
      </c>
      <c r="C767" t="s">
        <v>43</v>
      </c>
      <c r="D767" t="s">
        <v>227</v>
      </c>
      <c r="E767">
        <v>628107</v>
      </c>
      <c r="F767" s="2">
        <v>0.8125</v>
      </c>
      <c r="G767" t="s">
        <v>6</v>
      </c>
      <c r="H767" s="2">
        <v>0.83333333333333337</v>
      </c>
      <c r="I767">
        <v>444</v>
      </c>
      <c r="J767">
        <v>0</v>
      </c>
      <c r="K767">
        <v>0</v>
      </c>
      <c r="L767">
        <v>8</v>
      </c>
      <c r="M767">
        <v>0</v>
      </c>
      <c r="N767">
        <v>0</v>
      </c>
      <c r="O767">
        <v>0</v>
      </c>
      <c r="P767">
        <v>273</v>
      </c>
      <c r="Q767">
        <v>84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3</v>
      </c>
      <c r="AC767">
        <v>2</v>
      </c>
      <c r="AD767" s="3" t="str">
        <f t="shared" ref="AD767:AD830" si="36">UPPER(C767)</f>
        <v>S2S NO PREMIUM</v>
      </c>
      <c r="AE767" s="3" t="e">
        <f>VLOOKUP(E767,'[1]Nómina Agentes'!$C:$D,2,0)</f>
        <v>#N/A</v>
      </c>
      <c r="AF767" s="5">
        <f t="shared" ref="AF767:AF830" si="37">F767</f>
        <v>0.8125</v>
      </c>
      <c r="AG767" s="5">
        <f t="shared" ref="AG767:AG830" si="38">H767</f>
        <v>0.83333333333333337</v>
      </c>
    </row>
    <row r="768" spans="1:33" x14ac:dyDescent="0.25">
      <c r="A768" s="1">
        <v>45567</v>
      </c>
      <c r="B768">
        <v>925</v>
      </c>
      <c r="C768" t="s">
        <v>42</v>
      </c>
      <c r="D768" t="s">
        <v>227</v>
      </c>
      <c r="E768">
        <v>628107</v>
      </c>
      <c r="F768" s="2">
        <v>0.75</v>
      </c>
      <c r="G768" t="s">
        <v>6</v>
      </c>
      <c r="H768" s="2">
        <v>0.77083333333333337</v>
      </c>
      <c r="I768">
        <v>758</v>
      </c>
      <c r="J768">
        <v>0</v>
      </c>
      <c r="K768">
        <v>0</v>
      </c>
      <c r="L768">
        <v>12</v>
      </c>
      <c r="M768">
        <v>0</v>
      </c>
      <c r="N768">
        <v>0</v>
      </c>
      <c r="O768">
        <v>0</v>
      </c>
      <c r="P768">
        <v>4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4</v>
      </c>
      <c r="AC768">
        <v>3</v>
      </c>
      <c r="AD768" s="3" t="str">
        <f t="shared" si="36"/>
        <v>S2S PREMIUM</v>
      </c>
      <c r="AE768" s="3" t="e">
        <f>VLOOKUP(E768,'[1]Nómina Agentes'!$C:$D,2,0)</f>
        <v>#N/A</v>
      </c>
      <c r="AF768" s="5">
        <f t="shared" si="37"/>
        <v>0.75</v>
      </c>
      <c r="AG768" s="5">
        <f t="shared" si="38"/>
        <v>0.77083333333333337</v>
      </c>
    </row>
    <row r="769" spans="1:33" x14ac:dyDescent="0.25">
      <c r="A769" s="1">
        <v>45567</v>
      </c>
      <c r="B769">
        <v>925</v>
      </c>
      <c r="C769" t="s">
        <v>42</v>
      </c>
      <c r="D769" t="s">
        <v>227</v>
      </c>
      <c r="E769">
        <v>628107</v>
      </c>
      <c r="F769" s="2">
        <v>0.64583333333333337</v>
      </c>
      <c r="G769" t="s">
        <v>6</v>
      </c>
      <c r="H769" s="2">
        <v>0.66666666666666663</v>
      </c>
      <c r="I769">
        <v>813</v>
      </c>
      <c r="J769">
        <v>0</v>
      </c>
      <c r="K769">
        <v>0</v>
      </c>
      <c r="L769">
        <v>8</v>
      </c>
      <c r="M769">
        <v>0</v>
      </c>
      <c r="N769">
        <v>0</v>
      </c>
      <c r="O769">
        <v>0</v>
      </c>
      <c r="P769">
        <v>3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3</v>
      </c>
      <c r="AC769">
        <v>3</v>
      </c>
      <c r="AD769" s="3" t="str">
        <f t="shared" si="36"/>
        <v>S2S PREMIUM</v>
      </c>
      <c r="AE769" s="3" t="e">
        <f>VLOOKUP(E769,'[1]Nómina Agentes'!$C:$D,2,0)</f>
        <v>#N/A</v>
      </c>
      <c r="AF769" s="5">
        <f t="shared" si="37"/>
        <v>0.64583333333333337</v>
      </c>
      <c r="AG769" s="5">
        <f t="shared" si="38"/>
        <v>0.66666666666666663</v>
      </c>
    </row>
    <row r="770" spans="1:33" x14ac:dyDescent="0.25">
      <c r="A770" s="1">
        <v>45567</v>
      </c>
      <c r="B770">
        <v>925</v>
      </c>
      <c r="C770" t="s">
        <v>42</v>
      </c>
      <c r="D770" t="s">
        <v>227</v>
      </c>
      <c r="E770">
        <v>628107</v>
      </c>
      <c r="F770" s="2">
        <v>0.66666666666666663</v>
      </c>
      <c r="G770" t="s">
        <v>6</v>
      </c>
      <c r="H770" s="2">
        <v>0.6875</v>
      </c>
      <c r="I770">
        <v>834</v>
      </c>
      <c r="J770">
        <v>0</v>
      </c>
      <c r="K770">
        <v>0</v>
      </c>
      <c r="L770">
        <v>8</v>
      </c>
      <c r="M770">
        <v>0</v>
      </c>
      <c r="N770">
        <v>0</v>
      </c>
      <c r="O770">
        <v>0</v>
      </c>
      <c r="P770">
        <v>2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2</v>
      </c>
      <c r="AC770">
        <v>2</v>
      </c>
      <c r="AD770" s="3" t="str">
        <f t="shared" si="36"/>
        <v>S2S PREMIUM</v>
      </c>
      <c r="AE770" s="3" t="e">
        <f>VLOOKUP(E770,'[1]Nómina Agentes'!$C:$D,2,0)</f>
        <v>#N/A</v>
      </c>
      <c r="AF770" s="5">
        <f t="shared" si="37"/>
        <v>0.66666666666666663</v>
      </c>
      <c r="AG770" s="5">
        <f t="shared" si="38"/>
        <v>0.6875</v>
      </c>
    </row>
    <row r="771" spans="1:33" x14ac:dyDescent="0.25">
      <c r="A771" s="1">
        <v>45567</v>
      </c>
      <c r="B771">
        <v>924</v>
      </c>
      <c r="C771" t="s">
        <v>43</v>
      </c>
      <c r="D771" t="s">
        <v>227</v>
      </c>
      <c r="E771">
        <v>628107</v>
      </c>
      <c r="F771" s="2">
        <v>0.77083333333333337</v>
      </c>
      <c r="G771" t="s">
        <v>6</v>
      </c>
      <c r="H771" s="2">
        <v>0.79166666666666663</v>
      </c>
      <c r="I771">
        <v>843</v>
      </c>
      <c r="J771">
        <v>0</v>
      </c>
      <c r="K771">
        <v>0</v>
      </c>
      <c r="L771">
        <v>8</v>
      </c>
      <c r="M771">
        <v>0</v>
      </c>
      <c r="N771">
        <v>0</v>
      </c>
      <c r="O771">
        <v>0</v>
      </c>
      <c r="P771">
        <v>2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3</v>
      </c>
      <c r="AC771">
        <v>3</v>
      </c>
      <c r="AD771" s="3" t="str">
        <f t="shared" si="36"/>
        <v>S2S NO PREMIUM</v>
      </c>
      <c r="AE771" s="3" t="e">
        <f>VLOOKUP(E771,'[1]Nómina Agentes'!$C:$D,2,0)</f>
        <v>#N/A</v>
      </c>
      <c r="AF771" s="5">
        <f t="shared" si="37"/>
        <v>0.77083333333333337</v>
      </c>
      <c r="AG771" s="5">
        <f t="shared" si="38"/>
        <v>0.79166666666666663</v>
      </c>
    </row>
    <row r="772" spans="1:33" x14ac:dyDescent="0.25">
      <c r="A772" s="1">
        <v>45567</v>
      </c>
      <c r="B772">
        <v>925</v>
      </c>
      <c r="C772" t="s">
        <v>42</v>
      </c>
      <c r="D772" t="s">
        <v>227</v>
      </c>
      <c r="E772">
        <v>628107</v>
      </c>
      <c r="F772" s="2">
        <v>0.6875</v>
      </c>
      <c r="G772" t="s">
        <v>6</v>
      </c>
      <c r="H772" s="2">
        <v>0.70833333333333337</v>
      </c>
      <c r="I772">
        <v>852</v>
      </c>
      <c r="J772">
        <v>0</v>
      </c>
      <c r="K772">
        <v>0</v>
      </c>
      <c r="L772">
        <v>21</v>
      </c>
      <c r="M772">
        <v>0</v>
      </c>
      <c r="N772">
        <v>0</v>
      </c>
      <c r="O772">
        <v>0</v>
      </c>
      <c r="P772">
        <v>205</v>
      </c>
      <c r="Q772">
        <v>75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5</v>
      </c>
      <c r="AC772">
        <v>4</v>
      </c>
      <c r="AD772" s="3" t="str">
        <f t="shared" si="36"/>
        <v>S2S PREMIUM</v>
      </c>
      <c r="AE772" s="3" t="e">
        <f>VLOOKUP(E772,'[1]Nómina Agentes'!$C:$D,2,0)</f>
        <v>#N/A</v>
      </c>
      <c r="AF772" s="5">
        <f t="shared" si="37"/>
        <v>0.6875</v>
      </c>
      <c r="AG772" s="5">
        <f t="shared" si="38"/>
        <v>0.70833333333333337</v>
      </c>
    </row>
    <row r="773" spans="1:33" x14ac:dyDescent="0.25">
      <c r="A773" s="1">
        <v>45567</v>
      </c>
      <c r="B773">
        <v>925</v>
      </c>
      <c r="C773" t="s">
        <v>42</v>
      </c>
      <c r="D773" t="s">
        <v>227</v>
      </c>
      <c r="E773">
        <v>628107</v>
      </c>
      <c r="F773" s="2">
        <v>0.60416666666666663</v>
      </c>
      <c r="G773" t="s">
        <v>6</v>
      </c>
      <c r="H773" s="2">
        <v>0.625</v>
      </c>
      <c r="I773">
        <v>1018</v>
      </c>
      <c r="J773">
        <v>0</v>
      </c>
      <c r="K773">
        <v>0</v>
      </c>
      <c r="L773">
        <v>12</v>
      </c>
      <c r="M773">
        <v>0</v>
      </c>
      <c r="N773">
        <v>0</v>
      </c>
      <c r="O773">
        <v>0</v>
      </c>
      <c r="P773">
        <v>1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2</v>
      </c>
      <c r="AC773">
        <v>1</v>
      </c>
      <c r="AD773" s="3" t="str">
        <f t="shared" si="36"/>
        <v>S2S PREMIUM</v>
      </c>
      <c r="AE773" s="3" t="e">
        <f>VLOOKUP(E773,'[1]Nómina Agentes'!$C:$D,2,0)</f>
        <v>#N/A</v>
      </c>
      <c r="AF773" s="5">
        <f t="shared" si="37"/>
        <v>0.60416666666666663</v>
      </c>
      <c r="AG773" s="5">
        <f t="shared" si="38"/>
        <v>0.625</v>
      </c>
    </row>
    <row r="774" spans="1:33" x14ac:dyDescent="0.25">
      <c r="A774" s="1">
        <v>45567</v>
      </c>
      <c r="B774">
        <v>925</v>
      </c>
      <c r="C774" t="s">
        <v>42</v>
      </c>
      <c r="D774" t="s">
        <v>227</v>
      </c>
      <c r="E774">
        <v>628107</v>
      </c>
      <c r="F774" s="2">
        <v>0.72916666666666663</v>
      </c>
      <c r="G774" t="s">
        <v>6</v>
      </c>
      <c r="H774" s="2">
        <v>0.75</v>
      </c>
      <c r="I774">
        <v>1046</v>
      </c>
      <c r="J774">
        <v>0</v>
      </c>
      <c r="K774">
        <v>0</v>
      </c>
      <c r="L774">
        <v>16</v>
      </c>
      <c r="M774">
        <v>0</v>
      </c>
      <c r="N774">
        <v>0</v>
      </c>
      <c r="O774">
        <v>0</v>
      </c>
      <c r="P774">
        <v>46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4</v>
      </c>
      <c r="AC774">
        <v>4</v>
      </c>
      <c r="AD774" s="3" t="str">
        <f t="shared" si="36"/>
        <v>S2S PREMIUM</v>
      </c>
      <c r="AE774" s="3" t="e">
        <f>VLOOKUP(E774,'[1]Nómina Agentes'!$C:$D,2,0)</f>
        <v>#N/A</v>
      </c>
      <c r="AF774" s="5">
        <f t="shared" si="37"/>
        <v>0.72916666666666663</v>
      </c>
      <c r="AG774" s="5">
        <f t="shared" si="38"/>
        <v>0.75</v>
      </c>
    </row>
    <row r="775" spans="1:33" x14ac:dyDescent="0.25">
      <c r="A775" s="1">
        <v>45567</v>
      </c>
      <c r="B775">
        <v>925</v>
      </c>
      <c r="C775" t="s">
        <v>42</v>
      </c>
      <c r="D775" t="s">
        <v>227</v>
      </c>
      <c r="E775">
        <v>628107</v>
      </c>
      <c r="F775" s="2">
        <v>0.625</v>
      </c>
      <c r="G775" t="s">
        <v>6</v>
      </c>
      <c r="H775" s="2">
        <v>0.64583333333333337</v>
      </c>
      <c r="I775">
        <v>1098</v>
      </c>
      <c r="J775">
        <v>0</v>
      </c>
      <c r="K775">
        <v>0</v>
      </c>
      <c r="L775">
        <v>13</v>
      </c>
      <c r="M775">
        <v>0</v>
      </c>
      <c r="N775">
        <v>0</v>
      </c>
      <c r="O775">
        <v>0</v>
      </c>
      <c r="P775">
        <v>3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3</v>
      </c>
      <c r="AC775">
        <v>3</v>
      </c>
      <c r="AD775" s="3" t="str">
        <f t="shared" si="36"/>
        <v>S2S PREMIUM</v>
      </c>
      <c r="AE775" s="3" t="e">
        <f>VLOOKUP(E775,'[1]Nómina Agentes'!$C:$D,2,0)</f>
        <v>#N/A</v>
      </c>
      <c r="AF775" s="5">
        <f t="shared" si="37"/>
        <v>0.625</v>
      </c>
      <c r="AG775" s="5">
        <f t="shared" si="38"/>
        <v>0.64583333333333337</v>
      </c>
    </row>
    <row r="776" spans="1:33" x14ac:dyDescent="0.25">
      <c r="A776" s="1">
        <v>45567</v>
      </c>
      <c r="B776">
        <v>925</v>
      </c>
      <c r="C776" t="s">
        <v>42</v>
      </c>
      <c r="D776" t="s">
        <v>228</v>
      </c>
      <c r="E776">
        <v>628159</v>
      </c>
      <c r="F776" s="2">
        <v>0.625</v>
      </c>
      <c r="G776" t="s">
        <v>6</v>
      </c>
      <c r="H776" s="2">
        <v>0.64583333333333337</v>
      </c>
      <c r="I776">
        <v>23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1</v>
      </c>
      <c r="AC776">
        <v>0</v>
      </c>
      <c r="AD776" s="3" t="str">
        <f t="shared" si="36"/>
        <v>S2S PREMIUM</v>
      </c>
      <c r="AE776" s="3" t="e">
        <f>VLOOKUP(E776,'[1]Nómina Agentes'!$C:$D,2,0)</f>
        <v>#N/A</v>
      </c>
      <c r="AF776" s="5">
        <f t="shared" si="37"/>
        <v>0.625</v>
      </c>
      <c r="AG776" s="5">
        <f t="shared" si="38"/>
        <v>0.64583333333333337</v>
      </c>
    </row>
    <row r="777" spans="1:33" x14ac:dyDescent="0.25">
      <c r="A777" s="1">
        <v>45567</v>
      </c>
      <c r="B777">
        <v>925</v>
      </c>
      <c r="C777" t="s">
        <v>42</v>
      </c>
      <c r="D777" t="s">
        <v>228</v>
      </c>
      <c r="E777">
        <v>628159</v>
      </c>
      <c r="F777" s="2">
        <v>0.60416666666666663</v>
      </c>
      <c r="G777" t="s">
        <v>6</v>
      </c>
      <c r="H777" s="2">
        <v>0.625</v>
      </c>
      <c r="I777">
        <v>310</v>
      </c>
      <c r="J777">
        <v>0</v>
      </c>
      <c r="K777">
        <v>0</v>
      </c>
      <c r="L777">
        <v>12</v>
      </c>
      <c r="M777">
        <v>0</v>
      </c>
      <c r="N777">
        <v>0</v>
      </c>
      <c r="O777">
        <v>0</v>
      </c>
      <c r="P777">
        <v>205</v>
      </c>
      <c r="Q777">
        <v>154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2</v>
      </c>
      <c r="AC777">
        <v>1</v>
      </c>
      <c r="AD777" s="3" t="str">
        <f t="shared" si="36"/>
        <v>S2S PREMIUM</v>
      </c>
      <c r="AE777" s="3" t="e">
        <f>VLOOKUP(E777,'[1]Nómina Agentes'!$C:$D,2,0)</f>
        <v>#N/A</v>
      </c>
      <c r="AF777" s="5">
        <f t="shared" si="37"/>
        <v>0.60416666666666663</v>
      </c>
      <c r="AG777" s="5">
        <f t="shared" si="38"/>
        <v>0.625</v>
      </c>
    </row>
    <row r="778" spans="1:33" x14ac:dyDescent="0.25">
      <c r="A778" s="1">
        <v>45567</v>
      </c>
      <c r="B778">
        <v>925</v>
      </c>
      <c r="C778" t="s">
        <v>42</v>
      </c>
      <c r="D778" t="s">
        <v>228</v>
      </c>
      <c r="E778">
        <v>628159</v>
      </c>
      <c r="F778" s="2">
        <v>0.58333333333333337</v>
      </c>
      <c r="G778" t="s">
        <v>6</v>
      </c>
      <c r="H778" s="2">
        <v>0.60416666666666663</v>
      </c>
      <c r="I778">
        <v>446</v>
      </c>
      <c r="J778">
        <v>0</v>
      </c>
      <c r="K778">
        <v>0</v>
      </c>
      <c r="L778">
        <v>4</v>
      </c>
      <c r="M778">
        <v>0</v>
      </c>
      <c r="N778">
        <v>0</v>
      </c>
      <c r="O778">
        <v>0</v>
      </c>
      <c r="P778">
        <v>525</v>
      </c>
      <c r="Q778">
        <v>1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2</v>
      </c>
      <c r="AC778">
        <v>0</v>
      </c>
      <c r="AD778" s="3" t="str">
        <f t="shared" si="36"/>
        <v>S2S PREMIUM</v>
      </c>
      <c r="AE778" s="3" t="e">
        <f>VLOOKUP(E778,'[1]Nómina Agentes'!$C:$D,2,0)</f>
        <v>#N/A</v>
      </c>
      <c r="AF778" s="5">
        <f t="shared" si="37"/>
        <v>0.58333333333333337</v>
      </c>
      <c r="AG778" s="5">
        <f t="shared" si="38"/>
        <v>0.60416666666666663</v>
      </c>
    </row>
    <row r="779" spans="1:33" x14ac:dyDescent="0.25">
      <c r="A779" s="1">
        <v>45567</v>
      </c>
      <c r="B779">
        <v>925</v>
      </c>
      <c r="C779" t="s">
        <v>42</v>
      </c>
      <c r="D779" t="s">
        <v>229</v>
      </c>
      <c r="E779">
        <v>628233</v>
      </c>
      <c r="F779" s="2">
        <v>0.625</v>
      </c>
      <c r="G779" t="s">
        <v>6</v>
      </c>
      <c r="H779" s="2">
        <v>0.64583333333333337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 s="3" t="str">
        <f t="shared" si="36"/>
        <v>S2S PREMIUM</v>
      </c>
      <c r="AE779" s="3" t="e">
        <f>VLOOKUP(E779,'[1]Nómina Agentes'!$C:$D,2,0)</f>
        <v>#N/A</v>
      </c>
      <c r="AF779" s="5">
        <f t="shared" si="37"/>
        <v>0.625</v>
      </c>
      <c r="AG779" s="5">
        <f t="shared" si="38"/>
        <v>0.64583333333333337</v>
      </c>
    </row>
    <row r="780" spans="1:33" x14ac:dyDescent="0.25">
      <c r="A780" s="1">
        <v>45567</v>
      </c>
      <c r="B780">
        <v>925</v>
      </c>
      <c r="C780" t="s">
        <v>42</v>
      </c>
      <c r="D780" t="s">
        <v>229</v>
      </c>
      <c r="E780">
        <v>628233</v>
      </c>
      <c r="F780" s="2">
        <v>0.60416666666666663</v>
      </c>
      <c r="G780" t="s">
        <v>6</v>
      </c>
      <c r="H780" s="2">
        <v>0.625</v>
      </c>
      <c r="I780">
        <v>183</v>
      </c>
      <c r="J780">
        <v>0</v>
      </c>
      <c r="K780">
        <v>0</v>
      </c>
      <c r="L780">
        <v>8</v>
      </c>
      <c r="M780">
        <v>0</v>
      </c>
      <c r="N780">
        <v>0</v>
      </c>
      <c r="O780">
        <v>0</v>
      </c>
      <c r="P780">
        <v>0</v>
      </c>
      <c r="Q780">
        <v>15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2</v>
      </c>
      <c r="AC780">
        <v>1</v>
      </c>
      <c r="AD780" s="3" t="str">
        <f t="shared" si="36"/>
        <v>S2S PREMIUM</v>
      </c>
      <c r="AE780" s="3" t="e">
        <f>VLOOKUP(E780,'[1]Nómina Agentes'!$C:$D,2,0)</f>
        <v>#N/A</v>
      </c>
      <c r="AF780" s="5">
        <f t="shared" si="37"/>
        <v>0.60416666666666663</v>
      </c>
      <c r="AG780" s="5">
        <f t="shared" si="38"/>
        <v>0.625</v>
      </c>
    </row>
    <row r="781" spans="1:33" x14ac:dyDescent="0.25">
      <c r="A781" s="1">
        <v>45567</v>
      </c>
      <c r="B781">
        <v>925</v>
      </c>
      <c r="C781" t="s">
        <v>42</v>
      </c>
      <c r="D781" t="s">
        <v>229</v>
      </c>
      <c r="E781">
        <v>628233</v>
      </c>
      <c r="F781" s="2">
        <v>0.58333333333333337</v>
      </c>
      <c r="G781" t="s">
        <v>6</v>
      </c>
      <c r="H781" s="2">
        <v>0.60416666666666663</v>
      </c>
      <c r="I781">
        <v>931</v>
      </c>
      <c r="J781">
        <v>0</v>
      </c>
      <c r="K781">
        <v>0</v>
      </c>
      <c r="L781">
        <v>12</v>
      </c>
      <c r="M781">
        <v>0</v>
      </c>
      <c r="N781">
        <v>0</v>
      </c>
      <c r="O781">
        <v>0</v>
      </c>
      <c r="P781">
        <v>1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4</v>
      </c>
      <c r="AC781">
        <v>4</v>
      </c>
      <c r="AD781" s="3" t="str">
        <f t="shared" si="36"/>
        <v>S2S PREMIUM</v>
      </c>
      <c r="AE781" s="3" t="e">
        <f>VLOOKUP(E781,'[1]Nómina Agentes'!$C:$D,2,0)</f>
        <v>#N/A</v>
      </c>
      <c r="AF781" s="5">
        <f t="shared" si="37"/>
        <v>0.58333333333333337</v>
      </c>
      <c r="AG781" s="5">
        <f t="shared" si="38"/>
        <v>0.60416666666666663</v>
      </c>
    </row>
    <row r="782" spans="1:33" x14ac:dyDescent="0.25">
      <c r="A782" s="1">
        <v>45567</v>
      </c>
      <c r="B782">
        <v>924</v>
      </c>
      <c r="C782" t="s">
        <v>43</v>
      </c>
      <c r="D782" t="s">
        <v>230</v>
      </c>
      <c r="E782">
        <v>628237</v>
      </c>
      <c r="F782" s="2">
        <v>0.58333333333333337</v>
      </c>
      <c r="G782" t="s">
        <v>6</v>
      </c>
      <c r="H782" s="2">
        <v>0.60416666666666663</v>
      </c>
      <c r="I782">
        <v>658</v>
      </c>
      <c r="J782">
        <v>0</v>
      </c>
      <c r="K782">
        <v>0</v>
      </c>
      <c r="L782">
        <v>19</v>
      </c>
      <c r="M782">
        <v>0</v>
      </c>
      <c r="N782">
        <v>0</v>
      </c>
      <c r="O782">
        <v>0</v>
      </c>
      <c r="P782">
        <v>223</v>
      </c>
      <c r="Q782">
        <v>53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5</v>
      </c>
      <c r="AC782">
        <v>5</v>
      </c>
      <c r="AD782" s="3" t="str">
        <f t="shared" si="36"/>
        <v>S2S NO PREMIUM</v>
      </c>
      <c r="AE782" s="3" t="e">
        <f>VLOOKUP(E782,'[1]Nómina Agentes'!$C:$D,2,0)</f>
        <v>#N/A</v>
      </c>
      <c r="AF782" s="5">
        <f t="shared" si="37"/>
        <v>0.58333333333333337</v>
      </c>
      <c r="AG782" s="5">
        <f t="shared" si="38"/>
        <v>0.60416666666666663</v>
      </c>
    </row>
    <row r="783" spans="1:33" x14ac:dyDescent="0.25">
      <c r="A783" s="1">
        <v>45567</v>
      </c>
      <c r="B783">
        <v>924</v>
      </c>
      <c r="C783" t="s">
        <v>43</v>
      </c>
      <c r="D783" t="s">
        <v>230</v>
      </c>
      <c r="E783">
        <v>628237</v>
      </c>
      <c r="F783" s="2">
        <v>0.625</v>
      </c>
      <c r="G783" t="s">
        <v>6</v>
      </c>
      <c r="H783" s="2">
        <v>0.64583333333333337</v>
      </c>
      <c r="I783">
        <v>841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1</v>
      </c>
      <c r="AC783">
        <v>1</v>
      </c>
      <c r="AD783" s="3" t="str">
        <f t="shared" si="36"/>
        <v>S2S NO PREMIUM</v>
      </c>
      <c r="AE783" s="3" t="e">
        <f>VLOOKUP(E783,'[1]Nómina Agentes'!$C:$D,2,0)</f>
        <v>#N/A</v>
      </c>
      <c r="AF783" s="5">
        <f t="shared" si="37"/>
        <v>0.625</v>
      </c>
      <c r="AG783" s="5">
        <f t="shared" si="38"/>
        <v>0.64583333333333337</v>
      </c>
    </row>
    <row r="784" spans="1:33" x14ac:dyDescent="0.25">
      <c r="A784" s="1">
        <v>45567</v>
      </c>
      <c r="B784">
        <v>924</v>
      </c>
      <c r="C784" t="s">
        <v>43</v>
      </c>
      <c r="D784" t="s">
        <v>230</v>
      </c>
      <c r="E784">
        <v>628237</v>
      </c>
      <c r="F784" s="2">
        <v>0.60416666666666663</v>
      </c>
      <c r="G784" t="s">
        <v>6</v>
      </c>
      <c r="H784" s="2">
        <v>0.625</v>
      </c>
      <c r="I784">
        <v>1030</v>
      </c>
      <c r="J784">
        <v>0</v>
      </c>
      <c r="K784">
        <v>0</v>
      </c>
      <c r="L784">
        <v>13</v>
      </c>
      <c r="M784">
        <v>0</v>
      </c>
      <c r="N784">
        <v>0</v>
      </c>
      <c r="O784">
        <v>0</v>
      </c>
      <c r="P784">
        <v>1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2</v>
      </c>
      <c r="AC784">
        <v>2</v>
      </c>
      <c r="AD784" s="3" t="str">
        <f t="shared" si="36"/>
        <v>S2S NO PREMIUM</v>
      </c>
      <c r="AE784" s="3" t="e">
        <f>VLOOKUP(E784,'[1]Nómina Agentes'!$C:$D,2,0)</f>
        <v>#N/A</v>
      </c>
      <c r="AF784" s="5">
        <f t="shared" si="37"/>
        <v>0.60416666666666663</v>
      </c>
      <c r="AG784" s="5">
        <f t="shared" si="38"/>
        <v>0.625</v>
      </c>
    </row>
    <row r="785" spans="1:33" x14ac:dyDescent="0.25">
      <c r="A785" s="1">
        <v>45567</v>
      </c>
      <c r="B785">
        <v>925</v>
      </c>
      <c r="C785" t="s">
        <v>42</v>
      </c>
      <c r="D785" t="s">
        <v>231</v>
      </c>
      <c r="E785">
        <v>628253</v>
      </c>
      <c r="F785" s="2">
        <v>0.625</v>
      </c>
      <c r="G785" t="s">
        <v>6</v>
      </c>
      <c r="H785" s="2">
        <v>0.64583333333333337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 s="3" t="str">
        <f t="shared" si="36"/>
        <v>S2S PREMIUM</v>
      </c>
      <c r="AE785" s="3" t="e">
        <f>VLOOKUP(E785,'[1]Nómina Agentes'!$C:$D,2,0)</f>
        <v>#N/A</v>
      </c>
      <c r="AF785" s="5">
        <f t="shared" si="37"/>
        <v>0.625</v>
      </c>
      <c r="AG785" s="5">
        <f t="shared" si="38"/>
        <v>0.64583333333333337</v>
      </c>
    </row>
    <row r="786" spans="1:33" x14ac:dyDescent="0.25">
      <c r="A786" s="1">
        <v>45567</v>
      </c>
      <c r="B786">
        <v>925</v>
      </c>
      <c r="C786" t="s">
        <v>42</v>
      </c>
      <c r="D786" t="s">
        <v>231</v>
      </c>
      <c r="E786">
        <v>628253</v>
      </c>
      <c r="F786" s="2">
        <v>0.60416666666666663</v>
      </c>
      <c r="G786" t="s">
        <v>6</v>
      </c>
      <c r="H786" s="2">
        <v>0.625</v>
      </c>
      <c r="I786">
        <v>703</v>
      </c>
      <c r="J786">
        <v>0</v>
      </c>
      <c r="K786">
        <v>0</v>
      </c>
      <c r="L786">
        <v>16</v>
      </c>
      <c r="M786">
        <v>0</v>
      </c>
      <c r="N786">
        <v>0</v>
      </c>
      <c r="O786">
        <v>0</v>
      </c>
      <c r="P786">
        <v>53</v>
      </c>
      <c r="Q786">
        <v>1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5</v>
      </c>
      <c r="AC786">
        <v>3</v>
      </c>
      <c r="AD786" s="3" t="str">
        <f t="shared" si="36"/>
        <v>S2S PREMIUM</v>
      </c>
      <c r="AE786" s="3" t="e">
        <f>VLOOKUP(E786,'[1]Nómina Agentes'!$C:$D,2,0)</f>
        <v>#N/A</v>
      </c>
      <c r="AF786" s="5">
        <f t="shared" si="37"/>
        <v>0.60416666666666663</v>
      </c>
      <c r="AG786" s="5">
        <f t="shared" si="38"/>
        <v>0.625</v>
      </c>
    </row>
    <row r="787" spans="1:33" x14ac:dyDescent="0.25">
      <c r="A787" s="1">
        <v>45567</v>
      </c>
      <c r="B787">
        <v>925</v>
      </c>
      <c r="C787" t="s">
        <v>42</v>
      </c>
      <c r="D787" t="s">
        <v>231</v>
      </c>
      <c r="E787">
        <v>628253</v>
      </c>
      <c r="F787" s="2">
        <v>0.58333333333333337</v>
      </c>
      <c r="G787" t="s">
        <v>6</v>
      </c>
      <c r="H787" s="2">
        <v>0.60416666666666663</v>
      </c>
      <c r="I787">
        <v>921</v>
      </c>
      <c r="J787">
        <v>0</v>
      </c>
      <c r="K787">
        <v>0</v>
      </c>
      <c r="L787">
        <v>12</v>
      </c>
      <c r="M787">
        <v>0</v>
      </c>
      <c r="N787">
        <v>0</v>
      </c>
      <c r="O787">
        <v>0</v>
      </c>
      <c r="P787">
        <v>398</v>
      </c>
      <c r="Q787">
        <v>245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2</v>
      </c>
      <c r="AC787">
        <v>2</v>
      </c>
      <c r="AD787" s="3" t="str">
        <f t="shared" si="36"/>
        <v>S2S PREMIUM</v>
      </c>
      <c r="AE787" s="3" t="e">
        <f>VLOOKUP(E787,'[1]Nómina Agentes'!$C:$D,2,0)</f>
        <v>#N/A</v>
      </c>
      <c r="AF787" s="5">
        <f t="shared" si="37"/>
        <v>0.58333333333333337</v>
      </c>
      <c r="AG787" s="5">
        <f t="shared" si="38"/>
        <v>0.60416666666666663</v>
      </c>
    </row>
    <row r="788" spans="1:33" x14ac:dyDescent="0.25">
      <c r="A788" s="1">
        <v>45567</v>
      </c>
      <c r="B788">
        <v>925</v>
      </c>
      <c r="C788" t="s">
        <v>42</v>
      </c>
      <c r="D788" t="s">
        <v>232</v>
      </c>
      <c r="E788">
        <v>628262</v>
      </c>
      <c r="F788" s="2">
        <v>0.625</v>
      </c>
      <c r="G788" t="s">
        <v>6</v>
      </c>
      <c r="H788" s="2">
        <v>0.64583333333333337</v>
      </c>
      <c r="I788">
        <v>111</v>
      </c>
      <c r="J788">
        <v>0</v>
      </c>
      <c r="K788">
        <v>0</v>
      </c>
      <c r="L788">
        <v>4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 s="3" t="str">
        <f t="shared" si="36"/>
        <v>S2S PREMIUM</v>
      </c>
      <c r="AE788" s="3" t="e">
        <f>VLOOKUP(E788,'[1]Nómina Agentes'!$C:$D,2,0)</f>
        <v>#N/A</v>
      </c>
      <c r="AF788" s="5">
        <f t="shared" si="37"/>
        <v>0.625</v>
      </c>
      <c r="AG788" s="5">
        <f t="shared" si="38"/>
        <v>0.64583333333333337</v>
      </c>
    </row>
    <row r="789" spans="1:33" x14ac:dyDescent="0.25">
      <c r="A789" s="1">
        <v>45567</v>
      </c>
      <c r="B789">
        <v>925</v>
      </c>
      <c r="C789" t="s">
        <v>42</v>
      </c>
      <c r="D789" t="s">
        <v>232</v>
      </c>
      <c r="E789">
        <v>628262</v>
      </c>
      <c r="F789" s="2">
        <v>0.75</v>
      </c>
      <c r="G789" t="s">
        <v>6</v>
      </c>
      <c r="H789" s="2">
        <v>0.77083333333333337</v>
      </c>
      <c r="I789">
        <v>277</v>
      </c>
      <c r="J789">
        <v>0</v>
      </c>
      <c r="K789">
        <v>0</v>
      </c>
      <c r="L789">
        <v>4</v>
      </c>
      <c r="M789">
        <v>0</v>
      </c>
      <c r="N789">
        <v>0</v>
      </c>
      <c r="O789">
        <v>0</v>
      </c>
      <c r="P789">
        <v>2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2</v>
      </c>
      <c r="AC789">
        <v>2</v>
      </c>
      <c r="AD789" s="3" t="str">
        <f t="shared" si="36"/>
        <v>S2S PREMIUM</v>
      </c>
      <c r="AE789" s="3" t="e">
        <f>VLOOKUP(E789,'[1]Nómina Agentes'!$C:$D,2,0)</f>
        <v>#N/A</v>
      </c>
      <c r="AF789" s="5">
        <f t="shared" si="37"/>
        <v>0.75</v>
      </c>
      <c r="AG789" s="5">
        <f t="shared" si="38"/>
        <v>0.77083333333333337</v>
      </c>
    </row>
    <row r="790" spans="1:33" x14ac:dyDescent="0.25">
      <c r="A790" s="1">
        <v>45567</v>
      </c>
      <c r="B790">
        <v>925</v>
      </c>
      <c r="C790" t="s">
        <v>42</v>
      </c>
      <c r="D790" t="s">
        <v>232</v>
      </c>
      <c r="E790">
        <v>628262</v>
      </c>
      <c r="F790" s="2">
        <v>0.70833333333333337</v>
      </c>
      <c r="G790" t="s">
        <v>6</v>
      </c>
      <c r="H790" s="2">
        <v>0.72916666666666663</v>
      </c>
      <c r="I790">
        <v>516</v>
      </c>
      <c r="J790">
        <v>0</v>
      </c>
      <c r="K790">
        <v>0</v>
      </c>
      <c r="L790">
        <v>12</v>
      </c>
      <c r="M790">
        <v>0</v>
      </c>
      <c r="N790">
        <v>0</v>
      </c>
      <c r="O790">
        <v>0</v>
      </c>
      <c r="P790">
        <v>517</v>
      </c>
      <c r="Q790">
        <v>492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3</v>
      </c>
      <c r="AC790">
        <v>3</v>
      </c>
      <c r="AD790" s="3" t="str">
        <f t="shared" si="36"/>
        <v>S2S PREMIUM</v>
      </c>
      <c r="AE790" s="3" t="e">
        <f>VLOOKUP(E790,'[1]Nómina Agentes'!$C:$D,2,0)</f>
        <v>#N/A</v>
      </c>
      <c r="AF790" s="5">
        <f t="shared" si="37"/>
        <v>0.70833333333333337</v>
      </c>
      <c r="AG790" s="5">
        <f t="shared" si="38"/>
        <v>0.72916666666666663</v>
      </c>
    </row>
    <row r="791" spans="1:33" x14ac:dyDescent="0.25">
      <c r="A791" s="1">
        <v>45567</v>
      </c>
      <c r="B791">
        <v>925</v>
      </c>
      <c r="C791" t="s">
        <v>42</v>
      </c>
      <c r="D791" t="s">
        <v>232</v>
      </c>
      <c r="E791">
        <v>628262</v>
      </c>
      <c r="F791" s="2">
        <v>0.8125</v>
      </c>
      <c r="G791" t="s">
        <v>6</v>
      </c>
      <c r="H791" s="2">
        <v>0.83333333333333337</v>
      </c>
      <c r="I791">
        <v>737</v>
      </c>
      <c r="J791">
        <v>0</v>
      </c>
      <c r="K791">
        <v>0</v>
      </c>
      <c r="L791">
        <v>12</v>
      </c>
      <c r="M791">
        <v>0</v>
      </c>
      <c r="N791">
        <v>0</v>
      </c>
      <c r="O791">
        <v>0</v>
      </c>
      <c r="P791">
        <v>223</v>
      </c>
      <c r="Q791">
        <v>215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4</v>
      </c>
      <c r="AC791">
        <v>4</v>
      </c>
      <c r="AD791" s="3" t="str">
        <f t="shared" si="36"/>
        <v>S2S PREMIUM</v>
      </c>
      <c r="AE791" s="3" t="e">
        <f>VLOOKUP(E791,'[1]Nómina Agentes'!$C:$D,2,0)</f>
        <v>#N/A</v>
      </c>
      <c r="AF791" s="5">
        <f t="shared" si="37"/>
        <v>0.8125</v>
      </c>
      <c r="AG791" s="5">
        <f t="shared" si="38"/>
        <v>0.83333333333333337</v>
      </c>
    </row>
    <row r="792" spans="1:33" x14ac:dyDescent="0.25">
      <c r="A792" s="1">
        <v>45567</v>
      </c>
      <c r="B792">
        <v>925</v>
      </c>
      <c r="C792" t="s">
        <v>42</v>
      </c>
      <c r="D792" t="s">
        <v>232</v>
      </c>
      <c r="E792">
        <v>628262</v>
      </c>
      <c r="F792" s="2">
        <v>0.64583333333333337</v>
      </c>
      <c r="G792" t="s">
        <v>6</v>
      </c>
      <c r="H792" s="2">
        <v>0.66666666666666663</v>
      </c>
      <c r="I792">
        <v>824</v>
      </c>
      <c r="J792">
        <v>0</v>
      </c>
      <c r="K792">
        <v>0</v>
      </c>
      <c r="L792">
        <v>8</v>
      </c>
      <c r="M792">
        <v>0</v>
      </c>
      <c r="N792">
        <v>0</v>
      </c>
      <c r="O792">
        <v>0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3</v>
      </c>
      <c r="AC792">
        <v>2</v>
      </c>
      <c r="AD792" s="3" t="str">
        <f t="shared" si="36"/>
        <v>S2S PREMIUM</v>
      </c>
      <c r="AE792" s="3" t="e">
        <f>VLOOKUP(E792,'[1]Nómina Agentes'!$C:$D,2,0)</f>
        <v>#N/A</v>
      </c>
      <c r="AF792" s="5">
        <f t="shared" si="37"/>
        <v>0.64583333333333337</v>
      </c>
      <c r="AG792" s="5">
        <f t="shared" si="38"/>
        <v>0.66666666666666663</v>
      </c>
    </row>
    <row r="793" spans="1:33" x14ac:dyDescent="0.25">
      <c r="A793" s="1">
        <v>45567</v>
      </c>
      <c r="B793">
        <v>925</v>
      </c>
      <c r="C793" t="s">
        <v>42</v>
      </c>
      <c r="D793" t="s">
        <v>232</v>
      </c>
      <c r="E793">
        <v>628262</v>
      </c>
      <c r="F793" s="2">
        <v>0.6875</v>
      </c>
      <c r="G793" t="s">
        <v>6</v>
      </c>
      <c r="H793" s="2">
        <v>0.70833333333333337</v>
      </c>
      <c r="I793">
        <v>844</v>
      </c>
      <c r="J793">
        <v>0</v>
      </c>
      <c r="K793">
        <v>0</v>
      </c>
      <c r="L793">
        <v>12</v>
      </c>
      <c r="M793">
        <v>0</v>
      </c>
      <c r="N793">
        <v>0</v>
      </c>
      <c r="O793">
        <v>0</v>
      </c>
      <c r="P793">
        <v>362</v>
      </c>
      <c r="Q793">
        <v>359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2</v>
      </c>
      <c r="AC793">
        <v>2</v>
      </c>
      <c r="AD793" s="3" t="str">
        <f t="shared" si="36"/>
        <v>S2S PREMIUM</v>
      </c>
      <c r="AE793" s="3" t="e">
        <f>VLOOKUP(E793,'[1]Nómina Agentes'!$C:$D,2,0)</f>
        <v>#N/A</v>
      </c>
      <c r="AF793" s="5">
        <f t="shared" si="37"/>
        <v>0.6875</v>
      </c>
      <c r="AG793" s="5">
        <f t="shared" si="38"/>
        <v>0.70833333333333337</v>
      </c>
    </row>
    <row r="794" spans="1:33" x14ac:dyDescent="0.25">
      <c r="A794" s="1">
        <v>45567</v>
      </c>
      <c r="B794">
        <v>925</v>
      </c>
      <c r="C794" t="s">
        <v>42</v>
      </c>
      <c r="D794" t="s">
        <v>232</v>
      </c>
      <c r="E794">
        <v>628262</v>
      </c>
      <c r="F794" s="2">
        <v>0.66666666666666663</v>
      </c>
      <c r="G794" t="s">
        <v>6</v>
      </c>
      <c r="H794" s="2">
        <v>0.6875</v>
      </c>
      <c r="I794">
        <v>881</v>
      </c>
      <c r="J794">
        <v>0</v>
      </c>
      <c r="K794">
        <v>0</v>
      </c>
      <c r="L794">
        <v>8</v>
      </c>
      <c r="M794">
        <v>0</v>
      </c>
      <c r="N794">
        <v>0</v>
      </c>
      <c r="O794">
        <v>0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2</v>
      </c>
      <c r="AC794">
        <v>2</v>
      </c>
      <c r="AD794" s="3" t="str">
        <f t="shared" si="36"/>
        <v>S2S PREMIUM</v>
      </c>
      <c r="AE794" s="3" t="e">
        <f>VLOOKUP(E794,'[1]Nómina Agentes'!$C:$D,2,0)</f>
        <v>#N/A</v>
      </c>
      <c r="AF794" s="5">
        <f t="shared" si="37"/>
        <v>0.66666666666666663</v>
      </c>
      <c r="AG794" s="5">
        <f t="shared" si="38"/>
        <v>0.6875</v>
      </c>
    </row>
    <row r="795" spans="1:33" x14ac:dyDescent="0.25">
      <c r="A795" s="1">
        <v>45567</v>
      </c>
      <c r="B795">
        <v>925</v>
      </c>
      <c r="C795" t="s">
        <v>42</v>
      </c>
      <c r="D795" t="s">
        <v>232</v>
      </c>
      <c r="E795">
        <v>628262</v>
      </c>
      <c r="F795" s="2">
        <v>0.72916666666666663</v>
      </c>
      <c r="G795" t="s">
        <v>6</v>
      </c>
      <c r="H795" s="2">
        <v>0.75</v>
      </c>
      <c r="I795">
        <v>975</v>
      </c>
      <c r="J795">
        <v>0</v>
      </c>
      <c r="K795">
        <v>0</v>
      </c>
      <c r="L795">
        <v>19</v>
      </c>
      <c r="M795">
        <v>0</v>
      </c>
      <c r="N795">
        <v>0</v>
      </c>
      <c r="O795">
        <v>0</v>
      </c>
      <c r="P795">
        <v>4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5</v>
      </c>
      <c r="AC795">
        <v>5</v>
      </c>
      <c r="AD795" s="3" t="str">
        <f t="shared" si="36"/>
        <v>S2S PREMIUM</v>
      </c>
      <c r="AE795" s="3" t="e">
        <f>VLOOKUP(E795,'[1]Nómina Agentes'!$C:$D,2,0)</f>
        <v>#N/A</v>
      </c>
      <c r="AF795" s="5">
        <f t="shared" si="37"/>
        <v>0.72916666666666663</v>
      </c>
      <c r="AG795" s="5">
        <f t="shared" si="38"/>
        <v>0.75</v>
      </c>
    </row>
    <row r="796" spans="1:33" x14ac:dyDescent="0.25">
      <c r="A796" s="1">
        <v>45567</v>
      </c>
      <c r="B796">
        <v>925</v>
      </c>
      <c r="C796" t="s">
        <v>42</v>
      </c>
      <c r="D796" t="s">
        <v>232</v>
      </c>
      <c r="E796">
        <v>628262</v>
      </c>
      <c r="F796" s="2">
        <v>0.77083333333333337</v>
      </c>
      <c r="G796" t="s">
        <v>6</v>
      </c>
      <c r="H796" s="2">
        <v>0.79166666666666663</v>
      </c>
      <c r="I796">
        <v>982</v>
      </c>
      <c r="J796">
        <v>0</v>
      </c>
      <c r="K796">
        <v>0</v>
      </c>
      <c r="L796">
        <v>20</v>
      </c>
      <c r="M796">
        <v>0</v>
      </c>
      <c r="N796">
        <v>0</v>
      </c>
      <c r="O796">
        <v>0</v>
      </c>
      <c r="P796">
        <v>5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4</v>
      </c>
      <c r="AC796">
        <v>3</v>
      </c>
      <c r="AD796" s="3" t="str">
        <f t="shared" si="36"/>
        <v>S2S PREMIUM</v>
      </c>
      <c r="AE796" s="3" t="e">
        <f>VLOOKUP(E796,'[1]Nómina Agentes'!$C:$D,2,0)</f>
        <v>#N/A</v>
      </c>
      <c r="AF796" s="5">
        <f t="shared" si="37"/>
        <v>0.77083333333333337</v>
      </c>
      <c r="AG796" s="5">
        <f t="shared" si="38"/>
        <v>0.79166666666666663</v>
      </c>
    </row>
    <row r="797" spans="1:33" x14ac:dyDescent="0.25">
      <c r="A797" s="1">
        <v>45567</v>
      </c>
      <c r="B797">
        <v>925</v>
      </c>
      <c r="C797" t="s">
        <v>42</v>
      </c>
      <c r="D797" t="s">
        <v>232</v>
      </c>
      <c r="E797">
        <v>628262</v>
      </c>
      <c r="F797" s="2">
        <v>0.79166666666666663</v>
      </c>
      <c r="G797" t="s">
        <v>6</v>
      </c>
      <c r="H797" s="2">
        <v>0.8125</v>
      </c>
      <c r="I797">
        <v>1068</v>
      </c>
      <c r="J797">
        <v>0</v>
      </c>
      <c r="K797">
        <v>0</v>
      </c>
      <c r="L797">
        <v>20</v>
      </c>
      <c r="M797">
        <v>0</v>
      </c>
      <c r="N797">
        <v>0</v>
      </c>
      <c r="O797">
        <v>0</v>
      </c>
      <c r="P797">
        <v>85</v>
      </c>
      <c r="Q797">
        <v>79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5</v>
      </c>
      <c r="AC797">
        <v>5</v>
      </c>
      <c r="AD797" s="3" t="str">
        <f t="shared" si="36"/>
        <v>S2S PREMIUM</v>
      </c>
      <c r="AE797" s="3" t="e">
        <f>VLOOKUP(E797,'[1]Nómina Agentes'!$C:$D,2,0)</f>
        <v>#N/A</v>
      </c>
      <c r="AF797" s="5">
        <f t="shared" si="37"/>
        <v>0.79166666666666663</v>
      </c>
      <c r="AG797" s="5">
        <f t="shared" si="38"/>
        <v>0.8125</v>
      </c>
    </row>
    <row r="798" spans="1:33" x14ac:dyDescent="0.25">
      <c r="A798" s="1">
        <v>45567</v>
      </c>
      <c r="B798">
        <v>924</v>
      </c>
      <c r="C798" t="s">
        <v>43</v>
      </c>
      <c r="D798" t="s">
        <v>233</v>
      </c>
      <c r="E798">
        <v>628263</v>
      </c>
      <c r="F798" s="2">
        <v>0.58333333333333337</v>
      </c>
      <c r="G798" t="s">
        <v>6</v>
      </c>
      <c r="H798" s="2">
        <v>0.60416666666666663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 s="3" t="str">
        <f t="shared" si="36"/>
        <v>S2S NO PREMIUM</v>
      </c>
      <c r="AE798" s="3" t="e">
        <f>VLOOKUP(E798,'[1]Nómina Agentes'!$C:$D,2,0)</f>
        <v>#N/A</v>
      </c>
      <c r="AF798" s="5">
        <f t="shared" si="37"/>
        <v>0.58333333333333337</v>
      </c>
      <c r="AG798" s="5">
        <f t="shared" si="38"/>
        <v>0.60416666666666663</v>
      </c>
    </row>
    <row r="799" spans="1:33" x14ac:dyDescent="0.25">
      <c r="A799" s="1">
        <v>45567</v>
      </c>
      <c r="B799">
        <v>924</v>
      </c>
      <c r="C799" t="s">
        <v>43</v>
      </c>
      <c r="D799" t="s">
        <v>233</v>
      </c>
      <c r="E799">
        <v>628263</v>
      </c>
      <c r="F799" s="2">
        <v>0.60416666666666663</v>
      </c>
      <c r="G799" t="s">
        <v>6</v>
      </c>
      <c r="H799" s="2">
        <v>0.625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 s="3" t="str">
        <f t="shared" si="36"/>
        <v>S2S NO PREMIUM</v>
      </c>
      <c r="AE799" s="3" t="e">
        <f>VLOOKUP(E799,'[1]Nómina Agentes'!$C:$D,2,0)</f>
        <v>#N/A</v>
      </c>
      <c r="AF799" s="5">
        <f t="shared" si="37"/>
        <v>0.60416666666666663</v>
      </c>
      <c r="AG799" s="5">
        <f t="shared" si="38"/>
        <v>0.625</v>
      </c>
    </row>
    <row r="800" spans="1:33" x14ac:dyDescent="0.25">
      <c r="A800" s="1">
        <v>45567</v>
      </c>
      <c r="B800">
        <v>924</v>
      </c>
      <c r="C800" t="s">
        <v>43</v>
      </c>
      <c r="D800" t="s">
        <v>233</v>
      </c>
      <c r="E800">
        <v>628263</v>
      </c>
      <c r="F800" s="2">
        <v>0.625</v>
      </c>
      <c r="G800" t="s">
        <v>6</v>
      </c>
      <c r="H800" s="2">
        <v>0.64583333333333337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 s="3" t="str">
        <f t="shared" si="36"/>
        <v>S2S NO PREMIUM</v>
      </c>
      <c r="AE800" s="3" t="e">
        <f>VLOOKUP(E800,'[1]Nómina Agentes'!$C:$D,2,0)</f>
        <v>#N/A</v>
      </c>
      <c r="AF800" s="5">
        <f t="shared" si="37"/>
        <v>0.625</v>
      </c>
      <c r="AG800" s="5">
        <f t="shared" si="38"/>
        <v>0.64583333333333337</v>
      </c>
    </row>
    <row r="801" spans="1:33" x14ac:dyDescent="0.25">
      <c r="A801" s="1">
        <v>45567</v>
      </c>
      <c r="B801">
        <v>924</v>
      </c>
      <c r="C801" t="s">
        <v>43</v>
      </c>
      <c r="D801" t="s">
        <v>234</v>
      </c>
      <c r="E801">
        <v>628286</v>
      </c>
      <c r="F801" s="2">
        <v>0.625</v>
      </c>
      <c r="G801" t="s">
        <v>6</v>
      </c>
      <c r="H801" s="2">
        <v>0.64583333333333337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 s="3" t="str">
        <f t="shared" si="36"/>
        <v>S2S NO PREMIUM</v>
      </c>
      <c r="AE801" s="3" t="e">
        <f>VLOOKUP(E801,'[1]Nómina Agentes'!$C:$D,2,0)</f>
        <v>#N/A</v>
      </c>
      <c r="AF801" s="5">
        <f t="shared" si="37"/>
        <v>0.625</v>
      </c>
      <c r="AG801" s="5">
        <f t="shared" si="38"/>
        <v>0.64583333333333337</v>
      </c>
    </row>
    <row r="802" spans="1:33" x14ac:dyDescent="0.25">
      <c r="A802" s="1">
        <v>45567</v>
      </c>
      <c r="B802">
        <v>924</v>
      </c>
      <c r="C802" t="s">
        <v>43</v>
      </c>
      <c r="D802" t="s">
        <v>234</v>
      </c>
      <c r="E802">
        <v>628286</v>
      </c>
      <c r="F802" s="2">
        <v>0.58333333333333337</v>
      </c>
      <c r="G802" t="s">
        <v>6</v>
      </c>
      <c r="H802" s="2">
        <v>0.60416666666666663</v>
      </c>
      <c r="I802">
        <v>792</v>
      </c>
      <c r="J802">
        <v>342</v>
      </c>
      <c r="K802">
        <v>0</v>
      </c>
      <c r="L802">
        <v>16</v>
      </c>
      <c r="M802">
        <v>0</v>
      </c>
      <c r="N802">
        <v>0</v>
      </c>
      <c r="O802">
        <v>0</v>
      </c>
      <c r="P802">
        <v>142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3</v>
      </c>
      <c r="AC802">
        <v>2</v>
      </c>
      <c r="AD802" s="3" t="str">
        <f t="shared" si="36"/>
        <v>S2S NO PREMIUM</v>
      </c>
      <c r="AE802" s="3" t="e">
        <f>VLOOKUP(E802,'[1]Nómina Agentes'!$C:$D,2,0)</f>
        <v>#N/A</v>
      </c>
      <c r="AF802" s="5">
        <f t="shared" si="37"/>
        <v>0.58333333333333337</v>
      </c>
      <c r="AG802" s="5">
        <f t="shared" si="38"/>
        <v>0.60416666666666663</v>
      </c>
    </row>
    <row r="803" spans="1:33" x14ac:dyDescent="0.25">
      <c r="A803" s="1">
        <v>45567</v>
      </c>
      <c r="B803">
        <v>924</v>
      </c>
      <c r="C803" t="s">
        <v>43</v>
      </c>
      <c r="D803" t="s">
        <v>234</v>
      </c>
      <c r="E803">
        <v>628286</v>
      </c>
      <c r="F803" s="2">
        <v>0.60416666666666663</v>
      </c>
      <c r="G803" t="s">
        <v>6</v>
      </c>
      <c r="H803" s="2">
        <v>0.625</v>
      </c>
      <c r="I803">
        <v>872</v>
      </c>
      <c r="J803">
        <v>185</v>
      </c>
      <c r="K803">
        <v>0</v>
      </c>
      <c r="L803">
        <v>8</v>
      </c>
      <c r="M803">
        <v>0</v>
      </c>
      <c r="N803">
        <v>0</v>
      </c>
      <c r="O803">
        <v>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3</v>
      </c>
      <c r="AC803">
        <v>3</v>
      </c>
      <c r="AD803" s="3" t="str">
        <f t="shared" si="36"/>
        <v>S2S NO PREMIUM</v>
      </c>
      <c r="AE803" s="3" t="e">
        <f>VLOOKUP(E803,'[1]Nómina Agentes'!$C:$D,2,0)</f>
        <v>#N/A</v>
      </c>
      <c r="AF803" s="5">
        <f t="shared" si="37"/>
        <v>0.60416666666666663</v>
      </c>
      <c r="AG803" s="5">
        <f t="shared" si="38"/>
        <v>0.625</v>
      </c>
    </row>
    <row r="804" spans="1:33" x14ac:dyDescent="0.25">
      <c r="A804" s="1">
        <v>45567</v>
      </c>
      <c r="B804">
        <v>924</v>
      </c>
      <c r="C804" t="s">
        <v>43</v>
      </c>
      <c r="D804" t="s">
        <v>235</v>
      </c>
      <c r="E804">
        <v>628292</v>
      </c>
      <c r="F804" s="2">
        <v>0.625</v>
      </c>
      <c r="G804" t="s">
        <v>6</v>
      </c>
      <c r="H804" s="2">
        <v>0.64583333333333337</v>
      </c>
      <c r="I804">
        <v>53</v>
      </c>
      <c r="J804">
        <v>0</v>
      </c>
      <c r="K804">
        <v>0</v>
      </c>
      <c r="L804">
        <v>4</v>
      </c>
      <c r="M804">
        <v>0</v>
      </c>
      <c r="N804">
        <v>0</v>
      </c>
      <c r="O804">
        <v>0</v>
      </c>
      <c r="P804">
        <v>1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2</v>
      </c>
      <c r="AC804">
        <v>1</v>
      </c>
      <c r="AD804" s="3" t="str">
        <f t="shared" si="36"/>
        <v>S2S NO PREMIUM</v>
      </c>
      <c r="AE804" s="3" t="e">
        <f>VLOOKUP(E804,'[1]Nómina Agentes'!$C:$D,2,0)</f>
        <v>#N/A</v>
      </c>
      <c r="AF804" s="5">
        <f t="shared" si="37"/>
        <v>0.625</v>
      </c>
      <c r="AG804" s="5">
        <f t="shared" si="38"/>
        <v>0.64583333333333337</v>
      </c>
    </row>
    <row r="805" spans="1:33" x14ac:dyDescent="0.25">
      <c r="A805" s="1">
        <v>45567</v>
      </c>
      <c r="B805">
        <v>924</v>
      </c>
      <c r="C805" t="s">
        <v>43</v>
      </c>
      <c r="D805" t="s">
        <v>235</v>
      </c>
      <c r="E805">
        <v>628292</v>
      </c>
      <c r="F805" s="2">
        <v>0.66666666666666663</v>
      </c>
      <c r="G805" t="s">
        <v>6</v>
      </c>
      <c r="H805" s="2">
        <v>0.6875</v>
      </c>
      <c r="I805">
        <v>197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1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1</v>
      </c>
      <c r="AC805">
        <v>1</v>
      </c>
      <c r="AD805" s="3" t="str">
        <f t="shared" si="36"/>
        <v>S2S NO PREMIUM</v>
      </c>
      <c r="AE805" s="3" t="e">
        <f>VLOOKUP(E805,'[1]Nómina Agentes'!$C:$D,2,0)</f>
        <v>#N/A</v>
      </c>
      <c r="AF805" s="5">
        <f t="shared" si="37"/>
        <v>0.66666666666666663</v>
      </c>
      <c r="AG805" s="5">
        <f t="shared" si="38"/>
        <v>0.6875</v>
      </c>
    </row>
    <row r="806" spans="1:33" x14ac:dyDescent="0.25">
      <c r="A806" s="1">
        <v>45567</v>
      </c>
      <c r="B806">
        <v>924</v>
      </c>
      <c r="C806" t="s">
        <v>43</v>
      </c>
      <c r="D806" t="s">
        <v>235</v>
      </c>
      <c r="E806">
        <v>628292</v>
      </c>
      <c r="F806" s="2">
        <v>0.58333333333333337</v>
      </c>
      <c r="G806" t="s">
        <v>6</v>
      </c>
      <c r="H806" s="2">
        <v>0.60416666666666663</v>
      </c>
      <c r="I806">
        <v>953</v>
      </c>
      <c r="J806">
        <v>0</v>
      </c>
      <c r="K806">
        <v>0</v>
      </c>
      <c r="L806">
        <v>8</v>
      </c>
      <c r="M806">
        <v>0</v>
      </c>
      <c r="N806">
        <v>0</v>
      </c>
      <c r="O806">
        <v>0</v>
      </c>
      <c r="P806">
        <v>577</v>
      </c>
      <c r="Q806">
        <v>153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3</v>
      </c>
      <c r="AC806">
        <v>3</v>
      </c>
      <c r="AD806" s="3" t="str">
        <f t="shared" si="36"/>
        <v>S2S NO PREMIUM</v>
      </c>
      <c r="AE806" s="3" t="e">
        <f>VLOOKUP(E806,'[1]Nómina Agentes'!$C:$D,2,0)</f>
        <v>#N/A</v>
      </c>
      <c r="AF806" s="5">
        <f t="shared" si="37"/>
        <v>0.58333333333333337</v>
      </c>
      <c r="AG806" s="5">
        <f t="shared" si="38"/>
        <v>0.60416666666666663</v>
      </c>
    </row>
    <row r="807" spans="1:33" x14ac:dyDescent="0.25">
      <c r="A807" s="1">
        <v>45567</v>
      </c>
      <c r="B807">
        <v>924</v>
      </c>
      <c r="C807" t="s">
        <v>43</v>
      </c>
      <c r="D807" t="s">
        <v>235</v>
      </c>
      <c r="E807">
        <v>628292</v>
      </c>
      <c r="F807" s="2">
        <v>0.60416666666666663</v>
      </c>
      <c r="G807" t="s">
        <v>6</v>
      </c>
      <c r="H807" s="2">
        <v>0.625</v>
      </c>
      <c r="I807">
        <v>1029</v>
      </c>
      <c r="J807">
        <v>0</v>
      </c>
      <c r="K807">
        <v>0</v>
      </c>
      <c r="L807">
        <v>8</v>
      </c>
      <c r="M807">
        <v>0</v>
      </c>
      <c r="N807">
        <v>0</v>
      </c>
      <c r="O807">
        <v>0</v>
      </c>
      <c r="P807">
        <v>270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1</v>
      </c>
      <c r="AC807">
        <v>0</v>
      </c>
      <c r="AD807" s="3" t="str">
        <f t="shared" si="36"/>
        <v>S2S NO PREMIUM</v>
      </c>
      <c r="AE807" s="3" t="e">
        <f>VLOOKUP(E807,'[1]Nómina Agentes'!$C:$D,2,0)</f>
        <v>#N/A</v>
      </c>
      <c r="AF807" s="5">
        <f t="shared" si="37"/>
        <v>0.60416666666666663</v>
      </c>
      <c r="AG807" s="5">
        <f t="shared" si="38"/>
        <v>0.625</v>
      </c>
    </row>
    <row r="808" spans="1:33" x14ac:dyDescent="0.25">
      <c r="A808" s="1">
        <v>45567</v>
      </c>
      <c r="B808">
        <v>924</v>
      </c>
      <c r="C808" t="s">
        <v>43</v>
      </c>
      <c r="D808" t="s">
        <v>235</v>
      </c>
      <c r="E808">
        <v>628292</v>
      </c>
      <c r="F808" s="2">
        <v>0.64583333333333337</v>
      </c>
      <c r="G808" t="s">
        <v>6</v>
      </c>
      <c r="H808" s="2">
        <v>0.66666666666666663</v>
      </c>
      <c r="I808">
        <v>1073</v>
      </c>
      <c r="J808">
        <v>0</v>
      </c>
      <c r="K808">
        <v>0</v>
      </c>
      <c r="L808">
        <v>16</v>
      </c>
      <c r="M808">
        <v>0</v>
      </c>
      <c r="N808">
        <v>0</v>
      </c>
      <c r="O808">
        <v>0</v>
      </c>
      <c r="P808">
        <v>221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3</v>
      </c>
      <c r="AC808">
        <v>3</v>
      </c>
      <c r="AD808" s="3" t="str">
        <f t="shared" si="36"/>
        <v>S2S NO PREMIUM</v>
      </c>
      <c r="AE808" s="3" t="e">
        <f>VLOOKUP(E808,'[1]Nómina Agentes'!$C:$D,2,0)</f>
        <v>#N/A</v>
      </c>
      <c r="AF808" s="5">
        <f t="shared" si="37"/>
        <v>0.64583333333333337</v>
      </c>
      <c r="AG808" s="5">
        <f t="shared" si="38"/>
        <v>0.66666666666666663</v>
      </c>
    </row>
    <row r="809" spans="1:33" x14ac:dyDescent="0.25">
      <c r="A809" s="1">
        <v>45567</v>
      </c>
      <c r="B809">
        <v>924</v>
      </c>
      <c r="C809" t="s">
        <v>43</v>
      </c>
      <c r="D809" t="s">
        <v>236</v>
      </c>
      <c r="E809">
        <v>628294</v>
      </c>
      <c r="F809" s="2">
        <v>0.625</v>
      </c>
      <c r="G809" t="s">
        <v>6</v>
      </c>
      <c r="H809" s="2">
        <v>0.64583333333333337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 s="3" t="str">
        <f t="shared" si="36"/>
        <v>S2S NO PREMIUM</v>
      </c>
      <c r="AE809" s="3" t="e">
        <f>VLOOKUP(E809,'[1]Nómina Agentes'!$C:$D,2,0)</f>
        <v>#N/A</v>
      </c>
      <c r="AF809" s="5">
        <f t="shared" si="37"/>
        <v>0.625</v>
      </c>
      <c r="AG809" s="5">
        <f t="shared" si="38"/>
        <v>0.64583333333333337</v>
      </c>
    </row>
    <row r="810" spans="1:33" x14ac:dyDescent="0.25">
      <c r="A810" s="1">
        <v>45567</v>
      </c>
      <c r="B810">
        <v>924</v>
      </c>
      <c r="C810" t="s">
        <v>43</v>
      </c>
      <c r="D810" t="s">
        <v>236</v>
      </c>
      <c r="E810">
        <v>628294</v>
      </c>
      <c r="F810" s="2">
        <v>0.58333333333333337</v>
      </c>
      <c r="G810" t="s">
        <v>6</v>
      </c>
      <c r="H810" s="2">
        <v>0.60416666666666663</v>
      </c>
      <c r="I810">
        <v>572</v>
      </c>
      <c r="J810">
        <v>0</v>
      </c>
      <c r="K810">
        <v>0</v>
      </c>
      <c r="L810">
        <v>8</v>
      </c>
      <c r="M810">
        <v>0</v>
      </c>
      <c r="N810">
        <v>0</v>
      </c>
      <c r="O810">
        <v>0</v>
      </c>
      <c r="P810">
        <v>491</v>
      </c>
      <c r="Q810">
        <v>228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3</v>
      </c>
      <c r="AC810">
        <v>3</v>
      </c>
      <c r="AD810" s="3" t="str">
        <f t="shared" si="36"/>
        <v>S2S NO PREMIUM</v>
      </c>
      <c r="AE810" s="3" t="e">
        <f>VLOOKUP(E810,'[1]Nómina Agentes'!$C:$D,2,0)</f>
        <v>#N/A</v>
      </c>
      <c r="AF810" s="5">
        <f t="shared" si="37"/>
        <v>0.58333333333333337</v>
      </c>
      <c r="AG810" s="5">
        <f t="shared" si="38"/>
        <v>0.60416666666666663</v>
      </c>
    </row>
    <row r="811" spans="1:33" x14ac:dyDescent="0.25">
      <c r="A811" s="1">
        <v>45567</v>
      </c>
      <c r="B811">
        <v>924</v>
      </c>
      <c r="C811" t="s">
        <v>43</v>
      </c>
      <c r="D811" t="s">
        <v>236</v>
      </c>
      <c r="E811">
        <v>628294</v>
      </c>
      <c r="F811" s="2">
        <v>0.60416666666666663</v>
      </c>
      <c r="G811" t="s">
        <v>6</v>
      </c>
      <c r="H811" s="2">
        <v>0.625</v>
      </c>
      <c r="I811">
        <v>823</v>
      </c>
      <c r="J811">
        <v>0</v>
      </c>
      <c r="K811">
        <v>0</v>
      </c>
      <c r="L811">
        <v>12</v>
      </c>
      <c r="M811">
        <v>0</v>
      </c>
      <c r="N811">
        <v>0</v>
      </c>
      <c r="O811">
        <v>0</v>
      </c>
      <c r="P811">
        <v>66</v>
      </c>
      <c r="Q811">
        <v>1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3</v>
      </c>
      <c r="AC811">
        <v>1</v>
      </c>
      <c r="AD811" s="3" t="str">
        <f t="shared" si="36"/>
        <v>S2S NO PREMIUM</v>
      </c>
      <c r="AE811" s="3" t="e">
        <f>VLOOKUP(E811,'[1]Nómina Agentes'!$C:$D,2,0)</f>
        <v>#N/A</v>
      </c>
      <c r="AF811" s="5">
        <f t="shared" si="37"/>
        <v>0.60416666666666663</v>
      </c>
      <c r="AG811" s="5">
        <f t="shared" si="38"/>
        <v>0.625</v>
      </c>
    </row>
    <row r="812" spans="1:33" x14ac:dyDescent="0.25">
      <c r="A812" s="1">
        <v>45567</v>
      </c>
      <c r="B812">
        <v>925</v>
      </c>
      <c r="C812" t="s">
        <v>42</v>
      </c>
      <c r="D812" t="s">
        <v>237</v>
      </c>
      <c r="E812">
        <v>628297</v>
      </c>
      <c r="F812" s="2">
        <v>0.8125</v>
      </c>
      <c r="G812" t="s">
        <v>6</v>
      </c>
      <c r="H812" s="2">
        <v>0.83333333333333337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 s="3" t="str">
        <f t="shared" si="36"/>
        <v>S2S PREMIUM</v>
      </c>
      <c r="AE812" s="3" t="e">
        <f>VLOOKUP(E812,'[1]Nómina Agentes'!$C:$D,2,0)</f>
        <v>#N/A</v>
      </c>
      <c r="AF812" s="5">
        <f t="shared" si="37"/>
        <v>0.8125</v>
      </c>
      <c r="AG812" s="5">
        <f t="shared" si="38"/>
        <v>0.83333333333333337</v>
      </c>
    </row>
    <row r="813" spans="1:33" x14ac:dyDescent="0.25">
      <c r="A813" s="1">
        <v>45567</v>
      </c>
      <c r="B813">
        <v>925</v>
      </c>
      <c r="C813" t="s">
        <v>42</v>
      </c>
      <c r="D813" t="s">
        <v>237</v>
      </c>
      <c r="E813">
        <v>628297</v>
      </c>
      <c r="F813" s="2">
        <v>0.66666666666666663</v>
      </c>
      <c r="G813" t="s">
        <v>6</v>
      </c>
      <c r="H813" s="2">
        <v>0.6875</v>
      </c>
      <c r="I813">
        <v>462</v>
      </c>
      <c r="J813">
        <v>0</v>
      </c>
      <c r="K813">
        <v>0</v>
      </c>
      <c r="L813">
        <v>11</v>
      </c>
      <c r="M813">
        <v>0</v>
      </c>
      <c r="N813">
        <v>0</v>
      </c>
      <c r="O813">
        <v>0</v>
      </c>
      <c r="P813">
        <v>227</v>
      </c>
      <c r="Q813">
        <v>224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3</v>
      </c>
      <c r="AC813">
        <v>3</v>
      </c>
      <c r="AD813" s="3" t="str">
        <f t="shared" si="36"/>
        <v>S2S PREMIUM</v>
      </c>
      <c r="AE813" s="3" t="e">
        <f>VLOOKUP(E813,'[1]Nómina Agentes'!$C:$D,2,0)</f>
        <v>#N/A</v>
      </c>
      <c r="AF813" s="5">
        <f t="shared" si="37"/>
        <v>0.66666666666666663</v>
      </c>
      <c r="AG813" s="5">
        <f t="shared" si="38"/>
        <v>0.6875</v>
      </c>
    </row>
    <row r="814" spans="1:33" x14ac:dyDescent="0.25">
      <c r="A814" s="1">
        <v>45567</v>
      </c>
      <c r="B814">
        <v>925</v>
      </c>
      <c r="C814" t="s">
        <v>42</v>
      </c>
      <c r="D814" t="s">
        <v>237</v>
      </c>
      <c r="E814">
        <v>628297</v>
      </c>
      <c r="F814" s="2">
        <v>0.72916666666666663</v>
      </c>
      <c r="G814" t="s">
        <v>6</v>
      </c>
      <c r="H814" s="2">
        <v>0.75</v>
      </c>
      <c r="I814">
        <v>507</v>
      </c>
      <c r="J814">
        <v>0</v>
      </c>
      <c r="K814">
        <v>0</v>
      </c>
      <c r="L814">
        <v>8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1</v>
      </c>
      <c r="AC814">
        <v>0</v>
      </c>
      <c r="AD814" s="3" t="str">
        <f t="shared" si="36"/>
        <v>S2S PREMIUM</v>
      </c>
      <c r="AE814" s="3" t="e">
        <f>VLOOKUP(E814,'[1]Nómina Agentes'!$C:$D,2,0)</f>
        <v>#N/A</v>
      </c>
      <c r="AF814" s="5">
        <f t="shared" si="37"/>
        <v>0.72916666666666663</v>
      </c>
      <c r="AG814" s="5">
        <f t="shared" si="38"/>
        <v>0.75</v>
      </c>
    </row>
    <row r="815" spans="1:33" x14ac:dyDescent="0.25">
      <c r="A815" s="1">
        <v>45567</v>
      </c>
      <c r="B815">
        <v>925</v>
      </c>
      <c r="C815" t="s">
        <v>42</v>
      </c>
      <c r="D815" t="s">
        <v>237</v>
      </c>
      <c r="E815">
        <v>628297</v>
      </c>
      <c r="F815" s="2">
        <v>0.625</v>
      </c>
      <c r="G815" t="s">
        <v>6</v>
      </c>
      <c r="H815" s="2">
        <v>0.64583333333333337</v>
      </c>
      <c r="I815">
        <v>519</v>
      </c>
      <c r="J815">
        <v>0</v>
      </c>
      <c r="K815">
        <v>0</v>
      </c>
      <c r="L815">
        <v>12</v>
      </c>
      <c r="M815">
        <v>0</v>
      </c>
      <c r="N815">
        <v>0</v>
      </c>
      <c r="O815">
        <v>0</v>
      </c>
      <c r="P815">
        <v>157</v>
      </c>
      <c r="Q815">
        <v>250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3</v>
      </c>
      <c r="AC815">
        <v>2</v>
      </c>
      <c r="AD815" s="3" t="str">
        <f t="shared" si="36"/>
        <v>S2S PREMIUM</v>
      </c>
      <c r="AE815" s="3" t="e">
        <f>VLOOKUP(E815,'[1]Nómina Agentes'!$C:$D,2,0)</f>
        <v>#N/A</v>
      </c>
      <c r="AF815" s="5">
        <f t="shared" si="37"/>
        <v>0.625</v>
      </c>
      <c r="AG815" s="5">
        <f t="shared" si="38"/>
        <v>0.64583333333333337</v>
      </c>
    </row>
    <row r="816" spans="1:33" x14ac:dyDescent="0.25">
      <c r="A816" s="1">
        <v>45567</v>
      </c>
      <c r="B816">
        <v>925</v>
      </c>
      <c r="C816" t="s">
        <v>42</v>
      </c>
      <c r="D816" t="s">
        <v>237</v>
      </c>
      <c r="E816">
        <v>628297</v>
      </c>
      <c r="F816" s="2">
        <v>0.64583333333333337</v>
      </c>
      <c r="G816" t="s">
        <v>6</v>
      </c>
      <c r="H816" s="2">
        <v>0.66666666666666663</v>
      </c>
      <c r="I816">
        <v>736</v>
      </c>
      <c r="J816">
        <v>0</v>
      </c>
      <c r="K816">
        <v>0</v>
      </c>
      <c r="L816">
        <v>16</v>
      </c>
      <c r="M816">
        <v>0</v>
      </c>
      <c r="N816">
        <v>0</v>
      </c>
      <c r="O816">
        <v>0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4</v>
      </c>
      <c r="AC816">
        <v>4</v>
      </c>
      <c r="AD816" s="3" t="str">
        <f t="shared" si="36"/>
        <v>S2S PREMIUM</v>
      </c>
      <c r="AE816" s="3" t="e">
        <f>VLOOKUP(E816,'[1]Nómina Agentes'!$C:$D,2,0)</f>
        <v>#N/A</v>
      </c>
      <c r="AF816" s="5">
        <f t="shared" si="37"/>
        <v>0.64583333333333337</v>
      </c>
      <c r="AG816" s="5">
        <f t="shared" si="38"/>
        <v>0.66666666666666663</v>
      </c>
    </row>
    <row r="817" spans="1:33" x14ac:dyDescent="0.25">
      <c r="A817" s="1">
        <v>45567</v>
      </c>
      <c r="B817">
        <v>925</v>
      </c>
      <c r="C817" t="s">
        <v>42</v>
      </c>
      <c r="D817" t="s">
        <v>237</v>
      </c>
      <c r="E817">
        <v>628297</v>
      </c>
      <c r="F817" s="2">
        <v>0.75</v>
      </c>
      <c r="G817" t="s">
        <v>6</v>
      </c>
      <c r="H817" s="2">
        <v>0.77083333333333337</v>
      </c>
      <c r="I817">
        <v>784</v>
      </c>
      <c r="J817">
        <v>0</v>
      </c>
      <c r="K817">
        <v>0</v>
      </c>
      <c r="L817">
        <v>15</v>
      </c>
      <c r="M817">
        <v>0</v>
      </c>
      <c r="N817">
        <v>0</v>
      </c>
      <c r="O817">
        <v>0</v>
      </c>
      <c r="P817">
        <v>4</v>
      </c>
      <c r="Q817">
        <v>22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4</v>
      </c>
      <c r="AC817">
        <v>4</v>
      </c>
      <c r="AD817" s="3" t="str">
        <f t="shared" si="36"/>
        <v>S2S PREMIUM</v>
      </c>
      <c r="AE817" s="3" t="e">
        <f>VLOOKUP(E817,'[1]Nómina Agentes'!$C:$D,2,0)</f>
        <v>#N/A</v>
      </c>
      <c r="AF817" s="5">
        <f t="shared" si="37"/>
        <v>0.75</v>
      </c>
      <c r="AG817" s="5">
        <f t="shared" si="38"/>
        <v>0.77083333333333337</v>
      </c>
    </row>
    <row r="818" spans="1:33" x14ac:dyDescent="0.25">
      <c r="A818" s="1">
        <v>45567</v>
      </c>
      <c r="B818">
        <v>925</v>
      </c>
      <c r="C818" t="s">
        <v>42</v>
      </c>
      <c r="D818" t="s">
        <v>237</v>
      </c>
      <c r="E818">
        <v>628297</v>
      </c>
      <c r="F818" s="2">
        <v>0.70833333333333337</v>
      </c>
      <c r="G818" t="s">
        <v>6</v>
      </c>
      <c r="H818" s="2">
        <v>0.72916666666666663</v>
      </c>
      <c r="I818">
        <v>948</v>
      </c>
      <c r="J818">
        <v>0</v>
      </c>
      <c r="K818">
        <v>0</v>
      </c>
      <c r="L818">
        <v>8</v>
      </c>
      <c r="M818">
        <v>0</v>
      </c>
      <c r="N818">
        <v>0</v>
      </c>
      <c r="O818">
        <v>0</v>
      </c>
      <c r="P818">
        <v>61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3</v>
      </c>
      <c r="AC818">
        <v>3</v>
      </c>
      <c r="AD818" s="3" t="str">
        <f t="shared" si="36"/>
        <v>S2S PREMIUM</v>
      </c>
      <c r="AE818" s="3" t="e">
        <f>VLOOKUP(E818,'[1]Nómina Agentes'!$C:$D,2,0)</f>
        <v>#N/A</v>
      </c>
      <c r="AF818" s="5">
        <f t="shared" si="37"/>
        <v>0.70833333333333337</v>
      </c>
      <c r="AG818" s="5">
        <f t="shared" si="38"/>
        <v>0.72916666666666663</v>
      </c>
    </row>
    <row r="819" spans="1:33" x14ac:dyDescent="0.25">
      <c r="A819" s="1">
        <v>45567</v>
      </c>
      <c r="B819">
        <v>925</v>
      </c>
      <c r="C819" t="s">
        <v>42</v>
      </c>
      <c r="D819" t="s">
        <v>237</v>
      </c>
      <c r="E819">
        <v>628297</v>
      </c>
      <c r="F819" s="2">
        <v>0.77083333333333337</v>
      </c>
      <c r="G819" t="s">
        <v>6</v>
      </c>
      <c r="H819" s="2">
        <v>0.79166666666666663</v>
      </c>
      <c r="I819">
        <v>949</v>
      </c>
      <c r="J819">
        <v>0</v>
      </c>
      <c r="K819">
        <v>0</v>
      </c>
      <c r="L819">
        <v>15</v>
      </c>
      <c r="M819">
        <v>0</v>
      </c>
      <c r="N819">
        <v>0</v>
      </c>
      <c r="O819">
        <v>0</v>
      </c>
      <c r="P819">
        <v>207</v>
      </c>
      <c r="Q819">
        <v>174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4</v>
      </c>
      <c r="AC819">
        <v>4</v>
      </c>
      <c r="AD819" s="3" t="str">
        <f t="shared" si="36"/>
        <v>S2S PREMIUM</v>
      </c>
      <c r="AE819" s="3" t="e">
        <f>VLOOKUP(E819,'[1]Nómina Agentes'!$C:$D,2,0)</f>
        <v>#N/A</v>
      </c>
      <c r="AF819" s="5">
        <f t="shared" si="37"/>
        <v>0.77083333333333337</v>
      </c>
      <c r="AG819" s="5">
        <f t="shared" si="38"/>
        <v>0.79166666666666663</v>
      </c>
    </row>
    <row r="820" spans="1:33" x14ac:dyDescent="0.25">
      <c r="A820" s="1">
        <v>45567</v>
      </c>
      <c r="B820">
        <v>925</v>
      </c>
      <c r="C820" t="s">
        <v>42</v>
      </c>
      <c r="D820" t="s">
        <v>237</v>
      </c>
      <c r="E820">
        <v>628297</v>
      </c>
      <c r="F820" s="2">
        <v>0.6875</v>
      </c>
      <c r="G820" t="s">
        <v>6</v>
      </c>
      <c r="H820" s="2">
        <v>0.70833333333333337</v>
      </c>
      <c r="I820">
        <v>1022</v>
      </c>
      <c r="J820">
        <v>0</v>
      </c>
      <c r="K820">
        <v>0</v>
      </c>
      <c r="L820">
        <v>16</v>
      </c>
      <c r="M820">
        <v>0</v>
      </c>
      <c r="N820">
        <v>0</v>
      </c>
      <c r="O820">
        <v>0</v>
      </c>
      <c r="P820">
        <v>3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3</v>
      </c>
      <c r="AC820">
        <v>3</v>
      </c>
      <c r="AD820" s="3" t="str">
        <f t="shared" si="36"/>
        <v>S2S PREMIUM</v>
      </c>
      <c r="AE820" s="3" t="e">
        <f>VLOOKUP(E820,'[1]Nómina Agentes'!$C:$D,2,0)</f>
        <v>#N/A</v>
      </c>
      <c r="AF820" s="5">
        <f t="shared" si="37"/>
        <v>0.6875</v>
      </c>
      <c r="AG820" s="5">
        <f t="shared" si="38"/>
        <v>0.70833333333333337</v>
      </c>
    </row>
    <row r="821" spans="1:33" x14ac:dyDescent="0.25">
      <c r="A821" s="1">
        <v>45567</v>
      </c>
      <c r="B821">
        <v>925</v>
      </c>
      <c r="C821" t="s">
        <v>42</v>
      </c>
      <c r="D821" t="s">
        <v>237</v>
      </c>
      <c r="E821">
        <v>628297</v>
      </c>
      <c r="F821" s="2">
        <v>0.79166666666666663</v>
      </c>
      <c r="G821" t="s">
        <v>6</v>
      </c>
      <c r="H821" s="2">
        <v>0.8125</v>
      </c>
      <c r="I821">
        <v>1194</v>
      </c>
      <c r="J821">
        <v>0</v>
      </c>
      <c r="K821">
        <v>0</v>
      </c>
      <c r="L821">
        <v>8</v>
      </c>
      <c r="M821">
        <v>0</v>
      </c>
      <c r="N821">
        <v>0</v>
      </c>
      <c r="O821">
        <v>0</v>
      </c>
      <c r="P821">
        <v>3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3</v>
      </c>
      <c r="AC821">
        <v>3</v>
      </c>
      <c r="AD821" s="3" t="str">
        <f t="shared" si="36"/>
        <v>S2S PREMIUM</v>
      </c>
      <c r="AE821" s="3" t="e">
        <f>VLOOKUP(E821,'[1]Nómina Agentes'!$C:$D,2,0)</f>
        <v>#N/A</v>
      </c>
      <c r="AF821" s="5">
        <f t="shared" si="37"/>
        <v>0.79166666666666663</v>
      </c>
      <c r="AG821" s="5">
        <f t="shared" si="38"/>
        <v>0.8125</v>
      </c>
    </row>
    <row r="822" spans="1:33" x14ac:dyDescent="0.25">
      <c r="A822" s="1">
        <v>45567</v>
      </c>
      <c r="B822">
        <v>925</v>
      </c>
      <c r="C822" t="s">
        <v>42</v>
      </c>
      <c r="D822" t="s">
        <v>238</v>
      </c>
      <c r="E822">
        <v>628300</v>
      </c>
      <c r="F822" s="2">
        <v>0.58333333333333337</v>
      </c>
      <c r="G822" t="s">
        <v>6</v>
      </c>
      <c r="H822" s="2">
        <v>0.60416666666666663</v>
      </c>
      <c r="I822">
        <v>197</v>
      </c>
      <c r="J822">
        <v>0</v>
      </c>
      <c r="K822">
        <v>0</v>
      </c>
      <c r="L822">
        <v>8</v>
      </c>
      <c r="M822">
        <v>0</v>
      </c>
      <c r="N822">
        <v>0</v>
      </c>
      <c r="O822">
        <v>0</v>
      </c>
      <c r="P822">
        <v>2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3</v>
      </c>
      <c r="AC822">
        <v>2</v>
      </c>
      <c r="AD822" s="3" t="str">
        <f t="shared" si="36"/>
        <v>S2S PREMIUM</v>
      </c>
      <c r="AE822" s="3" t="e">
        <f>VLOOKUP(E822,'[1]Nómina Agentes'!$C:$D,2,0)</f>
        <v>#N/A</v>
      </c>
      <c r="AF822" s="5">
        <f t="shared" si="37"/>
        <v>0.58333333333333337</v>
      </c>
      <c r="AG822" s="5">
        <f t="shared" si="38"/>
        <v>0.60416666666666663</v>
      </c>
    </row>
    <row r="823" spans="1:33" x14ac:dyDescent="0.25">
      <c r="A823" s="1">
        <v>45567</v>
      </c>
      <c r="B823">
        <v>924</v>
      </c>
      <c r="C823" t="s">
        <v>43</v>
      </c>
      <c r="D823" t="s">
        <v>239</v>
      </c>
      <c r="E823">
        <v>628315</v>
      </c>
      <c r="F823" s="2">
        <v>0.75</v>
      </c>
      <c r="G823" t="s">
        <v>6</v>
      </c>
      <c r="H823" s="2">
        <v>0.77083333333333337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 s="3" t="str">
        <f t="shared" si="36"/>
        <v>S2S NO PREMIUM</v>
      </c>
      <c r="AE823" s="3" t="e">
        <f>VLOOKUP(E823,'[1]Nómina Agentes'!$C:$D,2,0)</f>
        <v>#N/A</v>
      </c>
      <c r="AF823" s="5">
        <f t="shared" si="37"/>
        <v>0.75</v>
      </c>
      <c r="AG823" s="5">
        <f t="shared" si="38"/>
        <v>0.77083333333333337</v>
      </c>
    </row>
    <row r="824" spans="1:33" x14ac:dyDescent="0.25">
      <c r="A824" s="1">
        <v>45567</v>
      </c>
      <c r="B824">
        <v>925</v>
      </c>
      <c r="C824" t="s">
        <v>42</v>
      </c>
      <c r="D824" t="s">
        <v>239</v>
      </c>
      <c r="E824">
        <v>628315</v>
      </c>
      <c r="F824" s="2">
        <v>0.77083333333333337</v>
      </c>
      <c r="G824" t="s">
        <v>6</v>
      </c>
      <c r="H824" s="2">
        <v>0.79166666666666663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100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1</v>
      </c>
      <c r="AC824">
        <v>1</v>
      </c>
      <c r="AD824" s="3" t="str">
        <f t="shared" si="36"/>
        <v>S2S PREMIUM</v>
      </c>
      <c r="AE824" s="3" t="e">
        <f>VLOOKUP(E824,'[1]Nómina Agentes'!$C:$D,2,0)</f>
        <v>#N/A</v>
      </c>
      <c r="AF824" s="5">
        <f t="shared" si="37"/>
        <v>0.77083333333333337</v>
      </c>
      <c r="AG824" s="5">
        <f t="shared" si="38"/>
        <v>0.79166666666666663</v>
      </c>
    </row>
    <row r="825" spans="1:33" x14ac:dyDescent="0.25">
      <c r="A825" s="1">
        <v>45567</v>
      </c>
      <c r="B825">
        <v>924</v>
      </c>
      <c r="C825" t="s">
        <v>43</v>
      </c>
      <c r="D825" t="s">
        <v>239</v>
      </c>
      <c r="E825">
        <v>628315</v>
      </c>
      <c r="F825" s="2">
        <v>0.8125</v>
      </c>
      <c r="G825" t="s">
        <v>6</v>
      </c>
      <c r="H825" s="2">
        <v>0.83333333333333337</v>
      </c>
      <c r="I825">
        <v>37</v>
      </c>
      <c r="J825">
        <v>3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1</v>
      </c>
      <c r="AC825">
        <v>1</v>
      </c>
      <c r="AD825" s="3" t="str">
        <f t="shared" si="36"/>
        <v>S2S NO PREMIUM</v>
      </c>
      <c r="AE825" s="3" t="e">
        <f>VLOOKUP(E825,'[1]Nómina Agentes'!$C:$D,2,0)</f>
        <v>#N/A</v>
      </c>
      <c r="AF825" s="5">
        <f t="shared" si="37"/>
        <v>0.8125</v>
      </c>
      <c r="AG825" s="5">
        <f t="shared" si="38"/>
        <v>0.83333333333333337</v>
      </c>
    </row>
    <row r="826" spans="1:33" x14ac:dyDescent="0.25">
      <c r="A826" s="1">
        <v>45567</v>
      </c>
      <c r="B826">
        <v>925</v>
      </c>
      <c r="C826" t="s">
        <v>42</v>
      </c>
      <c r="D826" t="s">
        <v>239</v>
      </c>
      <c r="E826">
        <v>628315</v>
      </c>
      <c r="F826" s="2">
        <v>0.66666666666666663</v>
      </c>
      <c r="G826" t="s">
        <v>6</v>
      </c>
      <c r="H826" s="2">
        <v>0.6875</v>
      </c>
      <c r="I826">
        <v>363</v>
      </c>
      <c r="J826">
        <v>0</v>
      </c>
      <c r="K826">
        <v>0</v>
      </c>
      <c r="L826">
        <v>12</v>
      </c>
      <c r="M826">
        <v>0</v>
      </c>
      <c r="N826">
        <v>0</v>
      </c>
      <c r="O826">
        <v>0</v>
      </c>
      <c r="P826">
        <v>521</v>
      </c>
      <c r="Q826">
        <v>390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3</v>
      </c>
      <c r="AC826">
        <v>2</v>
      </c>
      <c r="AD826" s="3" t="str">
        <f t="shared" si="36"/>
        <v>S2S PREMIUM</v>
      </c>
      <c r="AE826" s="3" t="e">
        <f>VLOOKUP(E826,'[1]Nómina Agentes'!$C:$D,2,0)</f>
        <v>#N/A</v>
      </c>
      <c r="AF826" s="5">
        <f t="shared" si="37"/>
        <v>0.66666666666666663</v>
      </c>
      <c r="AG826" s="5">
        <f t="shared" si="38"/>
        <v>0.6875</v>
      </c>
    </row>
    <row r="827" spans="1:33" x14ac:dyDescent="0.25">
      <c r="A827" s="1">
        <v>45567</v>
      </c>
      <c r="B827">
        <v>925</v>
      </c>
      <c r="C827" t="s">
        <v>42</v>
      </c>
      <c r="D827" t="s">
        <v>239</v>
      </c>
      <c r="E827">
        <v>628315</v>
      </c>
      <c r="F827" s="2">
        <v>0.70833333333333337</v>
      </c>
      <c r="G827" t="s">
        <v>6</v>
      </c>
      <c r="H827" s="2">
        <v>0.72916666666666663</v>
      </c>
      <c r="I827">
        <v>375</v>
      </c>
      <c r="J827">
        <v>0</v>
      </c>
      <c r="K827">
        <v>0</v>
      </c>
      <c r="L827">
        <v>8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2</v>
      </c>
      <c r="AC827">
        <v>1</v>
      </c>
      <c r="AD827" s="3" t="str">
        <f t="shared" si="36"/>
        <v>S2S PREMIUM</v>
      </c>
      <c r="AE827" s="3" t="e">
        <f>VLOOKUP(E827,'[1]Nómina Agentes'!$C:$D,2,0)</f>
        <v>#N/A</v>
      </c>
      <c r="AF827" s="5">
        <f t="shared" si="37"/>
        <v>0.70833333333333337</v>
      </c>
      <c r="AG827" s="5">
        <f t="shared" si="38"/>
        <v>0.72916666666666663</v>
      </c>
    </row>
    <row r="828" spans="1:33" x14ac:dyDescent="0.25">
      <c r="A828" s="1">
        <v>45567</v>
      </c>
      <c r="B828">
        <v>925</v>
      </c>
      <c r="C828" t="s">
        <v>42</v>
      </c>
      <c r="D828" t="s">
        <v>239</v>
      </c>
      <c r="E828">
        <v>628315</v>
      </c>
      <c r="F828" s="2">
        <v>0.625</v>
      </c>
      <c r="G828" t="s">
        <v>6</v>
      </c>
      <c r="H828" s="2">
        <v>0.64583333333333337</v>
      </c>
      <c r="I828">
        <v>552</v>
      </c>
      <c r="J828">
        <v>56</v>
      </c>
      <c r="K828">
        <v>0</v>
      </c>
      <c r="L828">
        <v>8</v>
      </c>
      <c r="M828">
        <v>0</v>
      </c>
      <c r="N828">
        <v>0</v>
      </c>
      <c r="O828">
        <v>0</v>
      </c>
      <c r="P828">
        <v>102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1</v>
      </c>
      <c r="AC828">
        <v>1</v>
      </c>
      <c r="AD828" s="3" t="str">
        <f t="shared" si="36"/>
        <v>S2S PREMIUM</v>
      </c>
      <c r="AE828" s="3" t="e">
        <f>VLOOKUP(E828,'[1]Nómina Agentes'!$C:$D,2,0)</f>
        <v>#N/A</v>
      </c>
      <c r="AF828" s="5">
        <f t="shared" si="37"/>
        <v>0.625</v>
      </c>
      <c r="AG828" s="5">
        <f t="shared" si="38"/>
        <v>0.64583333333333337</v>
      </c>
    </row>
    <row r="829" spans="1:33" x14ac:dyDescent="0.25">
      <c r="A829" s="1">
        <v>45567</v>
      </c>
      <c r="B829">
        <v>925</v>
      </c>
      <c r="C829" t="s">
        <v>42</v>
      </c>
      <c r="D829" t="s">
        <v>239</v>
      </c>
      <c r="E829">
        <v>628315</v>
      </c>
      <c r="F829" s="2">
        <v>0.6875</v>
      </c>
      <c r="G829" t="s">
        <v>6</v>
      </c>
      <c r="H829" s="2">
        <v>0.70833333333333337</v>
      </c>
      <c r="I829">
        <v>556</v>
      </c>
      <c r="J829">
        <v>50</v>
      </c>
      <c r="K829">
        <v>0</v>
      </c>
      <c r="L829">
        <v>12</v>
      </c>
      <c r="M829">
        <v>0</v>
      </c>
      <c r="N829">
        <v>0</v>
      </c>
      <c r="O829">
        <v>0</v>
      </c>
      <c r="P829">
        <v>293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3</v>
      </c>
      <c r="AC829">
        <v>3</v>
      </c>
      <c r="AD829" s="3" t="str">
        <f t="shared" si="36"/>
        <v>S2S PREMIUM</v>
      </c>
      <c r="AE829" s="3" t="e">
        <f>VLOOKUP(E829,'[1]Nómina Agentes'!$C:$D,2,0)</f>
        <v>#N/A</v>
      </c>
      <c r="AF829" s="5">
        <f t="shared" si="37"/>
        <v>0.6875</v>
      </c>
      <c r="AG829" s="5">
        <f t="shared" si="38"/>
        <v>0.70833333333333337</v>
      </c>
    </row>
    <row r="830" spans="1:33" x14ac:dyDescent="0.25">
      <c r="A830" s="1">
        <v>45567</v>
      </c>
      <c r="B830">
        <v>924</v>
      </c>
      <c r="C830" t="s">
        <v>43</v>
      </c>
      <c r="D830" t="s">
        <v>239</v>
      </c>
      <c r="E830">
        <v>628315</v>
      </c>
      <c r="F830" s="2">
        <v>0.77083333333333337</v>
      </c>
      <c r="G830" t="s">
        <v>6</v>
      </c>
      <c r="H830" s="2">
        <v>0.79166666666666663</v>
      </c>
      <c r="I830">
        <v>735</v>
      </c>
      <c r="J830">
        <v>0</v>
      </c>
      <c r="K830">
        <v>0</v>
      </c>
      <c r="L830">
        <v>12</v>
      </c>
      <c r="M830">
        <v>0</v>
      </c>
      <c r="N830">
        <v>0</v>
      </c>
      <c r="O830">
        <v>0</v>
      </c>
      <c r="P830">
        <v>92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3</v>
      </c>
      <c r="AC830">
        <v>3</v>
      </c>
      <c r="AD830" s="3" t="str">
        <f t="shared" si="36"/>
        <v>S2S NO PREMIUM</v>
      </c>
      <c r="AE830" s="3" t="e">
        <f>VLOOKUP(E830,'[1]Nómina Agentes'!$C:$D,2,0)</f>
        <v>#N/A</v>
      </c>
      <c r="AF830" s="5">
        <f t="shared" si="37"/>
        <v>0.77083333333333337</v>
      </c>
      <c r="AG830" s="5">
        <f t="shared" si="38"/>
        <v>0.79166666666666663</v>
      </c>
    </row>
    <row r="831" spans="1:33" x14ac:dyDescent="0.25">
      <c r="A831" s="1">
        <v>45567</v>
      </c>
      <c r="B831">
        <v>925</v>
      </c>
      <c r="C831" t="s">
        <v>42</v>
      </c>
      <c r="D831" t="s">
        <v>239</v>
      </c>
      <c r="E831">
        <v>628315</v>
      </c>
      <c r="F831" s="2">
        <v>0.75</v>
      </c>
      <c r="G831" t="s">
        <v>6</v>
      </c>
      <c r="H831" s="2">
        <v>0.77083333333333337</v>
      </c>
      <c r="I831">
        <v>812</v>
      </c>
      <c r="J831">
        <v>13</v>
      </c>
      <c r="K831">
        <v>0</v>
      </c>
      <c r="L831">
        <v>12</v>
      </c>
      <c r="M831">
        <v>0</v>
      </c>
      <c r="N831">
        <v>0</v>
      </c>
      <c r="O831">
        <v>0</v>
      </c>
      <c r="P831">
        <v>86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2</v>
      </c>
      <c r="AC831">
        <v>2</v>
      </c>
      <c r="AD831" s="3" t="str">
        <f t="shared" ref="AD831:AD894" si="39">UPPER(C831)</f>
        <v>S2S PREMIUM</v>
      </c>
      <c r="AE831" s="3" t="e">
        <f>VLOOKUP(E831,'[1]Nómina Agentes'!$C:$D,2,0)</f>
        <v>#N/A</v>
      </c>
      <c r="AF831" s="5">
        <f t="shared" ref="AF831:AF894" si="40">F831</f>
        <v>0.75</v>
      </c>
      <c r="AG831" s="5">
        <f t="shared" ref="AG831:AG894" si="41">H831</f>
        <v>0.77083333333333337</v>
      </c>
    </row>
    <row r="832" spans="1:33" x14ac:dyDescent="0.25">
      <c r="A832" s="1">
        <v>45567</v>
      </c>
      <c r="B832">
        <v>924</v>
      </c>
      <c r="C832" t="s">
        <v>43</v>
      </c>
      <c r="D832" t="s">
        <v>239</v>
      </c>
      <c r="E832">
        <v>628315</v>
      </c>
      <c r="F832" s="2">
        <v>0.79166666666666663</v>
      </c>
      <c r="G832" t="s">
        <v>6</v>
      </c>
      <c r="H832" s="2">
        <v>0.8125</v>
      </c>
      <c r="I832">
        <v>877</v>
      </c>
      <c r="J832">
        <v>0</v>
      </c>
      <c r="K832">
        <v>0</v>
      </c>
      <c r="L832">
        <v>11</v>
      </c>
      <c r="M832">
        <v>0</v>
      </c>
      <c r="N832">
        <v>0</v>
      </c>
      <c r="O832">
        <v>0</v>
      </c>
      <c r="P832">
        <v>233</v>
      </c>
      <c r="Q832">
        <v>65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2</v>
      </c>
      <c r="AC832">
        <v>2</v>
      </c>
      <c r="AD832" s="3" t="str">
        <f t="shared" si="39"/>
        <v>S2S NO PREMIUM</v>
      </c>
      <c r="AE832" s="3" t="e">
        <f>VLOOKUP(E832,'[1]Nómina Agentes'!$C:$D,2,0)</f>
        <v>#N/A</v>
      </c>
      <c r="AF832" s="5">
        <f t="shared" si="40"/>
        <v>0.79166666666666663</v>
      </c>
      <c r="AG832" s="5">
        <f t="shared" si="41"/>
        <v>0.8125</v>
      </c>
    </row>
    <row r="833" spans="1:33" x14ac:dyDescent="0.25">
      <c r="A833" s="1">
        <v>45567</v>
      </c>
      <c r="B833">
        <v>925</v>
      </c>
      <c r="C833" t="s">
        <v>42</v>
      </c>
      <c r="D833" t="s">
        <v>239</v>
      </c>
      <c r="E833">
        <v>628315</v>
      </c>
      <c r="F833" s="2">
        <v>0.64583333333333337</v>
      </c>
      <c r="G833" t="s">
        <v>6</v>
      </c>
      <c r="H833" s="2">
        <v>0.66666666666666663</v>
      </c>
      <c r="I833">
        <v>941</v>
      </c>
      <c r="J833">
        <v>0</v>
      </c>
      <c r="K833">
        <v>0</v>
      </c>
      <c r="L833">
        <v>8</v>
      </c>
      <c r="M833">
        <v>0</v>
      </c>
      <c r="N833">
        <v>0</v>
      </c>
      <c r="O833">
        <v>0</v>
      </c>
      <c r="P833">
        <v>167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3</v>
      </c>
      <c r="AC833">
        <v>3</v>
      </c>
      <c r="AD833" s="3" t="str">
        <f t="shared" si="39"/>
        <v>S2S PREMIUM</v>
      </c>
      <c r="AE833" s="3" t="e">
        <f>VLOOKUP(E833,'[1]Nómina Agentes'!$C:$D,2,0)</f>
        <v>#N/A</v>
      </c>
      <c r="AF833" s="5">
        <f t="shared" si="40"/>
        <v>0.64583333333333337</v>
      </c>
      <c r="AG833" s="5">
        <f t="shared" si="41"/>
        <v>0.66666666666666663</v>
      </c>
    </row>
    <row r="834" spans="1:33" x14ac:dyDescent="0.25">
      <c r="A834" s="1">
        <v>45567</v>
      </c>
      <c r="B834">
        <v>925</v>
      </c>
      <c r="C834" t="s">
        <v>42</v>
      </c>
      <c r="D834" t="s">
        <v>239</v>
      </c>
      <c r="E834">
        <v>628315</v>
      </c>
      <c r="F834" s="2">
        <v>0.72916666666666663</v>
      </c>
      <c r="G834" t="s">
        <v>6</v>
      </c>
      <c r="H834" s="2">
        <v>0.75</v>
      </c>
      <c r="I834">
        <v>953</v>
      </c>
      <c r="J834">
        <v>7</v>
      </c>
      <c r="K834">
        <v>0</v>
      </c>
      <c r="L834">
        <v>8</v>
      </c>
      <c r="M834">
        <v>0</v>
      </c>
      <c r="N834">
        <v>0</v>
      </c>
      <c r="O834">
        <v>0</v>
      </c>
      <c r="P834">
        <v>650</v>
      </c>
      <c r="Q834">
        <v>74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2</v>
      </c>
      <c r="AC834">
        <v>2</v>
      </c>
      <c r="AD834" s="3" t="str">
        <f t="shared" si="39"/>
        <v>S2S PREMIUM</v>
      </c>
      <c r="AE834" s="3" t="e">
        <f>VLOOKUP(E834,'[1]Nómina Agentes'!$C:$D,2,0)</f>
        <v>#N/A</v>
      </c>
      <c r="AF834" s="5">
        <f t="shared" si="40"/>
        <v>0.72916666666666663</v>
      </c>
      <c r="AG834" s="5">
        <f t="shared" si="41"/>
        <v>0.75</v>
      </c>
    </row>
    <row r="835" spans="1:33" x14ac:dyDescent="0.25">
      <c r="A835" s="1">
        <v>45567</v>
      </c>
      <c r="B835">
        <v>924</v>
      </c>
      <c r="C835" t="s">
        <v>43</v>
      </c>
      <c r="D835" t="s">
        <v>240</v>
      </c>
      <c r="E835">
        <v>628345</v>
      </c>
      <c r="F835" s="2">
        <v>0.64583333333333337</v>
      </c>
      <c r="G835" t="s">
        <v>6</v>
      </c>
      <c r="H835" s="2">
        <v>0.66666666666666663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 s="3" t="str">
        <f t="shared" si="39"/>
        <v>S2S NO PREMIUM</v>
      </c>
      <c r="AE835" s="3" t="e">
        <f>VLOOKUP(E835,'[1]Nómina Agentes'!$C:$D,2,0)</f>
        <v>#N/A</v>
      </c>
      <c r="AF835" s="5">
        <f t="shared" si="40"/>
        <v>0.64583333333333337</v>
      </c>
      <c r="AG835" s="5">
        <f t="shared" si="41"/>
        <v>0.66666666666666663</v>
      </c>
    </row>
    <row r="836" spans="1:33" x14ac:dyDescent="0.25">
      <c r="A836" s="1">
        <v>45567</v>
      </c>
      <c r="B836">
        <v>924</v>
      </c>
      <c r="C836" t="s">
        <v>43</v>
      </c>
      <c r="D836" t="s">
        <v>240</v>
      </c>
      <c r="E836">
        <v>628345</v>
      </c>
      <c r="F836" s="2">
        <v>0.625</v>
      </c>
      <c r="G836" t="s">
        <v>6</v>
      </c>
      <c r="H836" s="2">
        <v>0.64583333333333337</v>
      </c>
      <c r="I836">
        <v>696</v>
      </c>
      <c r="J836">
        <v>0</v>
      </c>
      <c r="K836">
        <v>0</v>
      </c>
      <c r="L836">
        <v>12</v>
      </c>
      <c r="M836">
        <v>0</v>
      </c>
      <c r="N836">
        <v>0</v>
      </c>
      <c r="O836">
        <v>0</v>
      </c>
      <c r="P836">
        <v>4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4</v>
      </c>
      <c r="AC836">
        <v>4</v>
      </c>
      <c r="AD836" s="3" t="str">
        <f t="shared" si="39"/>
        <v>S2S NO PREMIUM</v>
      </c>
      <c r="AE836" s="3" t="e">
        <f>VLOOKUP(E836,'[1]Nómina Agentes'!$C:$D,2,0)</f>
        <v>#N/A</v>
      </c>
      <c r="AF836" s="5">
        <f t="shared" si="40"/>
        <v>0.625</v>
      </c>
      <c r="AG836" s="5">
        <f t="shared" si="41"/>
        <v>0.64583333333333337</v>
      </c>
    </row>
    <row r="837" spans="1:33" x14ac:dyDescent="0.25">
      <c r="A837" s="1">
        <v>45567</v>
      </c>
      <c r="B837">
        <v>924</v>
      </c>
      <c r="C837" t="s">
        <v>43</v>
      </c>
      <c r="D837" t="s">
        <v>240</v>
      </c>
      <c r="E837">
        <v>628345</v>
      </c>
      <c r="F837" s="2">
        <v>0.58333333333333337</v>
      </c>
      <c r="G837" t="s">
        <v>6</v>
      </c>
      <c r="H837" s="2">
        <v>0.60416666666666663</v>
      </c>
      <c r="I837">
        <v>890</v>
      </c>
      <c r="J837">
        <v>0</v>
      </c>
      <c r="K837">
        <v>0</v>
      </c>
      <c r="L837">
        <v>11</v>
      </c>
      <c r="M837">
        <v>0</v>
      </c>
      <c r="N837">
        <v>0</v>
      </c>
      <c r="O837">
        <v>0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3</v>
      </c>
      <c r="AC837">
        <v>3</v>
      </c>
      <c r="AD837" s="3" t="str">
        <f t="shared" si="39"/>
        <v>S2S NO PREMIUM</v>
      </c>
      <c r="AE837" s="3" t="e">
        <f>VLOOKUP(E837,'[1]Nómina Agentes'!$C:$D,2,0)</f>
        <v>#N/A</v>
      </c>
      <c r="AF837" s="5">
        <f t="shared" si="40"/>
        <v>0.58333333333333337</v>
      </c>
      <c r="AG837" s="5">
        <f t="shared" si="41"/>
        <v>0.60416666666666663</v>
      </c>
    </row>
    <row r="838" spans="1:33" x14ac:dyDescent="0.25">
      <c r="A838" s="1">
        <v>45567</v>
      </c>
      <c r="B838">
        <v>924</v>
      </c>
      <c r="C838" t="s">
        <v>43</v>
      </c>
      <c r="D838" t="s">
        <v>240</v>
      </c>
      <c r="E838">
        <v>628345</v>
      </c>
      <c r="F838" s="2">
        <v>0.60416666666666663</v>
      </c>
      <c r="G838" t="s">
        <v>6</v>
      </c>
      <c r="H838" s="2">
        <v>0.625</v>
      </c>
      <c r="I838">
        <v>1152</v>
      </c>
      <c r="J838">
        <v>0</v>
      </c>
      <c r="K838">
        <v>0</v>
      </c>
      <c r="L838">
        <v>13</v>
      </c>
      <c r="M838">
        <v>0</v>
      </c>
      <c r="N838">
        <v>0</v>
      </c>
      <c r="O838">
        <v>0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2</v>
      </c>
      <c r="AC838">
        <v>2</v>
      </c>
      <c r="AD838" s="3" t="str">
        <f t="shared" si="39"/>
        <v>S2S NO PREMIUM</v>
      </c>
      <c r="AE838" s="3" t="e">
        <f>VLOOKUP(E838,'[1]Nómina Agentes'!$C:$D,2,0)</f>
        <v>#N/A</v>
      </c>
      <c r="AF838" s="5">
        <f t="shared" si="40"/>
        <v>0.60416666666666663</v>
      </c>
      <c r="AG838" s="5">
        <f t="shared" si="41"/>
        <v>0.625</v>
      </c>
    </row>
    <row r="839" spans="1:33" x14ac:dyDescent="0.25">
      <c r="A839" s="1">
        <v>45567</v>
      </c>
      <c r="B839">
        <v>925</v>
      </c>
      <c r="C839" t="s">
        <v>42</v>
      </c>
      <c r="D839" t="s">
        <v>241</v>
      </c>
      <c r="E839">
        <v>628352</v>
      </c>
      <c r="F839" s="2">
        <v>0.75</v>
      </c>
      <c r="G839" t="s">
        <v>6</v>
      </c>
      <c r="H839" s="2">
        <v>0.77083333333333337</v>
      </c>
      <c r="I839">
        <v>461</v>
      </c>
      <c r="J839">
        <v>0</v>
      </c>
      <c r="K839">
        <v>0</v>
      </c>
      <c r="L839">
        <v>4</v>
      </c>
      <c r="M839">
        <v>0</v>
      </c>
      <c r="N839">
        <v>0</v>
      </c>
      <c r="O839">
        <v>0</v>
      </c>
      <c r="P839">
        <v>280</v>
      </c>
      <c r="Q839">
        <v>266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1</v>
      </c>
      <c r="AC839">
        <v>1</v>
      </c>
      <c r="AD839" s="3" t="str">
        <f t="shared" si="39"/>
        <v>S2S PREMIUM</v>
      </c>
      <c r="AE839" s="3" t="e">
        <f>VLOOKUP(E839,'[1]Nómina Agentes'!$C:$D,2,0)</f>
        <v>#N/A</v>
      </c>
      <c r="AF839" s="5">
        <f t="shared" si="40"/>
        <v>0.75</v>
      </c>
      <c r="AG839" s="5">
        <f t="shared" si="41"/>
        <v>0.77083333333333337</v>
      </c>
    </row>
    <row r="840" spans="1:33" x14ac:dyDescent="0.25">
      <c r="A840" s="1">
        <v>45567</v>
      </c>
      <c r="B840">
        <v>925</v>
      </c>
      <c r="C840" t="s">
        <v>42</v>
      </c>
      <c r="D840" t="s">
        <v>241</v>
      </c>
      <c r="E840">
        <v>628352</v>
      </c>
      <c r="F840" s="2">
        <v>0.64583333333333337</v>
      </c>
      <c r="G840" t="s">
        <v>6</v>
      </c>
      <c r="H840" s="2">
        <v>0.66666666666666663</v>
      </c>
      <c r="I840">
        <v>631</v>
      </c>
      <c r="J840">
        <v>0</v>
      </c>
      <c r="K840">
        <v>0</v>
      </c>
      <c r="L840">
        <v>8</v>
      </c>
      <c r="M840">
        <v>0</v>
      </c>
      <c r="N840">
        <v>0</v>
      </c>
      <c r="O840">
        <v>0</v>
      </c>
      <c r="P840">
        <v>185</v>
      </c>
      <c r="Q840">
        <v>1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2</v>
      </c>
      <c r="AC840">
        <v>0</v>
      </c>
      <c r="AD840" s="3" t="str">
        <f t="shared" si="39"/>
        <v>S2S PREMIUM</v>
      </c>
      <c r="AE840" s="3" t="e">
        <f>VLOOKUP(E840,'[1]Nómina Agentes'!$C:$D,2,0)</f>
        <v>#N/A</v>
      </c>
      <c r="AF840" s="5">
        <f t="shared" si="40"/>
        <v>0.64583333333333337</v>
      </c>
      <c r="AG840" s="5">
        <f t="shared" si="41"/>
        <v>0.66666666666666663</v>
      </c>
    </row>
    <row r="841" spans="1:33" x14ac:dyDescent="0.25">
      <c r="A841" s="1">
        <v>45567</v>
      </c>
      <c r="B841">
        <v>925</v>
      </c>
      <c r="C841" t="s">
        <v>42</v>
      </c>
      <c r="D841" t="s">
        <v>241</v>
      </c>
      <c r="E841">
        <v>628352</v>
      </c>
      <c r="F841" s="2">
        <v>0.77083333333333337</v>
      </c>
      <c r="G841" t="s">
        <v>6</v>
      </c>
      <c r="H841" s="2">
        <v>0.79166666666666663</v>
      </c>
      <c r="I841">
        <v>654</v>
      </c>
      <c r="J841">
        <v>0</v>
      </c>
      <c r="K841">
        <v>0</v>
      </c>
      <c r="L841">
        <v>24</v>
      </c>
      <c r="M841">
        <v>0</v>
      </c>
      <c r="N841">
        <v>0</v>
      </c>
      <c r="O841">
        <v>0</v>
      </c>
      <c r="P841">
        <v>72</v>
      </c>
      <c r="Q841">
        <v>43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5</v>
      </c>
      <c r="AC841">
        <v>5</v>
      </c>
      <c r="AD841" s="3" t="str">
        <f t="shared" si="39"/>
        <v>S2S PREMIUM</v>
      </c>
      <c r="AE841" s="3" t="e">
        <f>VLOOKUP(E841,'[1]Nómina Agentes'!$C:$D,2,0)</f>
        <v>#N/A</v>
      </c>
      <c r="AF841" s="5">
        <f t="shared" si="40"/>
        <v>0.77083333333333337</v>
      </c>
      <c r="AG841" s="5">
        <f t="shared" si="41"/>
        <v>0.79166666666666663</v>
      </c>
    </row>
    <row r="842" spans="1:33" x14ac:dyDescent="0.25">
      <c r="A842" s="1">
        <v>45567</v>
      </c>
      <c r="B842">
        <v>925</v>
      </c>
      <c r="C842" t="s">
        <v>42</v>
      </c>
      <c r="D842" t="s">
        <v>241</v>
      </c>
      <c r="E842">
        <v>628352</v>
      </c>
      <c r="F842" s="2">
        <v>0.625</v>
      </c>
      <c r="G842" t="s">
        <v>6</v>
      </c>
      <c r="H842" s="2">
        <v>0.64583333333333337</v>
      </c>
      <c r="I842">
        <v>698</v>
      </c>
      <c r="J842">
        <v>0</v>
      </c>
      <c r="K842">
        <v>0</v>
      </c>
      <c r="L842">
        <v>12</v>
      </c>
      <c r="M842">
        <v>0</v>
      </c>
      <c r="N842">
        <v>0</v>
      </c>
      <c r="O842">
        <v>0</v>
      </c>
      <c r="P842">
        <v>129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3</v>
      </c>
      <c r="AC842">
        <v>2</v>
      </c>
      <c r="AD842" s="3" t="str">
        <f t="shared" si="39"/>
        <v>S2S PREMIUM</v>
      </c>
      <c r="AE842" s="3" t="e">
        <f>VLOOKUP(E842,'[1]Nómina Agentes'!$C:$D,2,0)</f>
        <v>#N/A</v>
      </c>
      <c r="AF842" s="5">
        <f t="shared" si="40"/>
        <v>0.625</v>
      </c>
      <c r="AG842" s="5">
        <f t="shared" si="41"/>
        <v>0.64583333333333337</v>
      </c>
    </row>
    <row r="843" spans="1:33" x14ac:dyDescent="0.25">
      <c r="A843" s="1">
        <v>45567</v>
      </c>
      <c r="B843">
        <v>925</v>
      </c>
      <c r="C843" t="s">
        <v>42</v>
      </c>
      <c r="D843" t="s">
        <v>241</v>
      </c>
      <c r="E843">
        <v>628352</v>
      </c>
      <c r="F843" s="2">
        <v>0.8125</v>
      </c>
      <c r="G843" t="s">
        <v>6</v>
      </c>
      <c r="H843" s="2">
        <v>0.83333333333333337</v>
      </c>
      <c r="I843">
        <v>725</v>
      </c>
      <c r="J843">
        <v>0</v>
      </c>
      <c r="K843">
        <v>0</v>
      </c>
      <c r="L843">
        <v>11</v>
      </c>
      <c r="M843">
        <v>0</v>
      </c>
      <c r="N843">
        <v>0</v>
      </c>
      <c r="O843">
        <v>0</v>
      </c>
      <c r="P843">
        <v>119</v>
      </c>
      <c r="Q843">
        <v>48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4</v>
      </c>
      <c r="AC843">
        <v>4</v>
      </c>
      <c r="AD843" s="3" t="str">
        <f t="shared" si="39"/>
        <v>S2S PREMIUM</v>
      </c>
      <c r="AE843" s="3" t="e">
        <f>VLOOKUP(E843,'[1]Nómina Agentes'!$C:$D,2,0)</f>
        <v>#N/A</v>
      </c>
      <c r="AF843" s="5">
        <f t="shared" si="40"/>
        <v>0.8125</v>
      </c>
      <c r="AG843" s="5">
        <f t="shared" si="41"/>
        <v>0.83333333333333337</v>
      </c>
    </row>
    <row r="844" spans="1:33" x14ac:dyDescent="0.25">
      <c r="A844" s="1">
        <v>45567</v>
      </c>
      <c r="B844">
        <v>925</v>
      </c>
      <c r="C844" t="s">
        <v>42</v>
      </c>
      <c r="D844" t="s">
        <v>241</v>
      </c>
      <c r="E844">
        <v>628352</v>
      </c>
      <c r="F844" s="2">
        <v>0.70833333333333337</v>
      </c>
      <c r="G844" t="s">
        <v>6</v>
      </c>
      <c r="H844" s="2">
        <v>0.72916666666666663</v>
      </c>
      <c r="I844">
        <v>749</v>
      </c>
      <c r="J844">
        <v>0</v>
      </c>
      <c r="K844">
        <v>0</v>
      </c>
      <c r="L844">
        <v>16</v>
      </c>
      <c r="M844">
        <v>0</v>
      </c>
      <c r="N844">
        <v>0</v>
      </c>
      <c r="O844">
        <v>0</v>
      </c>
      <c r="P844">
        <v>229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3</v>
      </c>
      <c r="AC844">
        <v>2</v>
      </c>
      <c r="AD844" s="3" t="str">
        <f t="shared" si="39"/>
        <v>S2S PREMIUM</v>
      </c>
      <c r="AE844" s="3" t="e">
        <f>VLOOKUP(E844,'[1]Nómina Agentes'!$C:$D,2,0)</f>
        <v>#N/A</v>
      </c>
      <c r="AF844" s="5">
        <f t="shared" si="40"/>
        <v>0.70833333333333337</v>
      </c>
      <c r="AG844" s="5">
        <f t="shared" si="41"/>
        <v>0.72916666666666663</v>
      </c>
    </row>
    <row r="845" spans="1:33" x14ac:dyDescent="0.25">
      <c r="A845" s="1">
        <v>45567</v>
      </c>
      <c r="B845">
        <v>925</v>
      </c>
      <c r="C845" t="s">
        <v>42</v>
      </c>
      <c r="D845" t="s">
        <v>241</v>
      </c>
      <c r="E845">
        <v>628352</v>
      </c>
      <c r="F845" s="2">
        <v>0.66666666666666663</v>
      </c>
      <c r="G845" t="s">
        <v>6</v>
      </c>
      <c r="H845" s="2">
        <v>0.6875</v>
      </c>
      <c r="I845">
        <v>879</v>
      </c>
      <c r="J845">
        <v>0</v>
      </c>
      <c r="K845">
        <v>0</v>
      </c>
      <c r="L845">
        <v>12</v>
      </c>
      <c r="M845">
        <v>0</v>
      </c>
      <c r="N845">
        <v>0</v>
      </c>
      <c r="O845">
        <v>0</v>
      </c>
      <c r="P845">
        <v>2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2</v>
      </c>
      <c r="AC845">
        <v>2</v>
      </c>
      <c r="AD845" s="3" t="str">
        <f t="shared" si="39"/>
        <v>S2S PREMIUM</v>
      </c>
      <c r="AE845" s="3" t="e">
        <f>VLOOKUP(E845,'[1]Nómina Agentes'!$C:$D,2,0)</f>
        <v>#N/A</v>
      </c>
      <c r="AF845" s="5">
        <f t="shared" si="40"/>
        <v>0.66666666666666663</v>
      </c>
      <c r="AG845" s="5">
        <f t="shared" si="41"/>
        <v>0.6875</v>
      </c>
    </row>
    <row r="846" spans="1:33" x14ac:dyDescent="0.25">
      <c r="A846" s="1">
        <v>45567</v>
      </c>
      <c r="B846">
        <v>925</v>
      </c>
      <c r="C846" t="s">
        <v>42</v>
      </c>
      <c r="D846" t="s">
        <v>241</v>
      </c>
      <c r="E846">
        <v>628352</v>
      </c>
      <c r="F846" s="2">
        <v>0.79166666666666663</v>
      </c>
      <c r="G846" t="s">
        <v>6</v>
      </c>
      <c r="H846" s="2">
        <v>0.8125</v>
      </c>
      <c r="I846">
        <v>924</v>
      </c>
      <c r="J846">
        <v>0</v>
      </c>
      <c r="K846">
        <v>0</v>
      </c>
      <c r="L846">
        <v>12</v>
      </c>
      <c r="M846">
        <v>0</v>
      </c>
      <c r="N846">
        <v>0</v>
      </c>
      <c r="O846">
        <v>0</v>
      </c>
      <c r="P846">
        <v>461</v>
      </c>
      <c r="Q846">
        <v>113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3</v>
      </c>
      <c r="AC846">
        <v>3</v>
      </c>
      <c r="AD846" s="3" t="str">
        <f t="shared" si="39"/>
        <v>S2S PREMIUM</v>
      </c>
      <c r="AE846" s="3" t="e">
        <f>VLOOKUP(E846,'[1]Nómina Agentes'!$C:$D,2,0)</f>
        <v>#N/A</v>
      </c>
      <c r="AF846" s="5">
        <f t="shared" si="40"/>
        <v>0.79166666666666663</v>
      </c>
      <c r="AG846" s="5">
        <f t="shared" si="41"/>
        <v>0.8125</v>
      </c>
    </row>
    <row r="847" spans="1:33" x14ac:dyDescent="0.25">
      <c r="A847" s="1">
        <v>45567</v>
      </c>
      <c r="B847">
        <v>925</v>
      </c>
      <c r="C847" t="s">
        <v>42</v>
      </c>
      <c r="D847" t="s">
        <v>241</v>
      </c>
      <c r="E847">
        <v>628352</v>
      </c>
      <c r="F847" s="2">
        <v>0.72916666666666663</v>
      </c>
      <c r="G847" t="s">
        <v>6</v>
      </c>
      <c r="H847" s="2">
        <v>0.75</v>
      </c>
      <c r="I847">
        <v>1267</v>
      </c>
      <c r="J847">
        <v>0</v>
      </c>
      <c r="K847">
        <v>0</v>
      </c>
      <c r="L847">
        <v>8</v>
      </c>
      <c r="M847">
        <v>0</v>
      </c>
      <c r="N847">
        <v>0</v>
      </c>
      <c r="O847">
        <v>0</v>
      </c>
      <c r="P847">
        <v>3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3</v>
      </c>
      <c r="AC847">
        <v>3</v>
      </c>
      <c r="AD847" s="3" t="str">
        <f t="shared" si="39"/>
        <v>S2S PREMIUM</v>
      </c>
      <c r="AE847" s="3" t="e">
        <f>VLOOKUP(E847,'[1]Nómina Agentes'!$C:$D,2,0)</f>
        <v>#N/A</v>
      </c>
      <c r="AF847" s="5">
        <f t="shared" si="40"/>
        <v>0.72916666666666663</v>
      </c>
      <c r="AG847" s="5">
        <f t="shared" si="41"/>
        <v>0.75</v>
      </c>
    </row>
    <row r="848" spans="1:33" x14ac:dyDescent="0.25">
      <c r="A848" s="1">
        <v>45567</v>
      </c>
      <c r="B848">
        <v>925</v>
      </c>
      <c r="C848" t="s">
        <v>42</v>
      </c>
      <c r="D848" t="s">
        <v>241</v>
      </c>
      <c r="E848">
        <v>628352</v>
      </c>
      <c r="F848" s="2">
        <v>0.6875</v>
      </c>
      <c r="G848" t="s">
        <v>6</v>
      </c>
      <c r="H848" s="2">
        <v>0.70833333333333337</v>
      </c>
      <c r="I848">
        <v>1382</v>
      </c>
      <c r="J848">
        <v>0</v>
      </c>
      <c r="K848">
        <v>0</v>
      </c>
      <c r="L848">
        <v>12</v>
      </c>
      <c r="M848">
        <v>0</v>
      </c>
      <c r="N848">
        <v>0</v>
      </c>
      <c r="O848">
        <v>0</v>
      </c>
      <c r="P848">
        <v>234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4</v>
      </c>
      <c r="AC848">
        <v>4</v>
      </c>
      <c r="AD848" s="3" t="str">
        <f t="shared" si="39"/>
        <v>S2S PREMIUM</v>
      </c>
      <c r="AE848" s="3" t="e">
        <f>VLOOKUP(E848,'[1]Nómina Agentes'!$C:$D,2,0)</f>
        <v>#N/A</v>
      </c>
      <c r="AF848" s="5">
        <f t="shared" si="40"/>
        <v>0.6875</v>
      </c>
      <c r="AG848" s="5">
        <f t="shared" si="41"/>
        <v>0.70833333333333337</v>
      </c>
    </row>
    <row r="849" spans="1:33" x14ac:dyDescent="0.25">
      <c r="A849" s="1">
        <v>45567</v>
      </c>
      <c r="B849">
        <v>925</v>
      </c>
      <c r="C849" t="s">
        <v>42</v>
      </c>
      <c r="D849" t="s">
        <v>242</v>
      </c>
      <c r="E849">
        <v>628356</v>
      </c>
      <c r="F849" s="2">
        <v>0.75</v>
      </c>
      <c r="G849" t="s">
        <v>6</v>
      </c>
      <c r="H849" s="2">
        <v>0.77083333333333337</v>
      </c>
      <c r="I849">
        <v>16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1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1</v>
      </c>
      <c r="AC849">
        <v>1</v>
      </c>
      <c r="AD849" s="3" t="str">
        <f t="shared" si="39"/>
        <v>S2S PREMIUM</v>
      </c>
      <c r="AE849" s="3" t="e">
        <f>VLOOKUP(E849,'[1]Nómina Agentes'!$C:$D,2,0)</f>
        <v>#N/A</v>
      </c>
      <c r="AF849" s="5">
        <f t="shared" si="40"/>
        <v>0.75</v>
      </c>
      <c r="AG849" s="5">
        <f t="shared" si="41"/>
        <v>0.77083333333333337</v>
      </c>
    </row>
    <row r="850" spans="1:33" x14ac:dyDescent="0.25">
      <c r="A850" s="1">
        <v>45567</v>
      </c>
      <c r="B850">
        <v>925</v>
      </c>
      <c r="C850" t="s">
        <v>42</v>
      </c>
      <c r="D850" t="s">
        <v>242</v>
      </c>
      <c r="E850">
        <v>628356</v>
      </c>
      <c r="F850" s="2">
        <v>0.625</v>
      </c>
      <c r="G850" t="s">
        <v>6</v>
      </c>
      <c r="H850" s="2">
        <v>0.64583333333333337</v>
      </c>
      <c r="I850">
        <v>31</v>
      </c>
      <c r="J850">
        <v>0</v>
      </c>
      <c r="K850">
        <v>0</v>
      </c>
      <c r="L850">
        <v>4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 s="3" t="str">
        <f t="shared" si="39"/>
        <v>S2S PREMIUM</v>
      </c>
      <c r="AE850" s="3" t="e">
        <f>VLOOKUP(E850,'[1]Nómina Agentes'!$C:$D,2,0)</f>
        <v>#N/A</v>
      </c>
      <c r="AF850" s="5">
        <f t="shared" si="40"/>
        <v>0.625</v>
      </c>
      <c r="AG850" s="5">
        <f t="shared" si="41"/>
        <v>0.64583333333333337</v>
      </c>
    </row>
    <row r="851" spans="1:33" x14ac:dyDescent="0.25">
      <c r="A851" s="1">
        <v>45567</v>
      </c>
      <c r="B851">
        <v>925</v>
      </c>
      <c r="C851" t="s">
        <v>42</v>
      </c>
      <c r="D851" t="s">
        <v>242</v>
      </c>
      <c r="E851">
        <v>628356</v>
      </c>
      <c r="F851" s="2">
        <v>0.66666666666666663</v>
      </c>
      <c r="G851" t="s">
        <v>6</v>
      </c>
      <c r="H851" s="2">
        <v>0.6875</v>
      </c>
      <c r="I851">
        <v>116</v>
      </c>
      <c r="J851">
        <v>0</v>
      </c>
      <c r="K851">
        <v>0</v>
      </c>
      <c r="L851">
        <v>4</v>
      </c>
      <c r="M851">
        <v>0</v>
      </c>
      <c r="N851">
        <v>0</v>
      </c>
      <c r="O851">
        <v>0</v>
      </c>
      <c r="P851">
        <v>37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1</v>
      </c>
      <c r="AC851">
        <v>1</v>
      </c>
      <c r="AD851" s="3" t="str">
        <f t="shared" si="39"/>
        <v>S2S PREMIUM</v>
      </c>
      <c r="AE851" s="3" t="e">
        <f>VLOOKUP(E851,'[1]Nómina Agentes'!$C:$D,2,0)</f>
        <v>#N/A</v>
      </c>
      <c r="AF851" s="5">
        <f t="shared" si="40"/>
        <v>0.66666666666666663</v>
      </c>
      <c r="AG851" s="5">
        <f t="shared" si="41"/>
        <v>0.6875</v>
      </c>
    </row>
    <row r="852" spans="1:33" x14ac:dyDescent="0.25">
      <c r="A852" s="1">
        <v>45567</v>
      </c>
      <c r="B852">
        <v>924</v>
      </c>
      <c r="C852" t="s">
        <v>43</v>
      </c>
      <c r="D852" t="s">
        <v>242</v>
      </c>
      <c r="E852">
        <v>628356</v>
      </c>
      <c r="F852" s="2">
        <v>0.75</v>
      </c>
      <c r="G852" t="s">
        <v>6</v>
      </c>
      <c r="H852" s="2">
        <v>0.77083333333333337</v>
      </c>
      <c r="I852">
        <v>125</v>
      </c>
      <c r="J852">
        <v>0</v>
      </c>
      <c r="K852">
        <v>0</v>
      </c>
      <c r="L852">
        <v>8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1</v>
      </c>
      <c r="AC852">
        <v>0</v>
      </c>
      <c r="AD852" s="3" t="str">
        <f t="shared" si="39"/>
        <v>S2S NO PREMIUM</v>
      </c>
      <c r="AE852" s="3" t="e">
        <f>VLOOKUP(E852,'[1]Nómina Agentes'!$C:$D,2,0)</f>
        <v>#N/A</v>
      </c>
      <c r="AF852" s="5">
        <f t="shared" si="40"/>
        <v>0.75</v>
      </c>
      <c r="AG852" s="5">
        <f t="shared" si="41"/>
        <v>0.77083333333333337</v>
      </c>
    </row>
    <row r="853" spans="1:33" x14ac:dyDescent="0.25">
      <c r="A853" s="1">
        <v>45567</v>
      </c>
      <c r="B853">
        <v>924</v>
      </c>
      <c r="C853" t="s">
        <v>43</v>
      </c>
      <c r="D853" t="s">
        <v>242</v>
      </c>
      <c r="E853">
        <v>628356</v>
      </c>
      <c r="F853" s="2">
        <v>0.8125</v>
      </c>
      <c r="G853" t="s">
        <v>6</v>
      </c>
      <c r="H853" s="2">
        <v>0.83333333333333337</v>
      </c>
      <c r="I853">
        <v>161</v>
      </c>
      <c r="J853">
        <v>0</v>
      </c>
      <c r="K853">
        <v>0</v>
      </c>
      <c r="L853">
        <v>8</v>
      </c>
      <c r="M853">
        <v>0</v>
      </c>
      <c r="N853">
        <v>0</v>
      </c>
      <c r="O853">
        <v>0</v>
      </c>
      <c r="P853">
        <v>62</v>
      </c>
      <c r="Q853">
        <v>1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3</v>
      </c>
      <c r="AC853">
        <v>3</v>
      </c>
      <c r="AD853" s="3" t="str">
        <f t="shared" si="39"/>
        <v>S2S NO PREMIUM</v>
      </c>
      <c r="AE853" s="3" t="e">
        <f>VLOOKUP(E853,'[1]Nómina Agentes'!$C:$D,2,0)</f>
        <v>#N/A</v>
      </c>
      <c r="AF853" s="5">
        <f t="shared" si="40"/>
        <v>0.8125</v>
      </c>
      <c r="AG853" s="5">
        <f t="shared" si="41"/>
        <v>0.83333333333333337</v>
      </c>
    </row>
    <row r="854" spans="1:33" x14ac:dyDescent="0.25">
      <c r="A854" s="1">
        <v>45567</v>
      </c>
      <c r="B854">
        <v>925</v>
      </c>
      <c r="C854" t="s">
        <v>42</v>
      </c>
      <c r="D854" t="s">
        <v>242</v>
      </c>
      <c r="E854">
        <v>628356</v>
      </c>
      <c r="F854" s="2">
        <v>0.64583333333333337</v>
      </c>
      <c r="G854" t="s">
        <v>6</v>
      </c>
      <c r="H854" s="2">
        <v>0.66666666666666663</v>
      </c>
      <c r="I854">
        <v>415</v>
      </c>
      <c r="J854">
        <v>0</v>
      </c>
      <c r="K854">
        <v>0</v>
      </c>
      <c r="L854">
        <v>12</v>
      </c>
      <c r="M854">
        <v>0</v>
      </c>
      <c r="N854">
        <v>0</v>
      </c>
      <c r="O854">
        <v>0</v>
      </c>
      <c r="P854">
        <v>656</v>
      </c>
      <c r="Q854">
        <v>264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4</v>
      </c>
      <c r="AC854">
        <v>2</v>
      </c>
      <c r="AD854" s="3" t="str">
        <f t="shared" si="39"/>
        <v>S2S PREMIUM</v>
      </c>
      <c r="AE854" s="3" t="e">
        <f>VLOOKUP(E854,'[1]Nómina Agentes'!$C:$D,2,0)</f>
        <v>#N/A</v>
      </c>
      <c r="AF854" s="5">
        <f t="shared" si="40"/>
        <v>0.64583333333333337</v>
      </c>
      <c r="AG854" s="5">
        <f t="shared" si="41"/>
        <v>0.66666666666666663</v>
      </c>
    </row>
    <row r="855" spans="1:33" x14ac:dyDescent="0.25">
      <c r="A855" s="1">
        <v>45567</v>
      </c>
      <c r="B855">
        <v>924</v>
      </c>
      <c r="C855" t="s">
        <v>43</v>
      </c>
      <c r="D855" t="s">
        <v>242</v>
      </c>
      <c r="E855">
        <v>628356</v>
      </c>
      <c r="F855" s="2">
        <v>0.77083333333333337</v>
      </c>
      <c r="G855" t="s">
        <v>6</v>
      </c>
      <c r="H855" s="2">
        <v>0.79166666666666663</v>
      </c>
      <c r="I855">
        <v>629</v>
      </c>
      <c r="J855">
        <v>0</v>
      </c>
      <c r="K855">
        <v>0</v>
      </c>
      <c r="L855">
        <v>8</v>
      </c>
      <c r="M855">
        <v>0</v>
      </c>
      <c r="N855">
        <v>0</v>
      </c>
      <c r="O855">
        <v>0</v>
      </c>
      <c r="P855">
        <v>218</v>
      </c>
      <c r="Q855">
        <v>101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3</v>
      </c>
      <c r="AC855">
        <v>3</v>
      </c>
      <c r="AD855" s="3" t="str">
        <f t="shared" si="39"/>
        <v>S2S NO PREMIUM</v>
      </c>
      <c r="AE855" s="3" t="e">
        <f>VLOOKUP(E855,'[1]Nómina Agentes'!$C:$D,2,0)</f>
        <v>#N/A</v>
      </c>
      <c r="AF855" s="5">
        <f t="shared" si="40"/>
        <v>0.77083333333333337</v>
      </c>
      <c r="AG855" s="5">
        <f t="shared" si="41"/>
        <v>0.79166666666666663</v>
      </c>
    </row>
    <row r="856" spans="1:33" x14ac:dyDescent="0.25">
      <c r="A856" s="1">
        <v>45567</v>
      </c>
      <c r="B856">
        <v>925</v>
      </c>
      <c r="C856" t="s">
        <v>42</v>
      </c>
      <c r="D856" t="s">
        <v>242</v>
      </c>
      <c r="E856">
        <v>628356</v>
      </c>
      <c r="F856" s="2">
        <v>0.72916666666666663</v>
      </c>
      <c r="G856" t="s">
        <v>6</v>
      </c>
      <c r="H856" s="2">
        <v>0.75</v>
      </c>
      <c r="I856">
        <v>726</v>
      </c>
      <c r="J856">
        <v>0</v>
      </c>
      <c r="K856">
        <v>0</v>
      </c>
      <c r="L856">
        <v>20</v>
      </c>
      <c r="M856">
        <v>0</v>
      </c>
      <c r="N856">
        <v>0</v>
      </c>
      <c r="O856">
        <v>0</v>
      </c>
      <c r="P856">
        <v>217</v>
      </c>
      <c r="Q856">
        <v>69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5</v>
      </c>
      <c r="AC856">
        <v>3</v>
      </c>
      <c r="AD856" s="3" t="str">
        <f t="shared" si="39"/>
        <v>S2S PREMIUM</v>
      </c>
      <c r="AE856" s="3" t="e">
        <f>VLOOKUP(E856,'[1]Nómina Agentes'!$C:$D,2,0)</f>
        <v>#N/A</v>
      </c>
      <c r="AF856" s="5">
        <f t="shared" si="40"/>
        <v>0.72916666666666663</v>
      </c>
      <c r="AG856" s="5">
        <f t="shared" si="41"/>
        <v>0.75</v>
      </c>
    </row>
    <row r="857" spans="1:33" x14ac:dyDescent="0.25">
      <c r="A857" s="1">
        <v>45567</v>
      </c>
      <c r="B857">
        <v>924</v>
      </c>
      <c r="C857" t="s">
        <v>43</v>
      </c>
      <c r="D857" t="s">
        <v>242</v>
      </c>
      <c r="E857">
        <v>628356</v>
      </c>
      <c r="F857" s="2">
        <v>0.79166666666666663</v>
      </c>
      <c r="G857" t="s">
        <v>6</v>
      </c>
      <c r="H857" s="2">
        <v>0.8125</v>
      </c>
      <c r="I857">
        <v>787</v>
      </c>
      <c r="J857">
        <v>0</v>
      </c>
      <c r="K857">
        <v>0</v>
      </c>
      <c r="L857">
        <v>21</v>
      </c>
      <c r="M857">
        <v>0</v>
      </c>
      <c r="N857">
        <v>0</v>
      </c>
      <c r="O857">
        <v>0</v>
      </c>
      <c r="P857">
        <v>3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4</v>
      </c>
      <c r="AC857">
        <v>3</v>
      </c>
      <c r="AD857" s="3" t="str">
        <f t="shared" si="39"/>
        <v>S2S NO PREMIUM</v>
      </c>
      <c r="AE857" s="3" t="e">
        <f>VLOOKUP(E857,'[1]Nómina Agentes'!$C:$D,2,0)</f>
        <v>#N/A</v>
      </c>
      <c r="AF857" s="5">
        <f t="shared" si="40"/>
        <v>0.79166666666666663</v>
      </c>
      <c r="AG857" s="5">
        <f t="shared" si="41"/>
        <v>0.8125</v>
      </c>
    </row>
    <row r="858" spans="1:33" x14ac:dyDescent="0.25">
      <c r="A858" s="1">
        <v>45567</v>
      </c>
      <c r="B858">
        <v>925</v>
      </c>
      <c r="C858" t="s">
        <v>42</v>
      </c>
      <c r="D858" t="s">
        <v>242</v>
      </c>
      <c r="E858">
        <v>628356</v>
      </c>
      <c r="F858" s="2">
        <v>0.70833333333333337</v>
      </c>
      <c r="G858" t="s">
        <v>6</v>
      </c>
      <c r="H858" s="2">
        <v>0.72916666666666663</v>
      </c>
      <c r="I858">
        <v>858</v>
      </c>
      <c r="J858">
        <v>0</v>
      </c>
      <c r="K858">
        <v>0</v>
      </c>
      <c r="L858">
        <v>20</v>
      </c>
      <c r="M858">
        <v>0</v>
      </c>
      <c r="N858">
        <v>0</v>
      </c>
      <c r="O858">
        <v>0</v>
      </c>
      <c r="P858">
        <v>23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5</v>
      </c>
      <c r="AC858">
        <v>4</v>
      </c>
      <c r="AD858" s="3" t="str">
        <f t="shared" si="39"/>
        <v>S2S PREMIUM</v>
      </c>
      <c r="AE858" s="3" t="e">
        <f>VLOOKUP(E858,'[1]Nómina Agentes'!$C:$D,2,0)</f>
        <v>#N/A</v>
      </c>
      <c r="AF858" s="5">
        <f t="shared" si="40"/>
        <v>0.70833333333333337</v>
      </c>
      <c r="AG858" s="5">
        <f t="shared" si="41"/>
        <v>0.72916666666666663</v>
      </c>
    </row>
    <row r="859" spans="1:33" x14ac:dyDescent="0.25">
      <c r="A859" s="1">
        <v>45567</v>
      </c>
      <c r="B859">
        <v>925</v>
      </c>
      <c r="C859" t="s">
        <v>42</v>
      </c>
      <c r="D859" t="s">
        <v>242</v>
      </c>
      <c r="E859">
        <v>628356</v>
      </c>
      <c r="F859" s="2">
        <v>0.6875</v>
      </c>
      <c r="G859" t="s">
        <v>6</v>
      </c>
      <c r="H859" s="2">
        <v>0.70833333333333337</v>
      </c>
      <c r="I859">
        <v>965</v>
      </c>
      <c r="J859">
        <v>0</v>
      </c>
      <c r="K859">
        <v>0</v>
      </c>
      <c r="L859">
        <v>28</v>
      </c>
      <c r="M859">
        <v>0</v>
      </c>
      <c r="N859">
        <v>0</v>
      </c>
      <c r="O859">
        <v>0</v>
      </c>
      <c r="P859">
        <v>167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6</v>
      </c>
      <c r="AC859">
        <v>5</v>
      </c>
      <c r="AD859" s="3" t="str">
        <f t="shared" si="39"/>
        <v>S2S PREMIUM</v>
      </c>
      <c r="AE859" s="3" t="e">
        <f>VLOOKUP(E859,'[1]Nómina Agentes'!$C:$D,2,0)</f>
        <v>#N/A</v>
      </c>
      <c r="AF859" s="5">
        <f t="shared" si="40"/>
        <v>0.6875</v>
      </c>
      <c r="AG859" s="5">
        <f t="shared" si="41"/>
        <v>0.70833333333333337</v>
      </c>
    </row>
    <row r="860" spans="1:33" x14ac:dyDescent="0.25">
      <c r="A860" s="1">
        <v>45567</v>
      </c>
      <c r="B860">
        <v>924</v>
      </c>
      <c r="C860" t="s">
        <v>43</v>
      </c>
      <c r="D860" t="s">
        <v>243</v>
      </c>
      <c r="E860">
        <v>628362</v>
      </c>
      <c r="F860" s="2">
        <v>0.64583333333333337</v>
      </c>
      <c r="G860" t="s">
        <v>6</v>
      </c>
      <c r="H860" s="2">
        <v>0.66666666666666663</v>
      </c>
      <c r="I860">
        <v>219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1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1</v>
      </c>
      <c r="AC860">
        <v>1</v>
      </c>
      <c r="AD860" s="3" t="str">
        <f t="shared" si="39"/>
        <v>S2S NO PREMIUM</v>
      </c>
      <c r="AE860" s="3" t="e">
        <f>VLOOKUP(E860,'[1]Nómina Agentes'!$C:$D,2,0)</f>
        <v>#N/A</v>
      </c>
      <c r="AF860" s="5">
        <f t="shared" si="40"/>
        <v>0.64583333333333337</v>
      </c>
      <c r="AG860" s="5">
        <f t="shared" si="41"/>
        <v>0.66666666666666663</v>
      </c>
    </row>
    <row r="861" spans="1:33" x14ac:dyDescent="0.25">
      <c r="A861" s="1">
        <v>45567</v>
      </c>
      <c r="B861">
        <v>924</v>
      </c>
      <c r="C861" t="s">
        <v>43</v>
      </c>
      <c r="D861" t="s">
        <v>243</v>
      </c>
      <c r="E861">
        <v>628362</v>
      </c>
      <c r="F861" s="2">
        <v>0.625</v>
      </c>
      <c r="G861" t="s">
        <v>6</v>
      </c>
      <c r="H861" s="2">
        <v>0.64583333333333337</v>
      </c>
      <c r="I861">
        <v>654</v>
      </c>
      <c r="J861">
        <v>0</v>
      </c>
      <c r="K861">
        <v>0</v>
      </c>
      <c r="L861">
        <v>8</v>
      </c>
      <c r="M861">
        <v>0</v>
      </c>
      <c r="N861">
        <v>0</v>
      </c>
      <c r="O861">
        <v>0</v>
      </c>
      <c r="P861">
        <v>1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1</v>
      </c>
      <c r="AC861">
        <v>1</v>
      </c>
      <c r="AD861" s="3" t="str">
        <f t="shared" si="39"/>
        <v>S2S NO PREMIUM</v>
      </c>
      <c r="AE861" s="3" t="e">
        <f>VLOOKUP(E861,'[1]Nómina Agentes'!$C:$D,2,0)</f>
        <v>#N/A</v>
      </c>
      <c r="AF861" s="5">
        <f t="shared" si="40"/>
        <v>0.625</v>
      </c>
      <c r="AG861" s="5">
        <f t="shared" si="41"/>
        <v>0.64583333333333337</v>
      </c>
    </row>
    <row r="862" spans="1:33" x14ac:dyDescent="0.25">
      <c r="A862" s="1">
        <v>45567</v>
      </c>
      <c r="B862">
        <v>925</v>
      </c>
      <c r="C862" t="s">
        <v>42</v>
      </c>
      <c r="D862" t="s">
        <v>244</v>
      </c>
      <c r="E862">
        <v>628373</v>
      </c>
      <c r="F862" s="2">
        <v>0.66666666666666663</v>
      </c>
      <c r="G862" t="s">
        <v>6</v>
      </c>
      <c r="H862" s="2">
        <v>0.6875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 s="3" t="str">
        <f t="shared" si="39"/>
        <v>S2S PREMIUM</v>
      </c>
      <c r="AE862" s="3" t="e">
        <f>VLOOKUP(E862,'[1]Nómina Agentes'!$C:$D,2,0)</f>
        <v>#N/A</v>
      </c>
      <c r="AF862" s="5">
        <f t="shared" si="40"/>
        <v>0.66666666666666663</v>
      </c>
      <c r="AG862" s="5">
        <f t="shared" si="41"/>
        <v>0.6875</v>
      </c>
    </row>
    <row r="863" spans="1:33" x14ac:dyDescent="0.25">
      <c r="A863" s="1">
        <v>45567</v>
      </c>
      <c r="B863">
        <v>925</v>
      </c>
      <c r="C863" t="s">
        <v>42</v>
      </c>
      <c r="D863" t="s">
        <v>244</v>
      </c>
      <c r="E863">
        <v>628373</v>
      </c>
      <c r="F863" s="2">
        <v>0.58333333333333337</v>
      </c>
      <c r="G863" t="s">
        <v>6</v>
      </c>
      <c r="H863" s="2">
        <v>0.60416666666666663</v>
      </c>
      <c r="I863">
        <v>431</v>
      </c>
      <c r="J863">
        <v>0</v>
      </c>
      <c r="K863">
        <v>0</v>
      </c>
      <c r="L863">
        <v>4</v>
      </c>
      <c r="M863">
        <v>0</v>
      </c>
      <c r="N863">
        <v>0</v>
      </c>
      <c r="O863">
        <v>0</v>
      </c>
      <c r="P863">
        <v>37</v>
      </c>
      <c r="Q863">
        <v>192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1</v>
      </c>
      <c r="AC863">
        <v>1</v>
      </c>
      <c r="AD863" s="3" t="str">
        <f t="shared" si="39"/>
        <v>S2S PREMIUM</v>
      </c>
      <c r="AE863" s="3" t="e">
        <f>VLOOKUP(E863,'[1]Nómina Agentes'!$C:$D,2,0)</f>
        <v>#N/A</v>
      </c>
      <c r="AF863" s="5">
        <f t="shared" si="40"/>
        <v>0.58333333333333337</v>
      </c>
      <c r="AG863" s="5">
        <f t="shared" si="41"/>
        <v>0.60416666666666663</v>
      </c>
    </row>
    <row r="864" spans="1:33" x14ac:dyDescent="0.25">
      <c r="A864" s="1">
        <v>45567</v>
      </c>
      <c r="B864">
        <v>925</v>
      </c>
      <c r="C864" t="s">
        <v>42</v>
      </c>
      <c r="D864" t="s">
        <v>244</v>
      </c>
      <c r="E864">
        <v>628373</v>
      </c>
      <c r="F864" s="2">
        <v>0.625</v>
      </c>
      <c r="G864" t="s">
        <v>6</v>
      </c>
      <c r="H864" s="2">
        <v>0.64583333333333337</v>
      </c>
      <c r="I864">
        <v>455</v>
      </c>
      <c r="J864">
        <v>0</v>
      </c>
      <c r="K864">
        <v>0</v>
      </c>
      <c r="L864">
        <v>20</v>
      </c>
      <c r="M864">
        <v>0</v>
      </c>
      <c r="N864">
        <v>0</v>
      </c>
      <c r="O864">
        <v>0</v>
      </c>
      <c r="P864">
        <v>3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5</v>
      </c>
      <c r="AC864">
        <v>3</v>
      </c>
      <c r="AD864" s="3" t="str">
        <f t="shared" si="39"/>
        <v>S2S PREMIUM</v>
      </c>
      <c r="AE864" s="3" t="e">
        <f>VLOOKUP(E864,'[1]Nómina Agentes'!$C:$D,2,0)</f>
        <v>#N/A</v>
      </c>
      <c r="AF864" s="5">
        <f t="shared" si="40"/>
        <v>0.625</v>
      </c>
      <c r="AG864" s="5">
        <f t="shared" si="41"/>
        <v>0.64583333333333337</v>
      </c>
    </row>
    <row r="865" spans="1:33" x14ac:dyDescent="0.25">
      <c r="A865" s="1">
        <v>45567</v>
      </c>
      <c r="B865">
        <v>925</v>
      </c>
      <c r="C865" t="s">
        <v>42</v>
      </c>
      <c r="D865" t="s">
        <v>244</v>
      </c>
      <c r="E865">
        <v>628373</v>
      </c>
      <c r="F865" s="2">
        <v>0.60416666666666663</v>
      </c>
      <c r="G865" t="s">
        <v>6</v>
      </c>
      <c r="H865" s="2">
        <v>0.625</v>
      </c>
      <c r="I865">
        <v>503</v>
      </c>
      <c r="J865">
        <v>0</v>
      </c>
      <c r="K865">
        <v>0</v>
      </c>
      <c r="L865">
        <v>11</v>
      </c>
      <c r="M865">
        <v>0</v>
      </c>
      <c r="N865">
        <v>0</v>
      </c>
      <c r="O865">
        <v>0</v>
      </c>
      <c r="P865">
        <v>252</v>
      </c>
      <c r="Q865">
        <v>1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4</v>
      </c>
      <c r="AC865">
        <v>4</v>
      </c>
      <c r="AD865" s="3" t="str">
        <f t="shared" si="39"/>
        <v>S2S PREMIUM</v>
      </c>
      <c r="AE865" s="3" t="e">
        <f>VLOOKUP(E865,'[1]Nómina Agentes'!$C:$D,2,0)</f>
        <v>#N/A</v>
      </c>
      <c r="AF865" s="5">
        <f t="shared" si="40"/>
        <v>0.60416666666666663</v>
      </c>
      <c r="AG865" s="5">
        <f t="shared" si="41"/>
        <v>0.625</v>
      </c>
    </row>
    <row r="866" spans="1:33" x14ac:dyDescent="0.25">
      <c r="A866" s="1">
        <v>45567</v>
      </c>
      <c r="B866">
        <v>925</v>
      </c>
      <c r="C866" t="s">
        <v>42</v>
      </c>
      <c r="D866" t="s">
        <v>244</v>
      </c>
      <c r="E866">
        <v>628373</v>
      </c>
      <c r="F866" s="2">
        <v>0.64583333333333337</v>
      </c>
      <c r="G866" t="s">
        <v>6</v>
      </c>
      <c r="H866" s="2">
        <v>0.66666666666666663</v>
      </c>
      <c r="I866">
        <v>807</v>
      </c>
      <c r="J866">
        <v>0</v>
      </c>
      <c r="K866">
        <v>0</v>
      </c>
      <c r="L866">
        <v>11</v>
      </c>
      <c r="M866">
        <v>0</v>
      </c>
      <c r="N866">
        <v>0</v>
      </c>
      <c r="O866">
        <v>0</v>
      </c>
      <c r="P866">
        <v>129</v>
      </c>
      <c r="Q866">
        <v>104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3</v>
      </c>
      <c r="AC866">
        <v>2</v>
      </c>
      <c r="AD866" s="3" t="str">
        <f t="shared" si="39"/>
        <v>S2S PREMIUM</v>
      </c>
      <c r="AE866" s="3" t="e">
        <f>VLOOKUP(E866,'[1]Nómina Agentes'!$C:$D,2,0)</f>
        <v>#N/A</v>
      </c>
      <c r="AF866" s="5">
        <f t="shared" si="40"/>
        <v>0.64583333333333337</v>
      </c>
      <c r="AG866" s="5">
        <f t="shared" si="41"/>
        <v>0.66666666666666663</v>
      </c>
    </row>
    <row r="867" spans="1:33" x14ac:dyDescent="0.25">
      <c r="A867" s="1">
        <v>45567</v>
      </c>
      <c r="B867">
        <v>924</v>
      </c>
      <c r="C867" t="s">
        <v>43</v>
      </c>
      <c r="D867" t="s">
        <v>245</v>
      </c>
      <c r="E867">
        <v>628382</v>
      </c>
      <c r="F867" s="2">
        <v>0.60416666666666663</v>
      </c>
      <c r="G867" t="s">
        <v>6</v>
      </c>
      <c r="H867" s="2">
        <v>0.625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 s="3" t="str">
        <f t="shared" si="39"/>
        <v>S2S NO PREMIUM</v>
      </c>
      <c r="AE867" s="3" t="e">
        <f>VLOOKUP(E867,'[1]Nómina Agentes'!$C:$D,2,0)</f>
        <v>#N/A</v>
      </c>
      <c r="AF867" s="5">
        <f t="shared" si="40"/>
        <v>0.60416666666666663</v>
      </c>
      <c r="AG867" s="5">
        <f t="shared" si="41"/>
        <v>0.625</v>
      </c>
    </row>
    <row r="868" spans="1:33" x14ac:dyDescent="0.25">
      <c r="A868" s="1">
        <v>45567</v>
      </c>
      <c r="B868">
        <v>924</v>
      </c>
      <c r="C868" t="s">
        <v>43</v>
      </c>
      <c r="D868" t="s">
        <v>245</v>
      </c>
      <c r="E868">
        <v>628382</v>
      </c>
      <c r="F868" s="2">
        <v>0.58333333333333337</v>
      </c>
      <c r="G868" t="s">
        <v>6</v>
      </c>
      <c r="H868" s="2">
        <v>0.60416666666666663</v>
      </c>
      <c r="I868">
        <v>115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1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1</v>
      </c>
      <c r="AC868">
        <v>1</v>
      </c>
      <c r="AD868" s="3" t="str">
        <f t="shared" si="39"/>
        <v>S2S NO PREMIUM</v>
      </c>
      <c r="AE868" s="3" t="e">
        <f>VLOOKUP(E868,'[1]Nómina Agentes'!$C:$D,2,0)</f>
        <v>#N/A</v>
      </c>
      <c r="AF868" s="5">
        <f t="shared" si="40"/>
        <v>0.58333333333333337</v>
      </c>
      <c r="AG868" s="5">
        <f t="shared" si="41"/>
        <v>0.60416666666666663</v>
      </c>
    </row>
    <row r="869" spans="1:33" x14ac:dyDescent="0.25">
      <c r="A869" s="1">
        <v>45567</v>
      </c>
      <c r="B869">
        <v>924</v>
      </c>
      <c r="C869" t="s">
        <v>43</v>
      </c>
      <c r="D869" t="s">
        <v>245</v>
      </c>
      <c r="E869">
        <v>628382</v>
      </c>
      <c r="F869" s="2">
        <v>0.625</v>
      </c>
      <c r="G869" t="s">
        <v>6</v>
      </c>
      <c r="H869" s="2">
        <v>0.64583333333333337</v>
      </c>
      <c r="I869">
        <v>221</v>
      </c>
      <c r="J869">
        <v>228</v>
      </c>
      <c r="K869">
        <v>0</v>
      </c>
      <c r="L869">
        <v>8</v>
      </c>
      <c r="M869">
        <v>0</v>
      </c>
      <c r="N869">
        <v>0</v>
      </c>
      <c r="O869">
        <v>0</v>
      </c>
      <c r="P869">
        <v>2</v>
      </c>
      <c r="Q869">
        <v>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2</v>
      </c>
      <c r="AC869">
        <v>2</v>
      </c>
      <c r="AD869" s="3" t="str">
        <f t="shared" si="39"/>
        <v>S2S NO PREMIUM</v>
      </c>
      <c r="AE869" s="3" t="e">
        <f>VLOOKUP(E869,'[1]Nómina Agentes'!$C:$D,2,0)</f>
        <v>#N/A</v>
      </c>
      <c r="AF869" s="5">
        <f t="shared" si="40"/>
        <v>0.625</v>
      </c>
      <c r="AG869" s="5">
        <f t="shared" si="41"/>
        <v>0.64583333333333337</v>
      </c>
    </row>
    <row r="870" spans="1:33" x14ac:dyDescent="0.25">
      <c r="A870" s="1">
        <v>45567</v>
      </c>
      <c r="B870">
        <v>924</v>
      </c>
      <c r="C870" t="s">
        <v>43</v>
      </c>
      <c r="D870" t="s">
        <v>245</v>
      </c>
      <c r="E870">
        <v>628382</v>
      </c>
      <c r="F870" s="2">
        <v>0.77083333333333337</v>
      </c>
      <c r="G870" t="s">
        <v>6</v>
      </c>
      <c r="H870" s="2">
        <v>0.79166666666666663</v>
      </c>
      <c r="I870">
        <v>227</v>
      </c>
      <c r="J870">
        <v>244</v>
      </c>
      <c r="K870">
        <v>0</v>
      </c>
      <c r="L870">
        <v>4</v>
      </c>
      <c r="M870">
        <v>0</v>
      </c>
      <c r="N870">
        <v>0</v>
      </c>
      <c r="O870">
        <v>0</v>
      </c>
      <c r="P870">
        <v>2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2</v>
      </c>
      <c r="AC870">
        <v>2</v>
      </c>
      <c r="AD870" s="3" t="str">
        <f t="shared" si="39"/>
        <v>S2S NO PREMIUM</v>
      </c>
      <c r="AE870" s="3" t="e">
        <f>VLOOKUP(E870,'[1]Nómina Agentes'!$C:$D,2,0)</f>
        <v>#N/A</v>
      </c>
      <c r="AF870" s="5">
        <f t="shared" si="40"/>
        <v>0.77083333333333337</v>
      </c>
      <c r="AG870" s="5">
        <f t="shared" si="41"/>
        <v>0.79166666666666663</v>
      </c>
    </row>
    <row r="871" spans="1:33" x14ac:dyDescent="0.25">
      <c r="A871" s="1">
        <v>45567</v>
      </c>
      <c r="B871">
        <v>924</v>
      </c>
      <c r="C871" t="s">
        <v>43</v>
      </c>
      <c r="D871" t="s">
        <v>245</v>
      </c>
      <c r="E871">
        <v>628382</v>
      </c>
      <c r="F871" s="2">
        <v>0.6875</v>
      </c>
      <c r="G871" t="s">
        <v>6</v>
      </c>
      <c r="H871" s="2">
        <v>0.70833333333333337</v>
      </c>
      <c r="I871">
        <v>467</v>
      </c>
      <c r="J871">
        <v>623</v>
      </c>
      <c r="K871">
        <v>0</v>
      </c>
      <c r="L871">
        <v>15</v>
      </c>
      <c r="M871">
        <v>0</v>
      </c>
      <c r="N871">
        <v>0</v>
      </c>
      <c r="O871">
        <v>0</v>
      </c>
      <c r="P871">
        <v>3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4</v>
      </c>
      <c r="AC871">
        <v>3</v>
      </c>
      <c r="AD871" s="3" t="str">
        <f t="shared" si="39"/>
        <v>S2S NO PREMIUM</v>
      </c>
      <c r="AE871" s="3" t="e">
        <f>VLOOKUP(E871,'[1]Nómina Agentes'!$C:$D,2,0)</f>
        <v>#N/A</v>
      </c>
      <c r="AF871" s="5">
        <f t="shared" si="40"/>
        <v>0.6875</v>
      </c>
      <c r="AG871" s="5">
        <f t="shared" si="41"/>
        <v>0.70833333333333337</v>
      </c>
    </row>
    <row r="872" spans="1:33" x14ac:dyDescent="0.25">
      <c r="A872" s="1">
        <v>45567</v>
      </c>
      <c r="B872">
        <v>924</v>
      </c>
      <c r="C872" t="s">
        <v>43</v>
      </c>
      <c r="D872" t="s">
        <v>245</v>
      </c>
      <c r="E872">
        <v>628382</v>
      </c>
      <c r="F872" s="2">
        <v>0.66666666666666663</v>
      </c>
      <c r="G872" t="s">
        <v>6</v>
      </c>
      <c r="H872" s="2">
        <v>0.6875</v>
      </c>
      <c r="I872">
        <v>609</v>
      </c>
      <c r="J872">
        <v>0</v>
      </c>
      <c r="K872">
        <v>0</v>
      </c>
      <c r="L872">
        <v>4</v>
      </c>
      <c r="M872">
        <v>0</v>
      </c>
      <c r="N872">
        <v>0</v>
      </c>
      <c r="O872">
        <v>0</v>
      </c>
      <c r="P872">
        <v>1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2</v>
      </c>
      <c r="AC872">
        <v>1</v>
      </c>
      <c r="AD872" s="3" t="str">
        <f t="shared" si="39"/>
        <v>S2S NO PREMIUM</v>
      </c>
      <c r="AE872" s="3" t="e">
        <f>VLOOKUP(E872,'[1]Nómina Agentes'!$C:$D,2,0)</f>
        <v>#N/A</v>
      </c>
      <c r="AF872" s="5">
        <f t="shared" si="40"/>
        <v>0.66666666666666663</v>
      </c>
      <c r="AG872" s="5">
        <f t="shared" si="41"/>
        <v>0.6875</v>
      </c>
    </row>
    <row r="873" spans="1:33" x14ac:dyDescent="0.25">
      <c r="A873" s="1">
        <v>45567</v>
      </c>
      <c r="B873">
        <v>924</v>
      </c>
      <c r="C873" t="s">
        <v>43</v>
      </c>
      <c r="D873" t="s">
        <v>245</v>
      </c>
      <c r="E873">
        <v>628382</v>
      </c>
      <c r="F873" s="2">
        <v>0.72916666666666663</v>
      </c>
      <c r="G873" t="s">
        <v>6</v>
      </c>
      <c r="H873" s="2">
        <v>0.75</v>
      </c>
      <c r="I873">
        <v>715</v>
      </c>
      <c r="J873">
        <v>288</v>
      </c>
      <c r="K873">
        <v>0</v>
      </c>
      <c r="L873">
        <v>20</v>
      </c>
      <c r="M873">
        <v>0</v>
      </c>
      <c r="N873">
        <v>0</v>
      </c>
      <c r="O873">
        <v>0</v>
      </c>
      <c r="P873">
        <v>74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6</v>
      </c>
      <c r="AC873">
        <v>5</v>
      </c>
      <c r="AD873" s="3" t="str">
        <f t="shared" si="39"/>
        <v>S2S NO PREMIUM</v>
      </c>
      <c r="AE873" s="3" t="e">
        <f>VLOOKUP(E873,'[1]Nómina Agentes'!$C:$D,2,0)</f>
        <v>#N/A</v>
      </c>
      <c r="AF873" s="5">
        <f t="shared" si="40"/>
        <v>0.72916666666666663</v>
      </c>
      <c r="AG873" s="5">
        <f t="shared" si="41"/>
        <v>0.75</v>
      </c>
    </row>
    <row r="874" spans="1:33" x14ac:dyDescent="0.25">
      <c r="A874" s="1">
        <v>45567</v>
      </c>
      <c r="B874">
        <v>924</v>
      </c>
      <c r="C874" t="s">
        <v>43</v>
      </c>
      <c r="D874" t="s">
        <v>245</v>
      </c>
      <c r="E874">
        <v>628382</v>
      </c>
      <c r="F874" s="2">
        <v>0.70833333333333337</v>
      </c>
      <c r="G874" t="s">
        <v>6</v>
      </c>
      <c r="H874" s="2">
        <v>0.72916666666666663</v>
      </c>
      <c r="I874">
        <v>731</v>
      </c>
      <c r="J874">
        <v>332</v>
      </c>
      <c r="K874">
        <v>0</v>
      </c>
      <c r="L874">
        <v>28</v>
      </c>
      <c r="M874">
        <v>0</v>
      </c>
      <c r="N874">
        <v>0</v>
      </c>
      <c r="O874">
        <v>0</v>
      </c>
      <c r="P874">
        <v>4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5</v>
      </c>
      <c r="AC874">
        <v>4</v>
      </c>
      <c r="AD874" s="3" t="str">
        <f t="shared" si="39"/>
        <v>S2S NO PREMIUM</v>
      </c>
      <c r="AE874" s="3" t="e">
        <f>VLOOKUP(E874,'[1]Nómina Agentes'!$C:$D,2,0)</f>
        <v>#N/A</v>
      </c>
      <c r="AF874" s="5">
        <f t="shared" si="40"/>
        <v>0.70833333333333337</v>
      </c>
      <c r="AG874" s="5">
        <f t="shared" si="41"/>
        <v>0.72916666666666663</v>
      </c>
    </row>
    <row r="875" spans="1:33" x14ac:dyDescent="0.25">
      <c r="A875" s="1">
        <v>45567</v>
      </c>
      <c r="B875">
        <v>924</v>
      </c>
      <c r="C875" t="s">
        <v>43</v>
      </c>
      <c r="D875" t="s">
        <v>245</v>
      </c>
      <c r="E875">
        <v>628382</v>
      </c>
      <c r="F875" s="2">
        <v>0.64583333333333337</v>
      </c>
      <c r="G875" t="s">
        <v>6</v>
      </c>
      <c r="H875" s="2">
        <v>0.66666666666666663</v>
      </c>
      <c r="I875">
        <v>812</v>
      </c>
      <c r="J875">
        <v>417</v>
      </c>
      <c r="K875">
        <v>0</v>
      </c>
      <c r="L875">
        <v>16</v>
      </c>
      <c r="M875">
        <v>0</v>
      </c>
      <c r="N875">
        <v>0</v>
      </c>
      <c r="O875">
        <v>0</v>
      </c>
      <c r="P875">
        <v>67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3</v>
      </c>
      <c r="AC875">
        <v>3</v>
      </c>
      <c r="AD875" s="3" t="str">
        <f t="shared" si="39"/>
        <v>S2S NO PREMIUM</v>
      </c>
      <c r="AE875" s="3" t="e">
        <f>VLOOKUP(E875,'[1]Nómina Agentes'!$C:$D,2,0)</f>
        <v>#N/A</v>
      </c>
      <c r="AF875" s="5">
        <f t="shared" si="40"/>
        <v>0.64583333333333337</v>
      </c>
      <c r="AG875" s="5">
        <f t="shared" si="41"/>
        <v>0.66666666666666663</v>
      </c>
    </row>
    <row r="876" spans="1:33" x14ac:dyDescent="0.25">
      <c r="A876" s="1">
        <v>45567</v>
      </c>
      <c r="B876">
        <v>924</v>
      </c>
      <c r="C876" t="s">
        <v>43</v>
      </c>
      <c r="D876" t="s">
        <v>245</v>
      </c>
      <c r="E876">
        <v>628382</v>
      </c>
      <c r="F876" s="2">
        <v>0.75</v>
      </c>
      <c r="G876" t="s">
        <v>6</v>
      </c>
      <c r="H876" s="2">
        <v>0.77083333333333337</v>
      </c>
      <c r="I876">
        <v>1062</v>
      </c>
      <c r="J876">
        <v>255</v>
      </c>
      <c r="K876">
        <v>0</v>
      </c>
      <c r="L876">
        <v>20</v>
      </c>
      <c r="M876">
        <v>0</v>
      </c>
      <c r="N876">
        <v>0</v>
      </c>
      <c r="O876">
        <v>0</v>
      </c>
      <c r="P876">
        <v>117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5</v>
      </c>
      <c r="AC876">
        <v>4</v>
      </c>
      <c r="AD876" s="3" t="str">
        <f t="shared" si="39"/>
        <v>S2S NO PREMIUM</v>
      </c>
      <c r="AE876" s="3" t="e">
        <f>VLOOKUP(E876,'[1]Nómina Agentes'!$C:$D,2,0)</f>
        <v>#N/A</v>
      </c>
      <c r="AF876" s="5">
        <f t="shared" si="40"/>
        <v>0.75</v>
      </c>
      <c r="AG876" s="5">
        <f t="shared" si="41"/>
        <v>0.77083333333333337</v>
      </c>
    </row>
    <row r="877" spans="1:33" x14ac:dyDescent="0.25">
      <c r="A877" s="1">
        <v>45567</v>
      </c>
      <c r="B877">
        <v>924</v>
      </c>
      <c r="C877" t="s">
        <v>43</v>
      </c>
      <c r="D877" t="s">
        <v>246</v>
      </c>
      <c r="E877">
        <v>628386</v>
      </c>
      <c r="F877" s="2">
        <v>0.64583333333333337</v>
      </c>
      <c r="G877" t="s">
        <v>6</v>
      </c>
      <c r="H877" s="2">
        <v>0.66666666666666663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 s="3" t="str">
        <f t="shared" si="39"/>
        <v>S2S NO PREMIUM</v>
      </c>
      <c r="AE877" s="3" t="e">
        <f>VLOOKUP(E877,'[1]Nómina Agentes'!$C:$D,2,0)</f>
        <v>#N/A</v>
      </c>
      <c r="AF877" s="5">
        <f t="shared" si="40"/>
        <v>0.64583333333333337</v>
      </c>
      <c r="AG877" s="5">
        <f t="shared" si="41"/>
        <v>0.66666666666666663</v>
      </c>
    </row>
    <row r="878" spans="1:33" x14ac:dyDescent="0.25">
      <c r="A878" s="1">
        <v>45567</v>
      </c>
      <c r="B878">
        <v>924</v>
      </c>
      <c r="C878" t="s">
        <v>43</v>
      </c>
      <c r="D878" t="s">
        <v>246</v>
      </c>
      <c r="E878">
        <v>628386</v>
      </c>
      <c r="F878" s="2">
        <v>0.625</v>
      </c>
      <c r="G878" t="s">
        <v>6</v>
      </c>
      <c r="H878" s="2">
        <v>0.64583333333333337</v>
      </c>
      <c r="I878">
        <v>192</v>
      </c>
      <c r="J878">
        <v>0</v>
      </c>
      <c r="K878">
        <v>0</v>
      </c>
      <c r="L878">
        <v>8</v>
      </c>
      <c r="M878">
        <v>0</v>
      </c>
      <c r="N878">
        <v>0</v>
      </c>
      <c r="O878">
        <v>0</v>
      </c>
      <c r="P878">
        <v>2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2</v>
      </c>
      <c r="AC878">
        <v>2</v>
      </c>
      <c r="AD878" s="3" t="str">
        <f t="shared" si="39"/>
        <v>S2S NO PREMIUM</v>
      </c>
      <c r="AE878" s="3" t="e">
        <f>VLOOKUP(E878,'[1]Nómina Agentes'!$C:$D,2,0)</f>
        <v>#N/A</v>
      </c>
      <c r="AF878" s="5">
        <f t="shared" si="40"/>
        <v>0.625</v>
      </c>
      <c r="AG878" s="5">
        <f t="shared" si="41"/>
        <v>0.64583333333333337</v>
      </c>
    </row>
    <row r="879" spans="1:33" x14ac:dyDescent="0.25">
      <c r="A879" s="1">
        <v>45567</v>
      </c>
      <c r="B879">
        <v>924</v>
      </c>
      <c r="C879" t="s">
        <v>43</v>
      </c>
      <c r="D879" t="s">
        <v>247</v>
      </c>
      <c r="E879">
        <v>628388</v>
      </c>
      <c r="F879" s="2">
        <v>0.58333333333333337</v>
      </c>
      <c r="G879" t="s">
        <v>6</v>
      </c>
      <c r="H879" s="2">
        <v>0.60416666666666663</v>
      </c>
      <c r="I879">
        <v>287</v>
      </c>
      <c r="J879">
        <v>0</v>
      </c>
      <c r="K879">
        <v>0</v>
      </c>
      <c r="L879">
        <v>8</v>
      </c>
      <c r="M879">
        <v>0</v>
      </c>
      <c r="N879">
        <v>0</v>
      </c>
      <c r="O879">
        <v>0</v>
      </c>
      <c r="P879">
        <v>1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1</v>
      </c>
      <c r="AC879">
        <v>1</v>
      </c>
      <c r="AD879" s="3" t="str">
        <f t="shared" si="39"/>
        <v>S2S NO PREMIUM</v>
      </c>
      <c r="AE879" s="3" t="e">
        <f>VLOOKUP(E879,'[1]Nómina Agentes'!$C:$D,2,0)</f>
        <v>#N/A</v>
      </c>
      <c r="AF879" s="5">
        <f t="shared" si="40"/>
        <v>0.58333333333333337</v>
      </c>
      <c r="AG879" s="5">
        <f t="shared" si="41"/>
        <v>0.60416666666666663</v>
      </c>
    </row>
    <row r="880" spans="1:33" x14ac:dyDescent="0.25">
      <c r="A880" s="1">
        <v>45567</v>
      </c>
      <c r="B880">
        <v>924</v>
      </c>
      <c r="C880" t="s">
        <v>43</v>
      </c>
      <c r="D880" t="s">
        <v>247</v>
      </c>
      <c r="E880">
        <v>628388</v>
      </c>
      <c r="F880" s="2">
        <v>0.625</v>
      </c>
      <c r="G880" t="s">
        <v>6</v>
      </c>
      <c r="H880" s="2">
        <v>0.64583333333333337</v>
      </c>
      <c r="I880">
        <v>304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25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1</v>
      </c>
      <c r="AC880">
        <v>1</v>
      </c>
      <c r="AD880" s="3" t="str">
        <f t="shared" si="39"/>
        <v>S2S NO PREMIUM</v>
      </c>
      <c r="AE880" s="3" t="e">
        <f>VLOOKUP(E880,'[1]Nómina Agentes'!$C:$D,2,0)</f>
        <v>#N/A</v>
      </c>
      <c r="AF880" s="5">
        <f t="shared" si="40"/>
        <v>0.625</v>
      </c>
      <c r="AG880" s="5">
        <f t="shared" si="41"/>
        <v>0.64583333333333337</v>
      </c>
    </row>
    <row r="881" spans="1:33" x14ac:dyDescent="0.25">
      <c r="A881" s="1">
        <v>45567</v>
      </c>
      <c r="B881">
        <v>924</v>
      </c>
      <c r="C881" t="s">
        <v>43</v>
      </c>
      <c r="D881" t="s">
        <v>247</v>
      </c>
      <c r="E881">
        <v>628388</v>
      </c>
      <c r="F881" s="2">
        <v>0.60416666666666663</v>
      </c>
      <c r="G881" t="s">
        <v>6</v>
      </c>
      <c r="H881" s="2">
        <v>0.625</v>
      </c>
      <c r="I881">
        <v>525</v>
      </c>
      <c r="J881">
        <v>0</v>
      </c>
      <c r="K881">
        <v>0</v>
      </c>
      <c r="L881">
        <v>12</v>
      </c>
      <c r="M881">
        <v>0</v>
      </c>
      <c r="N881">
        <v>0</v>
      </c>
      <c r="O881">
        <v>0</v>
      </c>
      <c r="P881">
        <v>410</v>
      </c>
      <c r="Q881">
        <v>111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3</v>
      </c>
      <c r="AC881">
        <v>2</v>
      </c>
      <c r="AD881" s="3" t="str">
        <f t="shared" si="39"/>
        <v>S2S NO PREMIUM</v>
      </c>
      <c r="AE881" s="3" t="e">
        <f>VLOOKUP(E881,'[1]Nómina Agentes'!$C:$D,2,0)</f>
        <v>#N/A</v>
      </c>
      <c r="AF881" s="5">
        <f t="shared" si="40"/>
        <v>0.60416666666666663</v>
      </c>
      <c r="AG881" s="5">
        <f t="shared" si="41"/>
        <v>0.625</v>
      </c>
    </row>
    <row r="882" spans="1:33" x14ac:dyDescent="0.25">
      <c r="A882" s="1">
        <v>45567</v>
      </c>
      <c r="B882">
        <v>924</v>
      </c>
      <c r="C882" t="s">
        <v>43</v>
      </c>
      <c r="D882" t="s">
        <v>248</v>
      </c>
      <c r="E882">
        <v>628391</v>
      </c>
      <c r="F882" s="2">
        <v>0.64583333333333337</v>
      </c>
      <c r="G882" t="s">
        <v>6</v>
      </c>
      <c r="H882" s="2">
        <v>0.66666666666666663</v>
      </c>
      <c r="I882">
        <v>215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1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1</v>
      </c>
      <c r="AC882">
        <v>1</v>
      </c>
      <c r="AD882" s="3" t="str">
        <f t="shared" si="39"/>
        <v>S2S NO PREMIUM</v>
      </c>
      <c r="AE882" s="3" t="e">
        <f>VLOOKUP(E882,'[1]Nómina Agentes'!$C:$D,2,0)</f>
        <v>#N/A</v>
      </c>
      <c r="AF882" s="5">
        <f t="shared" si="40"/>
        <v>0.64583333333333337</v>
      </c>
      <c r="AG882" s="5">
        <f t="shared" si="41"/>
        <v>0.66666666666666663</v>
      </c>
    </row>
    <row r="883" spans="1:33" x14ac:dyDescent="0.25">
      <c r="A883" s="1">
        <v>45567</v>
      </c>
      <c r="B883">
        <v>924</v>
      </c>
      <c r="C883" t="s">
        <v>43</v>
      </c>
      <c r="D883" t="s">
        <v>248</v>
      </c>
      <c r="E883">
        <v>628391</v>
      </c>
      <c r="F883" s="2">
        <v>0.60416666666666663</v>
      </c>
      <c r="G883" t="s">
        <v>6</v>
      </c>
      <c r="H883" s="2">
        <v>0.625</v>
      </c>
      <c r="I883">
        <v>729</v>
      </c>
      <c r="J883">
        <v>0</v>
      </c>
      <c r="K883">
        <v>0</v>
      </c>
      <c r="L883">
        <v>12</v>
      </c>
      <c r="M883">
        <v>0</v>
      </c>
      <c r="N883">
        <v>0</v>
      </c>
      <c r="O883">
        <v>0</v>
      </c>
      <c r="P883">
        <v>2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3</v>
      </c>
      <c r="AC883">
        <v>2</v>
      </c>
      <c r="AD883" s="3" t="str">
        <f t="shared" si="39"/>
        <v>S2S NO PREMIUM</v>
      </c>
      <c r="AE883" s="3" t="e">
        <f>VLOOKUP(E883,'[1]Nómina Agentes'!$C:$D,2,0)</f>
        <v>#N/A</v>
      </c>
      <c r="AF883" s="5">
        <f t="shared" si="40"/>
        <v>0.60416666666666663</v>
      </c>
      <c r="AG883" s="5">
        <f t="shared" si="41"/>
        <v>0.625</v>
      </c>
    </row>
    <row r="884" spans="1:33" x14ac:dyDescent="0.25">
      <c r="A884" s="1">
        <v>45567</v>
      </c>
      <c r="B884">
        <v>924</v>
      </c>
      <c r="C884" t="s">
        <v>43</v>
      </c>
      <c r="D884" t="s">
        <v>248</v>
      </c>
      <c r="E884">
        <v>628391</v>
      </c>
      <c r="F884" s="2">
        <v>0.58333333333333337</v>
      </c>
      <c r="G884" t="s">
        <v>6</v>
      </c>
      <c r="H884" s="2">
        <v>0.60416666666666663</v>
      </c>
      <c r="I884">
        <v>952</v>
      </c>
      <c r="J884">
        <v>0</v>
      </c>
      <c r="K884">
        <v>0</v>
      </c>
      <c r="L884">
        <v>17</v>
      </c>
      <c r="M884">
        <v>0</v>
      </c>
      <c r="N884">
        <v>0</v>
      </c>
      <c r="O884">
        <v>0</v>
      </c>
      <c r="P884">
        <v>2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3</v>
      </c>
      <c r="AC884">
        <v>2</v>
      </c>
      <c r="AD884" s="3" t="str">
        <f t="shared" si="39"/>
        <v>S2S NO PREMIUM</v>
      </c>
      <c r="AE884" s="3" t="e">
        <f>VLOOKUP(E884,'[1]Nómina Agentes'!$C:$D,2,0)</f>
        <v>#N/A</v>
      </c>
      <c r="AF884" s="5">
        <f t="shared" si="40"/>
        <v>0.58333333333333337</v>
      </c>
      <c r="AG884" s="5">
        <f t="shared" si="41"/>
        <v>0.60416666666666663</v>
      </c>
    </row>
    <row r="885" spans="1:33" x14ac:dyDescent="0.25">
      <c r="A885" s="1">
        <v>45567</v>
      </c>
      <c r="B885">
        <v>924</v>
      </c>
      <c r="C885" t="s">
        <v>43</v>
      </c>
      <c r="D885" t="s">
        <v>248</v>
      </c>
      <c r="E885">
        <v>628391</v>
      </c>
      <c r="F885" s="2">
        <v>0.625</v>
      </c>
      <c r="G885" t="s">
        <v>6</v>
      </c>
      <c r="H885" s="2">
        <v>0.64583333333333337</v>
      </c>
      <c r="I885">
        <v>1282</v>
      </c>
      <c r="J885">
        <v>0</v>
      </c>
      <c r="K885">
        <v>0</v>
      </c>
      <c r="L885">
        <v>8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2</v>
      </c>
      <c r="AC885">
        <v>1</v>
      </c>
      <c r="AD885" s="3" t="str">
        <f t="shared" si="39"/>
        <v>S2S NO PREMIUM</v>
      </c>
      <c r="AE885" s="3" t="e">
        <f>VLOOKUP(E885,'[1]Nómina Agentes'!$C:$D,2,0)</f>
        <v>#N/A</v>
      </c>
      <c r="AF885" s="5">
        <f t="shared" si="40"/>
        <v>0.625</v>
      </c>
      <c r="AG885" s="5">
        <f t="shared" si="41"/>
        <v>0.64583333333333337</v>
      </c>
    </row>
    <row r="886" spans="1:33" x14ac:dyDescent="0.25">
      <c r="A886" s="1">
        <v>45567</v>
      </c>
      <c r="B886">
        <v>925</v>
      </c>
      <c r="C886" t="s">
        <v>42</v>
      </c>
      <c r="D886" t="s">
        <v>249</v>
      </c>
      <c r="E886">
        <v>628392</v>
      </c>
      <c r="F886" s="2">
        <v>0.625</v>
      </c>
      <c r="G886" t="s">
        <v>6</v>
      </c>
      <c r="H886" s="2">
        <v>0.64583333333333337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 s="3" t="str">
        <f t="shared" si="39"/>
        <v>S2S PREMIUM</v>
      </c>
      <c r="AE886" s="3" t="e">
        <f>VLOOKUP(E886,'[1]Nómina Agentes'!$C:$D,2,0)</f>
        <v>#N/A</v>
      </c>
      <c r="AF886" s="5">
        <f t="shared" si="40"/>
        <v>0.625</v>
      </c>
      <c r="AG886" s="5">
        <f t="shared" si="41"/>
        <v>0.64583333333333337</v>
      </c>
    </row>
    <row r="887" spans="1:33" x14ac:dyDescent="0.25">
      <c r="A887" s="1">
        <v>45567</v>
      </c>
      <c r="B887">
        <v>925</v>
      </c>
      <c r="C887" t="s">
        <v>42</v>
      </c>
      <c r="D887" t="s">
        <v>249</v>
      </c>
      <c r="E887">
        <v>628392</v>
      </c>
      <c r="F887" s="2">
        <v>0.60416666666666663</v>
      </c>
      <c r="G887" t="s">
        <v>6</v>
      </c>
      <c r="H887" s="2">
        <v>0.625</v>
      </c>
      <c r="I887">
        <v>473</v>
      </c>
      <c r="J887">
        <v>0</v>
      </c>
      <c r="K887">
        <v>0</v>
      </c>
      <c r="L887">
        <v>12</v>
      </c>
      <c r="M887">
        <v>0</v>
      </c>
      <c r="N887">
        <v>0</v>
      </c>
      <c r="O887">
        <v>0</v>
      </c>
      <c r="P887">
        <v>235</v>
      </c>
      <c r="Q887">
        <v>104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4</v>
      </c>
      <c r="AC887">
        <v>4</v>
      </c>
      <c r="AD887" s="3" t="str">
        <f t="shared" si="39"/>
        <v>S2S PREMIUM</v>
      </c>
      <c r="AE887" s="3" t="e">
        <f>VLOOKUP(E887,'[1]Nómina Agentes'!$C:$D,2,0)</f>
        <v>#N/A</v>
      </c>
      <c r="AF887" s="5">
        <f t="shared" si="40"/>
        <v>0.60416666666666663</v>
      </c>
      <c r="AG887" s="5">
        <f t="shared" si="41"/>
        <v>0.625</v>
      </c>
    </row>
    <row r="888" spans="1:33" x14ac:dyDescent="0.25">
      <c r="A888" s="1">
        <v>45567</v>
      </c>
      <c r="B888">
        <v>925</v>
      </c>
      <c r="C888" t="s">
        <v>42</v>
      </c>
      <c r="D888" t="s">
        <v>249</v>
      </c>
      <c r="E888">
        <v>628392</v>
      </c>
      <c r="F888" s="2">
        <v>0.58333333333333337</v>
      </c>
      <c r="G888" t="s">
        <v>6</v>
      </c>
      <c r="H888" s="2">
        <v>0.60416666666666663</v>
      </c>
      <c r="I888">
        <v>780</v>
      </c>
      <c r="J888">
        <v>0</v>
      </c>
      <c r="K888">
        <v>0</v>
      </c>
      <c r="L888">
        <v>16</v>
      </c>
      <c r="M888">
        <v>0</v>
      </c>
      <c r="N888">
        <v>0</v>
      </c>
      <c r="O888">
        <v>0</v>
      </c>
      <c r="P888">
        <v>48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4</v>
      </c>
      <c r="AC888">
        <v>4</v>
      </c>
      <c r="AD888" s="3" t="str">
        <f t="shared" si="39"/>
        <v>S2S PREMIUM</v>
      </c>
      <c r="AE888" s="3" t="e">
        <f>VLOOKUP(E888,'[1]Nómina Agentes'!$C:$D,2,0)</f>
        <v>#N/A</v>
      </c>
      <c r="AF888" s="5">
        <f t="shared" si="40"/>
        <v>0.58333333333333337</v>
      </c>
      <c r="AG888" s="5">
        <f t="shared" si="41"/>
        <v>0.60416666666666663</v>
      </c>
    </row>
    <row r="889" spans="1:33" x14ac:dyDescent="0.25">
      <c r="A889" s="1">
        <v>45567</v>
      </c>
      <c r="B889">
        <v>924</v>
      </c>
      <c r="C889" t="s">
        <v>43</v>
      </c>
      <c r="D889" t="s">
        <v>250</v>
      </c>
      <c r="E889">
        <v>628394</v>
      </c>
      <c r="F889" s="2">
        <v>0.66666666666666663</v>
      </c>
      <c r="G889" t="s">
        <v>6</v>
      </c>
      <c r="H889" s="2">
        <v>0.6875</v>
      </c>
      <c r="I889">
        <v>134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383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1</v>
      </c>
      <c r="AC889">
        <v>1</v>
      </c>
      <c r="AD889" s="3" t="str">
        <f t="shared" si="39"/>
        <v>S2S NO PREMIUM</v>
      </c>
      <c r="AE889" s="3" t="e">
        <f>VLOOKUP(E889,'[1]Nómina Agentes'!$C:$D,2,0)</f>
        <v>#N/A</v>
      </c>
      <c r="AF889" s="5">
        <f t="shared" si="40"/>
        <v>0.66666666666666663</v>
      </c>
      <c r="AG889" s="5">
        <f t="shared" si="41"/>
        <v>0.6875</v>
      </c>
    </row>
    <row r="890" spans="1:33" x14ac:dyDescent="0.25">
      <c r="A890" s="1">
        <v>45567</v>
      </c>
      <c r="B890">
        <v>924</v>
      </c>
      <c r="C890" t="s">
        <v>43</v>
      </c>
      <c r="D890" t="s">
        <v>250</v>
      </c>
      <c r="E890">
        <v>628394</v>
      </c>
      <c r="F890" s="2">
        <v>0.60416666666666663</v>
      </c>
      <c r="G890" t="s">
        <v>6</v>
      </c>
      <c r="H890" s="2">
        <v>0.625</v>
      </c>
      <c r="I890">
        <v>639</v>
      </c>
      <c r="J890">
        <v>0</v>
      </c>
      <c r="K890">
        <v>0</v>
      </c>
      <c r="L890">
        <v>12</v>
      </c>
      <c r="M890">
        <v>0</v>
      </c>
      <c r="N890">
        <v>0</v>
      </c>
      <c r="O890">
        <v>0</v>
      </c>
      <c r="P890">
        <v>2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2</v>
      </c>
      <c r="AC890">
        <v>2</v>
      </c>
      <c r="AD890" s="3" t="str">
        <f t="shared" si="39"/>
        <v>S2S NO PREMIUM</v>
      </c>
      <c r="AE890" s="3" t="e">
        <f>VLOOKUP(E890,'[1]Nómina Agentes'!$C:$D,2,0)</f>
        <v>#N/A</v>
      </c>
      <c r="AF890" s="5">
        <f t="shared" si="40"/>
        <v>0.60416666666666663</v>
      </c>
      <c r="AG890" s="5">
        <f t="shared" si="41"/>
        <v>0.625</v>
      </c>
    </row>
    <row r="891" spans="1:33" x14ac:dyDescent="0.25">
      <c r="A891" s="1">
        <v>45567</v>
      </c>
      <c r="B891">
        <v>924</v>
      </c>
      <c r="C891" t="s">
        <v>43</v>
      </c>
      <c r="D891" t="s">
        <v>250</v>
      </c>
      <c r="E891">
        <v>628394</v>
      </c>
      <c r="F891" s="2">
        <v>0.625</v>
      </c>
      <c r="G891" t="s">
        <v>6</v>
      </c>
      <c r="H891" s="2">
        <v>0.64583333333333337</v>
      </c>
      <c r="I891">
        <v>643</v>
      </c>
      <c r="J891">
        <v>0</v>
      </c>
      <c r="K891">
        <v>0</v>
      </c>
      <c r="L891">
        <v>7</v>
      </c>
      <c r="M891">
        <v>0</v>
      </c>
      <c r="N891">
        <v>0</v>
      </c>
      <c r="O891">
        <v>0</v>
      </c>
      <c r="P891">
        <v>498</v>
      </c>
      <c r="Q891">
        <v>496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2</v>
      </c>
      <c r="AC891">
        <v>1</v>
      </c>
      <c r="AD891" s="3" t="str">
        <f t="shared" si="39"/>
        <v>S2S NO PREMIUM</v>
      </c>
      <c r="AE891" s="3" t="e">
        <f>VLOOKUP(E891,'[1]Nómina Agentes'!$C:$D,2,0)</f>
        <v>#N/A</v>
      </c>
      <c r="AF891" s="5">
        <f t="shared" si="40"/>
        <v>0.625</v>
      </c>
      <c r="AG891" s="5">
        <f t="shared" si="41"/>
        <v>0.64583333333333337</v>
      </c>
    </row>
    <row r="892" spans="1:33" x14ac:dyDescent="0.25">
      <c r="A892" s="1">
        <v>45567</v>
      </c>
      <c r="B892">
        <v>924</v>
      </c>
      <c r="C892" t="s">
        <v>43</v>
      </c>
      <c r="D892" t="s">
        <v>250</v>
      </c>
      <c r="E892">
        <v>628394</v>
      </c>
      <c r="F892" s="2">
        <v>0.58333333333333337</v>
      </c>
      <c r="G892" t="s">
        <v>6</v>
      </c>
      <c r="H892" s="2">
        <v>0.60416666666666663</v>
      </c>
      <c r="I892">
        <v>943</v>
      </c>
      <c r="J892">
        <v>0</v>
      </c>
      <c r="K892">
        <v>0</v>
      </c>
      <c r="L892">
        <v>4</v>
      </c>
      <c r="M892">
        <v>0</v>
      </c>
      <c r="N892">
        <v>0</v>
      </c>
      <c r="O892">
        <v>0</v>
      </c>
      <c r="P892">
        <v>2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2</v>
      </c>
      <c r="AC892">
        <v>2</v>
      </c>
      <c r="AD892" s="3" t="str">
        <f t="shared" si="39"/>
        <v>S2S NO PREMIUM</v>
      </c>
      <c r="AE892" s="3" t="e">
        <f>VLOOKUP(E892,'[1]Nómina Agentes'!$C:$D,2,0)</f>
        <v>#N/A</v>
      </c>
      <c r="AF892" s="5">
        <f t="shared" si="40"/>
        <v>0.58333333333333337</v>
      </c>
      <c r="AG892" s="5">
        <f t="shared" si="41"/>
        <v>0.60416666666666663</v>
      </c>
    </row>
    <row r="893" spans="1:33" x14ac:dyDescent="0.25">
      <c r="A893" s="1">
        <v>45567</v>
      </c>
      <c r="B893">
        <v>924</v>
      </c>
      <c r="C893" t="s">
        <v>43</v>
      </c>
      <c r="D893" t="s">
        <v>250</v>
      </c>
      <c r="E893">
        <v>628394</v>
      </c>
      <c r="F893" s="2">
        <v>0.64583333333333337</v>
      </c>
      <c r="G893" t="s">
        <v>6</v>
      </c>
      <c r="H893" s="2">
        <v>0.66666666666666663</v>
      </c>
      <c r="I893">
        <v>1095</v>
      </c>
      <c r="J893">
        <v>0</v>
      </c>
      <c r="K893">
        <v>0</v>
      </c>
      <c r="L893">
        <v>7</v>
      </c>
      <c r="M893">
        <v>0</v>
      </c>
      <c r="N893">
        <v>0</v>
      </c>
      <c r="O893">
        <v>0</v>
      </c>
      <c r="P893">
        <v>2</v>
      </c>
      <c r="Q893">
        <v>380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2</v>
      </c>
      <c r="AC893">
        <v>2</v>
      </c>
      <c r="AD893" s="3" t="str">
        <f t="shared" si="39"/>
        <v>S2S NO PREMIUM</v>
      </c>
      <c r="AE893" s="3" t="e">
        <f>VLOOKUP(E893,'[1]Nómina Agentes'!$C:$D,2,0)</f>
        <v>#N/A</v>
      </c>
      <c r="AF893" s="5">
        <f t="shared" si="40"/>
        <v>0.64583333333333337</v>
      </c>
      <c r="AG893" s="5">
        <f t="shared" si="41"/>
        <v>0.66666666666666663</v>
      </c>
    </row>
    <row r="894" spans="1:33" x14ac:dyDescent="0.25">
      <c r="A894" s="1">
        <v>45567</v>
      </c>
      <c r="B894">
        <v>924</v>
      </c>
      <c r="C894" t="s">
        <v>43</v>
      </c>
      <c r="D894" t="s">
        <v>251</v>
      </c>
      <c r="E894">
        <v>628395</v>
      </c>
      <c r="F894" s="2">
        <v>0.8125</v>
      </c>
      <c r="G894" t="s">
        <v>6</v>
      </c>
      <c r="H894" s="2">
        <v>0.83333333333333337</v>
      </c>
      <c r="I894">
        <v>107</v>
      </c>
      <c r="J894">
        <v>0</v>
      </c>
      <c r="K894">
        <v>0</v>
      </c>
      <c r="L894">
        <v>4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 s="3" t="str">
        <f t="shared" si="39"/>
        <v>S2S NO PREMIUM</v>
      </c>
      <c r="AE894" s="3" t="e">
        <f>VLOOKUP(E894,'[1]Nómina Agentes'!$C:$D,2,0)</f>
        <v>#N/A</v>
      </c>
      <c r="AF894" s="5">
        <f t="shared" si="40"/>
        <v>0.8125</v>
      </c>
      <c r="AG894" s="5">
        <f t="shared" si="41"/>
        <v>0.83333333333333337</v>
      </c>
    </row>
    <row r="895" spans="1:33" x14ac:dyDescent="0.25">
      <c r="A895" s="1">
        <v>45567</v>
      </c>
      <c r="B895">
        <v>924</v>
      </c>
      <c r="C895" t="s">
        <v>43</v>
      </c>
      <c r="D895" t="s">
        <v>251</v>
      </c>
      <c r="E895">
        <v>628395</v>
      </c>
      <c r="F895" s="2">
        <v>0.79166666666666663</v>
      </c>
      <c r="G895" t="s">
        <v>6</v>
      </c>
      <c r="H895" s="2">
        <v>0.8125</v>
      </c>
      <c r="I895">
        <v>393</v>
      </c>
      <c r="J895">
        <v>0</v>
      </c>
      <c r="K895">
        <v>0</v>
      </c>
      <c r="L895">
        <v>12</v>
      </c>
      <c r="M895">
        <v>0</v>
      </c>
      <c r="N895">
        <v>0</v>
      </c>
      <c r="O895">
        <v>0</v>
      </c>
      <c r="P895">
        <v>111</v>
      </c>
      <c r="Q895">
        <v>104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3</v>
      </c>
      <c r="AC895">
        <v>3</v>
      </c>
      <c r="AD895" s="3" t="str">
        <f t="shared" ref="AD895:AD958" si="42">UPPER(C895)</f>
        <v>S2S NO PREMIUM</v>
      </c>
      <c r="AE895" s="3" t="e">
        <f>VLOOKUP(E895,'[1]Nómina Agentes'!$C:$D,2,0)</f>
        <v>#N/A</v>
      </c>
      <c r="AF895" s="5">
        <f t="shared" ref="AF895:AF958" si="43">F895</f>
        <v>0.79166666666666663</v>
      </c>
      <c r="AG895" s="5">
        <f t="shared" ref="AG895:AG958" si="44">H895</f>
        <v>0.8125</v>
      </c>
    </row>
    <row r="896" spans="1:33" x14ac:dyDescent="0.25">
      <c r="A896" s="1">
        <v>45567</v>
      </c>
      <c r="B896">
        <v>924</v>
      </c>
      <c r="C896" t="s">
        <v>43</v>
      </c>
      <c r="D896" t="s">
        <v>251</v>
      </c>
      <c r="E896">
        <v>628395</v>
      </c>
      <c r="F896" s="2">
        <v>0.72916666666666663</v>
      </c>
      <c r="G896" t="s">
        <v>6</v>
      </c>
      <c r="H896" s="2">
        <v>0.75</v>
      </c>
      <c r="I896">
        <v>696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184</v>
      </c>
      <c r="Q896">
        <v>67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1</v>
      </c>
      <c r="AC896">
        <v>1</v>
      </c>
      <c r="AD896" s="3" t="str">
        <f t="shared" si="42"/>
        <v>S2S NO PREMIUM</v>
      </c>
      <c r="AE896" s="3" t="e">
        <f>VLOOKUP(E896,'[1]Nómina Agentes'!$C:$D,2,0)</f>
        <v>#N/A</v>
      </c>
      <c r="AF896" s="5">
        <f t="shared" si="43"/>
        <v>0.72916666666666663</v>
      </c>
      <c r="AG896" s="5">
        <f t="shared" si="44"/>
        <v>0.75</v>
      </c>
    </row>
    <row r="897" spans="1:33" x14ac:dyDescent="0.25">
      <c r="A897" s="1">
        <v>45567</v>
      </c>
      <c r="B897">
        <v>924</v>
      </c>
      <c r="C897" t="s">
        <v>43</v>
      </c>
      <c r="D897" t="s">
        <v>251</v>
      </c>
      <c r="E897">
        <v>628395</v>
      </c>
      <c r="F897" s="2">
        <v>0.58333333333333337</v>
      </c>
      <c r="G897" t="s">
        <v>6</v>
      </c>
      <c r="H897" s="2">
        <v>0.60416666666666663</v>
      </c>
      <c r="I897">
        <v>859</v>
      </c>
      <c r="J897">
        <v>0</v>
      </c>
      <c r="K897">
        <v>0</v>
      </c>
      <c r="L897">
        <v>12</v>
      </c>
      <c r="M897">
        <v>0</v>
      </c>
      <c r="N897">
        <v>0</v>
      </c>
      <c r="O897">
        <v>0</v>
      </c>
      <c r="P897">
        <v>2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3</v>
      </c>
      <c r="AC897">
        <v>2</v>
      </c>
      <c r="AD897" s="3" t="str">
        <f t="shared" si="42"/>
        <v>S2S NO PREMIUM</v>
      </c>
      <c r="AE897" s="3" t="e">
        <f>VLOOKUP(E897,'[1]Nómina Agentes'!$C:$D,2,0)</f>
        <v>#N/A</v>
      </c>
      <c r="AF897" s="5">
        <f t="shared" si="43"/>
        <v>0.58333333333333337</v>
      </c>
      <c r="AG897" s="5">
        <f t="shared" si="44"/>
        <v>0.60416666666666663</v>
      </c>
    </row>
    <row r="898" spans="1:33" x14ac:dyDescent="0.25">
      <c r="A898" s="1">
        <v>45567</v>
      </c>
      <c r="B898">
        <v>924</v>
      </c>
      <c r="C898" t="s">
        <v>43</v>
      </c>
      <c r="D898" t="s">
        <v>251</v>
      </c>
      <c r="E898">
        <v>628395</v>
      </c>
      <c r="F898" s="2">
        <v>0.77083333333333337</v>
      </c>
      <c r="G898" t="s">
        <v>6</v>
      </c>
      <c r="H898" s="2">
        <v>0.79166666666666663</v>
      </c>
      <c r="I898">
        <v>890</v>
      </c>
      <c r="J898">
        <v>0</v>
      </c>
      <c r="K898">
        <v>0</v>
      </c>
      <c r="L898">
        <v>12</v>
      </c>
      <c r="M898">
        <v>0</v>
      </c>
      <c r="N898">
        <v>0</v>
      </c>
      <c r="O898">
        <v>0</v>
      </c>
      <c r="P898">
        <v>49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4</v>
      </c>
      <c r="AC898">
        <v>2</v>
      </c>
      <c r="AD898" s="3" t="str">
        <f t="shared" si="42"/>
        <v>S2S NO PREMIUM</v>
      </c>
      <c r="AE898" s="3" t="e">
        <f>VLOOKUP(E898,'[1]Nómina Agentes'!$C:$D,2,0)</f>
        <v>#N/A</v>
      </c>
      <c r="AF898" s="5">
        <f t="shared" si="43"/>
        <v>0.77083333333333337</v>
      </c>
      <c r="AG898" s="5">
        <f t="shared" si="44"/>
        <v>0.79166666666666663</v>
      </c>
    </row>
    <row r="899" spans="1:33" x14ac:dyDescent="0.25">
      <c r="A899" s="1">
        <v>45567</v>
      </c>
      <c r="B899">
        <v>924</v>
      </c>
      <c r="C899" t="s">
        <v>43</v>
      </c>
      <c r="D899" t="s">
        <v>251</v>
      </c>
      <c r="E899">
        <v>628395</v>
      </c>
      <c r="F899" s="2">
        <v>0.625</v>
      </c>
      <c r="G899" t="s">
        <v>6</v>
      </c>
      <c r="H899" s="2">
        <v>0.64583333333333337</v>
      </c>
      <c r="I899">
        <v>893</v>
      </c>
      <c r="J899">
        <v>0</v>
      </c>
      <c r="K899">
        <v>0</v>
      </c>
      <c r="L899">
        <v>4</v>
      </c>
      <c r="M899">
        <v>0</v>
      </c>
      <c r="N899">
        <v>0</v>
      </c>
      <c r="O899">
        <v>0</v>
      </c>
      <c r="P899">
        <v>2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2</v>
      </c>
      <c r="AC899">
        <v>2</v>
      </c>
      <c r="AD899" s="3" t="str">
        <f t="shared" si="42"/>
        <v>S2S NO PREMIUM</v>
      </c>
      <c r="AE899" s="3" t="e">
        <f>VLOOKUP(E899,'[1]Nómina Agentes'!$C:$D,2,0)</f>
        <v>#N/A</v>
      </c>
      <c r="AF899" s="5">
        <f t="shared" si="43"/>
        <v>0.625</v>
      </c>
      <c r="AG899" s="5">
        <f t="shared" si="44"/>
        <v>0.64583333333333337</v>
      </c>
    </row>
    <row r="900" spans="1:33" x14ac:dyDescent="0.25">
      <c r="A900" s="1">
        <v>45567</v>
      </c>
      <c r="B900">
        <v>924</v>
      </c>
      <c r="C900" t="s">
        <v>43</v>
      </c>
      <c r="D900" t="s">
        <v>251</v>
      </c>
      <c r="E900">
        <v>628395</v>
      </c>
      <c r="F900" s="2">
        <v>0.60416666666666663</v>
      </c>
      <c r="G900" t="s">
        <v>6</v>
      </c>
      <c r="H900" s="2">
        <v>0.625</v>
      </c>
      <c r="I900">
        <v>906</v>
      </c>
      <c r="J900">
        <v>0</v>
      </c>
      <c r="K900">
        <v>0</v>
      </c>
      <c r="L900">
        <v>16</v>
      </c>
      <c r="M900">
        <v>0</v>
      </c>
      <c r="N900">
        <v>0</v>
      </c>
      <c r="O900">
        <v>0</v>
      </c>
      <c r="P900">
        <v>3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3</v>
      </c>
      <c r="AC900">
        <v>3</v>
      </c>
      <c r="AD900" s="3" t="str">
        <f t="shared" si="42"/>
        <v>S2S NO PREMIUM</v>
      </c>
      <c r="AE900" s="3" t="e">
        <f>VLOOKUP(E900,'[1]Nómina Agentes'!$C:$D,2,0)</f>
        <v>#N/A</v>
      </c>
      <c r="AF900" s="5">
        <f t="shared" si="43"/>
        <v>0.60416666666666663</v>
      </c>
      <c r="AG900" s="5">
        <f t="shared" si="44"/>
        <v>0.625</v>
      </c>
    </row>
    <row r="901" spans="1:33" x14ac:dyDescent="0.25">
      <c r="A901" s="1">
        <v>45567</v>
      </c>
      <c r="B901">
        <v>924</v>
      </c>
      <c r="C901" t="s">
        <v>43</v>
      </c>
      <c r="D901" t="s">
        <v>251</v>
      </c>
      <c r="E901">
        <v>628395</v>
      </c>
      <c r="F901" s="2">
        <v>0.75</v>
      </c>
      <c r="G901" t="s">
        <v>6</v>
      </c>
      <c r="H901" s="2">
        <v>0.77083333333333337</v>
      </c>
      <c r="I901">
        <v>1048</v>
      </c>
      <c r="J901">
        <v>0</v>
      </c>
      <c r="K901">
        <v>0</v>
      </c>
      <c r="L901">
        <v>16</v>
      </c>
      <c r="M901">
        <v>0</v>
      </c>
      <c r="N901">
        <v>0</v>
      </c>
      <c r="O901">
        <v>0</v>
      </c>
      <c r="P901">
        <v>3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3</v>
      </c>
      <c r="AC901">
        <v>3</v>
      </c>
      <c r="AD901" s="3" t="str">
        <f t="shared" si="42"/>
        <v>S2S NO PREMIUM</v>
      </c>
      <c r="AE901" s="3" t="e">
        <f>VLOOKUP(E901,'[1]Nómina Agentes'!$C:$D,2,0)</f>
        <v>#N/A</v>
      </c>
      <c r="AF901" s="5">
        <f t="shared" si="43"/>
        <v>0.75</v>
      </c>
      <c r="AG901" s="5">
        <f t="shared" si="44"/>
        <v>0.77083333333333337</v>
      </c>
    </row>
    <row r="902" spans="1:33" x14ac:dyDescent="0.25">
      <c r="A902" s="1">
        <v>45567</v>
      </c>
      <c r="B902">
        <v>924</v>
      </c>
      <c r="C902" t="s">
        <v>43</v>
      </c>
      <c r="D902" t="s">
        <v>251</v>
      </c>
      <c r="E902">
        <v>628395</v>
      </c>
      <c r="F902" s="2">
        <v>0.6875</v>
      </c>
      <c r="G902" t="s">
        <v>6</v>
      </c>
      <c r="H902" s="2">
        <v>0.70833333333333337</v>
      </c>
      <c r="I902">
        <v>1127</v>
      </c>
      <c r="J902">
        <v>0</v>
      </c>
      <c r="K902">
        <v>0</v>
      </c>
      <c r="L902">
        <v>16</v>
      </c>
      <c r="M902">
        <v>0</v>
      </c>
      <c r="N902">
        <v>0</v>
      </c>
      <c r="O902">
        <v>0</v>
      </c>
      <c r="P902">
        <v>236</v>
      </c>
      <c r="Q902">
        <v>51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4</v>
      </c>
      <c r="AC902">
        <v>4</v>
      </c>
      <c r="AD902" s="3" t="str">
        <f t="shared" si="42"/>
        <v>S2S NO PREMIUM</v>
      </c>
      <c r="AE902" s="3" t="e">
        <f>VLOOKUP(E902,'[1]Nómina Agentes'!$C:$D,2,0)</f>
        <v>#N/A</v>
      </c>
      <c r="AF902" s="5">
        <f t="shared" si="43"/>
        <v>0.6875</v>
      </c>
      <c r="AG902" s="5">
        <f t="shared" si="44"/>
        <v>0.70833333333333337</v>
      </c>
    </row>
    <row r="903" spans="1:33" x14ac:dyDescent="0.25">
      <c r="A903" s="1">
        <v>45567</v>
      </c>
      <c r="B903">
        <v>924</v>
      </c>
      <c r="C903" t="s">
        <v>43</v>
      </c>
      <c r="D903" t="s">
        <v>251</v>
      </c>
      <c r="E903">
        <v>628395</v>
      </c>
      <c r="F903" s="2">
        <v>0.64583333333333337</v>
      </c>
      <c r="G903" t="s">
        <v>6</v>
      </c>
      <c r="H903" s="2">
        <v>0.66666666666666663</v>
      </c>
      <c r="I903">
        <v>1172</v>
      </c>
      <c r="J903">
        <v>0</v>
      </c>
      <c r="K903">
        <v>0</v>
      </c>
      <c r="L903">
        <v>20</v>
      </c>
      <c r="M903">
        <v>0</v>
      </c>
      <c r="N903">
        <v>0</v>
      </c>
      <c r="O903">
        <v>0</v>
      </c>
      <c r="P903">
        <v>4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4</v>
      </c>
      <c r="AC903">
        <v>4</v>
      </c>
      <c r="AD903" s="3" t="str">
        <f t="shared" si="42"/>
        <v>S2S NO PREMIUM</v>
      </c>
      <c r="AE903" s="3" t="e">
        <f>VLOOKUP(E903,'[1]Nómina Agentes'!$C:$D,2,0)</f>
        <v>#N/A</v>
      </c>
      <c r="AF903" s="5">
        <f t="shared" si="43"/>
        <v>0.64583333333333337</v>
      </c>
      <c r="AG903" s="5">
        <f t="shared" si="44"/>
        <v>0.66666666666666663</v>
      </c>
    </row>
    <row r="904" spans="1:33" x14ac:dyDescent="0.25">
      <c r="A904" s="1">
        <v>45567</v>
      </c>
      <c r="B904">
        <v>924</v>
      </c>
      <c r="C904" t="s">
        <v>43</v>
      </c>
      <c r="D904" t="s">
        <v>251</v>
      </c>
      <c r="E904">
        <v>628395</v>
      </c>
      <c r="F904" s="2">
        <v>0.66666666666666663</v>
      </c>
      <c r="G904" t="s">
        <v>6</v>
      </c>
      <c r="H904" s="2">
        <v>0.6875</v>
      </c>
      <c r="I904">
        <v>1285</v>
      </c>
      <c r="J904">
        <v>0</v>
      </c>
      <c r="K904">
        <v>0</v>
      </c>
      <c r="L904">
        <v>16</v>
      </c>
      <c r="M904">
        <v>0</v>
      </c>
      <c r="N904">
        <v>0</v>
      </c>
      <c r="O904">
        <v>0</v>
      </c>
      <c r="P904">
        <v>4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4</v>
      </c>
      <c r="AC904">
        <v>4</v>
      </c>
      <c r="AD904" s="3" t="str">
        <f t="shared" si="42"/>
        <v>S2S NO PREMIUM</v>
      </c>
      <c r="AE904" s="3" t="e">
        <f>VLOOKUP(E904,'[1]Nómina Agentes'!$C:$D,2,0)</f>
        <v>#N/A</v>
      </c>
      <c r="AF904" s="5">
        <f t="shared" si="43"/>
        <v>0.66666666666666663</v>
      </c>
      <c r="AG904" s="5">
        <f t="shared" si="44"/>
        <v>0.6875</v>
      </c>
    </row>
    <row r="905" spans="1:33" x14ac:dyDescent="0.25">
      <c r="A905" s="1">
        <v>45567</v>
      </c>
      <c r="B905">
        <v>924</v>
      </c>
      <c r="C905" t="s">
        <v>43</v>
      </c>
      <c r="D905" t="s">
        <v>251</v>
      </c>
      <c r="E905">
        <v>628395</v>
      </c>
      <c r="F905" s="2">
        <v>0.70833333333333337</v>
      </c>
      <c r="G905" t="s">
        <v>6</v>
      </c>
      <c r="H905" s="2">
        <v>0.72916666666666663</v>
      </c>
      <c r="I905">
        <v>1307</v>
      </c>
      <c r="J905">
        <v>0</v>
      </c>
      <c r="K905">
        <v>0</v>
      </c>
      <c r="L905">
        <v>12</v>
      </c>
      <c r="M905">
        <v>0</v>
      </c>
      <c r="N905">
        <v>0</v>
      </c>
      <c r="O905">
        <v>0</v>
      </c>
      <c r="P905">
        <v>98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3</v>
      </c>
      <c r="AC905">
        <v>3</v>
      </c>
      <c r="AD905" s="3" t="str">
        <f t="shared" si="42"/>
        <v>S2S NO PREMIUM</v>
      </c>
      <c r="AE905" s="3" t="e">
        <f>VLOOKUP(E905,'[1]Nómina Agentes'!$C:$D,2,0)</f>
        <v>#N/A</v>
      </c>
      <c r="AF905" s="5">
        <f t="shared" si="43"/>
        <v>0.70833333333333337</v>
      </c>
      <c r="AG905" s="5">
        <f t="shared" si="44"/>
        <v>0.72916666666666663</v>
      </c>
    </row>
    <row r="906" spans="1:33" x14ac:dyDescent="0.25">
      <c r="A906" s="1">
        <v>45567</v>
      </c>
      <c r="B906">
        <v>925</v>
      </c>
      <c r="C906" t="s">
        <v>42</v>
      </c>
      <c r="D906" t="s">
        <v>252</v>
      </c>
      <c r="E906">
        <v>628397</v>
      </c>
      <c r="F906" s="2">
        <v>0.8125</v>
      </c>
      <c r="G906" t="s">
        <v>6</v>
      </c>
      <c r="H906" s="2">
        <v>0.83333333333333337</v>
      </c>
      <c r="I906">
        <v>174</v>
      </c>
      <c r="J906">
        <v>0</v>
      </c>
      <c r="K906">
        <v>0</v>
      </c>
      <c r="L906">
        <v>4</v>
      </c>
      <c r="M906">
        <v>0</v>
      </c>
      <c r="N906">
        <v>0</v>
      </c>
      <c r="O906">
        <v>0</v>
      </c>
      <c r="P906">
        <v>1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1</v>
      </c>
      <c r="AC906">
        <v>1</v>
      </c>
      <c r="AD906" s="3" t="str">
        <f t="shared" si="42"/>
        <v>S2S PREMIUM</v>
      </c>
      <c r="AE906" s="3" t="e">
        <f>VLOOKUP(E906,'[1]Nómina Agentes'!$C:$D,2,0)</f>
        <v>#N/A</v>
      </c>
      <c r="AF906" s="5">
        <f t="shared" si="43"/>
        <v>0.8125</v>
      </c>
      <c r="AG906" s="5">
        <f t="shared" si="44"/>
        <v>0.83333333333333337</v>
      </c>
    </row>
    <row r="907" spans="1:33" x14ac:dyDescent="0.25">
      <c r="A907" s="1">
        <v>45567</v>
      </c>
      <c r="B907">
        <v>925</v>
      </c>
      <c r="C907" t="s">
        <v>42</v>
      </c>
      <c r="D907" t="s">
        <v>252</v>
      </c>
      <c r="E907">
        <v>628397</v>
      </c>
      <c r="F907" s="2">
        <v>0.625</v>
      </c>
      <c r="G907" t="s">
        <v>6</v>
      </c>
      <c r="H907" s="2">
        <v>0.64583333333333337</v>
      </c>
      <c r="I907">
        <v>223</v>
      </c>
      <c r="J907">
        <v>0</v>
      </c>
      <c r="K907">
        <v>0</v>
      </c>
      <c r="L907">
        <v>7</v>
      </c>
      <c r="M907">
        <v>0</v>
      </c>
      <c r="N907">
        <v>0</v>
      </c>
      <c r="O907">
        <v>0</v>
      </c>
      <c r="P907">
        <v>47</v>
      </c>
      <c r="Q907">
        <v>92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1</v>
      </c>
      <c r="AC907">
        <v>1</v>
      </c>
      <c r="AD907" s="3" t="str">
        <f t="shared" si="42"/>
        <v>S2S PREMIUM</v>
      </c>
      <c r="AE907" s="3" t="e">
        <f>VLOOKUP(E907,'[1]Nómina Agentes'!$C:$D,2,0)</f>
        <v>#N/A</v>
      </c>
      <c r="AF907" s="5">
        <f t="shared" si="43"/>
        <v>0.625</v>
      </c>
      <c r="AG907" s="5">
        <f t="shared" si="44"/>
        <v>0.64583333333333337</v>
      </c>
    </row>
    <row r="908" spans="1:33" x14ac:dyDescent="0.25">
      <c r="A908" s="1">
        <v>45567</v>
      </c>
      <c r="B908">
        <v>925</v>
      </c>
      <c r="C908" t="s">
        <v>42</v>
      </c>
      <c r="D908" t="s">
        <v>252</v>
      </c>
      <c r="E908">
        <v>628397</v>
      </c>
      <c r="F908" s="2">
        <v>0.72916666666666663</v>
      </c>
      <c r="G908" t="s">
        <v>6</v>
      </c>
      <c r="H908" s="2">
        <v>0.75</v>
      </c>
      <c r="I908">
        <v>311</v>
      </c>
      <c r="J908">
        <v>0</v>
      </c>
      <c r="K908">
        <v>0</v>
      </c>
      <c r="L908">
        <v>12</v>
      </c>
      <c r="M908">
        <v>0</v>
      </c>
      <c r="N908">
        <v>0</v>
      </c>
      <c r="O908">
        <v>0</v>
      </c>
      <c r="P908">
        <v>2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2</v>
      </c>
      <c r="AC908">
        <v>2</v>
      </c>
      <c r="AD908" s="3" t="str">
        <f t="shared" si="42"/>
        <v>S2S PREMIUM</v>
      </c>
      <c r="AE908" s="3" t="e">
        <f>VLOOKUP(E908,'[1]Nómina Agentes'!$C:$D,2,0)</f>
        <v>#N/A</v>
      </c>
      <c r="AF908" s="5">
        <f t="shared" si="43"/>
        <v>0.72916666666666663</v>
      </c>
      <c r="AG908" s="5">
        <f t="shared" si="44"/>
        <v>0.75</v>
      </c>
    </row>
    <row r="909" spans="1:33" x14ac:dyDescent="0.25">
      <c r="A909" s="1">
        <v>45567</v>
      </c>
      <c r="B909">
        <v>925</v>
      </c>
      <c r="C909" t="s">
        <v>42</v>
      </c>
      <c r="D909" t="s">
        <v>252</v>
      </c>
      <c r="E909">
        <v>628397</v>
      </c>
      <c r="F909" s="2">
        <v>0.77083333333333337</v>
      </c>
      <c r="G909" t="s">
        <v>6</v>
      </c>
      <c r="H909" s="2">
        <v>0.79166666666666663</v>
      </c>
      <c r="I909">
        <v>392</v>
      </c>
      <c r="J909">
        <v>0</v>
      </c>
      <c r="K909">
        <v>0</v>
      </c>
      <c r="L909">
        <v>12</v>
      </c>
      <c r="M909">
        <v>0</v>
      </c>
      <c r="N909">
        <v>0</v>
      </c>
      <c r="O909">
        <v>0</v>
      </c>
      <c r="P909">
        <v>356</v>
      </c>
      <c r="Q909">
        <v>61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2</v>
      </c>
      <c r="AC909">
        <v>1</v>
      </c>
      <c r="AD909" s="3" t="str">
        <f t="shared" si="42"/>
        <v>S2S PREMIUM</v>
      </c>
      <c r="AE909" s="3" t="e">
        <f>VLOOKUP(E909,'[1]Nómina Agentes'!$C:$D,2,0)</f>
        <v>#N/A</v>
      </c>
      <c r="AF909" s="5">
        <f t="shared" si="43"/>
        <v>0.77083333333333337</v>
      </c>
      <c r="AG909" s="5">
        <f t="shared" si="44"/>
        <v>0.79166666666666663</v>
      </c>
    </row>
    <row r="910" spans="1:33" x14ac:dyDescent="0.25">
      <c r="A910" s="1">
        <v>45567</v>
      </c>
      <c r="B910">
        <v>925</v>
      </c>
      <c r="C910" t="s">
        <v>42</v>
      </c>
      <c r="D910" t="s">
        <v>252</v>
      </c>
      <c r="E910">
        <v>628397</v>
      </c>
      <c r="F910" s="2">
        <v>0.70833333333333337</v>
      </c>
      <c r="G910" t="s">
        <v>6</v>
      </c>
      <c r="H910" s="2">
        <v>0.72916666666666663</v>
      </c>
      <c r="I910">
        <v>483</v>
      </c>
      <c r="J910">
        <v>0</v>
      </c>
      <c r="K910">
        <v>0</v>
      </c>
      <c r="L910">
        <v>8</v>
      </c>
      <c r="M910">
        <v>0</v>
      </c>
      <c r="N910">
        <v>0</v>
      </c>
      <c r="O910">
        <v>0</v>
      </c>
      <c r="P910">
        <v>134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3</v>
      </c>
      <c r="AC910">
        <v>2</v>
      </c>
      <c r="AD910" s="3" t="str">
        <f t="shared" si="42"/>
        <v>S2S PREMIUM</v>
      </c>
      <c r="AE910" s="3" t="e">
        <f>VLOOKUP(E910,'[1]Nómina Agentes'!$C:$D,2,0)</f>
        <v>#N/A</v>
      </c>
      <c r="AF910" s="5">
        <f t="shared" si="43"/>
        <v>0.70833333333333337</v>
      </c>
      <c r="AG910" s="5">
        <f t="shared" si="44"/>
        <v>0.72916666666666663</v>
      </c>
    </row>
    <row r="911" spans="1:33" x14ac:dyDescent="0.25">
      <c r="A911" s="1">
        <v>45567</v>
      </c>
      <c r="B911">
        <v>925</v>
      </c>
      <c r="C911" t="s">
        <v>42</v>
      </c>
      <c r="D911" t="s">
        <v>252</v>
      </c>
      <c r="E911">
        <v>628397</v>
      </c>
      <c r="F911" s="2">
        <v>0.64583333333333337</v>
      </c>
      <c r="G911" t="s">
        <v>6</v>
      </c>
      <c r="H911" s="2">
        <v>0.66666666666666663</v>
      </c>
      <c r="I911">
        <v>551</v>
      </c>
      <c r="J911">
        <v>0</v>
      </c>
      <c r="K911">
        <v>0</v>
      </c>
      <c r="L911">
        <v>8</v>
      </c>
      <c r="M911">
        <v>0</v>
      </c>
      <c r="N911">
        <v>0</v>
      </c>
      <c r="O911">
        <v>0</v>
      </c>
      <c r="P911">
        <v>451</v>
      </c>
      <c r="Q911">
        <v>345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2</v>
      </c>
      <c r="AC911">
        <v>2</v>
      </c>
      <c r="AD911" s="3" t="str">
        <f t="shared" si="42"/>
        <v>S2S PREMIUM</v>
      </c>
      <c r="AE911" s="3" t="e">
        <f>VLOOKUP(E911,'[1]Nómina Agentes'!$C:$D,2,0)</f>
        <v>#N/A</v>
      </c>
      <c r="AF911" s="5">
        <f t="shared" si="43"/>
        <v>0.64583333333333337</v>
      </c>
      <c r="AG911" s="5">
        <f t="shared" si="44"/>
        <v>0.66666666666666663</v>
      </c>
    </row>
    <row r="912" spans="1:33" x14ac:dyDescent="0.25">
      <c r="A912" s="1">
        <v>45567</v>
      </c>
      <c r="B912">
        <v>925</v>
      </c>
      <c r="C912" t="s">
        <v>42</v>
      </c>
      <c r="D912" t="s">
        <v>252</v>
      </c>
      <c r="E912">
        <v>628397</v>
      </c>
      <c r="F912" s="2">
        <v>0.6875</v>
      </c>
      <c r="G912" t="s">
        <v>6</v>
      </c>
      <c r="H912" s="2">
        <v>0.70833333333333337</v>
      </c>
      <c r="I912">
        <v>1030</v>
      </c>
      <c r="J912">
        <v>0</v>
      </c>
      <c r="K912">
        <v>0</v>
      </c>
      <c r="L912">
        <v>16</v>
      </c>
      <c r="M912">
        <v>0</v>
      </c>
      <c r="N912">
        <v>0</v>
      </c>
      <c r="O912">
        <v>0</v>
      </c>
      <c r="P912">
        <v>127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4</v>
      </c>
      <c r="AC912">
        <v>4</v>
      </c>
      <c r="AD912" s="3" t="str">
        <f t="shared" si="42"/>
        <v>S2S PREMIUM</v>
      </c>
      <c r="AE912" s="3" t="e">
        <f>VLOOKUP(E912,'[1]Nómina Agentes'!$C:$D,2,0)</f>
        <v>#N/A</v>
      </c>
      <c r="AF912" s="5">
        <f t="shared" si="43"/>
        <v>0.6875</v>
      </c>
      <c r="AG912" s="5">
        <f t="shared" si="44"/>
        <v>0.70833333333333337</v>
      </c>
    </row>
    <row r="913" spans="1:33" x14ac:dyDescent="0.25">
      <c r="A913" s="1">
        <v>45567</v>
      </c>
      <c r="B913">
        <v>925</v>
      </c>
      <c r="C913" t="s">
        <v>42</v>
      </c>
      <c r="D913" t="s">
        <v>252</v>
      </c>
      <c r="E913">
        <v>628397</v>
      </c>
      <c r="F913" s="2">
        <v>0.79166666666666663</v>
      </c>
      <c r="G913" t="s">
        <v>6</v>
      </c>
      <c r="H913" s="2">
        <v>0.8125</v>
      </c>
      <c r="I913">
        <v>1085</v>
      </c>
      <c r="J913">
        <v>0</v>
      </c>
      <c r="K913">
        <v>0</v>
      </c>
      <c r="L913">
        <v>16</v>
      </c>
      <c r="M913">
        <v>0</v>
      </c>
      <c r="N913">
        <v>0</v>
      </c>
      <c r="O913">
        <v>0</v>
      </c>
      <c r="P913">
        <v>5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5</v>
      </c>
      <c r="AC913">
        <v>5</v>
      </c>
      <c r="AD913" s="3" t="str">
        <f t="shared" si="42"/>
        <v>S2S PREMIUM</v>
      </c>
      <c r="AE913" s="3" t="e">
        <f>VLOOKUP(E913,'[1]Nómina Agentes'!$C:$D,2,0)</f>
        <v>#N/A</v>
      </c>
      <c r="AF913" s="5">
        <f t="shared" si="43"/>
        <v>0.79166666666666663</v>
      </c>
      <c r="AG913" s="5">
        <f t="shared" si="44"/>
        <v>0.8125</v>
      </c>
    </row>
    <row r="914" spans="1:33" x14ac:dyDescent="0.25">
      <c r="A914" s="1">
        <v>45567</v>
      </c>
      <c r="B914">
        <v>925</v>
      </c>
      <c r="C914" t="s">
        <v>42</v>
      </c>
      <c r="D914" t="s">
        <v>252</v>
      </c>
      <c r="E914">
        <v>628397</v>
      </c>
      <c r="F914" s="2">
        <v>0.75</v>
      </c>
      <c r="G914" t="s">
        <v>6</v>
      </c>
      <c r="H914" s="2">
        <v>0.77083333333333337</v>
      </c>
      <c r="I914">
        <v>1278</v>
      </c>
      <c r="J914">
        <v>0</v>
      </c>
      <c r="K914">
        <v>0</v>
      </c>
      <c r="L914">
        <v>8</v>
      </c>
      <c r="M914">
        <v>0</v>
      </c>
      <c r="N914">
        <v>0</v>
      </c>
      <c r="O914">
        <v>0</v>
      </c>
      <c r="P914">
        <v>3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3</v>
      </c>
      <c r="AC914">
        <v>3</v>
      </c>
      <c r="AD914" s="3" t="str">
        <f t="shared" si="42"/>
        <v>S2S PREMIUM</v>
      </c>
      <c r="AE914" s="3" t="e">
        <f>VLOOKUP(E914,'[1]Nómina Agentes'!$C:$D,2,0)</f>
        <v>#N/A</v>
      </c>
      <c r="AF914" s="5">
        <f t="shared" si="43"/>
        <v>0.75</v>
      </c>
      <c r="AG914" s="5">
        <f t="shared" si="44"/>
        <v>0.77083333333333337</v>
      </c>
    </row>
    <row r="915" spans="1:33" x14ac:dyDescent="0.25">
      <c r="A915" s="1">
        <v>45567</v>
      </c>
      <c r="B915">
        <v>925</v>
      </c>
      <c r="C915" t="s">
        <v>42</v>
      </c>
      <c r="D915" t="s">
        <v>252</v>
      </c>
      <c r="E915">
        <v>628397</v>
      </c>
      <c r="F915" s="2">
        <v>0.66666666666666663</v>
      </c>
      <c r="G915" t="s">
        <v>6</v>
      </c>
      <c r="H915" s="2">
        <v>0.6875</v>
      </c>
      <c r="I915">
        <v>1445</v>
      </c>
      <c r="J915">
        <v>0</v>
      </c>
      <c r="K915">
        <v>0</v>
      </c>
      <c r="L915">
        <v>8</v>
      </c>
      <c r="M915">
        <v>0</v>
      </c>
      <c r="N915">
        <v>0</v>
      </c>
      <c r="O915">
        <v>0</v>
      </c>
      <c r="P915">
        <v>175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2</v>
      </c>
      <c r="AC915">
        <v>2</v>
      </c>
      <c r="AD915" s="3" t="str">
        <f t="shared" si="42"/>
        <v>S2S PREMIUM</v>
      </c>
      <c r="AE915" s="3" t="e">
        <f>VLOOKUP(E915,'[1]Nómina Agentes'!$C:$D,2,0)</f>
        <v>#N/A</v>
      </c>
      <c r="AF915" s="5">
        <f t="shared" si="43"/>
        <v>0.66666666666666663</v>
      </c>
      <c r="AG915" s="5">
        <f t="shared" si="44"/>
        <v>0.6875</v>
      </c>
    </row>
    <row r="916" spans="1:33" x14ac:dyDescent="0.25">
      <c r="A916" s="1">
        <v>45567</v>
      </c>
      <c r="B916">
        <v>925</v>
      </c>
      <c r="C916" t="s">
        <v>42</v>
      </c>
      <c r="D916" t="s">
        <v>253</v>
      </c>
      <c r="E916">
        <v>628400</v>
      </c>
      <c r="F916" s="2">
        <v>0.625</v>
      </c>
      <c r="G916" t="s">
        <v>6</v>
      </c>
      <c r="H916" s="2">
        <v>0.64583333333333337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 s="3" t="str">
        <f t="shared" si="42"/>
        <v>S2S PREMIUM</v>
      </c>
      <c r="AE916" s="3" t="e">
        <f>VLOOKUP(E916,'[1]Nómina Agentes'!$C:$D,2,0)</f>
        <v>#N/A</v>
      </c>
      <c r="AF916" s="5">
        <f t="shared" si="43"/>
        <v>0.625</v>
      </c>
      <c r="AG916" s="5">
        <f t="shared" si="44"/>
        <v>0.64583333333333337</v>
      </c>
    </row>
    <row r="917" spans="1:33" x14ac:dyDescent="0.25">
      <c r="A917" s="1">
        <v>45567</v>
      </c>
      <c r="B917">
        <v>925</v>
      </c>
      <c r="C917" t="s">
        <v>42</v>
      </c>
      <c r="D917" t="s">
        <v>253</v>
      </c>
      <c r="E917">
        <v>628400</v>
      </c>
      <c r="F917" s="2">
        <v>0.58333333333333337</v>
      </c>
      <c r="G917" t="s">
        <v>6</v>
      </c>
      <c r="H917" s="2">
        <v>0.60416666666666663</v>
      </c>
      <c r="I917">
        <v>365</v>
      </c>
      <c r="J917">
        <v>43</v>
      </c>
      <c r="K917">
        <v>0</v>
      </c>
      <c r="L917">
        <v>4</v>
      </c>
      <c r="M917">
        <v>0</v>
      </c>
      <c r="N917">
        <v>0</v>
      </c>
      <c r="O917">
        <v>0</v>
      </c>
      <c r="P917">
        <v>125</v>
      </c>
      <c r="Q917">
        <v>90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2</v>
      </c>
      <c r="AC917">
        <v>2</v>
      </c>
      <c r="AD917" s="3" t="str">
        <f t="shared" si="42"/>
        <v>S2S PREMIUM</v>
      </c>
      <c r="AE917" s="3" t="e">
        <f>VLOOKUP(E917,'[1]Nómina Agentes'!$C:$D,2,0)</f>
        <v>#N/A</v>
      </c>
      <c r="AF917" s="5">
        <f t="shared" si="43"/>
        <v>0.58333333333333337</v>
      </c>
      <c r="AG917" s="5">
        <f t="shared" si="44"/>
        <v>0.60416666666666663</v>
      </c>
    </row>
    <row r="918" spans="1:33" x14ac:dyDescent="0.25">
      <c r="A918" s="1">
        <v>45567</v>
      </c>
      <c r="B918">
        <v>925</v>
      </c>
      <c r="C918" t="s">
        <v>42</v>
      </c>
      <c r="D918" t="s">
        <v>253</v>
      </c>
      <c r="E918">
        <v>628400</v>
      </c>
      <c r="F918" s="2">
        <v>0.60416666666666663</v>
      </c>
      <c r="G918" t="s">
        <v>6</v>
      </c>
      <c r="H918" s="2">
        <v>0.625</v>
      </c>
      <c r="I918">
        <v>916</v>
      </c>
      <c r="J918">
        <v>131</v>
      </c>
      <c r="K918">
        <v>0</v>
      </c>
      <c r="L918">
        <v>11</v>
      </c>
      <c r="M918">
        <v>0</v>
      </c>
      <c r="N918">
        <v>0</v>
      </c>
      <c r="O918">
        <v>0</v>
      </c>
      <c r="P918">
        <v>71</v>
      </c>
      <c r="Q918">
        <v>2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3</v>
      </c>
      <c r="AC918">
        <v>3</v>
      </c>
      <c r="AD918" s="3" t="str">
        <f t="shared" si="42"/>
        <v>S2S PREMIUM</v>
      </c>
      <c r="AE918" s="3" t="e">
        <f>VLOOKUP(E918,'[1]Nómina Agentes'!$C:$D,2,0)</f>
        <v>#N/A</v>
      </c>
      <c r="AF918" s="5">
        <f t="shared" si="43"/>
        <v>0.60416666666666663</v>
      </c>
      <c r="AG918" s="5">
        <f t="shared" si="44"/>
        <v>0.625</v>
      </c>
    </row>
    <row r="919" spans="1:33" x14ac:dyDescent="0.25">
      <c r="A919" s="1">
        <v>45567</v>
      </c>
      <c r="B919">
        <v>925</v>
      </c>
      <c r="C919" t="s">
        <v>42</v>
      </c>
      <c r="D919" t="s">
        <v>254</v>
      </c>
      <c r="E919">
        <v>628411</v>
      </c>
      <c r="F919" s="2">
        <v>0.60416666666666663</v>
      </c>
      <c r="G919" t="s">
        <v>6</v>
      </c>
      <c r="H919" s="2">
        <v>0.625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 s="3" t="str">
        <f t="shared" si="42"/>
        <v>S2S PREMIUM</v>
      </c>
      <c r="AE919" s="3" t="e">
        <f>VLOOKUP(E919,'[1]Nómina Agentes'!$C:$D,2,0)</f>
        <v>#N/A</v>
      </c>
      <c r="AF919" s="5">
        <f t="shared" si="43"/>
        <v>0.60416666666666663</v>
      </c>
      <c r="AG919" s="5">
        <f t="shared" si="44"/>
        <v>0.625</v>
      </c>
    </row>
    <row r="920" spans="1:33" x14ac:dyDescent="0.25">
      <c r="A920" s="1">
        <v>45567</v>
      </c>
      <c r="B920">
        <v>924</v>
      </c>
      <c r="C920" t="s">
        <v>43</v>
      </c>
      <c r="D920" t="s">
        <v>254</v>
      </c>
      <c r="E920">
        <v>628411</v>
      </c>
      <c r="F920" s="2">
        <v>0.75</v>
      </c>
      <c r="G920" t="s">
        <v>6</v>
      </c>
      <c r="H920" s="2">
        <v>0.77083333333333337</v>
      </c>
      <c r="I920">
        <v>170</v>
      </c>
      <c r="J920">
        <v>0</v>
      </c>
      <c r="K920">
        <v>0</v>
      </c>
      <c r="L920">
        <v>4</v>
      </c>
      <c r="M920">
        <v>0</v>
      </c>
      <c r="N920">
        <v>0</v>
      </c>
      <c r="O920">
        <v>0</v>
      </c>
      <c r="P920">
        <v>1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1</v>
      </c>
      <c r="AC920">
        <v>1</v>
      </c>
      <c r="AD920" s="3" t="str">
        <f t="shared" si="42"/>
        <v>S2S NO PREMIUM</v>
      </c>
      <c r="AE920" s="3" t="e">
        <f>VLOOKUP(E920,'[1]Nómina Agentes'!$C:$D,2,0)</f>
        <v>#N/A</v>
      </c>
      <c r="AF920" s="5">
        <f t="shared" si="43"/>
        <v>0.75</v>
      </c>
      <c r="AG920" s="5">
        <f t="shared" si="44"/>
        <v>0.77083333333333337</v>
      </c>
    </row>
    <row r="921" spans="1:33" x14ac:dyDescent="0.25">
      <c r="A921" s="1">
        <v>45567</v>
      </c>
      <c r="B921">
        <v>925</v>
      </c>
      <c r="C921" t="s">
        <v>42</v>
      </c>
      <c r="D921" t="s">
        <v>254</v>
      </c>
      <c r="E921">
        <v>628411</v>
      </c>
      <c r="F921" s="2">
        <v>0.625</v>
      </c>
      <c r="G921" t="s">
        <v>6</v>
      </c>
      <c r="H921" s="2">
        <v>0.64583333333333337</v>
      </c>
      <c r="I921">
        <v>216</v>
      </c>
      <c r="J921">
        <v>0</v>
      </c>
      <c r="K921">
        <v>0</v>
      </c>
      <c r="L921">
        <v>4</v>
      </c>
      <c r="M921">
        <v>0</v>
      </c>
      <c r="N921">
        <v>0</v>
      </c>
      <c r="O921">
        <v>0</v>
      </c>
      <c r="P921">
        <v>799</v>
      </c>
      <c r="Q921">
        <v>854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1</v>
      </c>
      <c r="AC921">
        <v>0</v>
      </c>
      <c r="AD921" s="3" t="str">
        <f t="shared" si="42"/>
        <v>S2S PREMIUM</v>
      </c>
      <c r="AE921" s="3" t="e">
        <f>VLOOKUP(E921,'[1]Nómina Agentes'!$C:$D,2,0)</f>
        <v>#N/A</v>
      </c>
      <c r="AF921" s="5">
        <f t="shared" si="43"/>
        <v>0.625</v>
      </c>
      <c r="AG921" s="5">
        <f t="shared" si="44"/>
        <v>0.64583333333333337</v>
      </c>
    </row>
    <row r="922" spans="1:33" x14ac:dyDescent="0.25">
      <c r="A922" s="1">
        <v>45567</v>
      </c>
      <c r="B922">
        <v>925</v>
      </c>
      <c r="C922" t="s">
        <v>42</v>
      </c>
      <c r="D922" t="s">
        <v>254</v>
      </c>
      <c r="E922">
        <v>628411</v>
      </c>
      <c r="F922" s="2">
        <v>0.75</v>
      </c>
      <c r="G922" t="s">
        <v>6</v>
      </c>
      <c r="H922" s="2">
        <v>0.77083333333333337</v>
      </c>
      <c r="I922">
        <v>259</v>
      </c>
      <c r="J922">
        <v>0</v>
      </c>
      <c r="K922">
        <v>0</v>
      </c>
      <c r="L922">
        <v>8</v>
      </c>
      <c r="M922">
        <v>0</v>
      </c>
      <c r="N922">
        <v>0</v>
      </c>
      <c r="O922">
        <v>0</v>
      </c>
      <c r="P922">
        <v>1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2</v>
      </c>
      <c r="AC922">
        <v>2</v>
      </c>
      <c r="AD922" s="3" t="str">
        <f t="shared" si="42"/>
        <v>S2S PREMIUM</v>
      </c>
      <c r="AE922" s="3" t="e">
        <f>VLOOKUP(E922,'[1]Nómina Agentes'!$C:$D,2,0)</f>
        <v>#N/A</v>
      </c>
      <c r="AF922" s="5">
        <f t="shared" si="43"/>
        <v>0.75</v>
      </c>
      <c r="AG922" s="5">
        <f t="shared" si="44"/>
        <v>0.77083333333333337</v>
      </c>
    </row>
    <row r="923" spans="1:33" x14ac:dyDescent="0.25">
      <c r="A923" s="1">
        <v>45567</v>
      </c>
      <c r="B923">
        <v>925</v>
      </c>
      <c r="C923" t="s">
        <v>42</v>
      </c>
      <c r="D923" t="s">
        <v>254</v>
      </c>
      <c r="E923">
        <v>628411</v>
      </c>
      <c r="F923" s="2">
        <v>0.70833333333333337</v>
      </c>
      <c r="G923" t="s">
        <v>6</v>
      </c>
      <c r="H923" s="2">
        <v>0.72916666666666663</v>
      </c>
      <c r="I923">
        <v>371</v>
      </c>
      <c r="J923">
        <v>0</v>
      </c>
      <c r="K923">
        <v>0</v>
      </c>
      <c r="L923">
        <v>8</v>
      </c>
      <c r="M923">
        <v>0</v>
      </c>
      <c r="N923">
        <v>0</v>
      </c>
      <c r="O923">
        <v>0</v>
      </c>
      <c r="P923">
        <v>447</v>
      </c>
      <c r="Q923">
        <v>389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2</v>
      </c>
      <c r="AC923">
        <v>1</v>
      </c>
      <c r="AD923" s="3" t="str">
        <f t="shared" si="42"/>
        <v>S2S PREMIUM</v>
      </c>
      <c r="AE923" s="3" t="e">
        <f>VLOOKUP(E923,'[1]Nómina Agentes'!$C:$D,2,0)</f>
        <v>#N/A</v>
      </c>
      <c r="AF923" s="5">
        <f t="shared" si="43"/>
        <v>0.70833333333333337</v>
      </c>
      <c r="AG923" s="5">
        <f t="shared" si="44"/>
        <v>0.72916666666666663</v>
      </c>
    </row>
    <row r="924" spans="1:33" x14ac:dyDescent="0.25">
      <c r="A924" s="1">
        <v>45567</v>
      </c>
      <c r="B924">
        <v>925</v>
      </c>
      <c r="C924" t="s">
        <v>42</v>
      </c>
      <c r="D924" t="s">
        <v>254</v>
      </c>
      <c r="E924">
        <v>628411</v>
      </c>
      <c r="F924" s="2">
        <v>0.64583333333333337</v>
      </c>
      <c r="G924" t="s">
        <v>6</v>
      </c>
      <c r="H924" s="2">
        <v>0.66666666666666663</v>
      </c>
      <c r="I924">
        <v>514</v>
      </c>
      <c r="J924">
        <v>0</v>
      </c>
      <c r="K924">
        <v>0</v>
      </c>
      <c r="L924">
        <v>8</v>
      </c>
      <c r="M924">
        <v>0</v>
      </c>
      <c r="N924">
        <v>0</v>
      </c>
      <c r="O924">
        <v>0</v>
      </c>
      <c r="P924">
        <v>425</v>
      </c>
      <c r="Q924">
        <v>396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2</v>
      </c>
      <c r="AC924">
        <v>2</v>
      </c>
      <c r="AD924" s="3" t="str">
        <f t="shared" si="42"/>
        <v>S2S PREMIUM</v>
      </c>
      <c r="AE924" s="3" t="e">
        <f>VLOOKUP(E924,'[1]Nómina Agentes'!$C:$D,2,0)</f>
        <v>#N/A</v>
      </c>
      <c r="AF924" s="5">
        <f t="shared" si="43"/>
        <v>0.64583333333333337</v>
      </c>
      <c r="AG924" s="5">
        <f t="shared" si="44"/>
        <v>0.66666666666666663</v>
      </c>
    </row>
    <row r="925" spans="1:33" x14ac:dyDescent="0.25">
      <c r="A925" s="1">
        <v>45567</v>
      </c>
      <c r="B925">
        <v>925</v>
      </c>
      <c r="C925" t="s">
        <v>42</v>
      </c>
      <c r="D925" t="s">
        <v>254</v>
      </c>
      <c r="E925">
        <v>628411</v>
      </c>
      <c r="F925" s="2">
        <v>0.72916666666666663</v>
      </c>
      <c r="G925" t="s">
        <v>6</v>
      </c>
      <c r="H925" s="2">
        <v>0.75</v>
      </c>
      <c r="I925">
        <v>614</v>
      </c>
      <c r="J925">
        <v>0</v>
      </c>
      <c r="K925">
        <v>0</v>
      </c>
      <c r="L925">
        <v>4</v>
      </c>
      <c r="M925">
        <v>0</v>
      </c>
      <c r="N925">
        <v>0</v>
      </c>
      <c r="O925">
        <v>0</v>
      </c>
      <c r="P925">
        <v>102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1</v>
      </c>
      <c r="AC925">
        <v>1</v>
      </c>
      <c r="AD925" s="3" t="str">
        <f t="shared" si="42"/>
        <v>S2S PREMIUM</v>
      </c>
      <c r="AE925" s="3" t="e">
        <f>VLOOKUP(E925,'[1]Nómina Agentes'!$C:$D,2,0)</f>
        <v>#N/A</v>
      </c>
      <c r="AF925" s="5">
        <f t="shared" si="43"/>
        <v>0.72916666666666663</v>
      </c>
      <c r="AG925" s="5">
        <f t="shared" si="44"/>
        <v>0.75</v>
      </c>
    </row>
    <row r="926" spans="1:33" x14ac:dyDescent="0.25">
      <c r="A926" s="1">
        <v>45567</v>
      </c>
      <c r="B926">
        <v>924</v>
      </c>
      <c r="C926" t="s">
        <v>43</v>
      </c>
      <c r="D926" t="s">
        <v>254</v>
      </c>
      <c r="E926">
        <v>628411</v>
      </c>
      <c r="F926" s="2">
        <v>0.79166666666666663</v>
      </c>
      <c r="G926" t="s">
        <v>6</v>
      </c>
      <c r="H926" s="2">
        <v>0.8125</v>
      </c>
      <c r="I926">
        <v>634</v>
      </c>
      <c r="J926">
        <v>0</v>
      </c>
      <c r="K926">
        <v>0</v>
      </c>
      <c r="L926">
        <v>8</v>
      </c>
      <c r="M926">
        <v>0</v>
      </c>
      <c r="N926">
        <v>0</v>
      </c>
      <c r="O926">
        <v>0</v>
      </c>
      <c r="P926">
        <v>748</v>
      </c>
      <c r="Q926">
        <v>379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3</v>
      </c>
      <c r="AC926">
        <v>2</v>
      </c>
      <c r="AD926" s="3" t="str">
        <f t="shared" si="42"/>
        <v>S2S NO PREMIUM</v>
      </c>
      <c r="AE926" s="3" t="e">
        <f>VLOOKUP(E926,'[1]Nómina Agentes'!$C:$D,2,0)</f>
        <v>#N/A</v>
      </c>
      <c r="AF926" s="5">
        <f t="shared" si="43"/>
        <v>0.79166666666666663</v>
      </c>
      <c r="AG926" s="5">
        <f t="shared" si="44"/>
        <v>0.8125</v>
      </c>
    </row>
    <row r="927" spans="1:33" x14ac:dyDescent="0.25">
      <c r="A927" s="1">
        <v>45567</v>
      </c>
      <c r="B927">
        <v>924</v>
      </c>
      <c r="C927" t="s">
        <v>43</v>
      </c>
      <c r="D927" t="s">
        <v>254</v>
      </c>
      <c r="E927">
        <v>628411</v>
      </c>
      <c r="F927" s="2">
        <v>0.77083333333333337</v>
      </c>
      <c r="G927" t="s">
        <v>6</v>
      </c>
      <c r="H927" s="2">
        <v>0.79166666666666663</v>
      </c>
      <c r="I927">
        <v>805</v>
      </c>
      <c r="J927">
        <v>0</v>
      </c>
      <c r="K927">
        <v>0</v>
      </c>
      <c r="L927">
        <v>16</v>
      </c>
      <c r="M927">
        <v>0</v>
      </c>
      <c r="N927">
        <v>0</v>
      </c>
      <c r="O927">
        <v>0</v>
      </c>
      <c r="P927">
        <v>1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3</v>
      </c>
      <c r="AC927">
        <v>2</v>
      </c>
      <c r="AD927" s="3" t="str">
        <f t="shared" si="42"/>
        <v>S2S NO PREMIUM</v>
      </c>
      <c r="AE927" s="3" t="e">
        <f>VLOOKUP(E927,'[1]Nómina Agentes'!$C:$D,2,0)</f>
        <v>#N/A</v>
      </c>
      <c r="AF927" s="5">
        <f t="shared" si="43"/>
        <v>0.77083333333333337</v>
      </c>
      <c r="AG927" s="5">
        <f t="shared" si="44"/>
        <v>0.79166666666666663</v>
      </c>
    </row>
    <row r="928" spans="1:33" x14ac:dyDescent="0.25">
      <c r="A928" s="1">
        <v>45567</v>
      </c>
      <c r="B928">
        <v>925</v>
      </c>
      <c r="C928" t="s">
        <v>42</v>
      </c>
      <c r="D928" t="s">
        <v>254</v>
      </c>
      <c r="E928">
        <v>628411</v>
      </c>
      <c r="F928" s="2">
        <v>0.66666666666666663</v>
      </c>
      <c r="G928" t="s">
        <v>6</v>
      </c>
      <c r="H928" s="2">
        <v>0.6875</v>
      </c>
      <c r="I928">
        <v>987</v>
      </c>
      <c r="J928">
        <v>0</v>
      </c>
      <c r="K928">
        <v>0</v>
      </c>
      <c r="L928">
        <v>16</v>
      </c>
      <c r="M928">
        <v>0</v>
      </c>
      <c r="N928">
        <v>0</v>
      </c>
      <c r="O928">
        <v>0</v>
      </c>
      <c r="P928">
        <v>3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3</v>
      </c>
      <c r="AC928">
        <v>3</v>
      </c>
      <c r="AD928" s="3" t="str">
        <f t="shared" si="42"/>
        <v>S2S PREMIUM</v>
      </c>
      <c r="AE928" s="3" t="e">
        <f>VLOOKUP(E928,'[1]Nómina Agentes'!$C:$D,2,0)</f>
        <v>#N/A</v>
      </c>
      <c r="AF928" s="5">
        <f t="shared" si="43"/>
        <v>0.66666666666666663</v>
      </c>
      <c r="AG928" s="5">
        <f t="shared" si="44"/>
        <v>0.6875</v>
      </c>
    </row>
    <row r="929" spans="1:33" x14ac:dyDescent="0.25">
      <c r="A929" s="1">
        <v>45567</v>
      </c>
      <c r="B929">
        <v>925</v>
      </c>
      <c r="C929" t="s">
        <v>42</v>
      </c>
      <c r="D929" t="s">
        <v>254</v>
      </c>
      <c r="E929">
        <v>628411</v>
      </c>
      <c r="F929" s="2">
        <v>0.6875</v>
      </c>
      <c r="G929" t="s">
        <v>6</v>
      </c>
      <c r="H929" s="2">
        <v>0.70833333333333337</v>
      </c>
      <c r="I929">
        <v>1075</v>
      </c>
      <c r="J929">
        <v>0</v>
      </c>
      <c r="K929">
        <v>0</v>
      </c>
      <c r="L929">
        <v>16</v>
      </c>
      <c r="M929">
        <v>0</v>
      </c>
      <c r="N929">
        <v>0</v>
      </c>
      <c r="O929">
        <v>0</v>
      </c>
      <c r="P929">
        <v>4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5</v>
      </c>
      <c r="AC929">
        <v>5</v>
      </c>
      <c r="AD929" s="3" t="str">
        <f t="shared" si="42"/>
        <v>S2S PREMIUM</v>
      </c>
      <c r="AE929" s="3" t="e">
        <f>VLOOKUP(E929,'[1]Nómina Agentes'!$C:$D,2,0)</f>
        <v>#N/A</v>
      </c>
      <c r="AF929" s="5">
        <f t="shared" si="43"/>
        <v>0.6875</v>
      </c>
      <c r="AG929" s="5">
        <f t="shared" si="44"/>
        <v>0.70833333333333337</v>
      </c>
    </row>
    <row r="930" spans="1:33" x14ac:dyDescent="0.25">
      <c r="A930" s="1">
        <v>45567</v>
      </c>
      <c r="B930">
        <v>924</v>
      </c>
      <c r="C930" t="s">
        <v>43</v>
      </c>
      <c r="D930" t="s">
        <v>254</v>
      </c>
      <c r="E930">
        <v>628411</v>
      </c>
      <c r="F930" s="2">
        <v>0.8125</v>
      </c>
      <c r="G930" t="s">
        <v>6</v>
      </c>
      <c r="H930" s="2">
        <v>0.83333333333333337</v>
      </c>
      <c r="I930">
        <v>1116</v>
      </c>
      <c r="J930">
        <v>0</v>
      </c>
      <c r="K930">
        <v>0</v>
      </c>
      <c r="L930">
        <v>12</v>
      </c>
      <c r="M930">
        <v>0</v>
      </c>
      <c r="N930">
        <v>0</v>
      </c>
      <c r="O930">
        <v>0</v>
      </c>
      <c r="P930">
        <v>2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2</v>
      </c>
      <c r="AC930">
        <v>2</v>
      </c>
      <c r="AD930" s="3" t="str">
        <f t="shared" si="42"/>
        <v>S2S NO PREMIUM</v>
      </c>
      <c r="AE930" s="3" t="e">
        <f>VLOOKUP(E930,'[1]Nómina Agentes'!$C:$D,2,0)</f>
        <v>#N/A</v>
      </c>
      <c r="AF930" s="5">
        <f t="shared" si="43"/>
        <v>0.8125</v>
      </c>
      <c r="AG930" s="5">
        <f t="shared" si="44"/>
        <v>0.83333333333333337</v>
      </c>
    </row>
    <row r="931" spans="1:33" x14ac:dyDescent="0.25">
      <c r="A931" s="1">
        <v>45567</v>
      </c>
      <c r="B931">
        <v>924</v>
      </c>
      <c r="C931" t="s">
        <v>43</v>
      </c>
      <c r="D931" t="s">
        <v>255</v>
      </c>
      <c r="E931">
        <v>628412</v>
      </c>
      <c r="F931" s="2">
        <v>0.625</v>
      </c>
      <c r="G931" t="s">
        <v>6</v>
      </c>
      <c r="H931" s="2">
        <v>0.64583333333333337</v>
      </c>
      <c r="I931">
        <v>203</v>
      </c>
      <c r="J931">
        <v>0</v>
      </c>
      <c r="K931">
        <v>0</v>
      </c>
      <c r="L931">
        <v>4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 s="3" t="str">
        <f t="shared" si="42"/>
        <v>S2S NO PREMIUM</v>
      </c>
      <c r="AE931" s="3" t="e">
        <f>VLOOKUP(E931,'[1]Nómina Agentes'!$C:$D,2,0)</f>
        <v>#N/A</v>
      </c>
      <c r="AF931" s="5">
        <f t="shared" si="43"/>
        <v>0.625</v>
      </c>
      <c r="AG931" s="5">
        <f t="shared" si="44"/>
        <v>0.64583333333333337</v>
      </c>
    </row>
    <row r="932" spans="1:33" x14ac:dyDescent="0.25">
      <c r="A932" s="1">
        <v>45567</v>
      </c>
      <c r="B932">
        <v>924</v>
      </c>
      <c r="C932" t="s">
        <v>43</v>
      </c>
      <c r="D932" t="s">
        <v>255</v>
      </c>
      <c r="E932">
        <v>628412</v>
      </c>
      <c r="F932" s="2">
        <v>0.8125</v>
      </c>
      <c r="G932" t="s">
        <v>6</v>
      </c>
      <c r="H932" s="2">
        <v>0.83333333333333337</v>
      </c>
      <c r="I932">
        <v>331</v>
      </c>
      <c r="J932">
        <v>0</v>
      </c>
      <c r="K932">
        <v>0</v>
      </c>
      <c r="L932">
        <v>12</v>
      </c>
      <c r="M932">
        <v>0</v>
      </c>
      <c r="N932">
        <v>0</v>
      </c>
      <c r="O932">
        <v>0</v>
      </c>
      <c r="P932">
        <v>53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3</v>
      </c>
      <c r="AC932">
        <v>2</v>
      </c>
      <c r="AD932" s="3" t="str">
        <f t="shared" si="42"/>
        <v>S2S NO PREMIUM</v>
      </c>
      <c r="AE932" s="3" t="e">
        <f>VLOOKUP(E932,'[1]Nómina Agentes'!$C:$D,2,0)</f>
        <v>#N/A</v>
      </c>
      <c r="AF932" s="5">
        <f t="shared" si="43"/>
        <v>0.8125</v>
      </c>
      <c r="AG932" s="5">
        <f t="shared" si="44"/>
        <v>0.83333333333333337</v>
      </c>
    </row>
    <row r="933" spans="1:33" x14ac:dyDescent="0.25">
      <c r="A933" s="1">
        <v>45567</v>
      </c>
      <c r="B933">
        <v>924</v>
      </c>
      <c r="C933" t="s">
        <v>43</v>
      </c>
      <c r="D933" t="s">
        <v>255</v>
      </c>
      <c r="E933">
        <v>628412</v>
      </c>
      <c r="F933" s="2">
        <v>0.75</v>
      </c>
      <c r="G933" t="s">
        <v>6</v>
      </c>
      <c r="H933" s="2">
        <v>0.77083333333333337</v>
      </c>
      <c r="I933">
        <v>630</v>
      </c>
      <c r="J933">
        <v>0</v>
      </c>
      <c r="K933">
        <v>0</v>
      </c>
      <c r="L933">
        <v>16</v>
      </c>
      <c r="M933">
        <v>0</v>
      </c>
      <c r="N933">
        <v>0</v>
      </c>
      <c r="O933">
        <v>0</v>
      </c>
      <c r="P933">
        <v>57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4</v>
      </c>
      <c r="AC933">
        <v>4</v>
      </c>
      <c r="AD933" s="3" t="str">
        <f t="shared" si="42"/>
        <v>S2S NO PREMIUM</v>
      </c>
      <c r="AE933" s="3" t="e">
        <f>VLOOKUP(E933,'[1]Nómina Agentes'!$C:$D,2,0)</f>
        <v>#N/A</v>
      </c>
      <c r="AF933" s="5">
        <f t="shared" si="43"/>
        <v>0.75</v>
      </c>
      <c r="AG933" s="5">
        <f t="shared" si="44"/>
        <v>0.77083333333333337</v>
      </c>
    </row>
    <row r="934" spans="1:33" x14ac:dyDescent="0.25">
      <c r="A934" s="1">
        <v>45567</v>
      </c>
      <c r="B934">
        <v>924</v>
      </c>
      <c r="C934" t="s">
        <v>43</v>
      </c>
      <c r="D934" t="s">
        <v>255</v>
      </c>
      <c r="E934">
        <v>628412</v>
      </c>
      <c r="F934" s="2">
        <v>0.66666666666666663</v>
      </c>
      <c r="G934" t="s">
        <v>6</v>
      </c>
      <c r="H934" s="2">
        <v>0.6875</v>
      </c>
      <c r="I934">
        <v>706</v>
      </c>
      <c r="J934">
        <v>0</v>
      </c>
      <c r="K934">
        <v>0</v>
      </c>
      <c r="L934">
        <v>22</v>
      </c>
      <c r="M934">
        <v>0</v>
      </c>
      <c r="N934">
        <v>0</v>
      </c>
      <c r="O934">
        <v>0</v>
      </c>
      <c r="P934">
        <v>349</v>
      </c>
      <c r="Q934">
        <v>516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5</v>
      </c>
      <c r="AC934">
        <v>4</v>
      </c>
      <c r="AD934" s="3" t="str">
        <f t="shared" si="42"/>
        <v>S2S NO PREMIUM</v>
      </c>
      <c r="AE934" s="3" t="e">
        <f>VLOOKUP(E934,'[1]Nómina Agentes'!$C:$D,2,0)</f>
        <v>#N/A</v>
      </c>
      <c r="AF934" s="5">
        <f t="shared" si="43"/>
        <v>0.66666666666666663</v>
      </c>
      <c r="AG934" s="5">
        <f t="shared" si="44"/>
        <v>0.6875</v>
      </c>
    </row>
    <row r="935" spans="1:33" x14ac:dyDescent="0.25">
      <c r="A935" s="1">
        <v>45567</v>
      </c>
      <c r="B935">
        <v>924</v>
      </c>
      <c r="C935" t="s">
        <v>43</v>
      </c>
      <c r="D935" t="s">
        <v>255</v>
      </c>
      <c r="E935">
        <v>628412</v>
      </c>
      <c r="F935" s="2">
        <v>0.64583333333333337</v>
      </c>
      <c r="G935" t="s">
        <v>6</v>
      </c>
      <c r="H935" s="2">
        <v>0.66666666666666663</v>
      </c>
      <c r="I935">
        <v>733</v>
      </c>
      <c r="J935">
        <v>0</v>
      </c>
      <c r="K935">
        <v>0</v>
      </c>
      <c r="L935">
        <v>16</v>
      </c>
      <c r="M935">
        <v>0</v>
      </c>
      <c r="N935">
        <v>0</v>
      </c>
      <c r="O935">
        <v>0</v>
      </c>
      <c r="P935">
        <v>243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5</v>
      </c>
      <c r="AC935">
        <v>4</v>
      </c>
      <c r="AD935" s="3" t="str">
        <f t="shared" si="42"/>
        <v>S2S NO PREMIUM</v>
      </c>
      <c r="AE935" s="3" t="e">
        <f>VLOOKUP(E935,'[1]Nómina Agentes'!$C:$D,2,0)</f>
        <v>#N/A</v>
      </c>
      <c r="AF935" s="5">
        <f t="shared" si="43"/>
        <v>0.64583333333333337</v>
      </c>
      <c r="AG935" s="5">
        <f t="shared" si="44"/>
        <v>0.66666666666666663</v>
      </c>
    </row>
    <row r="936" spans="1:33" x14ac:dyDescent="0.25">
      <c r="A936" s="1">
        <v>45567</v>
      </c>
      <c r="B936">
        <v>924</v>
      </c>
      <c r="C936" t="s">
        <v>43</v>
      </c>
      <c r="D936" t="s">
        <v>255</v>
      </c>
      <c r="E936">
        <v>628412</v>
      </c>
      <c r="F936" s="2">
        <v>0.79166666666666663</v>
      </c>
      <c r="G936" t="s">
        <v>6</v>
      </c>
      <c r="H936" s="2">
        <v>0.8125</v>
      </c>
      <c r="I936">
        <v>935</v>
      </c>
      <c r="J936">
        <v>0</v>
      </c>
      <c r="K936">
        <v>0</v>
      </c>
      <c r="L936">
        <v>16</v>
      </c>
      <c r="M936">
        <v>0</v>
      </c>
      <c r="N936">
        <v>0</v>
      </c>
      <c r="O936">
        <v>0</v>
      </c>
      <c r="P936">
        <v>108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5</v>
      </c>
      <c r="AC936">
        <v>5</v>
      </c>
      <c r="AD936" s="3" t="str">
        <f t="shared" si="42"/>
        <v>S2S NO PREMIUM</v>
      </c>
      <c r="AE936" s="3" t="e">
        <f>VLOOKUP(E936,'[1]Nómina Agentes'!$C:$D,2,0)</f>
        <v>#N/A</v>
      </c>
      <c r="AF936" s="5">
        <f t="shared" si="43"/>
        <v>0.79166666666666663</v>
      </c>
      <c r="AG936" s="5">
        <f t="shared" si="44"/>
        <v>0.8125</v>
      </c>
    </row>
    <row r="937" spans="1:33" x14ac:dyDescent="0.25">
      <c r="A937" s="1">
        <v>45567</v>
      </c>
      <c r="B937">
        <v>924</v>
      </c>
      <c r="C937" t="s">
        <v>43</v>
      </c>
      <c r="D937" t="s">
        <v>255</v>
      </c>
      <c r="E937">
        <v>628412</v>
      </c>
      <c r="F937" s="2">
        <v>0.70833333333333337</v>
      </c>
      <c r="G937" t="s">
        <v>6</v>
      </c>
      <c r="H937" s="2">
        <v>0.72916666666666663</v>
      </c>
      <c r="I937">
        <v>978</v>
      </c>
      <c r="J937">
        <v>0</v>
      </c>
      <c r="K937">
        <v>0</v>
      </c>
      <c r="L937">
        <v>24</v>
      </c>
      <c r="M937">
        <v>0</v>
      </c>
      <c r="N937">
        <v>0</v>
      </c>
      <c r="O937">
        <v>0</v>
      </c>
      <c r="P937">
        <v>143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5</v>
      </c>
      <c r="AC937">
        <v>4</v>
      </c>
      <c r="AD937" s="3" t="str">
        <f t="shared" si="42"/>
        <v>S2S NO PREMIUM</v>
      </c>
      <c r="AE937" s="3" t="e">
        <f>VLOOKUP(E937,'[1]Nómina Agentes'!$C:$D,2,0)</f>
        <v>#N/A</v>
      </c>
      <c r="AF937" s="5">
        <f t="shared" si="43"/>
        <v>0.70833333333333337</v>
      </c>
      <c r="AG937" s="5">
        <f t="shared" si="44"/>
        <v>0.72916666666666663</v>
      </c>
    </row>
    <row r="938" spans="1:33" x14ac:dyDescent="0.25">
      <c r="A938" s="1">
        <v>45567</v>
      </c>
      <c r="B938">
        <v>924</v>
      </c>
      <c r="C938" t="s">
        <v>43</v>
      </c>
      <c r="D938" t="s">
        <v>255</v>
      </c>
      <c r="E938">
        <v>628412</v>
      </c>
      <c r="F938" s="2">
        <v>0.72916666666666663</v>
      </c>
      <c r="G938" t="s">
        <v>6</v>
      </c>
      <c r="H938" s="2">
        <v>0.75</v>
      </c>
      <c r="I938">
        <v>1001</v>
      </c>
      <c r="J938">
        <v>0</v>
      </c>
      <c r="K938">
        <v>0</v>
      </c>
      <c r="L938">
        <v>24</v>
      </c>
      <c r="M938">
        <v>0</v>
      </c>
      <c r="N938">
        <v>0</v>
      </c>
      <c r="O938">
        <v>0</v>
      </c>
      <c r="P938">
        <v>265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6</v>
      </c>
      <c r="AC938">
        <v>5</v>
      </c>
      <c r="AD938" s="3" t="str">
        <f t="shared" si="42"/>
        <v>S2S NO PREMIUM</v>
      </c>
      <c r="AE938" s="3" t="e">
        <f>VLOOKUP(E938,'[1]Nómina Agentes'!$C:$D,2,0)</f>
        <v>#N/A</v>
      </c>
      <c r="AF938" s="5">
        <f t="shared" si="43"/>
        <v>0.72916666666666663</v>
      </c>
      <c r="AG938" s="5">
        <f t="shared" si="44"/>
        <v>0.75</v>
      </c>
    </row>
    <row r="939" spans="1:33" x14ac:dyDescent="0.25">
      <c r="A939" s="1">
        <v>45567</v>
      </c>
      <c r="B939">
        <v>924</v>
      </c>
      <c r="C939" t="s">
        <v>43</v>
      </c>
      <c r="D939" t="s">
        <v>255</v>
      </c>
      <c r="E939">
        <v>628412</v>
      </c>
      <c r="F939" s="2">
        <v>0.6875</v>
      </c>
      <c r="G939" t="s">
        <v>6</v>
      </c>
      <c r="H939" s="2">
        <v>0.70833333333333337</v>
      </c>
      <c r="I939">
        <v>1222</v>
      </c>
      <c r="J939">
        <v>0</v>
      </c>
      <c r="K939">
        <v>0</v>
      </c>
      <c r="L939">
        <v>16</v>
      </c>
      <c r="M939">
        <v>0</v>
      </c>
      <c r="N939">
        <v>0</v>
      </c>
      <c r="O939">
        <v>0</v>
      </c>
      <c r="P939">
        <v>433</v>
      </c>
      <c r="Q939">
        <v>104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5</v>
      </c>
      <c r="AC939">
        <v>4</v>
      </c>
      <c r="AD939" s="3" t="str">
        <f t="shared" si="42"/>
        <v>S2S NO PREMIUM</v>
      </c>
      <c r="AE939" s="3" t="e">
        <f>VLOOKUP(E939,'[1]Nómina Agentes'!$C:$D,2,0)</f>
        <v>#N/A</v>
      </c>
      <c r="AF939" s="5">
        <f t="shared" si="43"/>
        <v>0.6875</v>
      </c>
      <c r="AG939" s="5">
        <f t="shared" si="44"/>
        <v>0.70833333333333337</v>
      </c>
    </row>
    <row r="940" spans="1:33" x14ac:dyDescent="0.25">
      <c r="A940" s="1">
        <v>45567</v>
      </c>
      <c r="B940">
        <v>924</v>
      </c>
      <c r="C940" t="s">
        <v>43</v>
      </c>
      <c r="D940" t="s">
        <v>255</v>
      </c>
      <c r="E940">
        <v>628412</v>
      </c>
      <c r="F940" s="2">
        <v>0.77083333333333337</v>
      </c>
      <c r="G940" t="s">
        <v>6</v>
      </c>
      <c r="H940" s="2">
        <v>0.79166666666666663</v>
      </c>
      <c r="I940">
        <v>1560</v>
      </c>
      <c r="J940">
        <v>0</v>
      </c>
      <c r="K940">
        <v>0</v>
      </c>
      <c r="L940">
        <v>4</v>
      </c>
      <c r="M940">
        <v>0</v>
      </c>
      <c r="N940">
        <v>0</v>
      </c>
      <c r="O940">
        <v>0</v>
      </c>
      <c r="P940">
        <v>1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1</v>
      </c>
      <c r="AC940">
        <v>1</v>
      </c>
      <c r="AD940" s="3" t="str">
        <f t="shared" si="42"/>
        <v>S2S NO PREMIUM</v>
      </c>
      <c r="AE940" s="3" t="e">
        <f>VLOOKUP(E940,'[1]Nómina Agentes'!$C:$D,2,0)</f>
        <v>#N/A</v>
      </c>
      <c r="AF940" s="5">
        <f t="shared" si="43"/>
        <v>0.77083333333333337</v>
      </c>
      <c r="AG940" s="5">
        <f t="shared" si="44"/>
        <v>0.79166666666666663</v>
      </c>
    </row>
    <row r="941" spans="1:33" x14ac:dyDescent="0.25">
      <c r="A941" s="1">
        <v>45567</v>
      </c>
      <c r="B941">
        <v>924</v>
      </c>
      <c r="C941" t="s">
        <v>43</v>
      </c>
      <c r="D941" t="s">
        <v>256</v>
      </c>
      <c r="E941">
        <v>628419</v>
      </c>
      <c r="F941" s="2">
        <v>0.77083333333333337</v>
      </c>
      <c r="G941" t="s">
        <v>6</v>
      </c>
      <c r="H941" s="2">
        <v>0.79166666666666663</v>
      </c>
      <c r="I941">
        <v>378</v>
      </c>
      <c r="J941">
        <v>0</v>
      </c>
      <c r="K941">
        <v>0</v>
      </c>
      <c r="L941">
        <v>11</v>
      </c>
      <c r="M941">
        <v>0</v>
      </c>
      <c r="N941">
        <v>0</v>
      </c>
      <c r="O941">
        <v>0</v>
      </c>
      <c r="P941">
        <v>10</v>
      </c>
      <c r="Q941">
        <v>6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2</v>
      </c>
      <c r="AC941">
        <v>0</v>
      </c>
      <c r="AD941" s="3" t="str">
        <f t="shared" si="42"/>
        <v>S2S NO PREMIUM</v>
      </c>
      <c r="AE941" s="3" t="e">
        <f>VLOOKUP(E941,'[1]Nómina Agentes'!$C:$D,2,0)</f>
        <v>#N/A</v>
      </c>
      <c r="AF941" s="5">
        <f t="shared" si="43"/>
        <v>0.77083333333333337</v>
      </c>
      <c r="AG941" s="5">
        <f t="shared" si="44"/>
        <v>0.79166666666666663</v>
      </c>
    </row>
    <row r="942" spans="1:33" x14ac:dyDescent="0.25">
      <c r="A942" s="1">
        <v>45567</v>
      </c>
      <c r="B942">
        <v>924</v>
      </c>
      <c r="C942" t="s">
        <v>43</v>
      </c>
      <c r="D942" t="s">
        <v>256</v>
      </c>
      <c r="E942">
        <v>628419</v>
      </c>
      <c r="F942" s="2">
        <v>0.64583333333333337</v>
      </c>
      <c r="G942" t="s">
        <v>6</v>
      </c>
      <c r="H942" s="2">
        <v>0.66666666666666663</v>
      </c>
      <c r="I942">
        <v>605</v>
      </c>
      <c r="J942">
        <v>0</v>
      </c>
      <c r="K942">
        <v>0</v>
      </c>
      <c r="L942">
        <v>12</v>
      </c>
      <c r="M942">
        <v>0</v>
      </c>
      <c r="N942">
        <v>0</v>
      </c>
      <c r="O942">
        <v>0</v>
      </c>
      <c r="P942">
        <v>32</v>
      </c>
      <c r="Q942">
        <v>10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2</v>
      </c>
      <c r="AC942">
        <v>0</v>
      </c>
      <c r="AD942" s="3" t="str">
        <f t="shared" si="42"/>
        <v>S2S NO PREMIUM</v>
      </c>
      <c r="AE942" s="3" t="e">
        <f>VLOOKUP(E942,'[1]Nómina Agentes'!$C:$D,2,0)</f>
        <v>#N/A</v>
      </c>
      <c r="AF942" s="5">
        <f t="shared" si="43"/>
        <v>0.64583333333333337</v>
      </c>
      <c r="AG942" s="5">
        <f t="shared" si="44"/>
        <v>0.66666666666666663</v>
      </c>
    </row>
    <row r="943" spans="1:33" x14ac:dyDescent="0.25">
      <c r="A943" s="1">
        <v>45567</v>
      </c>
      <c r="B943">
        <v>924</v>
      </c>
      <c r="C943" t="s">
        <v>43</v>
      </c>
      <c r="D943" t="s">
        <v>256</v>
      </c>
      <c r="E943">
        <v>628419</v>
      </c>
      <c r="F943" s="2">
        <v>0.66666666666666663</v>
      </c>
      <c r="G943" t="s">
        <v>6</v>
      </c>
      <c r="H943" s="2">
        <v>0.6875</v>
      </c>
      <c r="I943">
        <v>932</v>
      </c>
      <c r="J943">
        <v>0</v>
      </c>
      <c r="K943">
        <v>0</v>
      </c>
      <c r="L943">
        <v>12</v>
      </c>
      <c r="M943">
        <v>0</v>
      </c>
      <c r="N943">
        <v>0</v>
      </c>
      <c r="O943">
        <v>0</v>
      </c>
      <c r="P943">
        <v>403</v>
      </c>
      <c r="Q943">
        <v>391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4</v>
      </c>
      <c r="AC943">
        <v>0</v>
      </c>
      <c r="AD943" s="3" t="str">
        <f t="shared" si="42"/>
        <v>S2S NO PREMIUM</v>
      </c>
      <c r="AE943" s="3" t="e">
        <f>VLOOKUP(E943,'[1]Nómina Agentes'!$C:$D,2,0)</f>
        <v>#N/A</v>
      </c>
      <c r="AF943" s="5">
        <f t="shared" si="43"/>
        <v>0.66666666666666663</v>
      </c>
      <c r="AG943" s="5">
        <f t="shared" si="44"/>
        <v>0.6875</v>
      </c>
    </row>
    <row r="944" spans="1:33" x14ac:dyDescent="0.25">
      <c r="A944" s="1">
        <v>45567</v>
      </c>
      <c r="B944">
        <v>924</v>
      </c>
      <c r="C944" t="s">
        <v>43</v>
      </c>
      <c r="D944" t="s">
        <v>256</v>
      </c>
      <c r="E944">
        <v>628419</v>
      </c>
      <c r="F944" s="2">
        <v>0.8125</v>
      </c>
      <c r="G944" t="s">
        <v>6</v>
      </c>
      <c r="H944" s="2">
        <v>0.83333333333333337</v>
      </c>
      <c r="I944">
        <v>944</v>
      </c>
      <c r="J944">
        <v>0</v>
      </c>
      <c r="K944">
        <v>0</v>
      </c>
      <c r="L944">
        <v>8</v>
      </c>
      <c r="M944">
        <v>0</v>
      </c>
      <c r="N944">
        <v>0</v>
      </c>
      <c r="O944">
        <v>0</v>
      </c>
      <c r="P944">
        <v>13</v>
      </c>
      <c r="Q944">
        <v>4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3</v>
      </c>
      <c r="AC944">
        <v>0</v>
      </c>
      <c r="AD944" s="3" t="str">
        <f t="shared" si="42"/>
        <v>S2S NO PREMIUM</v>
      </c>
      <c r="AE944" s="3" t="e">
        <f>VLOOKUP(E944,'[1]Nómina Agentes'!$C:$D,2,0)</f>
        <v>#N/A</v>
      </c>
      <c r="AF944" s="5">
        <f t="shared" si="43"/>
        <v>0.8125</v>
      </c>
      <c r="AG944" s="5">
        <f t="shared" si="44"/>
        <v>0.83333333333333337</v>
      </c>
    </row>
    <row r="945" spans="1:33" x14ac:dyDescent="0.25">
      <c r="A945" s="1">
        <v>45567</v>
      </c>
      <c r="B945">
        <v>924</v>
      </c>
      <c r="C945" t="s">
        <v>43</v>
      </c>
      <c r="D945" t="s">
        <v>256</v>
      </c>
      <c r="E945">
        <v>628419</v>
      </c>
      <c r="F945" s="2">
        <v>0.79166666666666663</v>
      </c>
      <c r="G945" t="s">
        <v>6</v>
      </c>
      <c r="H945" s="2">
        <v>0.8125</v>
      </c>
      <c r="I945">
        <v>949</v>
      </c>
      <c r="J945">
        <v>0</v>
      </c>
      <c r="K945">
        <v>0</v>
      </c>
      <c r="L945">
        <v>12</v>
      </c>
      <c r="M945">
        <v>0</v>
      </c>
      <c r="N945">
        <v>0</v>
      </c>
      <c r="O945">
        <v>0</v>
      </c>
      <c r="P945">
        <v>177</v>
      </c>
      <c r="Q945">
        <v>5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3</v>
      </c>
      <c r="AC945">
        <v>0</v>
      </c>
      <c r="AD945" s="3" t="str">
        <f t="shared" si="42"/>
        <v>S2S NO PREMIUM</v>
      </c>
      <c r="AE945" s="3" t="e">
        <f>VLOOKUP(E945,'[1]Nómina Agentes'!$C:$D,2,0)</f>
        <v>#N/A</v>
      </c>
      <c r="AF945" s="5">
        <f t="shared" si="43"/>
        <v>0.79166666666666663</v>
      </c>
      <c r="AG945" s="5">
        <f t="shared" si="44"/>
        <v>0.8125</v>
      </c>
    </row>
    <row r="946" spans="1:33" x14ac:dyDescent="0.25">
      <c r="A946" s="1">
        <v>45567</v>
      </c>
      <c r="B946">
        <v>924</v>
      </c>
      <c r="C946" t="s">
        <v>43</v>
      </c>
      <c r="D946" t="s">
        <v>256</v>
      </c>
      <c r="E946">
        <v>628419</v>
      </c>
      <c r="F946" s="2">
        <v>0.75</v>
      </c>
      <c r="G946" t="s">
        <v>6</v>
      </c>
      <c r="H946" s="2">
        <v>0.77083333333333337</v>
      </c>
      <c r="I946">
        <v>957</v>
      </c>
      <c r="J946">
        <v>0</v>
      </c>
      <c r="K946">
        <v>0</v>
      </c>
      <c r="L946">
        <v>16</v>
      </c>
      <c r="M946">
        <v>0</v>
      </c>
      <c r="N946">
        <v>0</v>
      </c>
      <c r="O946">
        <v>0</v>
      </c>
      <c r="P946">
        <v>425</v>
      </c>
      <c r="Q946">
        <v>7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5</v>
      </c>
      <c r="AC946">
        <v>0</v>
      </c>
      <c r="AD946" s="3" t="str">
        <f t="shared" si="42"/>
        <v>S2S NO PREMIUM</v>
      </c>
      <c r="AE946" s="3" t="e">
        <f>VLOOKUP(E946,'[1]Nómina Agentes'!$C:$D,2,0)</f>
        <v>#N/A</v>
      </c>
      <c r="AF946" s="5">
        <f t="shared" si="43"/>
        <v>0.75</v>
      </c>
      <c r="AG946" s="5">
        <f t="shared" si="44"/>
        <v>0.77083333333333337</v>
      </c>
    </row>
    <row r="947" spans="1:33" x14ac:dyDescent="0.25">
      <c r="A947" s="1">
        <v>45567</v>
      </c>
      <c r="B947">
        <v>924</v>
      </c>
      <c r="C947" t="s">
        <v>43</v>
      </c>
      <c r="D947" t="s">
        <v>256</v>
      </c>
      <c r="E947">
        <v>628419</v>
      </c>
      <c r="F947" s="2">
        <v>0.6875</v>
      </c>
      <c r="G947" t="s">
        <v>6</v>
      </c>
      <c r="H947" s="2">
        <v>0.70833333333333337</v>
      </c>
      <c r="I947">
        <v>1291</v>
      </c>
      <c r="J947">
        <v>0</v>
      </c>
      <c r="K947">
        <v>0</v>
      </c>
      <c r="L947">
        <v>20</v>
      </c>
      <c r="M947">
        <v>0</v>
      </c>
      <c r="N947">
        <v>0</v>
      </c>
      <c r="O947">
        <v>0</v>
      </c>
      <c r="P947">
        <v>35</v>
      </c>
      <c r="Q947">
        <v>12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4</v>
      </c>
      <c r="AC947">
        <v>0</v>
      </c>
      <c r="AD947" s="3" t="str">
        <f t="shared" si="42"/>
        <v>S2S NO PREMIUM</v>
      </c>
      <c r="AE947" s="3" t="e">
        <f>VLOOKUP(E947,'[1]Nómina Agentes'!$C:$D,2,0)</f>
        <v>#N/A</v>
      </c>
      <c r="AF947" s="5">
        <f t="shared" si="43"/>
        <v>0.6875</v>
      </c>
      <c r="AG947" s="5">
        <f t="shared" si="44"/>
        <v>0.70833333333333337</v>
      </c>
    </row>
    <row r="948" spans="1:33" x14ac:dyDescent="0.25">
      <c r="A948" s="1">
        <v>45567</v>
      </c>
      <c r="B948">
        <v>924</v>
      </c>
      <c r="C948" t="s">
        <v>43</v>
      </c>
      <c r="D948" t="s">
        <v>256</v>
      </c>
      <c r="E948">
        <v>628419</v>
      </c>
      <c r="F948" s="2">
        <v>0.72916666666666663</v>
      </c>
      <c r="G948" t="s">
        <v>6</v>
      </c>
      <c r="H948" s="2">
        <v>0.75</v>
      </c>
      <c r="I948">
        <v>1304</v>
      </c>
      <c r="J948">
        <v>0</v>
      </c>
      <c r="K948">
        <v>0</v>
      </c>
      <c r="L948">
        <v>20</v>
      </c>
      <c r="M948">
        <v>0</v>
      </c>
      <c r="N948">
        <v>0</v>
      </c>
      <c r="O948">
        <v>0</v>
      </c>
      <c r="P948">
        <v>162</v>
      </c>
      <c r="Q948">
        <v>78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5</v>
      </c>
      <c r="AC948">
        <v>1</v>
      </c>
      <c r="AD948" s="3" t="str">
        <f t="shared" si="42"/>
        <v>S2S NO PREMIUM</v>
      </c>
      <c r="AE948" s="3" t="e">
        <f>VLOOKUP(E948,'[1]Nómina Agentes'!$C:$D,2,0)</f>
        <v>#N/A</v>
      </c>
      <c r="AF948" s="5">
        <f t="shared" si="43"/>
        <v>0.72916666666666663</v>
      </c>
      <c r="AG948" s="5">
        <f t="shared" si="44"/>
        <v>0.75</v>
      </c>
    </row>
    <row r="949" spans="1:33" x14ac:dyDescent="0.25">
      <c r="A949" s="1">
        <v>45567</v>
      </c>
      <c r="B949">
        <v>924</v>
      </c>
      <c r="C949" t="s">
        <v>43</v>
      </c>
      <c r="D949" t="s">
        <v>256</v>
      </c>
      <c r="E949">
        <v>628419</v>
      </c>
      <c r="F949" s="2">
        <v>0.70833333333333337</v>
      </c>
      <c r="G949" t="s">
        <v>6</v>
      </c>
      <c r="H949" s="2">
        <v>0.72916666666666663</v>
      </c>
      <c r="I949">
        <v>1433</v>
      </c>
      <c r="J949">
        <v>0</v>
      </c>
      <c r="K949">
        <v>0</v>
      </c>
      <c r="L949">
        <v>16</v>
      </c>
      <c r="M949">
        <v>0</v>
      </c>
      <c r="N949">
        <v>0</v>
      </c>
      <c r="O949">
        <v>0</v>
      </c>
      <c r="P949">
        <v>25</v>
      </c>
      <c r="Q949">
        <v>12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4</v>
      </c>
      <c r="AC949">
        <v>0</v>
      </c>
      <c r="AD949" s="3" t="str">
        <f t="shared" si="42"/>
        <v>S2S NO PREMIUM</v>
      </c>
      <c r="AE949" s="3" t="e">
        <f>VLOOKUP(E949,'[1]Nómina Agentes'!$C:$D,2,0)</f>
        <v>#N/A</v>
      </c>
      <c r="AF949" s="5">
        <f t="shared" si="43"/>
        <v>0.70833333333333337</v>
      </c>
      <c r="AG949" s="5">
        <f t="shared" si="44"/>
        <v>0.72916666666666663</v>
      </c>
    </row>
    <row r="950" spans="1:33" x14ac:dyDescent="0.25">
      <c r="A950" s="1">
        <v>45567</v>
      </c>
      <c r="B950">
        <v>924</v>
      </c>
      <c r="C950" t="s">
        <v>43</v>
      </c>
      <c r="D950" t="s">
        <v>257</v>
      </c>
      <c r="E950">
        <v>628423</v>
      </c>
      <c r="F950" s="2">
        <v>0.625</v>
      </c>
      <c r="G950" t="s">
        <v>6</v>
      </c>
      <c r="H950" s="2">
        <v>0.64583333333333337</v>
      </c>
      <c r="I950">
        <v>484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216</v>
      </c>
      <c r="Q950">
        <v>171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1</v>
      </c>
      <c r="AC950">
        <v>1</v>
      </c>
      <c r="AD950" s="3" t="str">
        <f t="shared" si="42"/>
        <v>S2S NO PREMIUM</v>
      </c>
      <c r="AE950" s="3" t="e">
        <f>VLOOKUP(E950,'[1]Nómina Agentes'!$C:$D,2,0)</f>
        <v>#N/A</v>
      </c>
      <c r="AF950" s="5">
        <f t="shared" si="43"/>
        <v>0.625</v>
      </c>
      <c r="AG950" s="5">
        <f t="shared" si="44"/>
        <v>0.64583333333333337</v>
      </c>
    </row>
    <row r="951" spans="1:33" x14ac:dyDescent="0.25">
      <c r="A951" s="1">
        <v>45567</v>
      </c>
      <c r="B951">
        <v>924</v>
      </c>
      <c r="C951" t="s">
        <v>43</v>
      </c>
      <c r="D951" t="s">
        <v>257</v>
      </c>
      <c r="E951">
        <v>628423</v>
      </c>
      <c r="F951" s="2">
        <v>0.58333333333333337</v>
      </c>
      <c r="G951" t="s">
        <v>6</v>
      </c>
      <c r="H951" s="2">
        <v>0.60416666666666663</v>
      </c>
      <c r="I951">
        <v>909</v>
      </c>
      <c r="J951">
        <v>0</v>
      </c>
      <c r="K951">
        <v>0</v>
      </c>
      <c r="L951">
        <v>12</v>
      </c>
      <c r="M951">
        <v>0</v>
      </c>
      <c r="N951">
        <v>0</v>
      </c>
      <c r="O951">
        <v>0</v>
      </c>
      <c r="P951">
        <v>139</v>
      </c>
      <c r="Q951">
        <v>126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3</v>
      </c>
      <c r="AC951">
        <v>3</v>
      </c>
      <c r="AD951" s="3" t="str">
        <f t="shared" si="42"/>
        <v>S2S NO PREMIUM</v>
      </c>
      <c r="AE951" s="3" t="e">
        <f>VLOOKUP(E951,'[1]Nómina Agentes'!$C:$D,2,0)</f>
        <v>#N/A</v>
      </c>
      <c r="AF951" s="5">
        <f t="shared" si="43"/>
        <v>0.58333333333333337</v>
      </c>
      <c r="AG951" s="5">
        <f t="shared" si="44"/>
        <v>0.60416666666666663</v>
      </c>
    </row>
    <row r="952" spans="1:33" x14ac:dyDescent="0.25">
      <c r="A952" s="1">
        <v>45567</v>
      </c>
      <c r="B952">
        <v>924</v>
      </c>
      <c r="C952" t="s">
        <v>43</v>
      </c>
      <c r="D952" t="s">
        <v>257</v>
      </c>
      <c r="E952">
        <v>628423</v>
      </c>
      <c r="F952" s="2">
        <v>0.60416666666666663</v>
      </c>
      <c r="G952" t="s">
        <v>6</v>
      </c>
      <c r="H952" s="2">
        <v>0.625</v>
      </c>
      <c r="I952">
        <v>981</v>
      </c>
      <c r="J952">
        <v>0</v>
      </c>
      <c r="K952">
        <v>0</v>
      </c>
      <c r="L952">
        <v>12</v>
      </c>
      <c r="M952">
        <v>0</v>
      </c>
      <c r="N952">
        <v>0</v>
      </c>
      <c r="O952">
        <v>0</v>
      </c>
      <c r="P952">
        <v>2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2</v>
      </c>
      <c r="AC952">
        <v>2</v>
      </c>
      <c r="AD952" s="3" t="str">
        <f t="shared" si="42"/>
        <v>S2S NO PREMIUM</v>
      </c>
      <c r="AE952" s="3" t="e">
        <f>VLOOKUP(E952,'[1]Nómina Agentes'!$C:$D,2,0)</f>
        <v>#N/A</v>
      </c>
      <c r="AF952" s="5">
        <f t="shared" si="43"/>
        <v>0.60416666666666663</v>
      </c>
      <c r="AG952" s="5">
        <f t="shared" si="44"/>
        <v>0.625</v>
      </c>
    </row>
    <row r="953" spans="1:33" x14ac:dyDescent="0.25">
      <c r="A953" s="1">
        <v>45567</v>
      </c>
      <c r="B953">
        <v>924</v>
      </c>
      <c r="C953" t="s">
        <v>43</v>
      </c>
      <c r="D953" t="s">
        <v>258</v>
      </c>
      <c r="E953">
        <v>628424</v>
      </c>
      <c r="F953" s="2">
        <v>0.72916666666666663</v>
      </c>
      <c r="G953" t="s">
        <v>6</v>
      </c>
      <c r="H953" s="2">
        <v>0.75</v>
      </c>
      <c r="I953">
        <v>335</v>
      </c>
      <c r="J953">
        <v>0</v>
      </c>
      <c r="K953">
        <v>0</v>
      </c>
      <c r="L953">
        <v>8</v>
      </c>
      <c r="M953">
        <v>0</v>
      </c>
      <c r="N953">
        <v>0</v>
      </c>
      <c r="O953">
        <v>0</v>
      </c>
      <c r="P953">
        <v>288</v>
      </c>
      <c r="Q953">
        <v>272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2</v>
      </c>
      <c r="AC953">
        <v>2</v>
      </c>
      <c r="AD953" s="3" t="str">
        <f t="shared" si="42"/>
        <v>S2S NO PREMIUM</v>
      </c>
      <c r="AE953" s="3" t="e">
        <f>VLOOKUP(E953,'[1]Nómina Agentes'!$C:$D,2,0)</f>
        <v>#N/A</v>
      </c>
      <c r="AF953" s="5">
        <f t="shared" si="43"/>
        <v>0.72916666666666663</v>
      </c>
      <c r="AG953" s="5">
        <f t="shared" si="44"/>
        <v>0.75</v>
      </c>
    </row>
    <row r="954" spans="1:33" x14ac:dyDescent="0.25">
      <c r="A954" s="1">
        <v>45567</v>
      </c>
      <c r="B954">
        <v>924</v>
      </c>
      <c r="C954" t="s">
        <v>43</v>
      </c>
      <c r="D954" t="s">
        <v>258</v>
      </c>
      <c r="E954">
        <v>628424</v>
      </c>
      <c r="F954" s="2">
        <v>0.6875</v>
      </c>
      <c r="G954" t="s">
        <v>6</v>
      </c>
      <c r="H954" s="2">
        <v>0.70833333333333337</v>
      </c>
      <c r="I954">
        <v>347</v>
      </c>
      <c r="J954">
        <v>0</v>
      </c>
      <c r="K954">
        <v>0</v>
      </c>
      <c r="L954">
        <v>8</v>
      </c>
      <c r="M954">
        <v>0</v>
      </c>
      <c r="N954">
        <v>0</v>
      </c>
      <c r="O954">
        <v>0</v>
      </c>
      <c r="P954">
        <v>1132</v>
      </c>
      <c r="Q954">
        <v>996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3</v>
      </c>
      <c r="AC954">
        <v>1</v>
      </c>
      <c r="AD954" s="3" t="str">
        <f t="shared" si="42"/>
        <v>S2S NO PREMIUM</v>
      </c>
      <c r="AE954" s="3" t="e">
        <f>VLOOKUP(E954,'[1]Nómina Agentes'!$C:$D,2,0)</f>
        <v>#N/A</v>
      </c>
      <c r="AF954" s="5">
        <f t="shared" si="43"/>
        <v>0.6875</v>
      </c>
      <c r="AG954" s="5">
        <f t="shared" si="44"/>
        <v>0.70833333333333337</v>
      </c>
    </row>
    <row r="955" spans="1:33" x14ac:dyDescent="0.25">
      <c r="A955" s="1">
        <v>45567</v>
      </c>
      <c r="B955">
        <v>924</v>
      </c>
      <c r="C955" t="s">
        <v>43</v>
      </c>
      <c r="D955" t="s">
        <v>258</v>
      </c>
      <c r="E955">
        <v>628424</v>
      </c>
      <c r="F955" s="2">
        <v>0.79166666666666663</v>
      </c>
      <c r="G955" t="s">
        <v>6</v>
      </c>
      <c r="H955" s="2">
        <v>0.8125</v>
      </c>
      <c r="I955">
        <v>509</v>
      </c>
      <c r="J955">
        <v>0</v>
      </c>
      <c r="K955">
        <v>0</v>
      </c>
      <c r="L955">
        <v>8</v>
      </c>
      <c r="M955">
        <v>0</v>
      </c>
      <c r="N955">
        <v>0</v>
      </c>
      <c r="O955">
        <v>0</v>
      </c>
      <c r="P955">
        <v>1</v>
      </c>
      <c r="Q955">
        <v>39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1</v>
      </c>
      <c r="AC955">
        <v>1</v>
      </c>
      <c r="AD955" s="3" t="str">
        <f t="shared" si="42"/>
        <v>S2S NO PREMIUM</v>
      </c>
      <c r="AE955" s="3" t="e">
        <f>VLOOKUP(E955,'[1]Nómina Agentes'!$C:$D,2,0)</f>
        <v>#N/A</v>
      </c>
      <c r="AF955" s="5">
        <f t="shared" si="43"/>
        <v>0.79166666666666663</v>
      </c>
      <c r="AG955" s="5">
        <f t="shared" si="44"/>
        <v>0.8125</v>
      </c>
    </row>
    <row r="956" spans="1:33" x14ac:dyDescent="0.25">
      <c r="A956" s="1">
        <v>45567</v>
      </c>
      <c r="B956">
        <v>924</v>
      </c>
      <c r="C956" t="s">
        <v>43</v>
      </c>
      <c r="D956" t="s">
        <v>258</v>
      </c>
      <c r="E956">
        <v>628424</v>
      </c>
      <c r="F956" s="2">
        <v>0.77083333333333337</v>
      </c>
      <c r="G956" t="s">
        <v>6</v>
      </c>
      <c r="H956" s="2">
        <v>0.79166666666666663</v>
      </c>
      <c r="I956">
        <v>607</v>
      </c>
      <c r="J956">
        <v>0</v>
      </c>
      <c r="K956">
        <v>0</v>
      </c>
      <c r="L956">
        <v>19</v>
      </c>
      <c r="M956">
        <v>0</v>
      </c>
      <c r="N956">
        <v>0</v>
      </c>
      <c r="O956">
        <v>0</v>
      </c>
      <c r="P956">
        <v>4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5</v>
      </c>
      <c r="AC956">
        <v>4</v>
      </c>
      <c r="AD956" s="3" t="str">
        <f t="shared" si="42"/>
        <v>S2S NO PREMIUM</v>
      </c>
      <c r="AE956" s="3" t="e">
        <f>VLOOKUP(E956,'[1]Nómina Agentes'!$C:$D,2,0)</f>
        <v>#N/A</v>
      </c>
      <c r="AF956" s="5">
        <f t="shared" si="43"/>
        <v>0.77083333333333337</v>
      </c>
      <c r="AG956" s="5">
        <f t="shared" si="44"/>
        <v>0.79166666666666663</v>
      </c>
    </row>
    <row r="957" spans="1:33" x14ac:dyDescent="0.25">
      <c r="A957" s="1">
        <v>45567</v>
      </c>
      <c r="B957">
        <v>924</v>
      </c>
      <c r="C957" t="s">
        <v>43</v>
      </c>
      <c r="D957" t="s">
        <v>258</v>
      </c>
      <c r="E957">
        <v>628424</v>
      </c>
      <c r="F957" s="2">
        <v>0.625</v>
      </c>
      <c r="G957" t="s">
        <v>6</v>
      </c>
      <c r="H957" s="2">
        <v>0.64583333333333337</v>
      </c>
      <c r="I957">
        <v>839</v>
      </c>
      <c r="J957">
        <v>0</v>
      </c>
      <c r="K957">
        <v>0</v>
      </c>
      <c r="L957">
        <v>11</v>
      </c>
      <c r="M957">
        <v>0</v>
      </c>
      <c r="N957">
        <v>0</v>
      </c>
      <c r="O957">
        <v>0</v>
      </c>
      <c r="P957">
        <v>3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3</v>
      </c>
      <c r="AC957">
        <v>3</v>
      </c>
      <c r="AD957" s="3" t="str">
        <f t="shared" si="42"/>
        <v>S2S NO PREMIUM</v>
      </c>
      <c r="AE957" s="3" t="e">
        <f>VLOOKUP(E957,'[1]Nómina Agentes'!$C:$D,2,0)</f>
        <v>#N/A</v>
      </c>
      <c r="AF957" s="5">
        <f t="shared" si="43"/>
        <v>0.625</v>
      </c>
      <c r="AG957" s="5">
        <f t="shared" si="44"/>
        <v>0.64583333333333337</v>
      </c>
    </row>
    <row r="958" spans="1:33" x14ac:dyDescent="0.25">
      <c r="A958" s="1">
        <v>45567</v>
      </c>
      <c r="B958">
        <v>924</v>
      </c>
      <c r="C958" t="s">
        <v>43</v>
      </c>
      <c r="D958" t="s">
        <v>258</v>
      </c>
      <c r="E958">
        <v>628424</v>
      </c>
      <c r="F958" s="2">
        <v>0.64583333333333337</v>
      </c>
      <c r="G958" t="s">
        <v>6</v>
      </c>
      <c r="H958" s="2">
        <v>0.66666666666666663</v>
      </c>
      <c r="I958">
        <v>876</v>
      </c>
      <c r="J958">
        <v>0</v>
      </c>
      <c r="K958">
        <v>0</v>
      </c>
      <c r="L958">
        <v>8</v>
      </c>
      <c r="M958">
        <v>0</v>
      </c>
      <c r="N958">
        <v>0</v>
      </c>
      <c r="O958">
        <v>0</v>
      </c>
      <c r="P958">
        <v>2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2</v>
      </c>
      <c r="AC958">
        <v>2</v>
      </c>
      <c r="AD958" s="3" t="str">
        <f t="shared" si="42"/>
        <v>S2S NO PREMIUM</v>
      </c>
      <c r="AE958" s="3" t="e">
        <f>VLOOKUP(E958,'[1]Nómina Agentes'!$C:$D,2,0)</f>
        <v>#N/A</v>
      </c>
      <c r="AF958" s="5">
        <f t="shared" si="43"/>
        <v>0.64583333333333337</v>
      </c>
      <c r="AG958" s="5">
        <f t="shared" si="44"/>
        <v>0.66666666666666663</v>
      </c>
    </row>
    <row r="959" spans="1:33" x14ac:dyDescent="0.25">
      <c r="A959" s="1">
        <v>45567</v>
      </c>
      <c r="B959">
        <v>924</v>
      </c>
      <c r="C959" t="s">
        <v>43</v>
      </c>
      <c r="D959" t="s">
        <v>258</v>
      </c>
      <c r="E959">
        <v>628424</v>
      </c>
      <c r="F959" s="2">
        <v>0.8125</v>
      </c>
      <c r="G959" t="s">
        <v>6</v>
      </c>
      <c r="H959" s="2">
        <v>0.83333333333333337</v>
      </c>
      <c r="I959">
        <v>1134</v>
      </c>
      <c r="J959">
        <v>0</v>
      </c>
      <c r="K959">
        <v>0</v>
      </c>
      <c r="L959">
        <v>8</v>
      </c>
      <c r="M959">
        <v>0</v>
      </c>
      <c r="N959">
        <v>0</v>
      </c>
      <c r="O959">
        <v>0</v>
      </c>
      <c r="P959">
        <v>45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2</v>
      </c>
      <c r="AC959">
        <v>2</v>
      </c>
      <c r="AD959" s="3" t="str">
        <f t="shared" ref="AD959:AD1022" si="45">UPPER(C959)</f>
        <v>S2S NO PREMIUM</v>
      </c>
      <c r="AE959" s="3" t="e">
        <f>VLOOKUP(E959,'[1]Nómina Agentes'!$C:$D,2,0)</f>
        <v>#N/A</v>
      </c>
      <c r="AF959" s="5">
        <f t="shared" ref="AF959:AF1022" si="46">F959</f>
        <v>0.8125</v>
      </c>
      <c r="AG959" s="5">
        <f t="shared" ref="AG959:AG1022" si="47">H959</f>
        <v>0.83333333333333337</v>
      </c>
    </row>
    <row r="960" spans="1:33" x14ac:dyDescent="0.25">
      <c r="A960" s="1">
        <v>45567</v>
      </c>
      <c r="B960">
        <v>924</v>
      </c>
      <c r="C960" t="s">
        <v>43</v>
      </c>
      <c r="D960" t="s">
        <v>258</v>
      </c>
      <c r="E960">
        <v>628424</v>
      </c>
      <c r="F960" s="2">
        <v>0.66666666666666663</v>
      </c>
      <c r="G960" t="s">
        <v>6</v>
      </c>
      <c r="H960" s="2">
        <v>0.6875</v>
      </c>
      <c r="I960">
        <v>1172</v>
      </c>
      <c r="J960">
        <v>0</v>
      </c>
      <c r="K960">
        <v>0</v>
      </c>
      <c r="L960">
        <v>12</v>
      </c>
      <c r="M960">
        <v>0</v>
      </c>
      <c r="N960">
        <v>0</v>
      </c>
      <c r="O960">
        <v>0</v>
      </c>
      <c r="P960">
        <v>263</v>
      </c>
      <c r="Q960">
        <v>333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2</v>
      </c>
      <c r="AC960">
        <v>2</v>
      </c>
      <c r="AD960" s="3" t="str">
        <f t="shared" si="45"/>
        <v>S2S NO PREMIUM</v>
      </c>
      <c r="AE960" s="3" t="e">
        <f>VLOOKUP(E960,'[1]Nómina Agentes'!$C:$D,2,0)</f>
        <v>#N/A</v>
      </c>
      <c r="AF960" s="5">
        <f t="shared" si="46"/>
        <v>0.66666666666666663</v>
      </c>
      <c r="AG960" s="5">
        <f t="shared" si="47"/>
        <v>0.6875</v>
      </c>
    </row>
    <row r="961" spans="1:33" x14ac:dyDescent="0.25">
      <c r="A961" s="1">
        <v>45567</v>
      </c>
      <c r="B961">
        <v>924</v>
      </c>
      <c r="C961" t="s">
        <v>43</v>
      </c>
      <c r="D961" t="s">
        <v>258</v>
      </c>
      <c r="E961">
        <v>628424</v>
      </c>
      <c r="F961" s="2">
        <v>0.70833333333333337</v>
      </c>
      <c r="G961" t="s">
        <v>6</v>
      </c>
      <c r="H961" s="2">
        <v>0.72916666666666663</v>
      </c>
      <c r="I961">
        <v>1468</v>
      </c>
      <c r="J961">
        <v>0</v>
      </c>
      <c r="K961">
        <v>0</v>
      </c>
      <c r="L961">
        <v>15</v>
      </c>
      <c r="M961">
        <v>0</v>
      </c>
      <c r="N961">
        <v>0</v>
      </c>
      <c r="O961">
        <v>0</v>
      </c>
      <c r="P961">
        <v>91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3</v>
      </c>
      <c r="AC961">
        <v>2</v>
      </c>
      <c r="AD961" s="3" t="str">
        <f t="shared" si="45"/>
        <v>S2S NO PREMIUM</v>
      </c>
      <c r="AE961" s="3" t="e">
        <f>VLOOKUP(E961,'[1]Nómina Agentes'!$C:$D,2,0)</f>
        <v>#N/A</v>
      </c>
      <c r="AF961" s="5">
        <f t="shared" si="46"/>
        <v>0.70833333333333337</v>
      </c>
      <c r="AG961" s="5">
        <f t="shared" si="47"/>
        <v>0.72916666666666663</v>
      </c>
    </row>
    <row r="962" spans="1:33" x14ac:dyDescent="0.25">
      <c r="A962" s="1">
        <v>45567</v>
      </c>
      <c r="B962">
        <v>924</v>
      </c>
      <c r="C962" t="s">
        <v>43</v>
      </c>
      <c r="D962" t="s">
        <v>258</v>
      </c>
      <c r="E962">
        <v>628424</v>
      </c>
      <c r="F962" s="2">
        <v>0.75</v>
      </c>
      <c r="G962" t="s">
        <v>6</v>
      </c>
      <c r="H962" s="2">
        <v>0.77083333333333337</v>
      </c>
      <c r="I962">
        <v>1596</v>
      </c>
      <c r="J962">
        <v>0</v>
      </c>
      <c r="K962">
        <v>0</v>
      </c>
      <c r="L962">
        <v>8</v>
      </c>
      <c r="M962">
        <v>0</v>
      </c>
      <c r="N962">
        <v>0</v>
      </c>
      <c r="O962">
        <v>0</v>
      </c>
      <c r="P962">
        <v>2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3</v>
      </c>
      <c r="AC962">
        <v>2</v>
      </c>
      <c r="AD962" s="3" t="str">
        <f t="shared" si="45"/>
        <v>S2S NO PREMIUM</v>
      </c>
      <c r="AE962" s="3" t="e">
        <f>VLOOKUP(E962,'[1]Nómina Agentes'!$C:$D,2,0)</f>
        <v>#N/A</v>
      </c>
      <c r="AF962" s="5">
        <f t="shared" si="46"/>
        <v>0.75</v>
      </c>
      <c r="AG962" s="5">
        <f t="shared" si="47"/>
        <v>0.77083333333333337</v>
      </c>
    </row>
    <row r="963" spans="1:33" x14ac:dyDescent="0.25">
      <c r="A963" s="1">
        <v>45567</v>
      </c>
      <c r="B963">
        <v>924</v>
      </c>
      <c r="C963" t="s">
        <v>43</v>
      </c>
      <c r="D963" t="s">
        <v>259</v>
      </c>
      <c r="E963">
        <v>628431</v>
      </c>
      <c r="F963" s="2">
        <v>0.625</v>
      </c>
      <c r="G963" t="s">
        <v>6</v>
      </c>
      <c r="H963" s="2">
        <v>0.64583333333333337</v>
      </c>
      <c r="I963">
        <v>393</v>
      </c>
      <c r="J963">
        <v>0</v>
      </c>
      <c r="K963">
        <v>0</v>
      </c>
      <c r="L963">
        <v>16</v>
      </c>
      <c r="M963">
        <v>0</v>
      </c>
      <c r="N963">
        <v>0</v>
      </c>
      <c r="O963">
        <v>0</v>
      </c>
      <c r="P963">
        <v>3</v>
      </c>
      <c r="Q963">
        <v>1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3</v>
      </c>
      <c r="AC963">
        <v>3</v>
      </c>
      <c r="AD963" s="3" t="str">
        <f t="shared" si="45"/>
        <v>S2S NO PREMIUM</v>
      </c>
      <c r="AE963" s="3" t="e">
        <f>VLOOKUP(E963,'[1]Nómina Agentes'!$C:$D,2,0)</f>
        <v>#N/A</v>
      </c>
      <c r="AF963" s="5">
        <f t="shared" si="46"/>
        <v>0.625</v>
      </c>
      <c r="AG963" s="5">
        <f t="shared" si="47"/>
        <v>0.64583333333333337</v>
      </c>
    </row>
    <row r="964" spans="1:33" x14ac:dyDescent="0.25">
      <c r="A964" s="1">
        <v>45567</v>
      </c>
      <c r="B964">
        <v>924</v>
      </c>
      <c r="C964" t="s">
        <v>43</v>
      </c>
      <c r="D964" t="s">
        <v>259</v>
      </c>
      <c r="E964">
        <v>628431</v>
      </c>
      <c r="F964" s="2">
        <v>0.77083333333333337</v>
      </c>
      <c r="G964" t="s">
        <v>6</v>
      </c>
      <c r="H964" s="2">
        <v>0.79166666666666663</v>
      </c>
      <c r="I964">
        <v>507</v>
      </c>
      <c r="J964">
        <v>0</v>
      </c>
      <c r="K964">
        <v>0</v>
      </c>
      <c r="L964">
        <v>16</v>
      </c>
      <c r="M964">
        <v>0</v>
      </c>
      <c r="N964">
        <v>0</v>
      </c>
      <c r="O964">
        <v>0</v>
      </c>
      <c r="P964">
        <v>2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3</v>
      </c>
      <c r="AC964">
        <v>1</v>
      </c>
      <c r="AD964" s="3" t="str">
        <f t="shared" si="45"/>
        <v>S2S NO PREMIUM</v>
      </c>
      <c r="AE964" s="3" t="e">
        <f>VLOOKUP(E964,'[1]Nómina Agentes'!$C:$D,2,0)</f>
        <v>#N/A</v>
      </c>
      <c r="AF964" s="5">
        <f t="shared" si="46"/>
        <v>0.77083333333333337</v>
      </c>
      <c r="AG964" s="5">
        <f t="shared" si="47"/>
        <v>0.79166666666666663</v>
      </c>
    </row>
    <row r="965" spans="1:33" x14ac:dyDescent="0.25">
      <c r="A965" s="1">
        <v>45567</v>
      </c>
      <c r="B965">
        <v>924</v>
      </c>
      <c r="C965" t="s">
        <v>43</v>
      </c>
      <c r="D965" t="s">
        <v>259</v>
      </c>
      <c r="E965">
        <v>628431</v>
      </c>
      <c r="F965" s="2">
        <v>0.64583333333333337</v>
      </c>
      <c r="G965" t="s">
        <v>6</v>
      </c>
      <c r="H965" s="2">
        <v>0.66666666666666663</v>
      </c>
      <c r="I965">
        <v>669</v>
      </c>
      <c r="J965">
        <v>0</v>
      </c>
      <c r="K965">
        <v>0</v>
      </c>
      <c r="L965">
        <v>8</v>
      </c>
      <c r="M965">
        <v>0</v>
      </c>
      <c r="N965">
        <v>0</v>
      </c>
      <c r="O965">
        <v>0</v>
      </c>
      <c r="P965">
        <v>421</v>
      </c>
      <c r="Q965">
        <v>375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3</v>
      </c>
      <c r="AC965">
        <v>3</v>
      </c>
      <c r="AD965" s="3" t="str">
        <f t="shared" si="45"/>
        <v>S2S NO PREMIUM</v>
      </c>
      <c r="AE965" s="3" t="e">
        <f>VLOOKUP(E965,'[1]Nómina Agentes'!$C:$D,2,0)</f>
        <v>#N/A</v>
      </c>
      <c r="AF965" s="5">
        <f t="shared" si="46"/>
        <v>0.64583333333333337</v>
      </c>
      <c r="AG965" s="5">
        <f t="shared" si="47"/>
        <v>0.66666666666666663</v>
      </c>
    </row>
    <row r="966" spans="1:33" x14ac:dyDescent="0.25">
      <c r="A966" s="1">
        <v>45567</v>
      </c>
      <c r="B966">
        <v>924</v>
      </c>
      <c r="C966" t="s">
        <v>43</v>
      </c>
      <c r="D966" t="s">
        <v>259</v>
      </c>
      <c r="E966">
        <v>628431</v>
      </c>
      <c r="F966" s="2">
        <v>0.75</v>
      </c>
      <c r="G966" t="s">
        <v>6</v>
      </c>
      <c r="H966" s="2">
        <v>0.77083333333333337</v>
      </c>
      <c r="I966">
        <v>669</v>
      </c>
      <c r="J966">
        <v>0</v>
      </c>
      <c r="K966">
        <v>0</v>
      </c>
      <c r="L966">
        <v>8</v>
      </c>
      <c r="M966">
        <v>0</v>
      </c>
      <c r="N966">
        <v>0</v>
      </c>
      <c r="O966">
        <v>0</v>
      </c>
      <c r="P966">
        <v>400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3</v>
      </c>
      <c r="AC966">
        <v>1</v>
      </c>
      <c r="AD966" s="3" t="str">
        <f t="shared" si="45"/>
        <v>S2S NO PREMIUM</v>
      </c>
      <c r="AE966" s="3" t="e">
        <f>VLOOKUP(E966,'[1]Nómina Agentes'!$C:$D,2,0)</f>
        <v>#N/A</v>
      </c>
      <c r="AF966" s="5">
        <f t="shared" si="46"/>
        <v>0.75</v>
      </c>
      <c r="AG966" s="5">
        <f t="shared" si="47"/>
        <v>0.77083333333333337</v>
      </c>
    </row>
    <row r="967" spans="1:33" x14ac:dyDescent="0.25">
      <c r="A967" s="1">
        <v>45567</v>
      </c>
      <c r="B967">
        <v>924</v>
      </c>
      <c r="C967" t="s">
        <v>43</v>
      </c>
      <c r="D967" t="s">
        <v>259</v>
      </c>
      <c r="E967">
        <v>628431</v>
      </c>
      <c r="F967" s="2">
        <v>0.8125</v>
      </c>
      <c r="G967" t="s">
        <v>6</v>
      </c>
      <c r="H967" s="2">
        <v>0.83333333333333337</v>
      </c>
      <c r="I967">
        <v>949</v>
      </c>
      <c r="J967">
        <v>0</v>
      </c>
      <c r="K967">
        <v>0</v>
      </c>
      <c r="L967">
        <v>8</v>
      </c>
      <c r="M967">
        <v>0</v>
      </c>
      <c r="N967">
        <v>0</v>
      </c>
      <c r="O967">
        <v>0</v>
      </c>
      <c r="P967">
        <v>124</v>
      </c>
      <c r="Q967">
        <v>62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3</v>
      </c>
      <c r="AC967">
        <v>3</v>
      </c>
      <c r="AD967" s="3" t="str">
        <f t="shared" si="45"/>
        <v>S2S NO PREMIUM</v>
      </c>
      <c r="AE967" s="3" t="e">
        <f>VLOOKUP(E967,'[1]Nómina Agentes'!$C:$D,2,0)</f>
        <v>#N/A</v>
      </c>
      <c r="AF967" s="5">
        <f t="shared" si="46"/>
        <v>0.8125</v>
      </c>
      <c r="AG967" s="5">
        <f t="shared" si="47"/>
        <v>0.83333333333333337</v>
      </c>
    </row>
    <row r="968" spans="1:33" x14ac:dyDescent="0.25">
      <c r="A968" s="1">
        <v>45567</v>
      </c>
      <c r="B968">
        <v>924</v>
      </c>
      <c r="C968" t="s">
        <v>43</v>
      </c>
      <c r="D968" t="s">
        <v>259</v>
      </c>
      <c r="E968">
        <v>628431</v>
      </c>
      <c r="F968" s="2">
        <v>0.72916666666666663</v>
      </c>
      <c r="G968" t="s">
        <v>6</v>
      </c>
      <c r="H968" s="2">
        <v>0.75</v>
      </c>
      <c r="I968">
        <v>1146</v>
      </c>
      <c r="J968">
        <v>0</v>
      </c>
      <c r="K968">
        <v>0</v>
      </c>
      <c r="L968">
        <v>20</v>
      </c>
      <c r="M968">
        <v>0</v>
      </c>
      <c r="N968">
        <v>0</v>
      </c>
      <c r="O968">
        <v>0</v>
      </c>
      <c r="P968">
        <v>53</v>
      </c>
      <c r="Q968">
        <v>44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5</v>
      </c>
      <c r="AC968">
        <v>4</v>
      </c>
      <c r="AD968" s="3" t="str">
        <f t="shared" si="45"/>
        <v>S2S NO PREMIUM</v>
      </c>
      <c r="AE968" s="3" t="e">
        <f>VLOOKUP(E968,'[1]Nómina Agentes'!$C:$D,2,0)</f>
        <v>#N/A</v>
      </c>
      <c r="AF968" s="5">
        <f t="shared" si="46"/>
        <v>0.72916666666666663</v>
      </c>
      <c r="AG968" s="5">
        <f t="shared" si="47"/>
        <v>0.75</v>
      </c>
    </row>
    <row r="969" spans="1:33" x14ac:dyDescent="0.25">
      <c r="A969" s="1">
        <v>45567</v>
      </c>
      <c r="B969">
        <v>924</v>
      </c>
      <c r="C969" t="s">
        <v>43</v>
      </c>
      <c r="D969" t="s">
        <v>259</v>
      </c>
      <c r="E969">
        <v>628431</v>
      </c>
      <c r="F969" s="2">
        <v>0.79166666666666663</v>
      </c>
      <c r="G969" t="s">
        <v>6</v>
      </c>
      <c r="H969" s="2">
        <v>0.8125</v>
      </c>
      <c r="I969">
        <v>1211</v>
      </c>
      <c r="J969">
        <v>0</v>
      </c>
      <c r="K969">
        <v>0</v>
      </c>
      <c r="L969">
        <v>8</v>
      </c>
      <c r="M969">
        <v>0</v>
      </c>
      <c r="N969">
        <v>0</v>
      </c>
      <c r="O969">
        <v>0</v>
      </c>
      <c r="P969">
        <v>191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2</v>
      </c>
      <c r="AC969">
        <v>2</v>
      </c>
      <c r="AD969" s="3" t="str">
        <f t="shared" si="45"/>
        <v>S2S NO PREMIUM</v>
      </c>
      <c r="AE969" s="3" t="e">
        <f>VLOOKUP(E969,'[1]Nómina Agentes'!$C:$D,2,0)</f>
        <v>#N/A</v>
      </c>
      <c r="AF969" s="5">
        <f t="shared" si="46"/>
        <v>0.79166666666666663</v>
      </c>
      <c r="AG969" s="5">
        <f t="shared" si="47"/>
        <v>0.8125</v>
      </c>
    </row>
    <row r="970" spans="1:33" x14ac:dyDescent="0.25">
      <c r="A970" s="1">
        <v>45567</v>
      </c>
      <c r="B970">
        <v>924</v>
      </c>
      <c r="C970" t="s">
        <v>43</v>
      </c>
      <c r="D970" t="s">
        <v>259</v>
      </c>
      <c r="E970">
        <v>628431</v>
      </c>
      <c r="F970" s="2">
        <v>0.66666666666666663</v>
      </c>
      <c r="G970" t="s">
        <v>6</v>
      </c>
      <c r="H970" s="2">
        <v>0.6875</v>
      </c>
      <c r="I970">
        <v>1252</v>
      </c>
      <c r="J970">
        <v>0</v>
      </c>
      <c r="K970">
        <v>0</v>
      </c>
      <c r="L970">
        <v>12</v>
      </c>
      <c r="M970">
        <v>0</v>
      </c>
      <c r="N970">
        <v>0</v>
      </c>
      <c r="O970">
        <v>0</v>
      </c>
      <c r="P970">
        <v>174</v>
      </c>
      <c r="Q970">
        <v>149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2</v>
      </c>
      <c r="AC970">
        <v>1</v>
      </c>
      <c r="AD970" s="3" t="str">
        <f t="shared" si="45"/>
        <v>S2S NO PREMIUM</v>
      </c>
      <c r="AE970" s="3" t="e">
        <f>VLOOKUP(E970,'[1]Nómina Agentes'!$C:$D,2,0)</f>
        <v>#N/A</v>
      </c>
      <c r="AF970" s="5">
        <f t="shared" si="46"/>
        <v>0.66666666666666663</v>
      </c>
      <c r="AG970" s="5">
        <f t="shared" si="47"/>
        <v>0.6875</v>
      </c>
    </row>
    <row r="971" spans="1:33" x14ac:dyDescent="0.25">
      <c r="A971" s="1">
        <v>45567</v>
      </c>
      <c r="B971">
        <v>924</v>
      </c>
      <c r="C971" t="s">
        <v>43</v>
      </c>
      <c r="D971" t="s">
        <v>259</v>
      </c>
      <c r="E971">
        <v>628431</v>
      </c>
      <c r="F971" s="2">
        <v>0.6875</v>
      </c>
      <c r="G971" t="s">
        <v>6</v>
      </c>
      <c r="H971" s="2">
        <v>0.70833333333333337</v>
      </c>
      <c r="I971">
        <v>1284</v>
      </c>
      <c r="J971">
        <v>0</v>
      </c>
      <c r="K971">
        <v>0</v>
      </c>
      <c r="L971">
        <v>20</v>
      </c>
      <c r="M971">
        <v>0</v>
      </c>
      <c r="N971">
        <v>0</v>
      </c>
      <c r="O971">
        <v>0</v>
      </c>
      <c r="P971">
        <v>5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5</v>
      </c>
      <c r="AC971">
        <v>5</v>
      </c>
      <c r="AD971" s="3" t="str">
        <f t="shared" si="45"/>
        <v>S2S NO PREMIUM</v>
      </c>
      <c r="AE971" s="3" t="e">
        <f>VLOOKUP(E971,'[1]Nómina Agentes'!$C:$D,2,0)</f>
        <v>#N/A</v>
      </c>
      <c r="AF971" s="5">
        <f t="shared" si="46"/>
        <v>0.6875</v>
      </c>
      <c r="AG971" s="5">
        <f t="shared" si="47"/>
        <v>0.70833333333333337</v>
      </c>
    </row>
    <row r="972" spans="1:33" x14ac:dyDescent="0.25">
      <c r="A972" s="1">
        <v>45567</v>
      </c>
      <c r="B972">
        <v>924</v>
      </c>
      <c r="C972" t="s">
        <v>43</v>
      </c>
      <c r="D972" t="s">
        <v>259</v>
      </c>
      <c r="E972">
        <v>628431</v>
      </c>
      <c r="F972" s="2">
        <v>0.70833333333333337</v>
      </c>
      <c r="G972" t="s">
        <v>6</v>
      </c>
      <c r="H972" s="2">
        <v>0.72916666666666663</v>
      </c>
      <c r="I972">
        <v>1424</v>
      </c>
      <c r="J972">
        <v>0</v>
      </c>
      <c r="K972">
        <v>0</v>
      </c>
      <c r="L972">
        <v>13</v>
      </c>
      <c r="M972">
        <v>0</v>
      </c>
      <c r="N972">
        <v>0</v>
      </c>
      <c r="O972">
        <v>0</v>
      </c>
      <c r="P972">
        <v>3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3</v>
      </c>
      <c r="AC972">
        <v>3</v>
      </c>
      <c r="AD972" s="3" t="str">
        <f t="shared" si="45"/>
        <v>S2S NO PREMIUM</v>
      </c>
      <c r="AE972" s="3" t="e">
        <f>VLOOKUP(E972,'[1]Nómina Agentes'!$C:$D,2,0)</f>
        <v>#N/A</v>
      </c>
      <c r="AF972" s="5">
        <f t="shared" si="46"/>
        <v>0.70833333333333337</v>
      </c>
      <c r="AG972" s="5">
        <f t="shared" si="47"/>
        <v>0.72916666666666663</v>
      </c>
    </row>
    <row r="973" spans="1:33" x14ac:dyDescent="0.25">
      <c r="A973" s="1">
        <v>45567</v>
      </c>
      <c r="B973">
        <v>925</v>
      </c>
      <c r="C973" t="s">
        <v>42</v>
      </c>
      <c r="D973" t="s">
        <v>260</v>
      </c>
      <c r="E973">
        <v>628433</v>
      </c>
      <c r="F973" s="2">
        <v>0.625</v>
      </c>
      <c r="G973" t="s">
        <v>6</v>
      </c>
      <c r="H973" s="2">
        <v>0.64583333333333337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1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1</v>
      </c>
      <c r="AC973">
        <v>1</v>
      </c>
      <c r="AD973" s="3" t="str">
        <f t="shared" si="45"/>
        <v>S2S PREMIUM</v>
      </c>
      <c r="AE973" s="3" t="e">
        <f>VLOOKUP(E973,'[1]Nómina Agentes'!$C:$D,2,0)</f>
        <v>#N/A</v>
      </c>
      <c r="AF973" s="5">
        <f t="shared" si="46"/>
        <v>0.625</v>
      </c>
      <c r="AG973" s="5">
        <f t="shared" si="47"/>
        <v>0.64583333333333337</v>
      </c>
    </row>
    <row r="974" spans="1:33" x14ac:dyDescent="0.25">
      <c r="A974" s="1">
        <v>45567</v>
      </c>
      <c r="B974">
        <v>925</v>
      </c>
      <c r="C974" t="s">
        <v>42</v>
      </c>
      <c r="D974" t="s">
        <v>260</v>
      </c>
      <c r="E974">
        <v>628433</v>
      </c>
      <c r="F974" s="2">
        <v>0.58333333333333337</v>
      </c>
      <c r="G974" t="s">
        <v>6</v>
      </c>
      <c r="H974" s="2">
        <v>0.60416666666666663</v>
      </c>
      <c r="I974">
        <v>655</v>
      </c>
      <c r="J974">
        <v>14</v>
      </c>
      <c r="K974">
        <v>0</v>
      </c>
      <c r="L974">
        <v>20</v>
      </c>
      <c r="M974">
        <v>0</v>
      </c>
      <c r="N974">
        <v>0</v>
      </c>
      <c r="O974">
        <v>0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5</v>
      </c>
      <c r="AC974">
        <v>3</v>
      </c>
      <c r="AD974" s="3" t="str">
        <f t="shared" si="45"/>
        <v>S2S PREMIUM</v>
      </c>
      <c r="AE974" s="3" t="e">
        <f>VLOOKUP(E974,'[1]Nómina Agentes'!$C:$D,2,0)</f>
        <v>#N/A</v>
      </c>
      <c r="AF974" s="5">
        <f t="shared" si="46"/>
        <v>0.58333333333333337</v>
      </c>
      <c r="AG974" s="5">
        <f t="shared" si="47"/>
        <v>0.60416666666666663</v>
      </c>
    </row>
    <row r="975" spans="1:33" x14ac:dyDescent="0.25">
      <c r="A975" s="1">
        <v>45567</v>
      </c>
      <c r="B975">
        <v>925</v>
      </c>
      <c r="C975" t="s">
        <v>42</v>
      </c>
      <c r="D975" t="s">
        <v>260</v>
      </c>
      <c r="E975">
        <v>628433</v>
      </c>
      <c r="F975" s="2">
        <v>0.60416666666666663</v>
      </c>
      <c r="G975" t="s">
        <v>6</v>
      </c>
      <c r="H975" s="2">
        <v>0.625</v>
      </c>
      <c r="I975">
        <v>872</v>
      </c>
      <c r="J975">
        <v>65</v>
      </c>
      <c r="K975">
        <v>0</v>
      </c>
      <c r="L975">
        <v>16</v>
      </c>
      <c r="M975">
        <v>0</v>
      </c>
      <c r="N975">
        <v>0</v>
      </c>
      <c r="O975">
        <v>0</v>
      </c>
      <c r="P975">
        <v>3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3</v>
      </c>
      <c r="AC975">
        <v>3</v>
      </c>
      <c r="AD975" s="3" t="str">
        <f t="shared" si="45"/>
        <v>S2S PREMIUM</v>
      </c>
      <c r="AE975" s="3" t="e">
        <f>VLOOKUP(E975,'[1]Nómina Agentes'!$C:$D,2,0)</f>
        <v>#N/A</v>
      </c>
      <c r="AF975" s="5">
        <f t="shared" si="46"/>
        <v>0.60416666666666663</v>
      </c>
      <c r="AG975" s="5">
        <f t="shared" si="47"/>
        <v>0.625</v>
      </c>
    </row>
    <row r="976" spans="1:33" x14ac:dyDescent="0.25">
      <c r="A976" s="1">
        <v>45567</v>
      </c>
      <c r="B976">
        <v>924</v>
      </c>
      <c r="C976" t="s">
        <v>43</v>
      </c>
      <c r="D976" t="s">
        <v>261</v>
      </c>
      <c r="E976">
        <v>628434</v>
      </c>
      <c r="F976" s="2">
        <v>0.625</v>
      </c>
      <c r="G976" t="s">
        <v>6</v>
      </c>
      <c r="H976" s="2">
        <v>0.64583333333333337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 s="3" t="str">
        <f t="shared" si="45"/>
        <v>S2S NO PREMIUM</v>
      </c>
      <c r="AE976" s="3" t="e">
        <f>VLOOKUP(E976,'[1]Nómina Agentes'!$C:$D,2,0)</f>
        <v>#N/A</v>
      </c>
      <c r="AF976" s="5">
        <f t="shared" si="46"/>
        <v>0.625</v>
      </c>
      <c r="AG976" s="5">
        <f t="shared" si="47"/>
        <v>0.64583333333333337</v>
      </c>
    </row>
    <row r="977" spans="1:33" x14ac:dyDescent="0.25">
      <c r="A977" s="1">
        <v>45567</v>
      </c>
      <c r="B977">
        <v>924</v>
      </c>
      <c r="C977" t="s">
        <v>43</v>
      </c>
      <c r="D977" t="s">
        <v>261</v>
      </c>
      <c r="E977">
        <v>628434</v>
      </c>
      <c r="F977" s="2">
        <v>0.8125</v>
      </c>
      <c r="G977" t="s">
        <v>6</v>
      </c>
      <c r="H977" s="2">
        <v>0.83333333333333337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 s="3" t="str">
        <f t="shared" si="45"/>
        <v>S2S NO PREMIUM</v>
      </c>
      <c r="AE977" s="3" t="e">
        <f>VLOOKUP(E977,'[1]Nómina Agentes'!$C:$D,2,0)</f>
        <v>#N/A</v>
      </c>
      <c r="AF977" s="5">
        <f t="shared" si="46"/>
        <v>0.8125</v>
      </c>
      <c r="AG977" s="5">
        <f t="shared" si="47"/>
        <v>0.83333333333333337</v>
      </c>
    </row>
    <row r="978" spans="1:33" x14ac:dyDescent="0.25">
      <c r="A978" s="1">
        <v>45567</v>
      </c>
      <c r="B978">
        <v>924</v>
      </c>
      <c r="C978" t="s">
        <v>43</v>
      </c>
      <c r="D978" t="s">
        <v>261</v>
      </c>
      <c r="E978">
        <v>628434</v>
      </c>
      <c r="F978" s="2">
        <v>0.77083333333333337</v>
      </c>
      <c r="G978" t="s">
        <v>6</v>
      </c>
      <c r="H978" s="2">
        <v>0.79166666666666663</v>
      </c>
      <c r="I978">
        <v>479</v>
      </c>
      <c r="J978">
        <v>0</v>
      </c>
      <c r="K978">
        <v>0</v>
      </c>
      <c r="L978">
        <v>12</v>
      </c>
      <c r="M978">
        <v>0</v>
      </c>
      <c r="N978">
        <v>0</v>
      </c>
      <c r="O978">
        <v>0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3</v>
      </c>
      <c r="AC978">
        <v>3</v>
      </c>
      <c r="AD978" s="3" t="str">
        <f t="shared" si="45"/>
        <v>S2S NO PREMIUM</v>
      </c>
      <c r="AE978" s="3" t="e">
        <f>VLOOKUP(E978,'[1]Nómina Agentes'!$C:$D,2,0)</f>
        <v>#N/A</v>
      </c>
      <c r="AF978" s="5">
        <f t="shared" si="46"/>
        <v>0.77083333333333337</v>
      </c>
      <c r="AG978" s="5">
        <f t="shared" si="47"/>
        <v>0.79166666666666663</v>
      </c>
    </row>
    <row r="979" spans="1:33" x14ac:dyDescent="0.25">
      <c r="A979" s="1">
        <v>45567</v>
      </c>
      <c r="B979">
        <v>924</v>
      </c>
      <c r="C979" t="s">
        <v>43</v>
      </c>
      <c r="D979" t="s">
        <v>261</v>
      </c>
      <c r="E979">
        <v>628434</v>
      </c>
      <c r="F979" s="2">
        <v>0.72916666666666663</v>
      </c>
      <c r="G979" t="s">
        <v>6</v>
      </c>
      <c r="H979" s="2">
        <v>0.75</v>
      </c>
      <c r="I979">
        <v>578</v>
      </c>
      <c r="J979">
        <v>0</v>
      </c>
      <c r="K979">
        <v>0</v>
      </c>
      <c r="L979">
        <v>4</v>
      </c>
      <c r="M979">
        <v>0</v>
      </c>
      <c r="N979">
        <v>0</v>
      </c>
      <c r="O979">
        <v>0</v>
      </c>
      <c r="P979">
        <v>124</v>
      </c>
      <c r="Q979">
        <v>49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1</v>
      </c>
      <c r="AC979">
        <v>1</v>
      </c>
      <c r="AD979" s="3" t="str">
        <f t="shared" si="45"/>
        <v>S2S NO PREMIUM</v>
      </c>
      <c r="AE979" s="3" t="e">
        <f>VLOOKUP(E979,'[1]Nómina Agentes'!$C:$D,2,0)</f>
        <v>#N/A</v>
      </c>
      <c r="AF979" s="5">
        <f t="shared" si="46"/>
        <v>0.72916666666666663</v>
      </c>
      <c r="AG979" s="5">
        <f t="shared" si="47"/>
        <v>0.75</v>
      </c>
    </row>
    <row r="980" spans="1:33" x14ac:dyDescent="0.25">
      <c r="A980" s="1">
        <v>45567</v>
      </c>
      <c r="B980">
        <v>924</v>
      </c>
      <c r="C980" t="s">
        <v>43</v>
      </c>
      <c r="D980" t="s">
        <v>261</v>
      </c>
      <c r="E980">
        <v>628434</v>
      </c>
      <c r="F980" s="2">
        <v>0.79166666666666663</v>
      </c>
      <c r="G980" t="s">
        <v>6</v>
      </c>
      <c r="H980" s="2">
        <v>0.8125</v>
      </c>
      <c r="I980">
        <v>584</v>
      </c>
      <c r="J980">
        <v>0</v>
      </c>
      <c r="K980">
        <v>0</v>
      </c>
      <c r="L980">
        <v>8</v>
      </c>
      <c r="M980">
        <v>0</v>
      </c>
      <c r="N980">
        <v>0</v>
      </c>
      <c r="O980">
        <v>0</v>
      </c>
      <c r="P980">
        <v>1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3</v>
      </c>
      <c r="AC980">
        <v>1</v>
      </c>
      <c r="AD980" s="3" t="str">
        <f t="shared" si="45"/>
        <v>S2S NO PREMIUM</v>
      </c>
      <c r="AE980" s="3" t="e">
        <f>VLOOKUP(E980,'[1]Nómina Agentes'!$C:$D,2,0)</f>
        <v>#N/A</v>
      </c>
      <c r="AF980" s="5">
        <f t="shared" si="46"/>
        <v>0.79166666666666663</v>
      </c>
      <c r="AG980" s="5">
        <f t="shared" si="47"/>
        <v>0.8125</v>
      </c>
    </row>
    <row r="981" spans="1:33" x14ac:dyDescent="0.25">
      <c r="A981" s="1">
        <v>45567</v>
      </c>
      <c r="B981">
        <v>924</v>
      </c>
      <c r="C981" t="s">
        <v>43</v>
      </c>
      <c r="D981" t="s">
        <v>261</v>
      </c>
      <c r="E981">
        <v>628434</v>
      </c>
      <c r="F981" s="2">
        <v>0.64583333333333337</v>
      </c>
      <c r="G981" t="s">
        <v>6</v>
      </c>
      <c r="H981" s="2">
        <v>0.66666666666666663</v>
      </c>
      <c r="I981">
        <v>741</v>
      </c>
      <c r="J981">
        <v>0</v>
      </c>
      <c r="K981">
        <v>0</v>
      </c>
      <c r="L981">
        <v>12</v>
      </c>
      <c r="M981">
        <v>0</v>
      </c>
      <c r="N981">
        <v>0</v>
      </c>
      <c r="O981">
        <v>0</v>
      </c>
      <c r="P981">
        <v>2</v>
      </c>
      <c r="Q981">
        <v>106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2</v>
      </c>
      <c r="AC981">
        <v>2</v>
      </c>
      <c r="AD981" s="3" t="str">
        <f t="shared" si="45"/>
        <v>S2S NO PREMIUM</v>
      </c>
      <c r="AE981" s="3" t="e">
        <f>VLOOKUP(E981,'[1]Nómina Agentes'!$C:$D,2,0)</f>
        <v>#N/A</v>
      </c>
      <c r="AF981" s="5">
        <f t="shared" si="46"/>
        <v>0.64583333333333337</v>
      </c>
      <c r="AG981" s="5">
        <f t="shared" si="47"/>
        <v>0.66666666666666663</v>
      </c>
    </row>
    <row r="982" spans="1:33" x14ac:dyDescent="0.25">
      <c r="A982" s="1">
        <v>45567</v>
      </c>
      <c r="B982">
        <v>924</v>
      </c>
      <c r="C982" t="s">
        <v>43</v>
      </c>
      <c r="D982" t="s">
        <v>261</v>
      </c>
      <c r="E982">
        <v>628434</v>
      </c>
      <c r="F982" s="2">
        <v>0.66666666666666663</v>
      </c>
      <c r="G982" t="s">
        <v>6</v>
      </c>
      <c r="H982" s="2">
        <v>0.6875</v>
      </c>
      <c r="I982">
        <v>774</v>
      </c>
      <c r="J982">
        <v>0</v>
      </c>
      <c r="K982">
        <v>0</v>
      </c>
      <c r="L982">
        <v>8</v>
      </c>
      <c r="M982">
        <v>0</v>
      </c>
      <c r="N982">
        <v>0</v>
      </c>
      <c r="O982">
        <v>0</v>
      </c>
      <c r="P982">
        <v>511</v>
      </c>
      <c r="Q982">
        <v>269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2</v>
      </c>
      <c r="AC982">
        <v>2</v>
      </c>
      <c r="AD982" s="3" t="str">
        <f t="shared" si="45"/>
        <v>S2S NO PREMIUM</v>
      </c>
      <c r="AE982" s="3" t="e">
        <f>VLOOKUP(E982,'[1]Nómina Agentes'!$C:$D,2,0)</f>
        <v>#N/A</v>
      </c>
      <c r="AF982" s="5">
        <f t="shared" si="46"/>
        <v>0.66666666666666663</v>
      </c>
      <c r="AG982" s="5">
        <f t="shared" si="47"/>
        <v>0.6875</v>
      </c>
    </row>
    <row r="983" spans="1:33" x14ac:dyDescent="0.25">
      <c r="A983" s="1">
        <v>45567</v>
      </c>
      <c r="B983">
        <v>924</v>
      </c>
      <c r="C983" t="s">
        <v>43</v>
      </c>
      <c r="D983" t="s">
        <v>261</v>
      </c>
      <c r="E983">
        <v>628434</v>
      </c>
      <c r="F983" s="2">
        <v>0.70833333333333337</v>
      </c>
      <c r="G983" t="s">
        <v>6</v>
      </c>
      <c r="H983" s="2">
        <v>0.72916666666666663</v>
      </c>
      <c r="I983">
        <v>856</v>
      </c>
      <c r="J983">
        <v>0</v>
      </c>
      <c r="K983">
        <v>0</v>
      </c>
      <c r="L983">
        <v>4</v>
      </c>
      <c r="M983">
        <v>0</v>
      </c>
      <c r="N983">
        <v>0</v>
      </c>
      <c r="O983">
        <v>0</v>
      </c>
      <c r="P983">
        <v>502</v>
      </c>
      <c r="Q983">
        <v>474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1</v>
      </c>
      <c r="AC983">
        <v>1</v>
      </c>
      <c r="AD983" s="3" t="str">
        <f t="shared" si="45"/>
        <v>S2S NO PREMIUM</v>
      </c>
      <c r="AE983" s="3" t="e">
        <f>VLOOKUP(E983,'[1]Nómina Agentes'!$C:$D,2,0)</f>
        <v>#N/A</v>
      </c>
      <c r="AF983" s="5">
        <f t="shared" si="46"/>
        <v>0.70833333333333337</v>
      </c>
      <c r="AG983" s="5">
        <f t="shared" si="47"/>
        <v>0.72916666666666663</v>
      </c>
    </row>
    <row r="984" spans="1:33" x14ac:dyDescent="0.25">
      <c r="A984" s="1">
        <v>45567</v>
      </c>
      <c r="B984">
        <v>924</v>
      </c>
      <c r="C984" t="s">
        <v>43</v>
      </c>
      <c r="D984" t="s">
        <v>261</v>
      </c>
      <c r="E984">
        <v>628434</v>
      </c>
      <c r="F984" s="2">
        <v>0.6875</v>
      </c>
      <c r="G984" t="s">
        <v>6</v>
      </c>
      <c r="H984" s="2">
        <v>0.70833333333333337</v>
      </c>
      <c r="I984">
        <v>1181</v>
      </c>
      <c r="J984">
        <v>0</v>
      </c>
      <c r="K984">
        <v>0</v>
      </c>
      <c r="L984">
        <v>12</v>
      </c>
      <c r="M984">
        <v>0</v>
      </c>
      <c r="N984">
        <v>0</v>
      </c>
      <c r="O984">
        <v>0</v>
      </c>
      <c r="P984">
        <v>2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4</v>
      </c>
      <c r="AC984">
        <v>2</v>
      </c>
      <c r="AD984" s="3" t="str">
        <f t="shared" si="45"/>
        <v>S2S NO PREMIUM</v>
      </c>
      <c r="AE984" s="3" t="e">
        <f>VLOOKUP(E984,'[1]Nómina Agentes'!$C:$D,2,0)</f>
        <v>#N/A</v>
      </c>
      <c r="AF984" s="5">
        <f t="shared" si="46"/>
        <v>0.6875</v>
      </c>
      <c r="AG984" s="5">
        <f t="shared" si="47"/>
        <v>0.70833333333333337</v>
      </c>
    </row>
    <row r="985" spans="1:33" x14ac:dyDescent="0.25">
      <c r="A985" s="1">
        <v>45567</v>
      </c>
      <c r="B985">
        <v>924</v>
      </c>
      <c r="C985" t="s">
        <v>43</v>
      </c>
      <c r="D985" t="s">
        <v>261</v>
      </c>
      <c r="E985">
        <v>628434</v>
      </c>
      <c r="F985" s="2">
        <v>0.75</v>
      </c>
      <c r="G985" t="s">
        <v>6</v>
      </c>
      <c r="H985" s="2">
        <v>0.77083333333333337</v>
      </c>
      <c r="I985">
        <v>1542</v>
      </c>
      <c r="J985">
        <v>0</v>
      </c>
      <c r="K985">
        <v>0</v>
      </c>
      <c r="L985">
        <v>20</v>
      </c>
      <c r="M985">
        <v>0</v>
      </c>
      <c r="N985">
        <v>0</v>
      </c>
      <c r="O985">
        <v>0</v>
      </c>
      <c r="P985">
        <v>2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4</v>
      </c>
      <c r="AC985">
        <v>2</v>
      </c>
      <c r="AD985" s="3" t="str">
        <f t="shared" si="45"/>
        <v>S2S NO PREMIUM</v>
      </c>
      <c r="AE985" s="3" t="e">
        <f>VLOOKUP(E985,'[1]Nómina Agentes'!$C:$D,2,0)</f>
        <v>#N/A</v>
      </c>
      <c r="AF985" s="5">
        <f t="shared" si="46"/>
        <v>0.75</v>
      </c>
      <c r="AG985" s="5">
        <f t="shared" si="47"/>
        <v>0.77083333333333337</v>
      </c>
    </row>
    <row r="986" spans="1:33" x14ac:dyDescent="0.25">
      <c r="A986" s="1">
        <v>45567</v>
      </c>
      <c r="B986">
        <v>925</v>
      </c>
      <c r="C986" t="s">
        <v>42</v>
      </c>
      <c r="D986" t="s">
        <v>262</v>
      </c>
      <c r="E986">
        <v>628450</v>
      </c>
      <c r="F986" s="2">
        <v>0.625</v>
      </c>
      <c r="G986" t="s">
        <v>6</v>
      </c>
      <c r="H986" s="2">
        <v>0.64583333333333337</v>
      </c>
      <c r="I986">
        <v>178</v>
      </c>
      <c r="J986">
        <v>0</v>
      </c>
      <c r="K986">
        <v>0</v>
      </c>
      <c r="L986">
        <v>8</v>
      </c>
      <c r="M986">
        <v>0</v>
      </c>
      <c r="N986">
        <v>0</v>
      </c>
      <c r="O986">
        <v>0</v>
      </c>
      <c r="P986">
        <v>719</v>
      </c>
      <c r="Q986">
        <v>738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1</v>
      </c>
      <c r="AC986">
        <v>0</v>
      </c>
      <c r="AD986" s="3" t="str">
        <f t="shared" si="45"/>
        <v>S2S PREMIUM</v>
      </c>
      <c r="AE986" s="3" t="e">
        <f>VLOOKUP(E986,'[1]Nómina Agentes'!$C:$D,2,0)</f>
        <v>#N/A</v>
      </c>
      <c r="AF986" s="5">
        <f t="shared" si="46"/>
        <v>0.625</v>
      </c>
      <c r="AG986" s="5">
        <f t="shared" si="47"/>
        <v>0.64583333333333337</v>
      </c>
    </row>
    <row r="987" spans="1:33" x14ac:dyDescent="0.25">
      <c r="A987" s="1">
        <v>45567</v>
      </c>
      <c r="B987">
        <v>925</v>
      </c>
      <c r="C987" t="s">
        <v>42</v>
      </c>
      <c r="D987" t="s">
        <v>262</v>
      </c>
      <c r="E987">
        <v>628450</v>
      </c>
      <c r="F987" s="2">
        <v>0.8125</v>
      </c>
      <c r="G987" t="s">
        <v>6</v>
      </c>
      <c r="H987" s="2">
        <v>0.83333333333333337</v>
      </c>
      <c r="I987">
        <v>223</v>
      </c>
      <c r="J987">
        <v>0</v>
      </c>
      <c r="K987">
        <v>0</v>
      </c>
      <c r="L987">
        <v>8</v>
      </c>
      <c r="M987">
        <v>0</v>
      </c>
      <c r="N987">
        <v>0</v>
      </c>
      <c r="O987">
        <v>0</v>
      </c>
      <c r="P987">
        <v>39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1</v>
      </c>
      <c r="AC987">
        <v>1</v>
      </c>
      <c r="AD987" s="3" t="str">
        <f t="shared" si="45"/>
        <v>S2S PREMIUM</v>
      </c>
      <c r="AE987" s="3" t="e">
        <f>VLOOKUP(E987,'[1]Nómina Agentes'!$C:$D,2,0)</f>
        <v>#N/A</v>
      </c>
      <c r="AF987" s="5">
        <f t="shared" si="46"/>
        <v>0.8125</v>
      </c>
      <c r="AG987" s="5">
        <f t="shared" si="47"/>
        <v>0.83333333333333337</v>
      </c>
    </row>
    <row r="988" spans="1:33" x14ac:dyDescent="0.25">
      <c r="A988" s="1">
        <v>45567</v>
      </c>
      <c r="B988">
        <v>925</v>
      </c>
      <c r="C988" t="s">
        <v>42</v>
      </c>
      <c r="D988" t="s">
        <v>262</v>
      </c>
      <c r="E988">
        <v>628450</v>
      </c>
      <c r="F988" s="2">
        <v>0.72916666666666663</v>
      </c>
      <c r="G988" t="s">
        <v>6</v>
      </c>
      <c r="H988" s="2">
        <v>0.75</v>
      </c>
      <c r="I988">
        <v>348</v>
      </c>
      <c r="J988">
        <v>0</v>
      </c>
      <c r="K988">
        <v>0</v>
      </c>
      <c r="L988">
        <v>8</v>
      </c>
      <c r="M988">
        <v>0</v>
      </c>
      <c r="N988">
        <v>0</v>
      </c>
      <c r="O988">
        <v>0</v>
      </c>
      <c r="P988">
        <v>16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2</v>
      </c>
      <c r="AC988">
        <v>2</v>
      </c>
      <c r="AD988" s="3" t="str">
        <f t="shared" si="45"/>
        <v>S2S PREMIUM</v>
      </c>
      <c r="AE988" s="3" t="e">
        <f>VLOOKUP(E988,'[1]Nómina Agentes'!$C:$D,2,0)</f>
        <v>#N/A</v>
      </c>
      <c r="AF988" s="5">
        <f t="shared" si="46"/>
        <v>0.72916666666666663</v>
      </c>
      <c r="AG988" s="5">
        <f t="shared" si="47"/>
        <v>0.75</v>
      </c>
    </row>
    <row r="989" spans="1:33" x14ac:dyDescent="0.25">
      <c r="A989" s="1">
        <v>45567</v>
      </c>
      <c r="B989">
        <v>925</v>
      </c>
      <c r="C989" t="s">
        <v>42</v>
      </c>
      <c r="D989" t="s">
        <v>262</v>
      </c>
      <c r="E989">
        <v>628450</v>
      </c>
      <c r="F989" s="2">
        <v>0.66666666666666663</v>
      </c>
      <c r="G989" t="s">
        <v>6</v>
      </c>
      <c r="H989" s="2">
        <v>0.6875</v>
      </c>
      <c r="I989">
        <v>588</v>
      </c>
      <c r="J989">
        <v>0</v>
      </c>
      <c r="K989">
        <v>0</v>
      </c>
      <c r="L989">
        <v>20</v>
      </c>
      <c r="M989">
        <v>0</v>
      </c>
      <c r="N989">
        <v>0</v>
      </c>
      <c r="O989">
        <v>0</v>
      </c>
      <c r="P989">
        <v>33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4</v>
      </c>
      <c r="AC989">
        <v>4</v>
      </c>
      <c r="AD989" s="3" t="str">
        <f t="shared" si="45"/>
        <v>S2S PREMIUM</v>
      </c>
      <c r="AE989" s="3" t="e">
        <f>VLOOKUP(E989,'[1]Nómina Agentes'!$C:$D,2,0)</f>
        <v>#N/A</v>
      </c>
      <c r="AF989" s="5">
        <f t="shared" si="46"/>
        <v>0.66666666666666663</v>
      </c>
      <c r="AG989" s="5">
        <f t="shared" si="47"/>
        <v>0.6875</v>
      </c>
    </row>
    <row r="990" spans="1:33" x14ac:dyDescent="0.25">
      <c r="A990" s="1">
        <v>45567</v>
      </c>
      <c r="B990">
        <v>925</v>
      </c>
      <c r="C990" t="s">
        <v>42</v>
      </c>
      <c r="D990" t="s">
        <v>262</v>
      </c>
      <c r="E990">
        <v>628450</v>
      </c>
      <c r="F990" s="2">
        <v>0.64583333333333337</v>
      </c>
      <c r="G990" t="s">
        <v>6</v>
      </c>
      <c r="H990" s="2">
        <v>0.66666666666666663</v>
      </c>
      <c r="I990">
        <v>653</v>
      </c>
      <c r="J990">
        <v>0</v>
      </c>
      <c r="K990">
        <v>0</v>
      </c>
      <c r="L990">
        <v>12</v>
      </c>
      <c r="M990">
        <v>0</v>
      </c>
      <c r="N990">
        <v>0</v>
      </c>
      <c r="O990">
        <v>0</v>
      </c>
      <c r="P990">
        <v>1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4</v>
      </c>
      <c r="AC990">
        <v>4</v>
      </c>
      <c r="AD990" s="3" t="str">
        <f t="shared" si="45"/>
        <v>S2S PREMIUM</v>
      </c>
      <c r="AE990" s="3" t="e">
        <f>VLOOKUP(E990,'[1]Nómina Agentes'!$C:$D,2,0)</f>
        <v>#N/A</v>
      </c>
      <c r="AF990" s="5">
        <f t="shared" si="46"/>
        <v>0.64583333333333337</v>
      </c>
      <c r="AG990" s="5">
        <f t="shared" si="47"/>
        <v>0.66666666666666663</v>
      </c>
    </row>
    <row r="991" spans="1:33" x14ac:dyDescent="0.25">
      <c r="A991" s="1">
        <v>45567</v>
      </c>
      <c r="B991">
        <v>925</v>
      </c>
      <c r="C991" t="s">
        <v>42</v>
      </c>
      <c r="D991" t="s">
        <v>262</v>
      </c>
      <c r="E991">
        <v>628450</v>
      </c>
      <c r="F991" s="2">
        <v>0.70833333333333337</v>
      </c>
      <c r="G991" t="s">
        <v>6</v>
      </c>
      <c r="H991" s="2">
        <v>0.72916666666666663</v>
      </c>
      <c r="I991">
        <v>783</v>
      </c>
      <c r="J991">
        <v>0</v>
      </c>
      <c r="K991">
        <v>0</v>
      </c>
      <c r="L991">
        <v>8</v>
      </c>
      <c r="M991">
        <v>0</v>
      </c>
      <c r="N991">
        <v>0</v>
      </c>
      <c r="O991">
        <v>0</v>
      </c>
      <c r="P991">
        <v>740</v>
      </c>
      <c r="Q991">
        <v>529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3</v>
      </c>
      <c r="AC991">
        <v>3</v>
      </c>
      <c r="AD991" s="3" t="str">
        <f t="shared" si="45"/>
        <v>S2S PREMIUM</v>
      </c>
      <c r="AE991" s="3" t="e">
        <f>VLOOKUP(E991,'[1]Nómina Agentes'!$C:$D,2,0)</f>
        <v>#N/A</v>
      </c>
      <c r="AF991" s="5">
        <f t="shared" si="46"/>
        <v>0.70833333333333337</v>
      </c>
      <c r="AG991" s="5">
        <f t="shared" si="47"/>
        <v>0.72916666666666663</v>
      </c>
    </row>
    <row r="992" spans="1:33" x14ac:dyDescent="0.25">
      <c r="A992" s="1">
        <v>45567</v>
      </c>
      <c r="B992">
        <v>925</v>
      </c>
      <c r="C992" t="s">
        <v>42</v>
      </c>
      <c r="D992" t="s">
        <v>262</v>
      </c>
      <c r="E992">
        <v>628450</v>
      </c>
      <c r="F992" s="2">
        <v>0.77083333333333337</v>
      </c>
      <c r="G992" t="s">
        <v>6</v>
      </c>
      <c r="H992" s="2">
        <v>0.79166666666666663</v>
      </c>
      <c r="I992">
        <v>899</v>
      </c>
      <c r="J992">
        <v>0</v>
      </c>
      <c r="K992">
        <v>0</v>
      </c>
      <c r="L992">
        <v>17</v>
      </c>
      <c r="M992">
        <v>0</v>
      </c>
      <c r="N992">
        <v>0</v>
      </c>
      <c r="O992">
        <v>0</v>
      </c>
      <c r="P992">
        <v>196</v>
      </c>
      <c r="Q992">
        <v>1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4</v>
      </c>
      <c r="AC992">
        <v>4</v>
      </c>
      <c r="AD992" s="3" t="str">
        <f t="shared" si="45"/>
        <v>S2S PREMIUM</v>
      </c>
      <c r="AE992" s="3" t="e">
        <f>VLOOKUP(E992,'[1]Nómina Agentes'!$C:$D,2,0)</f>
        <v>#N/A</v>
      </c>
      <c r="AF992" s="5">
        <f t="shared" si="46"/>
        <v>0.77083333333333337</v>
      </c>
      <c r="AG992" s="5">
        <f t="shared" si="47"/>
        <v>0.79166666666666663</v>
      </c>
    </row>
    <row r="993" spans="1:33" x14ac:dyDescent="0.25">
      <c r="A993" s="1">
        <v>45567</v>
      </c>
      <c r="B993">
        <v>925</v>
      </c>
      <c r="C993" t="s">
        <v>42</v>
      </c>
      <c r="D993" t="s">
        <v>262</v>
      </c>
      <c r="E993">
        <v>628450</v>
      </c>
      <c r="F993" s="2">
        <v>0.75</v>
      </c>
      <c r="G993" t="s">
        <v>6</v>
      </c>
      <c r="H993" s="2">
        <v>0.77083333333333337</v>
      </c>
      <c r="I993">
        <v>939</v>
      </c>
      <c r="J993">
        <v>0</v>
      </c>
      <c r="K993">
        <v>0</v>
      </c>
      <c r="L993">
        <v>16</v>
      </c>
      <c r="M993">
        <v>0</v>
      </c>
      <c r="N993">
        <v>0</v>
      </c>
      <c r="O993">
        <v>0</v>
      </c>
      <c r="P993">
        <v>45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4</v>
      </c>
      <c r="AC993">
        <v>3</v>
      </c>
      <c r="AD993" s="3" t="str">
        <f t="shared" si="45"/>
        <v>S2S PREMIUM</v>
      </c>
      <c r="AE993" s="3" t="e">
        <f>VLOOKUP(E993,'[1]Nómina Agentes'!$C:$D,2,0)</f>
        <v>#N/A</v>
      </c>
      <c r="AF993" s="5">
        <f t="shared" si="46"/>
        <v>0.75</v>
      </c>
      <c r="AG993" s="5">
        <f t="shared" si="47"/>
        <v>0.77083333333333337</v>
      </c>
    </row>
    <row r="994" spans="1:33" x14ac:dyDescent="0.25">
      <c r="A994" s="1">
        <v>45567</v>
      </c>
      <c r="B994">
        <v>925</v>
      </c>
      <c r="C994" t="s">
        <v>42</v>
      </c>
      <c r="D994" t="s">
        <v>262</v>
      </c>
      <c r="E994">
        <v>628450</v>
      </c>
      <c r="F994" s="2">
        <v>0.79166666666666663</v>
      </c>
      <c r="G994" t="s">
        <v>6</v>
      </c>
      <c r="H994" s="2">
        <v>0.8125</v>
      </c>
      <c r="I994">
        <v>1049</v>
      </c>
      <c r="J994">
        <v>0</v>
      </c>
      <c r="K994">
        <v>0</v>
      </c>
      <c r="L994">
        <v>15</v>
      </c>
      <c r="M994">
        <v>0</v>
      </c>
      <c r="N994">
        <v>0</v>
      </c>
      <c r="O994">
        <v>0</v>
      </c>
      <c r="P994">
        <v>181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4</v>
      </c>
      <c r="AC994">
        <v>3</v>
      </c>
      <c r="AD994" s="3" t="str">
        <f t="shared" si="45"/>
        <v>S2S PREMIUM</v>
      </c>
      <c r="AE994" s="3" t="e">
        <f>VLOOKUP(E994,'[1]Nómina Agentes'!$C:$D,2,0)</f>
        <v>#N/A</v>
      </c>
      <c r="AF994" s="5">
        <f t="shared" si="46"/>
        <v>0.79166666666666663</v>
      </c>
      <c r="AG994" s="5">
        <f t="shared" si="47"/>
        <v>0.8125</v>
      </c>
    </row>
    <row r="995" spans="1:33" x14ac:dyDescent="0.25">
      <c r="A995" s="1">
        <v>45567</v>
      </c>
      <c r="B995">
        <v>925</v>
      </c>
      <c r="C995" t="s">
        <v>42</v>
      </c>
      <c r="D995" t="s">
        <v>262</v>
      </c>
      <c r="E995">
        <v>628450</v>
      </c>
      <c r="F995" s="2">
        <v>0.6875</v>
      </c>
      <c r="G995" t="s">
        <v>6</v>
      </c>
      <c r="H995" s="2">
        <v>0.70833333333333337</v>
      </c>
      <c r="I995">
        <v>1150</v>
      </c>
      <c r="J995">
        <v>0</v>
      </c>
      <c r="K995">
        <v>0</v>
      </c>
      <c r="L995">
        <v>16</v>
      </c>
      <c r="M995">
        <v>0</v>
      </c>
      <c r="N995">
        <v>0</v>
      </c>
      <c r="O995">
        <v>0</v>
      </c>
      <c r="P995">
        <v>90</v>
      </c>
      <c r="Q995">
        <v>83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4</v>
      </c>
      <c r="AC995">
        <v>3</v>
      </c>
      <c r="AD995" s="3" t="str">
        <f t="shared" si="45"/>
        <v>S2S PREMIUM</v>
      </c>
      <c r="AE995" s="3" t="e">
        <f>VLOOKUP(E995,'[1]Nómina Agentes'!$C:$D,2,0)</f>
        <v>#N/A</v>
      </c>
      <c r="AF995" s="5">
        <f t="shared" si="46"/>
        <v>0.6875</v>
      </c>
      <c r="AG995" s="5">
        <f t="shared" si="47"/>
        <v>0.70833333333333337</v>
      </c>
    </row>
    <row r="996" spans="1:33" x14ac:dyDescent="0.25">
      <c r="A996" s="1">
        <v>45567</v>
      </c>
      <c r="B996">
        <v>925</v>
      </c>
      <c r="C996" t="s">
        <v>42</v>
      </c>
      <c r="D996" t="s">
        <v>263</v>
      </c>
      <c r="E996">
        <v>628452</v>
      </c>
      <c r="F996" s="2">
        <v>0.75</v>
      </c>
      <c r="G996" t="s">
        <v>6</v>
      </c>
      <c r="H996" s="2">
        <v>0.77083333333333337</v>
      </c>
      <c r="I996">
        <v>121</v>
      </c>
      <c r="J996">
        <v>0</v>
      </c>
      <c r="K996">
        <v>0</v>
      </c>
      <c r="L996">
        <v>4</v>
      </c>
      <c r="M996">
        <v>0</v>
      </c>
      <c r="N996">
        <v>0</v>
      </c>
      <c r="O996">
        <v>0</v>
      </c>
      <c r="P996">
        <v>2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2</v>
      </c>
      <c r="AC996">
        <v>2</v>
      </c>
      <c r="AD996" s="3" t="str">
        <f t="shared" si="45"/>
        <v>S2S PREMIUM</v>
      </c>
      <c r="AE996" s="3" t="e">
        <f>VLOOKUP(E996,'[1]Nómina Agentes'!$C:$D,2,0)</f>
        <v>#N/A</v>
      </c>
      <c r="AF996" s="5">
        <f t="shared" si="46"/>
        <v>0.75</v>
      </c>
      <c r="AG996" s="5">
        <f t="shared" si="47"/>
        <v>0.77083333333333337</v>
      </c>
    </row>
    <row r="997" spans="1:33" x14ac:dyDescent="0.25">
      <c r="A997" s="1">
        <v>45567</v>
      </c>
      <c r="B997">
        <v>924</v>
      </c>
      <c r="C997" t="s">
        <v>43</v>
      </c>
      <c r="D997" t="s">
        <v>263</v>
      </c>
      <c r="E997">
        <v>628452</v>
      </c>
      <c r="F997" s="2">
        <v>0.75</v>
      </c>
      <c r="G997" t="s">
        <v>6</v>
      </c>
      <c r="H997" s="2">
        <v>0.77083333333333337</v>
      </c>
      <c r="I997">
        <v>202</v>
      </c>
      <c r="J997">
        <v>0</v>
      </c>
      <c r="K997">
        <v>0</v>
      </c>
      <c r="L997">
        <v>4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 s="3" t="str">
        <f t="shared" si="45"/>
        <v>S2S NO PREMIUM</v>
      </c>
      <c r="AE997" s="3" t="e">
        <f>VLOOKUP(E997,'[1]Nómina Agentes'!$C:$D,2,0)</f>
        <v>#N/A</v>
      </c>
      <c r="AF997" s="5">
        <f t="shared" si="46"/>
        <v>0.75</v>
      </c>
      <c r="AG997" s="5">
        <f t="shared" si="47"/>
        <v>0.77083333333333337</v>
      </c>
    </row>
    <row r="998" spans="1:33" x14ac:dyDescent="0.25">
      <c r="A998" s="1">
        <v>45567</v>
      </c>
      <c r="B998">
        <v>925</v>
      </c>
      <c r="C998" t="s">
        <v>42</v>
      </c>
      <c r="D998" t="s">
        <v>263</v>
      </c>
      <c r="E998">
        <v>628452</v>
      </c>
      <c r="F998" s="2">
        <v>0.625</v>
      </c>
      <c r="G998" t="s">
        <v>6</v>
      </c>
      <c r="H998" s="2">
        <v>0.64583333333333337</v>
      </c>
      <c r="I998">
        <v>225</v>
      </c>
      <c r="J998">
        <v>0</v>
      </c>
      <c r="K998">
        <v>0</v>
      </c>
      <c r="L998">
        <v>8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1</v>
      </c>
      <c r="AC998">
        <v>0</v>
      </c>
      <c r="AD998" s="3" t="str">
        <f t="shared" si="45"/>
        <v>S2S PREMIUM</v>
      </c>
      <c r="AE998" s="3" t="e">
        <f>VLOOKUP(E998,'[1]Nómina Agentes'!$C:$D,2,0)</f>
        <v>#N/A</v>
      </c>
      <c r="AF998" s="5">
        <f t="shared" si="46"/>
        <v>0.625</v>
      </c>
      <c r="AG998" s="5">
        <f t="shared" si="47"/>
        <v>0.64583333333333337</v>
      </c>
    </row>
    <row r="999" spans="1:33" x14ac:dyDescent="0.25">
      <c r="A999" s="1">
        <v>45567</v>
      </c>
      <c r="B999">
        <v>925</v>
      </c>
      <c r="C999" t="s">
        <v>42</v>
      </c>
      <c r="D999" t="s">
        <v>263</v>
      </c>
      <c r="E999">
        <v>628452</v>
      </c>
      <c r="F999" s="2">
        <v>0.64583333333333337</v>
      </c>
      <c r="G999" t="s">
        <v>6</v>
      </c>
      <c r="H999" s="2">
        <v>0.66666666666666663</v>
      </c>
      <c r="I999">
        <v>522</v>
      </c>
      <c r="J999">
        <v>0</v>
      </c>
      <c r="K999">
        <v>0</v>
      </c>
      <c r="L999">
        <v>13</v>
      </c>
      <c r="M999">
        <v>0</v>
      </c>
      <c r="N999">
        <v>0</v>
      </c>
      <c r="O999">
        <v>0</v>
      </c>
      <c r="P999">
        <v>173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3</v>
      </c>
      <c r="AC999">
        <v>2</v>
      </c>
      <c r="AD999" s="3" t="str">
        <f t="shared" si="45"/>
        <v>S2S PREMIUM</v>
      </c>
      <c r="AE999" s="3" t="e">
        <f>VLOOKUP(E999,'[1]Nómina Agentes'!$C:$D,2,0)</f>
        <v>#N/A</v>
      </c>
      <c r="AF999" s="5">
        <f t="shared" si="46"/>
        <v>0.64583333333333337</v>
      </c>
      <c r="AG999" s="5">
        <f t="shared" si="47"/>
        <v>0.66666666666666663</v>
      </c>
    </row>
    <row r="1000" spans="1:33" x14ac:dyDescent="0.25">
      <c r="A1000" s="1">
        <v>45567</v>
      </c>
      <c r="B1000">
        <v>924</v>
      </c>
      <c r="C1000" t="s">
        <v>43</v>
      </c>
      <c r="D1000" t="s">
        <v>263</v>
      </c>
      <c r="E1000">
        <v>628452</v>
      </c>
      <c r="F1000" s="2">
        <v>0.79166666666666663</v>
      </c>
      <c r="G1000" t="s">
        <v>6</v>
      </c>
      <c r="H1000" s="2">
        <v>0.8125</v>
      </c>
      <c r="I1000">
        <v>597</v>
      </c>
      <c r="J1000">
        <v>0</v>
      </c>
      <c r="K1000">
        <v>0</v>
      </c>
      <c r="L1000">
        <v>13</v>
      </c>
      <c r="M1000">
        <v>0</v>
      </c>
      <c r="N1000">
        <v>0</v>
      </c>
      <c r="O1000">
        <v>0</v>
      </c>
      <c r="P1000">
        <v>1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3</v>
      </c>
      <c r="AC1000">
        <v>2</v>
      </c>
      <c r="AD1000" s="3" t="str">
        <f t="shared" si="45"/>
        <v>S2S NO PREMIUM</v>
      </c>
      <c r="AE1000" s="3" t="e">
        <f>VLOOKUP(E1000,'[1]Nómina Agentes'!$C:$D,2,0)</f>
        <v>#N/A</v>
      </c>
      <c r="AF1000" s="5">
        <f t="shared" si="46"/>
        <v>0.79166666666666663</v>
      </c>
      <c r="AG1000" s="5">
        <f t="shared" si="47"/>
        <v>0.8125</v>
      </c>
    </row>
    <row r="1001" spans="1:33" x14ac:dyDescent="0.25">
      <c r="A1001" s="1">
        <v>45567</v>
      </c>
      <c r="B1001">
        <v>924</v>
      </c>
      <c r="C1001" t="s">
        <v>43</v>
      </c>
      <c r="D1001" t="s">
        <v>263</v>
      </c>
      <c r="E1001">
        <v>628452</v>
      </c>
      <c r="F1001" s="2">
        <v>0.8125</v>
      </c>
      <c r="G1001" t="s">
        <v>6</v>
      </c>
      <c r="H1001" s="2">
        <v>0.83333333333333337</v>
      </c>
      <c r="I1001">
        <v>818</v>
      </c>
      <c r="J1001">
        <v>0</v>
      </c>
      <c r="K1001">
        <v>0</v>
      </c>
      <c r="L1001">
        <v>12</v>
      </c>
      <c r="M1001">
        <v>0</v>
      </c>
      <c r="N1001">
        <v>0</v>
      </c>
      <c r="O1001">
        <v>0</v>
      </c>
      <c r="P1001">
        <v>2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2</v>
      </c>
      <c r="AC1001">
        <v>2</v>
      </c>
      <c r="AD1001" s="3" t="str">
        <f t="shared" si="45"/>
        <v>S2S NO PREMIUM</v>
      </c>
      <c r="AE1001" s="3" t="e">
        <f>VLOOKUP(E1001,'[1]Nómina Agentes'!$C:$D,2,0)</f>
        <v>#N/A</v>
      </c>
      <c r="AF1001" s="5">
        <f t="shared" si="46"/>
        <v>0.8125</v>
      </c>
      <c r="AG1001" s="5">
        <f t="shared" si="47"/>
        <v>0.83333333333333337</v>
      </c>
    </row>
    <row r="1002" spans="1:33" x14ac:dyDescent="0.25">
      <c r="A1002" s="1">
        <v>45567</v>
      </c>
      <c r="B1002">
        <v>925</v>
      </c>
      <c r="C1002" t="s">
        <v>42</v>
      </c>
      <c r="D1002" t="s">
        <v>263</v>
      </c>
      <c r="E1002">
        <v>628452</v>
      </c>
      <c r="F1002" s="2">
        <v>0.66666666666666663</v>
      </c>
      <c r="G1002" t="s">
        <v>6</v>
      </c>
      <c r="H1002" s="2">
        <v>0.6875</v>
      </c>
      <c r="I1002">
        <v>877</v>
      </c>
      <c r="J1002">
        <v>0</v>
      </c>
      <c r="K1002">
        <v>0</v>
      </c>
      <c r="L1002">
        <v>12</v>
      </c>
      <c r="M1002">
        <v>0</v>
      </c>
      <c r="N1002">
        <v>0</v>
      </c>
      <c r="O1002">
        <v>0</v>
      </c>
      <c r="P1002">
        <v>3</v>
      </c>
      <c r="Q1002">
        <v>1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3</v>
      </c>
      <c r="AC1002">
        <v>3</v>
      </c>
      <c r="AD1002" s="3" t="str">
        <f t="shared" si="45"/>
        <v>S2S PREMIUM</v>
      </c>
      <c r="AE1002" s="3" t="e">
        <f>VLOOKUP(E1002,'[1]Nómina Agentes'!$C:$D,2,0)</f>
        <v>#N/A</v>
      </c>
      <c r="AF1002" s="5">
        <f t="shared" si="46"/>
        <v>0.66666666666666663</v>
      </c>
      <c r="AG1002" s="5">
        <f t="shared" si="47"/>
        <v>0.6875</v>
      </c>
    </row>
    <row r="1003" spans="1:33" x14ac:dyDescent="0.25">
      <c r="A1003" s="1">
        <v>45567</v>
      </c>
      <c r="B1003">
        <v>924</v>
      </c>
      <c r="C1003" t="s">
        <v>43</v>
      </c>
      <c r="D1003" t="s">
        <v>263</v>
      </c>
      <c r="E1003">
        <v>628452</v>
      </c>
      <c r="F1003" s="2">
        <v>0.77083333333333337</v>
      </c>
      <c r="G1003" t="s">
        <v>6</v>
      </c>
      <c r="H1003" s="2">
        <v>0.79166666666666663</v>
      </c>
      <c r="I1003">
        <v>926</v>
      </c>
      <c r="J1003">
        <v>0</v>
      </c>
      <c r="K1003">
        <v>0</v>
      </c>
      <c r="L1003">
        <v>12</v>
      </c>
      <c r="M1003">
        <v>0</v>
      </c>
      <c r="N1003">
        <v>0</v>
      </c>
      <c r="O1003">
        <v>0</v>
      </c>
      <c r="P1003">
        <v>3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4</v>
      </c>
      <c r="AC1003">
        <v>3</v>
      </c>
      <c r="AD1003" s="3" t="str">
        <f t="shared" si="45"/>
        <v>S2S NO PREMIUM</v>
      </c>
      <c r="AE1003" s="3" t="e">
        <f>VLOOKUP(E1003,'[1]Nómina Agentes'!$C:$D,2,0)</f>
        <v>#N/A</v>
      </c>
      <c r="AF1003" s="5">
        <f t="shared" si="46"/>
        <v>0.77083333333333337</v>
      </c>
      <c r="AG1003" s="5">
        <f t="shared" si="47"/>
        <v>0.79166666666666663</v>
      </c>
    </row>
    <row r="1004" spans="1:33" x14ac:dyDescent="0.25">
      <c r="A1004" s="1">
        <v>45567</v>
      </c>
      <c r="B1004">
        <v>925</v>
      </c>
      <c r="C1004" t="s">
        <v>42</v>
      </c>
      <c r="D1004" t="s">
        <v>263</v>
      </c>
      <c r="E1004">
        <v>628452</v>
      </c>
      <c r="F1004" s="2">
        <v>0.70833333333333337</v>
      </c>
      <c r="G1004" t="s">
        <v>6</v>
      </c>
      <c r="H1004" s="2">
        <v>0.72916666666666663</v>
      </c>
      <c r="I1004">
        <v>1099</v>
      </c>
      <c r="J1004">
        <v>0</v>
      </c>
      <c r="K1004">
        <v>0</v>
      </c>
      <c r="L1004">
        <v>17</v>
      </c>
      <c r="M1004">
        <v>0</v>
      </c>
      <c r="N1004">
        <v>0</v>
      </c>
      <c r="O1004">
        <v>0</v>
      </c>
      <c r="P1004">
        <v>1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2</v>
      </c>
      <c r="AC1004">
        <v>1</v>
      </c>
      <c r="AD1004" s="3" t="str">
        <f t="shared" si="45"/>
        <v>S2S PREMIUM</v>
      </c>
      <c r="AE1004" s="3" t="e">
        <f>VLOOKUP(E1004,'[1]Nómina Agentes'!$C:$D,2,0)</f>
        <v>#N/A</v>
      </c>
      <c r="AF1004" s="5">
        <f t="shared" si="46"/>
        <v>0.70833333333333337</v>
      </c>
      <c r="AG1004" s="5">
        <f t="shared" si="47"/>
        <v>0.72916666666666663</v>
      </c>
    </row>
    <row r="1005" spans="1:33" x14ac:dyDescent="0.25">
      <c r="A1005" s="1">
        <v>45567</v>
      </c>
      <c r="B1005">
        <v>925</v>
      </c>
      <c r="C1005" t="s">
        <v>42</v>
      </c>
      <c r="D1005" t="s">
        <v>263</v>
      </c>
      <c r="E1005">
        <v>628452</v>
      </c>
      <c r="F1005" s="2">
        <v>0.72916666666666663</v>
      </c>
      <c r="G1005" t="s">
        <v>6</v>
      </c>
      <c r="H1005" s="2">
        <v>0.75</v>
      </c>
      <c r="I1005">
        <v>1124</v>
      </c>
      <c r="J1005">
        <v>0</v>
      </c>
      <c r="K1005">
        <v>0</v>
      </c>
      <c r="L1005">
        <v>8</v>
      </c>
      <c r="M1005">
        <v>0</v>
      </c>
      <c r="N1005">
        <v>0</v>
      </c>
      <c r="O1005">
        <v>0</v>
      </c>
      <c r="P1005">
        <v>3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3</v>
      </c>
      <c r="AC1005">
        <v>3</v>
      </c>
      <c r="AD1005" s="3" t="str">
        <f t="shared" si="45"/>
        <v>S2S PREMIUM</v>
      </c>
      <c r="AE1005" s="3" t="e">
        <f>VLOOKUP(E1005,'[1]Nómina Agentes'!$C:$D,2,0)</f>
        <v>#N/A</v>
      </c>
      <c r="AF1005" s="5">
        <f t="shared" si="46"/>
        <v>0.72916666666666663</v>
      </c>
      <c r="AG1005" s="5">
        <f t="shared" si="47"/>
        <v>0.75</v>
      </c>
    </row>
    <row r="1006" spans="1:33" x14ac:dyDescent="0.25">
      <c r="A1006" s="1">
        <v>45567</v>
      </c>
      <c r="B1006">
        <v>925</v>
      </c>
      <c r="C1006" t="s">
        <v>42</v>
      </c>
      <c r="D1006" t="s">
        <v>263</v>
      </c>
      <c r="E1006">
        <v>628452</v>
      </c>
      <c r="F1006" s="2">
        <v>0.6875</v>
      </c>
      <c r="G1006" t="s">
        <v>6</v>
      </c>
      <c r="H1006" s="2">
        <v>0.70833333333333337</v>
      </c>
      <c r="I1006">
        <v>1204</v>
      </c>
      <c r="J1006">
        <v>0</v>
      </c>
      <c r="K1006">
        <v>0</v>
      </c>
      <c r="L1006">
        <v>20</v>
      </c>
      <c r="M1006">
        <v>0</v>
      </c>
      <c r="N1006">
        <v>0</v>
      </c>
      <c r="O1006">
        <v>0</v>
      </c>
      <c r="P1006">
        <v>2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6</v>
      </c>
      <c r="AC1006">
        <v>3</v>
      </c>
      <c r="AD1006" s="3" t="str">
        <f t="shared" si="45"/>
        <v>S2S PREMIUM</v>
      </c>
      <c r="AE1006" s="3" t="e">
        <f>VLOOKUP(E1006,'[1]Nómina Agentes'!$C:$D,2,0)</f>
        <v>#N/A</v>
      </c>
      <c r="AF1006" s="5">
        <f t="shared" si="46"/>
        <v>0.6875</v>
      </c>
      <c r="AG1006" s="5">
        <f t="shared" si="47"/>
        <v>0.70833333333333337</v>
      </c>
    </row>
    <row r="1007" spans="1:33" x14ac:dyDescent="0.25">
      <c r="A1007" s="1">
        <v>45567</v>
      </c>
      <c r="B1007">
        <v>925</v>
      </c>
      <c r="C1007" t="s">
        <v>42</v>
      </c>
      <c r="D1007" t="s">
        <v>264</v>
      </c>
      <c r="E1007">
        <v>628455</v>
      </c>
      <c r="F1007" s="2">
        <v>0.625</v>
      </c>
      <c r="G1007" t="s">
        <v>6</v>
      </c>
      <c r="H1007" s="2">
        <v>0.64583333333333337</v>
      </c>
      <c r="I1007">
        <v>224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1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1</v>
      </c>
      <c r="AC1007">
        <v>1</v>
      </c>
      <c r="AD1007" s="3" t="str">
        <f t="shared" si="45"/>
        <v>S2S PREMIUM</v>
      </c>
      <c r="AE1007" s="3" t="e">
        <f>VLOOKUP(E1007,'[1]Nómina Agentes'!$C:$D,2,0)</f>
        <v>#N/A</v>
      </c>
      <c r="AF1007" s="5">
        <f t="shared" si="46"/>
        <v>0.625</v>
      </c>
      <c r="AG1007" s="5">
        <f t="shared" si="47"/>
        <v>0.64583333333333337</v>
      </c>
    </row>
    <row r="1008" spans="1:33" x14ac:dyDescent="0.25">
      <c r="A1008" s="1">
        <v>45567</v>
      </c>
      <c r="B1008">
        <v>925</v>
      </c>
      <c r="C1008" t="s">
        <v>42</v>
      </c>
      <c r="D1008" t="s">
        <v>264</v>
      </c>
      <c r="E1008">
        <v>628455</v>
      </c>
      <c r="F1008" s="2">
        <v>0.60416666666666663</v>
      </c>
      <c r="G1008" t="s">
        <v>6</v>
      </c>
      <c r="H1008" s="2">
        <v>0.625</v>
      </c>
      <c r="I1008">
        <v>444</v>
      </c>
      <c r="J1008">
        <v>0</v>
      </c>
      <c r="K1008">
        <v>0</v>
      </c>
      <c r="L1008">
        <v>8</v>
      </c>
      <c r="M1008">
        <v>0</v>
      </c>
      <c r="N1008">
        <v>0</v>
      </c>
      <c r="O1008">
        <v>0</v>
      </c>
      <c r="P1008">
        <v>109</v>
      </c>
      <c r="Q1008">
        <v>15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1</v>
      </c>
      <c r="AC1008">
        <v>1</v>
      </c>
      <c r="AD1008" s="3" t="str">
        <f t="shared" si="45"/>
        <v>S2S PREMIUM</v>
      </c>
      <c r="AE1008" s="3" t="e">
        <f>VLOOKUP(E1008,'[1]Nómina Agentes'!$C:$D,2,0)</f>
        <v>#N/A</v>
      </c>
      <c r="AF1008" s="5">
        <f t="shared" si="46"/>
        <v>0.60416666666666663</v>
      </c>
      <c r="AG1008" s="5">
        <f t="shared" si="47"/>
        <v>0.625</v>
      </c>
    </row>
    <row r="1009" spans="1:33" x14ac:dyDescent="0.25">
      <c r="A1009" s="1">
        <v>45567</v>
      </c>
      <c r="B1009">
        <v>925</v>
      </c>
      <c r="C1009" t="s">
        <v>42</v>
      </c>
      <c r="D1009" t="s">
        <v>264</v>
      </c>
      <c r="E1009">
        <v>628455</v>
      </c>
      <c r="F1009" s="2">
        <v>0.58333333333333337</v>
      </c>
      <c r="G1009" t="s">
        <v>6</v>
      </c>
      <c r="H1009" s="2">
        <v>0.60416666666666663</v>
      </c>
      <c r="I1009">
        <v>1363</v>
      </c>
      <c r="J1009">
        <v>0</v>
      </c>
      <c r="K1009">
        <v>0</v>
      </c>
      <c r="L1009">
        <v>9</v>
      </c>
      <c r="M1009">
        <v>0</v>
      </c>
      <c r="N1009">
        <v>0</v>
      </c>
      <c r="O1009">
        <v>0</v>
      </c>
      <c r="P1009">
        <v>2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2</v>
      </c>
      <c r="AC1009">
        <v>2</v>
      </c>
      <c r="AD1009" s="3" t="str">
        <f t="shared" si="45"/>
        <v>S2S PREMIUM</v>
      </c>
      <c r="AE1009" s="3" t="e">
        <f>VLOOKUP(E1009,'[1]Nómina Agentes'!$C:$D,2,0)</f>
        <v>#N/A</v>
      </c>
      <c r="AF1009" s="5">
        <f t="shared" si="46"/>
        <v>0.58333333333333337</v>
      </c>
      <c r="AG1009" s="5">
        <f t="shared" si="47"/>
        <v>0.60416666666666663</v>
      </c>
    </row>
    <row r="1010" spans="1:33" x14ac:dyDescent="0.25">
      <c r="A1010" s="1">
        <v>45567</v>
      </c>
      <c r="B1010">
        <v>925</v>
      </c>
      <c r="C1010" t="s">
        <v>42</v>
      </c>
      <c r="D1010" t="s">
        <v>265</v>
      </c>
      <c r="E1010">
        <v>628458</v>
      </c>
      <c r="F1010" s="2">
        <v>0.75</v>
      </c>
      <c r="G1010" t="s">
        <v>6</v>
      </c>
      <c r="H1010" s="2">
        <v>0.77083333333333337</v>
      </c>
      <c r="I1010">
        <v>124</v>
      </c>
      <c r="J1010">
        <v>0</v>
      </c>
      <c r="K1010">
        <v>0</v>
      </c>
      <c r="L1010">
        <v>4</v>
      </c>
      <c r="M1010">
        <v>0</v>
      </c>
      <c r="N1010">
        <v>0</v>
      </c>
      <c r="O1010">
        <v>0</v>
      </c>
      <c r="P1010">
        <v>1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1</v>
      </c>
      <c r="AC1010">
        <v>1</v>
      </c>
      <c r="AD1010" s="3" t="str">
        <f t="shared" si="45"/>
        <v>S2S PREMIUM</v>
      </c>
      <c r="AE1010" s="3" t="e">
        <f>VLOOKUP(E1010,'[1]Nómina Agentes'!$C:$D,2,0)</f>
        <v>#N/A</v>
      </c>
      <c r="AF1010" s="5">
        <f t="shared" si="46"/>
        <v>0.75</v>
      </c>
      <c r="AG1010" s="5">
        <f t="shared" si="47"/>
        <v>0.77083333333333337</v>
      </c>
    </row>
    <row r="1011" spans="1:33" x14ac:dyDescent="0.25">
      <c r="A1011" s="1">
        <v>45567</v>
      </c>
      <c r="B1011">
        <v>924</v>
      </c>
      <c r="C1011" t="s">
        <v>43</v>
      </c>
      <c r="D1011" t="s">
        <v>266</v>
      </c>
      <c r="E1011">
        <v>628460</v>
      </c>
      <c r="F1011" s="2">
        <v>0.64583333333333337</v>
      </c>
      <c r="G1011" t="s">
        <v>6</v>
      </c>
      <c r="H1011" s="2">
        <v>0.66666666666666663</v>
      </c>
      <c r="I1011">
        <v>156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1</v>
      </c>
      <c r="AC1011">
        <v>0</v>
      </c>
      <c r="AD1011" s="3" t="str">
        <f t="shared" si="45"/>
        <v>S2S NO PREMIUM</v>
      </c>
      <c r="AE1011" s="3" t="e">
        <f>VLOOKUP(E1011,'[1]Nómina Agentes'!$C:$D,2,0)</f>
        <v>#N/A</v>
      </c>
      <c r="AF1011" s="5">
        <f t="shared" si="46"/>
        <v>0.64583333333333337</v>
      </c>
      <c r="AG1011" s="5">
        <f t="shared" si="47"/>
        <v>0.66666666666666663</v>
      </c>
    </row>
    <row r="1012" spans="1:33" x14ac:dyDescent="0.25">
      <c r="A1012" s="1">
        <v>45567</v>
      </c>
      <c r="B1012">
        <v>924</v>
      </c>
      <c r="C1012" t="s">
        <v>43</v>
      </c>
      <c r="D1012" t="s">
        <v>266</v>
      </c>
      <c r="E1012">
        <v>628460</v>
      </c>
      <c r="F1012" s="2">
        <v>0.58333333333333337</v>
      </c>
      <c r="G1012" t="s">
        <v>6</v>
      </c>
      <c r="H1012" s="2">
        <v>0.60416666666666663</v>
      </c>
      <c r="I1012">
        <v>172</v>
      </c>
      <c r="J1012">
        <v>0</v>
      </c>
      <c r="K1012">
        <v>0</v>
      </c>
      <c r="L1012">
        <v>4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1</v>
      </c>
      <c r="AC1012">
        <v>0</v>
      </c>
      <c r="AD1012" s="3" t="str">
        <f t="shared" si="45"/>
        <v>S2S NO PREMIUM</v>
      </c>
      <c r="AE1012" s="3" t="e">
        <f>VLOOKUP(E1012,'[1]Nómina Agentes'!$C:$D,2,0)</f>
        <v>#N/A</v>
      </c>
      <c r="AF1012" s="5">
        <f t="shared" si="46"/>
        <v>0.58333333333333337</v>
      </c>
      <c r="AG1012" s="5">
        <f t="shared" si="47"/>
        <v>0.60416666666666663</v>
      </c>
    </row>
    <row r="1013" spans="1:33" x14ac:dyDescent="0.25">
      <c r="A1013" s="1">
        <v>45567</v>
      </c>
      <c r="B1013">
        <v>924</v>
      </c>
      <c r="C1013" t="s">
        <v>43</v>
      </c>
      <c r="D1013" t="s">
        <v>266</v>
      </c>
      <c r="E1013">
        <v>628460</v>
      </c>
      <c r="F1013" s="2">
        <v>0.625</v>
      </c>
      <c r="G1013" t="s">
        <v>6</v>
      </c>
      <c r="H1013" s="2">
        <v>0.64583333333333337</v>
      </c>
      <c r="I1013">
        <v>360</v>
      </c>
      <c r="J1013">
        <v>0</v>
      </c>
      <c r="K1013">
        <v>0</v>
      </c>
      <c r="L1013">
        <v>4</v>
      </c>
      <c r="M1013">
        <v>0</v>
      </c>
      <c r="N1013">
        <v>0</v>
      </c>
      <c r="O1013">
        <v>0</v>
      </c>
      <c r="P1013">
        <v>360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1</v>
      </c>
      <c r="AC1013">
        <v>1</v>
      </c>
      <c r="AD1013" s="3" t="str">
        <f t="shared" si="45"/>
        <v>S2S NO PREMIUM</v>
      </c>
      <c r="AE1013" s="3" t="e">
        <f>VLOOKUP(E1013,'[1]Nómina Agentes'!$C:$D,2,0)</f>
        <v>#N/A</v>
      </c>
      <c r="AF1013" s="5">
        <f t="shared" si="46"/>
        <v>0.625</v>
      </c>
      <c r="AG1013" s="5">
        <f t="shared" si="47"/>
        <v>0.64583333333333337</v>
      </c>
    </row>
    <row r="1014" spans="1:33" x14ac:dyDescent="0.25">
      <c r="A1014" s="1">
        <v>45567</v>
      </c>
      <c r="B1014">
        <v>924</v>
      </c>
      <c r="C1014" t="s">
        <v>43</v>
      </c>
      <c r="D1014" t="s">
        <v>266</v>
      </c>
      <c r="E1014">
        <v>628460</v>
      </c>
      <c r="F1014" s="2">
        <v>0.60416666666666663</v>
      </c>
      <c r="G1014" t="s">
        <v>6</v>
      </c>
      <c r="H1014" s="2">
        <v>0.625</v>
      </c>
      <c r="I1014">
        <v>881</v>
      </c>
      <c r="J1014">
        <v>0</v>
      </c>
      <c r="K1014">
        <v>0</v>
      </c>
      <c r="L1014">
        <v>8</v>
      </c>
      <c r="M1014">
        <v>0</v>
      </c>
      <c r="N1014">
        <v>0</v>
      </c>
      <c r="O1014">
        <v>0</v>
      </c>
      <c r="P1014">
        <v>1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1</v>
      </c>
      <c r="AC1014">
        <v>1</v>
      </c>
      <c r="AD1014" s="3" t="str">
        <f t="shared" si="45"/>
        <v>S2S NO PREMIUM</v>
      </c>
      <c r="AE1014" s="3" t="e">
        <f>VLOOKUP(E1014,'[1]Nómina Agentes'!$C:$D,2,0)</f>
        <v>#N/A</v>
      </c>
      <c r="AF1014" s="5">
        <f t="shared" si="46"/>
        <v>0.60416666666666663</v>
      </c>
      <c r="AG1014" s="5">
        <f t="shared" si="47"/>
        <v>0.625</v>
      </c>
    </row>
    <row r="1015" spans="1:33" x14ac:dyDescent="0.25">
      <c r="A1015" s="1">
        <v>45567</v>
      </c>
      <c r="B1015">
        <v>925</v>
      </c>
      <c r="C1015" t="s">
        <v>42</v>
      </c>
      <c r="D1015" t="s">
        <v>267</v>
      </c>
      <c r="E1015">
        <v>628468</v>
      </c>
      <c r="F1015" s="2">
        <v>0.625</v>
      </c>
      <c r="G1015" t="s">
        <v>6</v>
      </c>
      <c r="H1015" s="2">
        <v>0.64583333333333337</v>
      </c>
      <c r="I1015">
        <v>57</v>
      </c>
      <c r="J1015">
        <v>0</v>
      </c>
      <c r="K1015">
        <v>0</v>
      </c>
      <c r="L1015">
        <v>4</v>
      </c>
      <c r="M1015">
        <v>0</v>
      </c>
      <c r="N1015">
        <v>0</v>
      </c>
      <c r="O1015">
        <v>0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1</v>
      </c>
      <c r="AC1015">
        <v>1</v>
      </c>
      <c r="AD1015" s="3" t="str">
        <f t="shared" si="45"/>
        <v>S2S PREMIUM</v>
      </c>
      <c r="AE1015" s="3" t="e">
        <f>VLOOKUP(E1015,'[1]Nómina Agentes'!$C:$D,2,0)</f>
        <v>#N/A</v>
      </c>
      <c r="AF1015" s="5">
        <f t="shared" si="46"/>
        <v>0.625</v>
      </c>
      <c r="AG1015" s="5">
        <f t="shared" si="47"/>
        <v>0.64583333333333337</v>
      </c>
    </row>
    <row r="1016" spans="1:33" x14ac:dyDescent="0.25">
      <c r="A1016" s="1">
        <v>45567</v>
      </c>
      <c r="B1016">
        <v>924</v>
      </c>
      <c r="C1016" t="s">
        <v>43</v>
      </c>
      <c r="D1016" t="s">
        <v>268</v>
      </c>
      <c r="E1016">
        <v>628479</v>
      </c>
      <c r="F1016" s="2">
        <v>0.64583333333333337</v>
      </c>
      <c r="G1016" t="s">
        <v>6</v>
      </c>
      <c r="H1016" s="2">
        <v>0.66666666666666663</v>
      </c>
      <c r="I1016">
        <v>30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1</v>
      </c>
      <c r="AC1016">
        <v>1</v>
      </c>
      <c r="AD1016" s="3" t="str">
        <f t="shared" si="45"/>
        <v>S2S NO PREMIUM</v>
      </c>
      <c r="AE1016" s="3" t="e">
        <f>VLOOKUP(E1016,'[1]Nómina Agentes'!$C:$D,2,0)</f>
        <v>#N/A</v>
      </c>
      <c r="AF1016" s="5">
        <f t="shared" si="46"/>
        <v>0.64583333333333337</v>
      </c>
      <c r="AG1016" s="5">
        <f t="shared" si="47"/>
        <v>0.66666666666666663</v>
      </c>
    </row>
    <row r="1017" spans="1:33" x14ac:dyDescent="0.25">
      <c r="A1017" s="1">
        <v>45567</v>
      </c>
      <c r="B1017">
        <v>924</v>
      </c>
      <c r="C1017" t="s">
        <v>43</v>
      </c>
      <c r="D1017" t="s">
        <v>268</v>
      </c>
      <c r="E1017">
        <v>628479</v>
      </c>
      <c r="F1017" s="2">
        <v>0.625</v>
      </c>
      <c r="G1017" t="s">
        <v>6</v>
      </c>
      <c r="H1017" s="2">
        <v>0.64583333333333337</v>
      </c>
      <c r="I1017">
        <v>117</v>
      </c>
      <c r="J1017">
        <v>0</v>
      </c>
      <c r="K1017">
        <v>0</v>
      </c>
      <c r="L1017">
        <v>4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 s="3" t="str">
        <f t="shared" si="45"/>
        <v>S2S NO PREMIUM</v>
      </c>
      <c r="AE1017" s="3" t="e">
        <f>VLOOKUP(E1017,'[1]Nómina Agentes'!$C:$D,2,0)</f>
        <v>#N/A</v>
      </c>
      <c r="AF1017" s="5">
        <f t="shared" si="46"/>
        <v>0.625</v>
      </c>
      <c r="AG1017" s="5">
        <f t="shared" si="47"/>
        <v>0.64583333333333337</v>
      </c>
    </row>
    <row r="1018" spans="1:33" x14ac:dyDescent="0.25">
      <c r="A1018" s="1">
        <v>45567</v>
      </c>
      <c r="B1018">
        <v>925</v>
      </c>
      <c r="C1018" t="s">
        <v>42</v>
      </c>
      <c r="D1018" t="s">
        <v>269</v>
      </c>
      <c r="E1018">
        <v>628496</v>
      </c>
      <c r="F1018" s="2">
        <v>0.66666666666666663</v>
      </c>
      <c r="G1018" t="s">
        <v>6</v>
      </c>
      <c r="H1018" s="2">
        <v>0.6875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 s="3" t="str">
        <f t="shared" si="45"/>
        <v>S2S PREMIUM</v>
      </c>
      <c r="AE1018" s="3" t="e">
        <f>VLOOKUP(E1018,'[1]Nómina Agentes'!$C:$D,2,0)</f>
        <v>#N/A</v>
      </c>
      <c r="AF1018" s="5">
        <f t="shared" si="46"/>
        <v>0.66666666666666663</v>
      </c>
      <c r="AG1018" s="5">
        <f t="shared" si="47"/>
        <v>0.6875</v>
      </c>
    </row>
    <row r="1019" spans="1:33" x14ac:dyDescent="0.25">
      <c r="A1019" s="1">
        <v>45567</v>
      </c>
      <c r="B1019">
        <v>924</v>
      </c>
      <c r="C1019" t="s">
        <v>43</v>
      </c>
      <c r="D1019" t="s">
        <v>269</v>
      </c>
      <c r="E1019">
        <v>628496</v>
      </c>
      <c r="F1019" s="2">
        <v>0.79166666666666663</v>
      </c>
      <c r="G1019" t="s">
        <v>6</v>
      </c>
      <c r="H1019" s="2">
        <v>0.8125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 s="3" t="str">
        <f t="shared" si="45"/>
        <v>S2S NO PREMIUM</v>
      </c>
      <c r="AE1019" s="3" t="e">
        <f>VLOOKUP(E1019,'[1]Nómina Agentes'!$C:$D,2,0)</f>
        <v>#N/A</v>
      </c>
      <c r="AF1019" s="5">
        <f t="shared" si="46"/>
        <v>0.79166666666666663</v>
      </c>
      <c r="AG1019" s="5">
        <f t="shared" si="47"/>
        <v>0.8125</v>
      </c>
    </row>
    <row r="1020" spans="1:33" x14ac:dyDescent="0.25">
      <c r="A1020" s="1">
        <v>45567</v>
      </c>
      <c r="B1020">
        <v>925</v>
      </c>
      <c r="C1020" t="s">
        <v>42</v>
      </c>
      <c r="D1020" t="s">
        <v>269</v>
      </c>
      <c r="E1020">
        <v>628496</v>
      </c>
      <c r="F1020" s="2">
        <v>0.625</v>
      </c>
      <c r="G1020" t="s">
        <v>6</v>
      </c>
      <c r="H1020" s="2">
        <v>0.64583333333333337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 s="3" t="str">
        <f t="shared" si="45"/>
        <v>S2S PREMIUM</v>
      </c>
      <c r="AE1020" s="3" t="e">
        <f>VLOOKUP(E1020,'[1]Nómina Agentes'!$C:$D,2,0)</f>
        <v>#N/A</v>
      </c>
      <c r="AF1020" s="5">
        <f t="shared" si="46"/>
        <v>0.625</v>
      </c>
      <c r="AG1020" s="5">
        <f t="shared" si="47"/>
        <v>0.64583333333333337</v>
      </c>
    </row>
    <row r="1021" spans="1:33" x14ac:dyDescent="0.25">
      <c r="A1021" s="1">
        <v>45567</v>
      </c>
      <c r="B1021">
        <v>924</v>
      </c>
      <c r="C1021" t="s">
        <v>43</v>
      </c>
      <c r="D1021" t="s">
        <v>269</v>
      </c>
      <c r="E1021">
        <v>628496</v>
      </c>
      <c r="F1021" s="2">
        <v>0.8125</v>
      </c>
      <c r="G1021" t="s">
        <v>6</v>
      </c>
      <c r="H1021" s="2">
        <v>0.83333333333333337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 s="3" t="str">
        <f t="shared" si="45"/>
        <v>S2S NO PREMIUM</v>
      </c>
      <c r="AE1021" s="3" t="e">
        <f>VLOOKUP(E1021,'[1]Nómina Agentes'!$C:$D,2,0)</f>
        <v>#N/A</v>
      </c>
      <c r="AF1021" s="5">
        <f t="shared" si="46"/>
        <v>0.8125</v>
      </c>
      <c r="AG1021" s="5">
        <f t="shared" si="47"/>
        <v>0.83333333333333337</v>
      </c>
    </row>
    <row r="1022" spans="1:33" x14ac:dyDescent="0.25">
      <c r="A1022" s="1">
        <v>45567</v>
      </c>
      <c r="B1022">
        <v>925</v>
      </c>
      <c r="C1022" t="s">
        <v>42</v>
      </c>
      <c r="D1022" t="s">
        <v>269</v>
      </c>
      <c r="E1022">
        <v>628496</v>
      </c>
      <c r="F1022" s="2">
        <v>0.64583333333333337</v>
      </c>
      <c r="G1022" t="s">
        <v>6</v>
      </c>
      <c r="H1022" s="2">
        <v>0.66666666666666663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 s="3" t="str">
        <f t="shared" si="45"/>
        <v>S2S PREMIUM</v>
      </c>
      <c r="AE1022" s="3" t="e">
        <f>VLOOKUP(E1022,'[1]Nómina Agentes'!$C:$D,2,0)</f>
        <v>#N/A</v>
      </c>
      <c r="AF1022" s="5">
        <f t="shared" si="46"/>
        <v>0.64583333333333337</v>
      </c>
      <c r="AG1022" s="5">
        <f t="shared" si="47"/>
        <v>0.66666666666666663</v>
      </c>
    </row>
    <row r="1023" spans="1:33" x14ac:dyDescent="0.25">
      <c r="A1023" s="1">
        <v>45567</v>
      </c>
      <c r="B1023">
        <v>925</v>
      </c>
      <c r="C1023" t="s">
        <v>42</v>
      </c>
      <c r="D1023" t="s">
        <v>269</v>
      </c>
      <c r="E1023">
        <v>628496</v>
      </c>
      <c r="F1023" s="2">
        <v>0.70833333333333337</v>
      </c>
      <c r="G1023" t="s">
        <v>6</v>
      </c>
      <c r="H1023" s="2">
        <v>0.72916666666666663</v>
      </c>
      <c r="I1023">
        <v>103</v>
      </c>
      <c r="J1023">
        <v>0</v>
      </c>
      <c r="K1023">
        <v>0</v>
      </c>
      <c r="L1023">
        <v>4</v>
      </c>
      <c r="M1023">
        <v>0</v>
      </c>
      <c r="N1023">
        <v>0</v>
      </c>
      <c r="O1023">
        <v>0</v>
      </c>
      <c r="P1023">
        <v>460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2</v>
      </c>
      <c r="AC1023">
        <v>1</v>
      </c>
      <c r="AD1023" s="3" t="str">
        <f t="shared" ref="AD1023:AD1086" si="48">UPPER(C1023)</f>
        <v>S2S PREMIUM</v>
      </c>
      <c r="AE1023" s="3" t="e">
        <f>VLOOKUP(E1023,'[1]Nómina Agentes'!$C:$D,2,0)</f>
        <v>#N/A</v>
      </c>
      <c r="AF1023" s="5">
        <f t="shared" ref="AF1023:AF1086" si="49">F1023</f>
        <v>0.70833333333333337</v>
      </c>
      <c r="AG1023" s="5">
        <f t="shared" ref="AG1023:AG1086" si="50">H1023</f>
        <v>0.72916666666666663</v>
      </c>
    </row>
    <row r="1024" spans="1:33" x14ac:dyDescent="0.25">
      <c r="A1024" s="1">
        <v>45567</v>
      </c>
      <c r="B1024">
        <v>924</v>
      </c>
      <c r="C1024" t="s">
        <v>43</v>
      </c>
      <c r="D1024" t="s">
        <v>269</v>
      </c>
      <c r="E1024">
        <v>628496</v>
      </c>
      <c r="F1024" s="2">
        <v>0.77083333333333337</v>
      </c>
      <c r="G1024" t="s">
        <v>6</v>
      </c>
      <c r="H1024" s="2">
        <v>0.79166666666666663</v>
      </c>
      <c r="I1024">
        <v>155</v>
      </c>
      <c r="J1024">
        <v>0</v>
      </c>
      <c r="K1024">
        <v>0</v>
      </c>
      <c r="L1024">
        <v>4</v>
      </c>
      <c r="M1024">
        <v>0</v>
      </c>
      <c r="N1024">
        <v>0</v>
      </c>
      <c r="O1024">
        <v>0</v>
      </c>
      <c r="P1024">
        <v>2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2</v>
      </c>
      <c r="AC1024">
        <v>2</v>
      </c>
      <c r="AD1024" s="3" t="str">
        <f t="shared" si="48"/>
        <v>S2S NO PREMIUM</v>
      </c>
      <c r="AE1024" s="3" t="e">
        <f>VLOOKUP(E1024,'[1]Nómina Agentes'!$C:$D,2,0)</f>
        <v>#N/A</v>
      </c>
      <c r="AF1024" s="5">
        <f t="shared" si="49"/>
        <v>0.77083333333333337</v>
      </c>
      <c r="AG1024" s="5">
        <f t="shared" si="50"/>
        <v>0.79166666666666663</v>
      </c>
    </row>
    <row r="1025" spans="1:33" x14ac:dyDescent="0.25">
      <c r="A1025" s="1">
        <v>45567</v>
      </c>
      <c r="B1025">
        <v>924</v>
      </c>
      <c r="C1025" t="s">
        <v>43</v>
      </c>
      <c r="D1025" t="s">
        <v>269</v>
      </c>
      <c r="E1025">
        <v>628496</v>
      </c>
      <c r="F1025" s="2">
        <v>0.75</v>
      </c>
      <c r="G1025" t="s">
        <v>6</v>
      </c>
      <c r="H1025" s="2">
        <v>0.77083333333333337</v>
      </c>
      <c r="I1025">
        <v>191</v>
      </c>
      <c r="J1025">
        <v>0</v>
      </c>
      <c r="K1025">
        <v>0</v>
      </c>
      <c r="L1025">
        <v>5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 s="3" t="str">
        <f t="shared" si="48"/>
        <v>S2S NO PREMIUM</v>
      </c>
      <c r="AE1025" s="3" t="e">
        <f>VLOOKUP(E1025,'[1]Nómina Agentes'!$C:$D,2,0)</f>
        <v>#N/A</v>
      </c>
      <c r="AF1025" s="5">
        <f t="shared" si="49"/>
        <v>0.75</v>
      </c>
      <c r="AG1025" s="5">
        <f t="shared" si="50"/>
        <v>0.77083333333333337</v>
      </c>
    </row>
    <row r="1026" spans="1:33" x14ac:dyDescent="0.25">
      <c r="A1026" s="1">
        <v>45567</v>
      </c>
      <c r="B1026">
        <v>925</v>
      </c>
      <c r="C1026" t="s">
        <v>42</v>
      </c>
      <c r="D1026" t="s">
        <v>269</v>
      </c>
      <c r="E1026">
        <v>628496</v>
      </c>
      <c r="F1026" s="2">
        <v>0.72916666666666663</v>
      </c>
      <c r="G1026" t="s">
        <v>6</v>
      </c>
      <c r="H1026" s="2">
        <v>0.75</v>
      </c>
      <c r="I1026">
        <v>285</v>
      </c>
      <c r="J1026">
        <v>0</v>
      </c>
      <c r="K1026">
        <v>0</v>
      </c>
      <c r="L1026">
        <v>12</v>
      </c>
      <c r="M1026">
        <v>0</v>
      </c>
      <c r="N1026">
        <v>0</v>
      </c>
      <c r="O1026">
        <v>0</v>
      </c>
      <c r="P1026">
        <v>96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2</v>
      </c>
      <c r="AC1026">
        <v>2</v>
      </c>
      <c r="AD1026" s="3" t="str">
        <f t="shared" si="48"/>
        <v>S2S PREMIUM</v>
      </c>
      <c r="AE1026" s="3" t="e">
        <f>VLOOKUP(E1026,'[1]Nómina Agentes'!$C:$D,2,0)</f>
        <v>#N/A</v>
      </c>
      <c r="AF1026" s="5">
        <f t="shared" si="49"/>
        <v>0.72916666666666663</v>
      </c>
      <c r="AG1026" s="5">
        <f t="shared" si="50"/>
        <v>0.75</v>
      </c>
    </row>
    <row r="1027" spans="1:33" x14ac:dyDescent="0.25">
      <c r="A1027" s="1">
        <v>45567</v>
      </c>
      <c r="B1027">
        <v>925</v>
      </c>
      <c r="C1027" t="s">
        <v>42</v>
      </c>
      <c r="D1027" t="s">
        <v>269</v>
      </c>
      <c r="E1027">
        <v>628496</v>
      </c>
      <c r="F1027" s="2">
        <v>0.75</v>
      </c>
      <c r="G1027" t="s">
        <v>6</v>
      </c>
      <c r="H1027" s="2">
        <v>0.77083333333333337</v>
      </c>
      <c r="I1027">
        <v>492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1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1</v>
      </c>
      <c r="AC1027">
        <v>1</v>
      </c>
      <c r="AD1027" s="3" t="str">
        <f t="shared" si="48"/>
        <v>S2S PREMIUM</v>
      </c>
      <c r="AE1027" s="3" t="e">
        <f>VLOOKUP(E1027,'[1]Nómina Agentes'!$C:$D,2,0)</f>
        <v>#N/A</v>
      </c>
      <c r="AF1027" s="5">
        <f t="shared" si="49"/>
        <v>0.75</v>
      </c>
      <c r="AG1027" s="5">
        <f t="shared" si="50"/>
        <v>0.77083333333333337</v>
      </c>
    </row>
    <row r="1028" spans="1:33" x14ac:dyDescent="0.25">
      <c r="A1028" s="1">
        <v>45567</v>
      </c>
      <c r="B1028">
        <v>925</v>
      </c>
      <c r="C1028" t="s">
        <v>42</v>
      </c>
      <c r="D1028" t="s">
        <v>269</v>
      </c>
      <c r="E1028">
        <v>628496</v>
      </c>
      <c r="F1028" s="2">
        <v>0.6875</v>
      </c>
      <c r="G1028" t="s">
        <v>6</v>
      </c>
      <c r="H1028" s="2">
        <v>0.70833333333333337</v>
      </c>
      <c r="I1028">
        <v>553</v>
      </c>
      <c r="J1028">
        <v>0</v>
      </c>
      <c r="K1028">
        <v>0</v>
      </c>
      <c r="L1028">
        <v>8</v>
      </c>
      <c r="M1028">
        <v>0</v>
      </c>
      <c r="N1028">
        <v>0</v>
      </c>
      <c r="O1028">
        <v>0</v>
      </c>
      <c r="P1028">
        <v>126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1</v>
      </c>
      <c r="AC1028">
        <v>1</v>
      </c>
      <c r="AD1028" s="3" t="str">
        <f t="shared" si="48"/>
        <v>S2S PREMIUM</v>
      </c>
      <c r="AE1028" s="3" t="e">
        <f>VLOOKUP(E1028,'[1]Nómina Agentes'!$C:$D,2,0)</f>
        <v>#N/A</v>
      </c>
      <c r="AF1028" s="5">
        <f t="shared" si="49"/>
        <v>0.6875</v>
      </c>
      <c r="AG1028" s="5">
        <f t="shared" si="50"/>
        <v>0.70833333333333337</v>
      </c>
    </row>
    <row r="1029" spans="1:33" x14ac:dyDescent="0.25">
      <c r="A1029" s="1">
        <v>45567</v>
      </c>
      <c r="B1029">
        <v>925</v>
      </c>
      <c r="C1029" t="s">
        <v>42</v>
      </c>
      <c r="D1029" t="s">
        <v>270</v>
      </c>
      <c r="E1029">
        <v>628507</v>
      </c>
      <c r="F1029" s="2">
        <v>0.72916666666666663</v>
      </c>
      <c r="G1029" t="s">
        <v>6</v>
      </c>
      <c r="H1029" s="2">
        <v>0.75</v>
      </c>
      <c r="I1029">
        <v>497</v>
      </c>
      <c r="J1029">
        <v>0</v>
      </c>
      <c r="K1029">
        <v>0</v>
      </c>
      <c r="L1029">
        <v>8</v>
      </c>
      <c r="M1029">
        <v>0</v>
      </c>
      <c r="N1029">
        <v>0</v>
      </c>
      <c r="O1029">
        <v>0</v>
      </c>
      <c r="P1029">
        <v>2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3</v>
      </c>
      <c r="AC1029">
        <v>2</v>
      </c>
      <c r="AD1029" s="3" t="str">
        <f t="shared" si="48"/>
        <v>S2S PREMIUM</v>
      </c>
      <c r="AE1029" s="3" t="e">
        <f>VLOOKUP(E1029,'[1]Nómina Agentes'!$C:$D,2,0)</f>
        <v>#N/A</v>
      </c>
      <c r="AF1029" s="5">
        <f t="shared" si="49"/>
        <v>0.72916666666666663</v>
      </c>
      <c r="AG1029" s="5">
        <f t="shared" si="50"/>
        <v>0.75</v>
      </c>
    </row>
    <row r="1030" spans="1:33" x14ac:dyDescent="0.25">
      <c r="A1030" s="1">
        <v>45567</v>
      </c>
      <c r="B1030">
        <v>925</v>
      </c>
      <c r="C1030" t="s">
        <v>42</v>
      </c>
      <c r="D1030" t="s">
        <v>270</v>
      </c>
      <c r="E1030">
        <v>628507</v>
      </c>
      <c r="F1030" s="2">
        <v>0.6875</v>
      </c>
      <c r="G1030" t="s">
        <v>6</v>
      </c>
      <c r="H1030" s="2">
        <v>0.70833333333333337</v>
      </c>
      <c r="I1030">
        <v>504</v>
      </c>
      <c r="J1030">
        <v>0</v>
      </c>
      <c r="K1030">
        <v>0</v>
      </c>
      <c r="L1030">
        <v>12</v>
      </c>
      <c r="M1030">
        <v>0</v>
      </c>
      <c r="N1030">
        <v>0</v>
      </c>
      <c r="O1030">
        <v>0</v>
      </c>
      <c r="P1030">
        <v>395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2</v>
      </c>
      <c r="AC1030">
        <v>2</v>
      </c>
      <c r="AD1030" s="3" t="str">
        <f t="shared" si="48"/>
        <v>S2S PREMIUM</v>
      </c>
      <c r="AE1030" s="3" t="e">
        <f>VLOOKUP(E1030,'[1]Nómina Agentes'!$C:$D,2,0)</f>
        <v>#N/A</v>
      </c>
      <c r="AF1030" s="5">
        <f t="shared" si="49"/>
        <v>0.6875</v>
      </c>
      <c r="AG1030" s="5">
        <f t="shared" si="50"/>
        <v>0.70833333333333337</v>
      </c>
    </row>
    <row r="1031" spans="1:33" x14ac:dyDescent="0.25">
      <c r="A1031" s="1">
        <v>45567</v>
      </c>
      <c r="B1031">
        <v>925</v>
      </c>
      <c r="C1031" t="s">
        <v>42</v>
      </c>
      <c r="D1031" t="s">
        <v>270</v>
      </c>
      <c r="E1031">
        <v>628507</v>
      </c>
      <c r="F1031" s="2">
        <v>0.75</v>
      </c>
      <c r="G1031" t="s">
        <v>6</v>
      </c>
      <c r="H1031" s="2">
        <v>0.77083333333333337</v>
      </c>
      <c r="I1031">
        <v>580</v>
      </c>
      <c r="J1031">
        <v>0</v>
      </c>
      <c r="K1031">
        <v>0</v>
      </c>
      <c r="L1031">
        <v>16</v>
      </c>
      <c r="M1031">
        <v>0</v>
      </c>
      <c r="N1031">
        <v>0</v>
      </c>
      <c r="O1031">
        <v>0</v>
      </c>
      <c r="P1031">
        <v>56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3</v>
      </c>
      <c r="AC1031">
        <v>3</v>
      </c>
      <c r="AD1031" s="3" t="str">
        <f t="shared" si="48"/>
        <v>S2S PREMIUM</v>
      </c>
      <c r="AE1031" s="3" t="e">
        <f>VLOOKUP(E1031,'[1]Nómina Agentes'!$C:$D,2,0)</f>
        <v>#N/A</v>
      </c>
      <c r="AF1031" s="5">
        <f t="shared" si="49"/>
        <v>0.75</v>
      </c>
      <c r="AG1031" s="5">
        <f t="shared" si="50"/>
        <v>0.77083333333333337</v>
      </c>
    </row>
    <row r="1032" spans="1:33" x14ac:dyDescent="0.25">
      <c r="A1032" s="1">
        <v>45567</v>
      </c>
      <c r="B1032">
        <v>925</v>
      </c>
      <c r="C1032" t="s">
        <v>42</v>
      </c>
      <c r="D1032" t="s">
        <v>270</v>
      </c>
      <c r="E1032">
        <v>628507</v>
      </c>
      <c r="F1032" s="2">
        <v>0.8125</v>
      </c>
      <c r="G1032" t="s">
        <v>6</v>
      </c>
      <c r="H1032" s="2">
        <v>0.83333333333333337</v>
      </c>
      <c r="I1032">
        <v>602</v>
      </c>
      <c r="J1032">
        <v>0</v>
      </c>
      <c r="K1032">
        <v>0</v>
      </c>
      <c r="L1032">
        <v>12</v>
      </c>
      <c r="M1032">
        <v>0</v>
      </c>
      <c r="N1032">
        <v>0</v>
      </c>
      <c r="O1032">
        <v>0</v>
      </c>
      <c r="P1032">
        <v>61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3</v>
      </c>
      <c r="AC1032">
        <v>3</v>
      </c>
      <c r="AD1032" s="3" t="str">
        <f t="shared" si="48"/>
        <v>S2S PREMIUM</v>
      </c>
      <c r="AE1032" s="3" t="e">
        <f>VLOOKUP(E1032,'[1]Nómina Agentes'!$C:$D,2,0)</f>
        <v>#N/A</v>
      </c>
      <c r="AF1032" s="5">
        <f t="shared" si="49"/>
        <v>0.8125</v>
      </c>
      <c r="AG1032" s="5">
        <f t="shared" si="50"/>
        <v>0.83333333333333337</v>
      </c>
    </row>
    <row r="1033" spans="1:33" x14ac:dyDescent="0.25">
      <c r="A1033" s="1">
        <v>45567</v>
      </c>
      <c r="B1033">
        <v>925</v>
      </c>
      <c r="C1033" t="s">
        <v>42</v>
      </c>
      <c r="D1033" t="s">
        <v>270</v>
      </c>
      <c r="E1033">
        <v>628507</v>
      </c>
      <c r="F1033" s="2">
        <v>0.64583333333333337</v>
      </c>
      <c r="G1033" t="s">
        <v>6</v>
      </c>
      <c r="H1033" s="2">
        <v>0.66666666666666663</v>
      </c>
      <c r="I1033">
        <v>609</v>
      </c>
      <c r="J1033">
        <v>0</v>
      </c>
      <c r="K1033">
        <v>0</v>
      </c>
      <c r="L1033">
        <v>15</v>
      </c>
      <c r="M1033">
        <v>0</v>
      </c>
      <c r="N1033">
        <v>0</v>
      </c>
      <c r="O1033">
        <v>0</v>
      </c>
      <c r="P1033">
        <v>223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3</v>
      </c>
      <c r="AC1033">
        <v>3</v>
      </c>
      <c r="AD1033" s="3" t="str">
        <f t="shared" si="48"/>
        <v>S2S PREMIUM</v>
      </c>
      <c r="AE1033" s="3" t="e">
        <f>VLOOKUP(E1033,'[1]Nómina Agentes'!$C:$D,2,0)</f>
        <v>#N/A</v>
      </c>
      <c r="AF1033" s="5">
        <f t="shared" si="49"/>
        <v>0.64583333333333337</v>
      </c>
      <c r="AG1033" s="5">
        <f t="shared" si="50"/>
        <v>0.66666666666666663</v>
      </c>
    </row>
    <row r="1034" spans="1:33" x14ac:dyDescent="0.25">
      <c r="A1034" s="1">
        <v>45567</v>
      </c>
      <c r="B1034">
        <v>925</v>
      </c>
      <c r="C1034" t="s">
        <v>42</v>
      </c>
      <c r="D1034" t="s">
        <v>270</v>
      </c>
      <c r="E1034">
        <v>628507</v>
      </c>
      <c r="F1034" s="2">
        <v>0.66666666666666663</v>
      </c>
      <c r="G1034" t="s">
        <v>6</v>
      </c>
      <c r="H1034" s="2">
        <v>0.6875</v>
      </c>
      <c r="I1034">
        <v>627</v>
      </c>
      <c r="J1034">
        <v>0</v>
      </c>
      <c r="K1034">
        <v>0</v>
      </c>
      <c r="L1034">
        <v>16</v>
      </c>
      <c r="M1034">
        <v>0</v>
      </c>
      <c r="N1034">
        <v>0</v>
      </c>
      <c r="O1034">
        <v>0</v>
      </c>
      <c r="P1034">
        <v>5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5</v>
      </c>
      <c r="AC1034">
        <v>5</v>
      </c>
      <c r="AD1034" s="3" t="str">
        <f t="shared" si="48"/>
        <v>S2S PREMIUM</v>
      </c>
      <c r="AE1034" s="3" t="e">
        <f>VLOOKUP(E1034,'[1]Nómina Agentes'!$C:$D,2,0)</f>
        <v>#N/A</v>
      </c>
      <c r="AF1034" s="5">
        <f t="shared" si="49"/>
        <v>0.66666666666666663</v>
      </c>
      <c r="AG1034" s="5">
        <f t="shared" si="50"/>
        <v>0.6875</v>
      </c>
    </row>
    <row r="1035" spans="1:33" x14ac:dyDescent="0.25">
      <c r="A1035" s="1">
        <v>45567</v>
      </c>
      <c r="B1035">
        <v>925</v>
      </c>
      <c r="C1035" t="s">
        <v>42</v>
      </c>
      <c r="D1035" t="s">
        <v>270</v>
      </c>
      <c r="E1035">
        <v>628507</v>
      </c>
      <c r="F1035" s="2">
        <v>0.625</v>
      </c>
      <c r="G1035" t="s">
        <v>6</v>
      </c>
      <c r="H1035" s="2">
        <v>0.64583333333333337</v>
      </c>
      <c r="I1035">
        <v>646</v>
      </c>
      <c r="J1035">
        <v>0</v>
      </c>
      <c r="K1035">
        <v>0</v>
      </c>
      <c r="L1035">
        <v>16</v>
      </c>
      <c r="M1035">
        <v>0</v>
      </c>
      <c r="N1035">
        <v>0</v>
      </c>
      <c r="O1035">
        <v>0</v>
      </c>
      <c r="P1035">
        <v>4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4</v>
      </c>
      <c r="AC1035">
        <v>4</v>
      </c>
      <c r="AD1035" s="3" t="str">
        <f t="shared" si="48"/>
        <v>S2S PREMIUM</v>
      </c>
      <c r="AE1035" s="3" t="e">
        <f>VLOOKUP(E1035,'[1]Nómina Agentes'!$C:$D,2,0)</f>
        <v>#N/A</v>
      </c>
      <c r="AF1035" s="5">
        <f t="shared" si="49"/>
        <v>0.625</v>
      </c>
      <c r="AG1035" s="5">
        <f t="shared" si="50"/>
        <v>0.64583333333333337</v>
      </c>
    </row>
    <row r="1036" spans="1:33" x14ac:dyDescent="0.25">
      <c r="A1036" s="1">
        <v>45567</v>
      </c>
      <c r="B1036">
        <v>925</v>
      </c>
      <c r="C1036" t="s">
        <v>42</v>
      </c>
      <c r="D1036" t="s">
        <v>270</v>
      </c>
      <c r="E1036">
        <v>628507</v>
      </c>
      <c r="F1036" s="2">
        <v>0.77083333333333337</v>
      </c>
      <c r="G1036" t="s">
        <v>6</v>
      </c>
      <c r="H1036" s="2">
        <v>0.79166666666666663</v>
      </c>
      <c r="I1036">
        <v>808</v>
      </c>
      <c r="J1036">
        <v>0</v>
      </c>
      <c r="K1036">
        <v>0</v>
      </c>
      <c r="L1036">
        <v>8</v>
      </c>
      <c r="M1036">
        <v>0</v>
      </c>
      <c r="N1036">
        <v>0</v>
      </c>
      <c r="O1036">
        <v>0</v>
      </c>
      <c r="P1036">
        <v>64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3</v>
      </c>
      <c r="AC1036">
        <v>2</v>
      </c>
      <c r="AD1036" s="3" t="str">
        <f t="shared" si="48"/>
        <v>S2S PREMIUM</v>
      </c>
      <c r="AE1036" s="3" t="e">
        <f>VLOOKUP(E1036,'[1]Nómina Agentes'!$C:$D,2,0)</f>
        <v>#N/A</v>
      </c>
      <c r="AF1036" s="5">
        <f t="shared" si="49"/>
        <v>0.77083333333333337</v>
      </c>
      <c r="AG1036" s="5">
        <f t="shared" si="50"/>
        <v>0.79166666666666663</v>
      </c>
    </row>
    <row r="1037" spans="1:33" x14ac:dyDescent="0.25">
      <c r="A1037" s="1">
        <v>45567</v>
      </c>
      <c r="B1037">
        <v>925</v>
      </c>
      <c r="C1037" t="s">
        <v>42</v>
      </c>
      <c r="D1037" t="s">
        <v>270</v>
      </c>
      <c r="E1037">
        <v>628507</v>
      </c>
      <c r="F1037" s="2">
        <v>0.70833333333333337</v>
      </c>
      <c r="G1037" t="s">
        <v>6</v>
      </c>
      <c r="H1037" s="2">
        <v>0.72916666666666663</v>
      </c>
      <c r="I1037">
        <v>929</v>
      </c>
      <c r="J1037">
        <v>0</v>
      </c>
      <c r="K1037">
        <v>0</v>
      </c>
      <c r="L1037">
        <v>15</v>
      </c>
      <c r="M1037">
        <v>0</v>
      </c>
      <c r="N1037">
        <v>0</v>
      </c>
      <c r="O1037">
        <v>0</v>
      </c>
      <c r="P1037">
        <v>36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4</v>
      </c>
      <c r="AC1037">
        <v>4</v>
      </c>
      <c r="AD1037" s="3" t="str">
        <f t="shared" si="48"/>
        <v>S2S PREMIUM</v>
      </c>
      <c r="AE1037" s="3" t="e">
        <f>VLOOKUP(E1037,'[1]Nómina Agentes'!$C:$D,2,0)</f>
        <v>#N/A</v>
      </c>
      <c r="AF1037" s="5">
        <f t="shared" si="49"/>
        <v>0.70833333333333337</v>
      </c>
      <c r="AG1037" s="5">
        <f t="shared" si="50"/>
        <v>0.72916666666666663</v>
      </c>
    </row>
    <row r="1038" spans="1:33" x14ac:dyDescent="0.25">
      <c r="A1038" s="1">
        <v>45567</v>
      </c>
      <c r="B1038">
        <v>925</v>
      </c>
      <c r="C1038" t="s">
        <v>42</v>
      </c>
      <c r="D1038" t="s">
        <v>270</v>
      </c>
      <c r="E1038">
        <v>628507</v>
      </c>
      <c r="F1038" s="2">
        <v>0.79166666666666663</v>
      </c>
      <c r="G1038" t="s">
        <v>6</v>
      </c>
      <c r="H1038" s="2">
        <v>0.8125</v>
      </c>
      <c r="I1038">
        <v>1144</v>
      </c>
      <c r="J1038">
        <v>0</v>
      </c>
      <c r="K1038">
        <v>0</v>
      </c>
      <c r="L1038">
        <v>20</v>
      </c>
      <c r="M1038">
        <v>0</v>
      </c>
      <c r="N1038">
        <v>0</v>
      </c>
      <c r="O1038">
        <v>0</v>
      </c>
      <c r="P1038">
        <v>6</v>
      </c>
      <c r="Q1038">
        <v>1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5</v>
      </c>
      <c r="AC1038">
        <v>4</v>
      </c>
      <c r="AD1038" s="3" t="str">
        <f t="shared" si="48"/>
        <v>S2S PREMIUM</v>
      </c>
      <c r="AE1038" s="3" t="e">
        <f>VLOOKUP(E1038,'[1]Nómina Agentes'!$C:$D,2,0)</f>
        <v>#N/A</v>
      </c>
      <c r="AF1038" s="5">
        <f t="shared" si="49"/>
        <v>0.79166666666666663</v>
      </c>
      <c r="AG1038" s="5">
        <f t="shared" si="50"/>
        <v>0.8125</v>
      </c>
    </row>
    <row r="1039" spans="1:33" x14ac:dyDescent="0.25">
      <c r="A1039" s="1">
        <v>45567</v>
      </c>
      <c r="B1039">
        <v>924</v>
      </c>
      <c r="C1039" t="s">
        <v>43</v>
      </c>
      <c r="D1039" t="s">
        <v>271</v>
      </c>
      <c r="E1039">
        <v>628512</v>
      </c>
      <c r="F1039" s="2">
        <v>0.70833333333333337</v>
      </c>
      <c r="G1039" t="s">
        <v>6</v>
      </c>
      <c r="H1039" s="2">
        <v>0.72916666666666663</v>
      </c>
      <c r="I1039">
        <v>378</v>
      </c>
      <c r="J1039">
        <v>0</v>
      </c>
      <c r="K1039">
        <v>0</v>
      </c>
      <c r="L1039">
        <v>4</v>
      </c>
      <c r="M1039">
        <v>0</v>
      </c>
      <c r="N1039">
        <v>0</v>
      </c>
      <c r="O1039">
        <v>0</v>
      </c>
      <c r="P1039">
        <v>2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2</v>
      </c>
      <c r="AC1039">
        <v>2</v>
      </c>
      <c r="AD1039" s="3" t="str">
        <f t="shared" si="48"/>
        <v>S2S NO PREMIUM</v>
      </c>
      <c r="AE1039" s="3" t="e">
        <f>VLOOKUP(E1039,'[1]Nómina Agentes'!$C:$D,2,0)</f>
        <v>#N/A</v>
      </c>
      <c r="AF1039" s="5">
        <f t="shared" si="49"/>
        <v>0.70833333333333337</v>
      </c>
      <c r="AG1039" s="5">
        <f t="shared" si="50"/>
        <v>0.72916666666666663</v>
      </c>
    </row>
    <row r="1040" spans="1:33" x14ac:dyDescent="0.25">
      <c r="A1040" s="1">
        <v>45567</v>
      </c>
      <c r="B1040">
        <v>924</v>
      </c>
      <c r="C1040" t="s">
        <v>43</v>
      </c>
      <c r="D1040" t="s">
        <v>271</v>
      </c>
      <c r="E1040">
        <v>628512</v>
      </c>
      <c r="F1040" s="2">
        <v>0.79166666666666663</v>
      </c>
      <c r="G1040" t="s">
        <v>6</v>
      </c>
      <c r="H1040" s="2">
        <v>0.8125</v>
      </c>
      <c r="I1040">
        <v>552</v>
      </c>
      <c r="J1040">
        <v>0</v>
      </c>
      <c r="K1040">
        <v>0</v>
      </c>
      <c r="L1040">
        <v>8</v>
      </c>
      <c r="M1040">
        <v>0</v>
      </c>
      <c r="N1040">
        <v>0</v>
      </c>
      <c r="O1040">
        <v>0</v>
      </c>
      <c r="P1040">
        <v>2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2</v>
      </c>
      <c r="AC1040">
        <v>2</v>
      </c>
      <c r="AD1040" s="3" t="str">
        <f t="shared" si="48"/>
        <v>S2S NO PREMIUM</v>
      </c>
      <c r="AE1040" s="3" t="e">
        <f>VLOOKUP(E1040,'[1]Nómina Agentes'!$C:$D,2,0)</f>
        <v>#N/A</v>
      </c>
      <c r="AF1040" s="5">
        <f t="shared" si="49"/>
        <v>0.79166666666666663</v>
      </c>
      <c r="AG1040" s="5">
        <f t="shared" si="50"/>
        <v>0.8125</v>
      </c>
    </row>
    <row r="1041" spans="1:33" x14ac:dyDescent="0.25">
      <c r="A1041" s="1">
        <v>45567</v>
      </c>
      <c r="B1041">
        <v>924</v>
      </c>
      <c r="C1041" t="s">
        <v>43</v>
      </c>
      <c r="D1041" t="s">
        <v>271</v>
      </c>
      <c r="E1041">
        <v>628512</v>
      </c>
      <c r="F1041" s="2">
        <v>0.64583333333333337</v>
      </c>
      <c r="G1041" t="s">
        <v>6</v>
      </c>
      <c r="H1041" s="2">
        <v>0.66666666666666663</v>
      </c>
      <c r="I1041">
        <v>656</v>
      </c>
      <c r="J1041">
        <v>0</v>
      </c>
      <c r="K1041">
        <v>0</v>
      </c>
      <c r="L1041">
        <v>12</v>
      </c>
      <c r="M1041">
        <v>0</v>
      </c>
      <c r="N1041">
        <v>0</v>
      </c>
      <c r="O1041">
        <v>0</v>
      </c>
      <c r="P1041">
        <v>2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2</v>
      </c>
      <c r="AC1041">
        <v>2</v>
      </c>
      <c r="AD1041" s="3" t="str">
        <f t="shared" si="48"/>
        <v>S2S NO PREMIUM</v>
      </c>
      <c r="AE1041" s="3" t="e">
        <f>VLOOKUP(E1041,'[1]Nómina Agentes'!$C:$D,2,0)</f>
        <v>#N/A</v>
      </c>
      <c r="AF1041" s="5">
        <f t="shared" si="49"/>
        <v>0.64583333333333337</v>
      </c>
      <c r="AG1041" s="5">
        <f t="shared" si="50"/>
        <v>0.66666666666666663</v>
      </c>
    </row>
    <row r="1042" spans="1:33" x14ac:dyDescent="0.25">
      <c r="A1042" s="1">
        <v>45567</v>
      </c>
      <c r="B1042">
        <v>924</v>
      </c>
      <c r="C1042" t="s">
        <v>43</v>
      </c>
      <c r="D1042" t="s">
        <v>271</v>
      </c>
      <c r="E1042">
        <v>628512</v>
      </c>
      <c r="F1042" s="2">
        <v>0.8125</v>
      </c>
      <c r="G1042" t="s">
        <v>6</v>
      </c>
      <c r="H1042" s="2">
        <v>0.83333333333333337</v>
      </c>
      <c r="I1042">
        <v>912</v>
      </c>
      <c r="J1042">
        <v>0</v>
      </c>
      <c r="K1042">
        <v>0</v>
      </c>
      <c r="L1042">
        <v>12</v>
      </c>
      <c r="M1042">
        <v>0</v>
      </c>
      <c r="N1042">
        <v>0</v>
      </c>
      <c r="O1042">
        <v>0</v>
      </c>
      <c r="P1042">
        <v>28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3</v>
      </c>
      <c r="AC1042">
        <v>3</v>
      </c>
      <c r="AD1042" s="3" t="str">
        <f t="shared" si="48"/>
        <v>S2S NO PREMIUM</v>
      </c>
      <c r="AE1042" s="3" t="e">
        <f>VLOOKUP(E1042,'[1]Nómina Agentes'!$C:$D,2,0)</f>
        <v>#N/A</v>
      </c>
      <c r="AF1042" s="5">
        <f t="shared" si="49"/>
        <v>0.8125</v>
      </c>
      <c r="AG1042" s="5">
        <f t="shared" si="50"/>
        <v>0.83333333333333337</v>
      </c>
    </row>
    <row r="1043" spans="1:33" x14ac:dyDescent="0.25">
      <c r="A1043" s="1">
        <v>45567</v>
      </c>
      <c r="B1043">
        <v>924</v>
      </c>
      <c r="C1043" t="s">
        <v>43</v>
      </c>
      <c r="D1043" t="s">
        <v>271</v>
      </c>
      <c r="E1043">
        <v>628512</v>
      </c>
      <c r="F1043" s="2">
        <v>0.77083333333333337</v>
      </c>
      <c r="G1043" t="s">
        <v>6</v>
      </c>
      <c r="H1043" s="2">
        <v>0.79166666666666663</v>
      </c>
      <c r="I1043">
        <v>977</v>
      </c>
      <c r="J1043">
        <v>0</v>
      </c>
      <c r="K1043">
        <v>0</v>
      </c>
      <c r="L1043">
        <v>13</v>
      </c>
      <c r="M1043">
        <v>0</v>
      </c>
      <c r="N1043">
        <v>0</v>
      </c>
      <c r="O1043">
        <v>0</v>
      </c>
      <c r="P1043">
        <v>3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3</v>
      </c>
      <c r="AC1043">
        <v>3</v>
      </c>
      <c r="AD1043" s="3" t="str">
        <f t="shared" si="48"/>
        <v>S2S NO PREMIUM</v>
      </c>
      <c r="AE1043" s="3" t="e">
        <f>VLOOKUP(E1043,'[1]Nómina Agentes'!$C:$D,2,0)</f>
        <v>#N/A</v>
      </c>
      <c r="AF1043" s="5">
        <f t="shared" si="49"/>
        <v>0.77083333333333337</v>
      </c>
      <c r="AG1043" s="5">
        <f t="shared" si="50"/>
        <v>0.79166666666666663</v>
      </c>
    </row>
    <row r="1044" spans="1:33" x14ac:dyDescent="0.25">
      <c r="A1044" s="1">
        <v>45567</v>
      </c>
      <c r="B1044">
        <v>924</v>
      </c>
      <c r="C1044" t="s">
        <v>43</v>
      </c>
      <c r="D1044" t="s">
        <v>271</v>
      </c>
      <c r="E1044">
        <v>628512</v>
      </c>
      <c r="F1044" s="2">
        <v>0.6875</v>
      </c>
      <c r="G1044" t="s">
        <v>6</v>
      </c>
      <c r="H1044" s="2">
        <v>0.70833333333333337</v>
      </c>
      <c r="I1044">
        <v>1123</v>
      </c>
      <c r="J1044">
        <v>0</v>
      </c>
      <c r="K1044">
        <v>0</v>
      </c>
      <c r="L1044">
        <v>16</v>
      </c>
      <c r="M1044">
        <v>0</v>
      </c>
      <c r="N1044">
        <v>0</v>
      </c>
      <c r="O1044">
        <v>0</v>
      </c>
      <c r="P1044">
        <v>178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4</v>
      </c>
      <c r="AC1044">
        <v>4</v>
      </c>
      <c r="AD1044" s="3" t="str">
        <f t="shared" si="48"/>
        <v>S2S NO PREMIUM</v>
      </c>
      <c r="AE1044" s="3" t="e">
        <f>VLOOKUP(E1044,'[1]Nómina Agentes'!$C:$D,2,0)</f>
        <v>#N/A</v>
      </c>
      <c r="AF1044" s="5">
        <f t="shared" si="49"/>
        <v>0.6875</v>
      </c>
      <c r="AG1044" s="5">
        <f t="shared" si="50"/>
        <v>0.70833333333333337</v>
      </c>
    </row>
    <row r="1045" spans="1:33" x14ac:dyDescent="0.25">
      <c r="A1045" s="1">
        <v>45567</v>
      </c>
      <c r="B1045">
        <v>924</v>
      </c>
      <c r="C1045" t="s">
        <v>43</v>
      </c>
      <c r="D1045" t="s">
        <v>271</v>
      </c>
      <c r="E1045">
        <v>628512</v>
      </c>
      <c r="F1045" s="2">
        <v>0.66666666666666663</v>
      </c>
      <c r="G1045" t="s">
        <v>6</v>
      </c>
      <c r="H1045" s="2">
        <v>0.6875</v>
      </c>
      <c r="I1045">
        <v>1135</v>
      </c>
      <c r="J1045">
        <v>0</v>
      </c>
      <c r="K1045">
        <v>0</v>
      </c>
      <c r="L1045">
        <v>19</v>
      </c>
      <c r="M1045">
        <v>0</v>
      </c>
      <c r="N1045">
        <v>0</v>
      </c>
      <c r="O1045">
        <v>0</v>
      </c>
      <c r="P1045">
        <v>106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5</v>
      </c>
      <c r="AC1045">
        <v>3</v>
      </c>
      <c r="AD1045" s="3" t="str">
        <f t="shared" si="48"/>
        <v>S2S NO PREMIUM</v>
      </c>
      <c r="AE1045" s="3" t="e">
        <f>VLOOKUP(E1045,'[1]Nómina Agentes'!$C:$D,2,0)</f>
        <v>#N/A</v>
      </c>
      <c r="AF1045" s="5">
        <f t="shared" si="49"/>
        <v>0.66666666666666663</v>
      </c>
      <c r="AG1045" s="5">
        <f t="shared" si="50"/>
        <v>0.6875</v>
      </c>
    </row>
    <row r="1046" spans="1:33" x14ac:dyDescent="0.25">
      <c r="A1046" s="1">
        <v>45567</v>
      </c>
      <c r="B1046">
        <v>924</v>
      </c>
      <c r="C1046" t="s">
        <v>43</v>
      </c>
      <c r="D1046" t="s">
        <v>271</v>
      </c>
      <c r="E1046">
        <v>628512</v>
      </c>
      <c r="F1046" s="2">
        <v>0.72916666666666663</v>
      </c>
      <c r="G1046" t="s">
        <v>6</v>
      </c>
      <c r="H1046" s="2">
        <v>0.75</v>
      </c>
      <c r="I1046">
        <v>1354</v>
      </c>
      <c r="J1046">
        <v>0</v>
      </c>
      <c r="K1046">
        <v>0</v>
      </c>
      <c r="L1046">
        <v>11</v>
      </c>
      <c r="M1046">
        <v>0</v>
      </c>
      <c r="N1046">
        <v>0</v>
      </c>
      <c r="O1046">
        <v>0</v>
      </c>
      <c r="P1046">
        <v>2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2</v>
      </c>
      <c r="AC1046">
        <v>2</v>
      </c>
      <c r="AD1046" s="3" t="str">
        <f t="shared" si="48"/>
        <v>S2S NO PREMIUM</v>
      </c>
      <c r="AE1046" s="3" t="e">
        <f>VLOOKUP(E1046,'[1]Nómina Agentes'!$C:$D,2,0)</f>
        <v>#N/A</v>
      </c>
      <c r="AF1046" s="5">
        <f t="shared" si="49"/>
        <v>0.72916666666666663</v>
      </c>
      <c r="AG1046" s="5">
        <f t="shared" si="50"/>
        <v>0.75</v>
      </c>
    </row>
    <row r="1047" spans="1:33" x14ac:dyDescent="0.25">
      <c r="A1047" s="1">
        <v>45567</v>
      </c>
      <c r="B1047">
        <v>924</v>
      </c>
      <c r="C1047" t="s">
        <v>43</v>
      </c>
      <c r="D1047" t="s">
        <v>271</v>
      </c>
      <c r="E1047">
        <v>628512</v>
      </c>
      <c r="F1047" s="2">
        <v>0.75</v>
      </c>
      <c r="G1047" t="s">
        <v>6</v>
      </c>
      <c r="H1047" s="2">
        <v>0.77083333333333337</v>
      </c>
      <c r="I1047">
        <v>1373</v>
      </c>
      <c r="J1047">
        <v>0</v>
      </c>
      <c r="K1047">
        <v>0</v>
      </c>
      <c r="L1047">
        <v>16</v>
      </c>
      <c r="M1047">
        <v>0</v>
      </c>
      <c r="N1047">
        <v>0</v>
      </c>
      <c r="O1047">
        <v>0</v>
      </c>
      <c r="P1047">
        <v>34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4</v>
      </c>
      <c r="AC1047">
        <v>4</v>
      </c>
      <c r="AD1047" s="3" t="str">
        <f t="shared" si="48"/>
        <v>S2S NO PREMIUM</v>
      </c>
      <c r="AE1047" s="3" t="e">
        <f>VLOOKUP(E1047,'[1]Nómina Agentes'!$C:$D,2,0)</f>
        <v>#N/A</v>
      </c>
      <c r="AF1047" s="5">
        <f t="shared" si="49"/>
        <v>0.75</v>
      </c>
      <c r="AG1047" s="5">
        <f t="shared" si="50"/>
        <v>0.77083333333333337</v>
      </c>
    </row>
    <row r="1048" spans="1:33" x14ac:dyDescent="0.25">
      <c r="A1048" s="1">
        <v>45567</v>
      </c>
      <c r="B1048">
        <v>924</v>
      </c>
      <c r="C1048" t="s">
        <v>43</v>
      </c>
      <c r="D1048" t="s">
        <v>272</v>
      </c>
      <c r="E1048">
        <v>628531</v>
      </c>
      <c r="F1048" s="2">
        <v>0.64583333333333337</v>
      </c>
      <c r="G1048" t="s">
        <v>6</v>
      </c>
      <c r="H1048" s="2">
        <v>0.66666666666666663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 s="3" t="str">
        <f t="shared" si="48"/>
        <v>S2S NO PREMIUM</v>
      </c>
      <c r="AE1048" s="3" t="e">
        <f>VLOOKUP(E1048,'[1]Nómina Agentes'!$C:$D,2,0)</f>
        <v>#N/A</v>
      </c>
      <c r="AF1048" s="5">
        <f t="shared" si="49"/>
        <v>0.64583333333333337</v>
      </c>
      <c r="AG1048" s="5">
        <f t="shared" si="50"/>
        <v>0.66666666666666663</v>
      </c>
    </row>
    <row r="1049" spans="1:33" x14ac:dyDescent="0.25">
      <c r="A1049" s="1">
        <v>45567</v>
      </c>
      <c r="B1049">
        <v>924</v>
      </c>
      <c r="C1049" t="s">
        <v>43</v>
      </c>
      <c r="D1049" t="s">
        <v>272</v>
      </c>
      <c r="E1049">
        <v>628531</v>
      </c>
      <c r="F1049" s="2">
        <v>0.625</v>
      </c>
      <c r="G1049" t="s">
        <v>6</v>
      </c>
      <c r="H1049" s="2">
        <v>0.64583333333333337</v>
      </c>
      <c r="I1049">
        <v>250</v>
      </c>
      <c r="J1049">
        <v>0</v>
      </c>
      <c r="K1049">
        <v>0</v>
      </c>
      <c r="L1049">
        <v>4</v>
      </c>
      <c r="M1049">
        <v>0</v>
      </c>
      <c r="N1049">
        <v>0</v>
      </c>
      <c r="O1049">
        <v>0</v>
      </c>
      <c r="P1049">
        <v>1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1</v>
      </c>
      <c r="AC1049">
        <v>1</v>
      </c>
      <c r="AD1049" s="3" t="str">
        <f t="shared" si="48"/>
        <v>S2S NO PREMIUM</v>
      </c>
      <c r="AE1049" s="3" t="e">
        <f>VLOOKUP(E1049,'[1]Nómina Agentes'!$C:$D,2,0)</f>
        <v>#N/A</v>
      </c>
      <c r="AF1049" s="5">
        <f t="shared" si="49"/>
        <v>0.625</v>
      </c>
      <c r="AG1049" s="5">
        <f t="shared" si="50"/>
        <v>0.64583333333333337</v>
      </c>
    </row>
    <row r="1050" spans="1:33" x14ac:dyDescent="0.25">
      <c r="A1050" s="1">
        <v>45567</v>
      </c>
      <c r="B1050">
        <v>924</v>
      </c>
      <c r="C1050" t="s">
        <v>43</v>
      </c>
      <c r="D1050" t="s">
        <v>273</v>
      </c>
      <c r="E1050">
        <v>628540</v>
      </c>
      <c r="F1050" s="2">
        <v>0.75</v>
      </c>
      <c r="G1050" t="s">
        <v>6</v>
      </c>
      <c r="H1050" s="2">
        <v>0.77083333333333337</v>
      </c>
      <c r="I1050">
        <v>170</v>
      </c>
      <c r="J1050">
        <v>0</v>
      </c>
      <c r="K1050">
        <v>0</v>
      </c>
      <c r="L1050">
        <v>4</v>
      </c>
      <c r="M1050">
        <v>0</v>
      </c>
      <c r="N1050">
        <v>0</v>
      </c>
      <c r="O1050">
        <v>0</v>
      </c>
      <c r="P1050">
        <v>1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1</v>
      </c>
      <c r="AC1050">
        <v>1</v>
      </c>
      <c r="AD1050" s="3" t="str">
        <f t="shared" si="48"/>
        <v>S2S NO PREMIUM</v>
      </c>
      <c r="AE1050" s="3" t="e">
        <f>VLOOKUP(E1050,'[1]Nómina Agentes'!$C:$D,2,0)</f>
        <v>#N/A</v>
      </c>
      <c r="AF1050" s="5">
        <f t="shared" si="49"/>
        <v>0.75</v>
      </c>
      <c r="AG1050" s="5">
        <f t="shared" si="50"/>
        <v>0.77083333333333337</v>
      </c>
    </row>
    <row r="1051" spans="1:33" x14ac:dyDescent="0.25">
      <c r="A1051" s="1">
        <v>45567</v>
      </c>
      <c r="B1051">
        <v>925</v>
      </c>
      <c r="C1051" t="s">
        <v>42</v>
      </c>
      <c r="D1051" t="s">
        <v>273</v>
      </c>
      <c r="E1051">
        <v>628540</v>
      </c>
      <c r="F1051" s="2">
        <v>0.75</v>
      </c>
      <c r="G1051" t="s">
        <v>6</v>
      </c>
      <c r="H1051" s="2">
        <v>0.77083333333333337</v>
      </c>
      <c r="I1051">
        <v>246</v>
      </c>
      <c r="J1051">
        <v>0</v>
      </c>
      <c r="K1051">
        <v>0</v>
      </c>
      <c r="L1051">
        <v>4</v>
      </c>
      <c r="M1051">
        <v>0</v>
      </c>
      <c r="N1051">
        <v>0</v>
      </c>
      <c r="O1051">
        <v>0</v>
      </c>
      <c r="P1051">
        <v>1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2</v>
      </c>
      <c r="AC1051">
        <v>1</v>
      </c>
      <c r="AD1051" s="3" t="str">
        <f t="shared" si="48"/>
        <v>S2S PREMIUM</v>
      </c>
      <c r="AE1051" s="3" t="e">
        <f>VLOOKUP(E1051,'[1]Nómina Agentes'!$C:$D,2,0)</f>
        <v>#N/A</v>
      </c>
      <c r="AF1051" s="5">
        <f t="shared" si="49"/>
        <v>0.75</v>
      </c>
      <c r="AG1051" s="5">
        <f t="shared" si="50"/>
        <v>0.77083333333333337</v>
      </c>
    </row>
    <row r="1052" spans="1:33" x14ac:dyDescent="0.25">
      <c r="A1052" s="1">
        <v>45567</v>
      </c>
      <c r="B1052">
        <v>925</v>
      </c>
      <c r="C1052" t="s">
        <v>42</v>
      </c>
      <c r="D1052" t="s">
        <v>273</v>
      </c>
      <c r="E1052">
        <v>628540</v>
      </c>
      <c r="F1052" s="2">
        <v>0.625</v>
      </c>
      <c r="G1052" t="s">
        <v>6</v>
      </c>
      <c r="H1052" s="2">
        <v>0.64583333333333337</v>
      </c>
      <c r="I1052">
        <v>389</v>
      </c>
      <c r="J1052">
        <v>0</v>
      </c>
      <c r="K1052">
        <v>0</v>
      </c>
      <c r="L1052">
        <v>17</v>
      </c>
      <c r="M1052">
        <v>0</v>
      </c>
      <c r="N1052">
        <v>0</v>
      </c>
      <c r="O1052">
        <v>0</v>
      </c>
      <c r="P1052">
        <v>2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3</v>
      </c>
      <c r="AC1052">
        <v>2</v>
      </c>
      <c r="AD1052" s="3" t="str">
        <f t="shared" si="48"/>
        <v>S2S PREMIUM</v>
      </c>
      <c r="AE1052" s="3" t="e">
        <f>VLOOKUP(E1052,'[1]Nómina Agentes'!$C:$D,2,0)</f>
        <v>#N/A</v>
      </c>
      <c r="AF1052" s="5">
        <f t="shared" si="49"/>
        <v>0.625</v>
      </c>
      <c r="AG1052" s="5">
        <f t="shared" si="50"/>
        <v>0.64583333333333337</v>
      </c>
    </row>
    <row r="1053" spans="1:33" x14ac:dyDescent="0.25">
      <c r="A1053" s="1">
        <v>45567</v>
      </c>
      <c r="B1053">
        <v>925</v>
      </c>
      <c r="C1053" t="s">
        <v>42</v>
      </c>
      <c r="D1053" t="s">
        <v>273</v>
      </c>
      <c r="E1053">
        <v>628540</v>
      </c>
      <c r="F1053" s="2">
        <v>0.64583333333333337</v>
      </c>
      <c r="G1053" t="s">
        <v>6</v>
      </c>
      <c r="H1053" s="2">
        <v>0.66666666666666663</v>
      </c>
      <c r="I1053">
        <v>448</v>
      </c>
      <c r="J1053">
        <v>0</v>
      </c>
      <c r="K1053">
        <v>0</v>
      </c>
      <c r="L1053">
        <v>12</v>
      </c>
      <c r="M1053">
        <v>0</v>
      </c>
      <c r="N1053">
        <v>0</v>
      </c>
      <c r="O1053">
        <v>0</v>
      </c>
      <c r="P1053">
        <v>4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4</v>
      </c>
      <c r="AC1053">
        <v>4</v>
      </c>
      <c r="AD1053" s="3" t="str">
        <f t="shared" si="48"/>
        <v>S2S PREMIUM</v>
      </c>
      <c r="AE1053" s="3" t="e">
        <f>VLOOKUP(E1053,'[1]Nómina Agentes'!$C:$D,2,0)</f>
        <v>#N/A</v>
      </c>
      <c r="AF1053" s="5">
        <f t="shared" si="49"/>
        <v>0.64583333333333337</v>
      </c>
      <c r="AG1053" s="5">
        <f t="shared" si="50"/>
        <v>0.66666666666666663</v>
      </c>
    </row>
    <row r="1054" spans="1:33" x14ac:dyDescent="0.25">
      <c r="A1054" s="1">
        <v>45567</v>
      </c>
      <c r="B1054">
        <v>924</v>
      </c>
      <c r="C1054" t="s">
        <v>43</v>
      </c>
      <c r="D1054" t="s">
        <v>273</v>
      </c>
      <c r="E1054">
        <v>628540</v>
      </c>
      <c r="F1054" s="2">
        <v>0.8125</v>
      </c>
      <c r="G1054" t="s">
        <v>6</v>
      </c>
      <c r="H1054" s="2">
        <v>0.83333333333333337</v>
      </c>
      <c r="I1054">
        <v>554</v>
      </c>
      <c r="J1054">
        <v>0</v>
      </c>
      <c r="K1054">
        <v>0</v>
      </c>
      <c r="L1054">
        <v>12</v>
      </c>
      <c r="M1054">
        <v>0</v>
      </c>
      <c r="N1054">
        <v>0</v>
      </c>
      <c r="O1054">
        <v>0</v>
      </c>
      <c r="P1054">
        <v>85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4</v>
      </c>
      <c r="AC1054">
        <v>4</v>
      </c>
      <c r="AD1054" s="3" t="str">
        <f t="shared" si="48"/>
        <v>S2S NO PREMIUM</v>
      </c>
      <c r="AE1054" s="3" t="e">
        <f>VLOOKUP(E1054,'[1]Nómina Agentes'!$C:$D,2,0)</f>
        <v>#N/A</v>
      </c>
      <c r="AF1054" s="5">
        <f t="shared" si="49"/>
        <v>0.8125</v>
      </c>
      <c r="AG1054" s="5">
        <f t="shared" si="50"/>
        <v>0.83333333333333337</v>
      </c>
    </row>
    <row r="1055" spans="1:33" x14ac:dyDescent="0.25">
      <c r="A1055" s="1">
        <v>45567</v>
      </c>
      <c r="B1055">
        <v>925</v>
      </c>
      <c r="C1055" t="s">
        <v>42</v>
      </c>
      <c r="D1055" t="s">
        <v>273</v>
      </c>
      <c r="E1055">
        <v>628540</v>
      </c>
      <c r="F1055" s="2">
        <v>0.70833333333333337</v>
      </c>
      <c r="G1055" t="s">
        <v>6</v>
      </c>
      <c r="H1055" s="2">
        <v>0.72916666666666663</v>
      </c>
      <c r="I1055">
        <v>759</v>
      </c>
      <c r="J1055">
        <v>0</v>
      </c>
      <c r="K1055">
        <v>0</v>
      </c>
      <c r="L1055">
        <v>16</v>
      </c>
      <c r="M1055">
        <v>0</v>
      </c>
      <c r="N1055">
        <v>0</v>
      </c>
      <c r="O1055">
        <v>0</v>
      </c>
      <c r="P1055">
        <v>25</v>
      </c>
      <c r="Q1055">
        <v>169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4</v>
      </c>
      <c r="AC1055">
        <v>3</v>
      </c>
      <c r="AD1055" s="3" t="str">
        <f t="shared" si="48"/>
        <v>S2S PREMIUM</v>
      </c>
      <c r="AE1055" s="3" t="e">
        <f>VLOOKUP(E1055,'[1]Nómina Agentes'!$C:$D,2,0)</f>
        <v>#N/A</v>
      </c>
      <c r="AF1055" s="5">
        <f t="shared" si="49"/>
        <v>0.70833333333333337</v>
      </c>
      <c r="AG1055" s="5">
        <f t="shared" si="50"/>
        <v>0.72916666666666663</v>
      </c>
    </row>
    <row r="1056" spans="1:33" x14ac:dyDescent="0.25">
      <c r="A1056" s="1">
        <v>45567</v>
      </c>
      <c r="B1056">
        <v>925</v>
      </c>
      <c r="C1056" t="s">
        <v>42</v>
      </c>
      <c r="D1056" t="s">
        <v>273</v>
      </c>
      <c r="E1056">
        <v>628540</v>
      </c>
      <c r="F1056" s="2">
        <v>0.66666666666666663</v>
      </c>
      <c r="G1056" t="s">
        <v>6</v>
      </c>
      <c r="H1056" s="2">
        <v>0.6875</v>
      </c>
      <c r="I1056">
        <v>789</v>
      </c>
      <c r="J1056">
        <v>0</v>
      </c>
      <c r="K1056">
        <v>0</v>
      </c>
      <c r="L1056">
        <v>20</v>
      </c>
      <c r="M1056">
        <v>0</v>
      </c>
      <c r="N1056">
        <v>0</v>
      </c>
      <c r="O1056">
        <v>0</v>
      </c>
      <c r="P1056">
        <v>3</v>
      </c>
      <c r="Q1056">
        <v>140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4</v>
      </c>
      <c r="AC1056">
        <v>4</v>
      </c>
      <c r="AD1056" s="3" t="str">
        <f t="shared" si="48"/>
        <v>S2S PREMIUM</v>
      </c>
      <c r="AE1056" s="3" t="e">
        <f>VLOOKUP(E1056,'[1]Nómina Agentes'!$C:$D,2,0)</f>
        <v>#N/A</v>
      </c>
      <c r="AF1056" s="5">
        <f t="shared" si="49"/>
        <v>0.66666666666666663</v>
      </c>
      <c r="AG1056" s="5">
        <f t="shared" si="50"/>
        <v>0.6875</v>
      </c>
    </row>
    <row r="1057" spans="1:33" x14ac:dyDescent="0.25">
      <c r="A1057" s="1">
        <v>45567</v>
      </c>
      <c r="B1057">
        <v>925</v>
      </c>
      <c r="C1057" t="s">
        <v>42</v>
      </c>
      <c r="D1057" t="s">
        <v>273</v>
      </c>
      <c r="E1057">
        <v>628540</v>
      </c>
      <c r="F1057" s="2">
        <v>0.72916666666666663</v>
      </c>
      <c r="G1057" t="s">
        <v>6</v>
      </c>
      <c r="H1057" s="2">
        <v>0.75</v>
      </c>
      <c r="I1057">
        <v>867</v>
      </c>
      <c r="J1057">
        <v>0</v>
      </c>
      <c r="K1057">
        <v>0</v>
      </c>
      <c r="L1057">
        <v>20</v>
      </c>
      <c r="M1057">
        <v>0</v>
      </c>
      <c r="N1057">
        <v>0</v>
      </c>
      <c r="O1057">
        <v>0</v>
      </c>
      <c r="P1057">
        <v>323</v>
      </c>
      <c r="Q1057">
        <v>129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5</v>
      </c>
      <c r="AC1057">
        <v>4</v>
      </c>
      <c r="AD1057" s="3" t="str">
        <f t="shared" si="48"/>
        <v>S2S PREMIUM</v>
      </c>
      <c r="AE1057" s="3" t="e">
        <f>VLOOKUP(E1057,'[1]Nómina Agentes'!$C:$D,2,0)</f>
        <v>#N/A</v>
      </c>
      <c r="AF1057" s="5">
        <f t="shared" si="49"/>
        <v>0.72916666666666663</v>
      </c>
      <c r="AG1057" s="5">
        <f t="shared" si="50"/>
        <v>0.75</v>
      </c>
    </row>
    <row r="1058" spans="1:33" x14ac:dyDescent="0.25">
      <c r="A1058" s="1">
        <v>45567</v>
      </c>
      <c r="B1058">
        <v>924</v>
      </c>
      <c r="C1058" t="s">
        <v>43</v>
      </c>
      <c r="D1058" t="s">
        <v>273</v>
      </c>
      <c r="E1058">
        <v>628540</v>
      </c>
      <c r="F1058" s="2">
        <v>0.77083333333333337</v>
      </c>
      <c r="G1058" t="s">
        <v>6</v>
      </c>
      <c r="H1058" s="2">
        <v>0.79166666666666663</v>
      </c>
      <c r="I1058">
        <v>1000</v>
      </c>
      <c r="J1058">
        <v>0</v>
      </c>
      <c r="K1058">
        <v>0</v>
      </c>
      <c r="L1058">
        <v>16</v>
      </c>
      <c r="M1058">
        <v>0</v>
      </c>
      <c r="N1058">
        <v>0</v>
      </c>
      <c r="O1058">
        <v>0</v>
      </c>
      <c r="P1058">
        <v>213</v>
      </c>
      <c r="Q1058">
        <v>147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4</v>
      </c>
      <c r="AC1058">
        <v>4</v>
      </c>
      <c r="AD1058" s="3" t="str">
        <f t="shared" si="48"/>
        <v>S2S NO PREMIUM</v>
      </c>
      <c r="AE1058" s="3" t="e">
        <f>VLOOKUP(E1058,'[1]Nómina Agentes'!$C:$D,2,0)</f>
        <v>#N/A</v>
      </c>
      <c r="AF1058" s="5">
        <f t="shared" si="49"/>
        <v>0.77083333333333337</v>
      </c>
      <c r="AG1058" s="5">
        <f t="shared" si="50"/>
        <v>0.79166666666666663</v>
      </c>
    </row>
    <row r="1059" spans="1:33" x14ac:dyDescent="0.25">
      <c r="A1059" s="1">
        <v>45567</v>
      </c>
      <c r="B1059">
        <v>925</v>
      </c>
      <c r="C1059" t="s">
        <v>42</v>
      </c>
      <c r="D1059" t="s">
        <v>273</v>
      </c>
      <c r="E1059">
        <v>628540</v>
      </c>
      <c r="F1059" s="2">
        <v>0.6875</v>
      </c>
      <c r="G1059" t="s">
        <v>6</v>
      </c>
      <c r="H1059" s="2">
        <v>0.70833333333333337</v>
      </c>
      <c r="I1059">
        <v>1034</v>
      </c>
      <c r="J1059">
        <v>0</v>
      </c>
      <c r="K1059">
        <v>0</v>
      </c>
      <c r="L1059">
        <v>24</v>
      </c>
      <c r="M1059">
        <v>0</v>
      </c>
      <c r="N1059">
        <v>0</v>
      </c>
      <c r="O1059">
        <v>0</v>
      </c>
      <c r="P1059">
        <v>341</v>
      </c>
      <c r="Q1059">
        <v>132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6</v>
      </c>
      <c r="AC1059">
        <v>6</v>
      </c>
      <c r="AD1059" s="3" t="str">
        <f t="shared" si="48"/>
        <v>S2S PREMIUM</v>
      </c>
      <c r="AE1059" s="3" t="e">
        <f>VLOOKUP(E1059,'[1]Nómina Agentes'!$C:$D,2,0)</f>
        <v>#N/A</v>
      </c>
      <c r="AF1059" s="5">
        <f t="shared" si="49"/>
        <v>0.6875</v>
      </c>
      <c r="AG1059" s="5">
        <f t="shared" si="50"/>
        <v>0.70833333333333337</v>
      </c>
    </row>
    <row r="1060" spans="1:33" x14ac:dyDescent="0.25">
      <c r="A1060" s="1">
        <v>45567</v>
      </c>
      <c r="B1060">
        <v>924</v>
      </c>
      <c r="C1060" t="s">
        <v>43</v>
      </c>
      <c r="D1060" t="s">
        <v>273</v>
      </c>
      <c r="E1060">
        <v>628540</v>
      </c>
      <c r="F1060" s="2">
        <v>0.79166666666666663</v>
      </c>
      <c r="G1060" t="s">
        <v>6</v>
      </c>
      <c r="H1060" s="2">
        <v>0.8125</v>
      </c>
      <c r="I1060">
        <v>1162</v>
      </c>
      <c r="J1060">
        <v>0</v>
      </c>
      <c r="K1060">
        <v>0</v>
      </c>
      <c r="L1060">
        <v>12</v>
      </c>
      <c r="M1060">
        <v>0</v>
      </c>
      <c r="N1060">
        <v>0</v>
      </c>
      <c r="O1060">
        <v>0</v>
      </c>
      <c r="P1060">
        <v>2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2</v>
      </c>
      <c r="AC1060">
        <v>2</v>
      </c>
      <c r="AD1060" s="3" t="str">
        <f t="shared" si="48"/>
        <v>S2S NO PREMIUM</v>
      </c>
      <c r="AE1060" s="3" t="e">
        <f>VLOOKUP(E1060,'[1]Nómina Agentes'!$C:$D,2,0)</f>
        <v>#N/A</v>
      </c>
      <c r="AF1060" s="5">
        <f t="shared" si="49"/>
        <v>0.79166666666666663</v>
      </c>
      <c r="AG1060" s="5">
        <f t="shared" si="50"/>
        <v>0.8125</v>
      </c>
    </row>
    <row r="1061" spans="1:33" x14ac:dyDescent="0.25">
      <c r="A1061" s="1">
        <v>45567</v>
      </c>
      <c r="B1061">
        <v>925</v>
      </c>
      <c r="C1061" t="s">
        <v>42</v>
      </c>
      <c r="D1061" t="s">
        <v>274</v>
      </c>
      <c r="E1061">
        <v>663252</v>
      </c>
      <c r="F1061" s="2">
        <v>0.625</v>
      </c>
      <c r="G1061" t="s">
        <v>6</v>
      </c>
      <c r="H1061" s="2">
        <v>0.64583333333333337</v>
      </c>
      <c r="I1061">
        <v>4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520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1</v>
      </c>
      <c r="AC1061">
        <v>0</v>
      </c>
      <c r="AD1061" s="3" t="str">
        <f t="shared" si="48"/>
        <v>S2S PREMIUM</v>
      </c>
      <c r="AE1061" s="3" t="e">
        <f>VLOOKUP(E1061,'[1]Nómina Agentes'!$C:$D,2,0)</f>
        <v>#N/A</v>
      </c>
      <c r="AF1061" s="5">
        <f t="shared" si="49"/>
        <v>0.625</v>
      </c>
      <c r="AG1061" s="5">
        <f t="shared" si="50"/>
        <v>0.64583333333333337</v>
      </c>
    </row>
    <row r="1062" spans="1:33" x14ac:dyDescent="0.25">
      <c r="A1062" s="1">
        <v>45567</v>
      </c>
      <c r="B1062">
        <v>925</v>
      </c>
      <c r="C1062" t="s">
        <v>42</v>
      </c>
      <c r="D1062" t="s">
        <v>274</v>
      </c>
      <c r="E1062">
        <v>663252</v>
      </c>
      <c r="F1062" s="2">
        <v>0.60416666666666663</v>
      </c>
      <c r="G1062" t="s">
        <v>6</v>
      </c>
      <c r="H1062" s="2">
        <v>0.625</v>
      </c>
      <c r="I1062">
        <v>95</v>
      </c>
      <c r="J1062">
        <v>0</v>
      </c>
      <c r="K1062">
        <v>0</v>
      </c>
      <c r="L1062">
        <v>8</v>
      </c>
      <c r="M1062">
        <v>0</v>
      </c>
      <c r="N1062">
        <v>0</v>
      </c>
      <c r="O1062">
        <v>0</v>
      </c>
      <c r="P1062">
        <v>1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1</v>
      </c>
      <c r="AC1062">
        <v>1</v>
      </c>
      <c r="AD1062" s="3" t="str">
        <f t="shared" si="48"/>
        <v>S2S PREMIUM</v>
      </c>
      <c r="AE1062" s="3" t="e">
        <f>VLOOKUP(E1062,'[1]Nómina Agentes'!$C:$D,2,0)</f>
        <v>#N/A</v>
      </c>
      <c r="AF1062" s="5">
        <f t="shared" si="49"/>
        <v>0.60416666666666663</v>
      </c>
      <c r="AG1062" s="5">
        <f t="shared" si="50"/>
        <v>0.625</v>
      </c>
    </row>
    <row r="1063" spans="1:33" x14ac:dyDescent="0.25">
      <c r="A1063" s="1">
        <v>45567</v>
      </c>
      <c r="B1063">
        <v>925</v>
      </c>
      <c r="C1063" t="s">
        <v>42</v>
      </c>
      <c r="D1063" t="s">
        <v>274</v>
      </c>
      <c r="E1063">
        <v>663252</v>
      </c>
      <c r="F1063" s="2">
        <v>0.58333333333333337</v>
      </c>
      <c r="G1063" t="s">
        <v>6</v>
      </c>
      <c r="H1063" s="2">
        <v>0.60416666666666663</v>
      </c>
      <c r="I1063">
        <v>371</v>
      </c>
      <c r="J1063">
        <v>0</v>
      </c>
      <c r="K1063">
        <v>0</v>
      </c>
      <c r="L1063">
        <v>12</v>
      </c>
      <c r="M1063">
        <v>0</v>
      </c>
      <c r="N1063">
        <v>0</v>
      </c>
      <c r="O1063">
        <v>0</v>
      </c>
      <c r="P1063">
        <v>798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4</v>
      </c>
      <c r="AC1063">
        <v>3</v>
      </c>
      <c r="AD1063" s="3" t="str">
        <f t="shared" si="48"/>
        <v>S2S PREMIUM</v>
      </c>
      <c r="AE1063" s="3" t="e">
        <f>VLOOKUP(E1063,'[1]Nómina Agentes'!$C:$D,2,0)</f>
        <v>#N/A</v>
      </c>
      <c r="AF1063" s="5">
        <f t="shared" si="49"/>
        <v>0.58333333333333337</v>
      </c>
      <c r="AG1063" s="5">
        <f t="shared" si="50"/>
        <v>0.60416666666666663</v>
      </c>
    </row>
    <row r="1064" spans="1:33" x14ac:dyDescent="0.25">
      <c r="A1064" s="1">
        <v>45567</v>
      </c>
      <c r="B1064">
        <v>924</v>
      </c>
      <c r="C1064" t="s">
        <v>43</v>
      </c>
      <c r="D1064" t="s">
        <v>275</v>
      </c>
      <c r="E1064">
        <v>663281</v>
      </c>
      <c r="F1064" s="2">
        <v>0.75</v>
      </c>
      <c r="G1064" t="s">
        <v>6</v>
      </c>
      <c r="H1064" s="2">
        <v>0.77083333333333337</v>
      </c>
      <c r="I1064">
        <v>154</v>
      </c>
      <c r="J1064">
        <v>0</v>
      </c>
      <c r="K1064">
        <v>0</v>
      </c>
      <c r="L1064">
        <v>8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1</v>
      </c>
      <c r="AC1064">
        <v>1</v>
      </c>
      <c r="AD1064" s="3" t="str">
        <f t="shared" si="48"/>
        <v>S2S NO PREMIUM</v>
      </c>
      <c r="AE1064" s="3" t="e">
        <f>VLOOKUP(E1064,'[1]Nómina Agentes'!$C:$D,2,0)</f>
        <v>#N/A</v>
      </c>
      <c r="AF1064" s="5">
        <f t="shared" si="49"/>
        <v>0.75</v>
      </c>
      <c r="AG1064" s="5">
        <f t="shared" si="50"/>
        <v>0.77083333333333337</v>
      </c>
    </row>
    <row r="1065" spans="1:33" x14ac:dyDescent="0.25">
      <c r="A1065" s="1">
        <v>45567</v>
      </c>
      <c r="B1065">
        <v>924</v>
      </c>
      <c r="C1065" t="s">
        <v>43</v>
      </c>
      <c r="D1065" t="s">
        <v>275</v>
      </c>
      <c r="E1065">
        <v>663281</v>
      </c>
      <c r="F1065" s="2">
        <v>0.79166666666666663</v>
      </c>
      <c r="G1065" t="s">
        <v>6</v>
      </c>
      <c r="H1065" s="2">
        <v>0.8125</v>
      </c>
      <c r="I1065">
        <v>306</v>
      </c>
      <c r="J1065">
        <v>0</v>
      </c>
      <c r="K1065">
        <v>0</v>
      </c>
      <c r="L1065">
        <v>4</v>
      </c>
      <c r="M1065">
        <v>0</v>
      </c>
      <c r="N1065">
        <v>0</v>
      </c>
      <c r="O1065">
        <v>0</v>
      </c>
      <c r="P1065">
        <v>2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2</v>
      </c>
      <c r="AC1065">
        <v>2</v>
      </c>
      <c r="AD1065" s="3" t="str">
        <f t="shared" si="48"/>
        <v>S2S NO PREMIUM</v>
      </c>
      <c r="AE1065" s="3" t="e">
        <f>VLOOKUP(E1065,'[1]Nómina Agentes'!$C:$D,2,0)</f>
        <v>#N/A</v>
      </c>
      <c r="AF1065" s="5">
        <f t="shared" si="49"/>
        <v>0.79166666666666663</v>
      </c>
      <c r="AG1065" s="5">
        <f t="shared" si="50"/>
        <v>0.8125</v>
      </c>
    </row>
    <row r="1066" spans="1:33" x14ac:dyDescent="0.25">
      <c r="A1066" s="1">
        <v>45567</v>
      </c>
      <c r="B1066">
        <v>925</v>
      </c>
      <c r="C1066" t="s">
        <v>42</v>
      </c>
      <c r="D1066" t="s">
        <v>275</v>
      </c>
      <c r="E1066">
        <v>663281</v>
      </c>
      <c r="F1066" s="2">
        <v>0.58333333333333337</v>
      </c>
      <c r="G1066" t="s">
        <v>6</v>
      </c>
      <c r="H1066" s="2">
        <v>0.60416666666666663</v>
      </c>
      <c r="I1066">
        <v>358</v>
      </c>
      <c r="J1066">
        <v>0</v>
      </c>
      <c r="K1066">
        <v>0</v>
      </c>
      <c r="L1066">
        <v>7</v>
      </c>
      <c r="M1066">
        <v>0</v>
      </c>
      <c r="N1066">
        <v>0</v>
      </c>
      <c r="O1066">
        <v>0</v>
      </c>
      <c r="P1066">
        <v>2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2</v>
      </c>
      <c r="AC1066">
        <v>2</v>
      </c>
      <c r="AD1066" s="3" t="str">
        <f t="shared" si="48"/>
        <v>S2S PREMIUM</v>
      </c>
      <c r="AE1066" s="3" t="e">
        <f>VLOOKUP(E1066,'[1]Nómina Agentes'!$C:$D,2,0)</f>
        <v>#N/A</v>
      </c>
      <c r="AF1066" s="5">
        <f t="shared" si="49"/>
        <v>0.58333333333333337</v>
      </c>
      <c r="AG1066" s="5">
        <f t="shared" si="50"/>
        <v>0.60416666666666663</v>
      </c>
    </row>
    <row r="1067" spans="1:33" x14ac:dyDescent="0.25">
      <c r="A1067" s="1">
        <v>45567</v>
      </c>
      <c r="B1067">
        <v>925</v>
      </c>
      <c r="C1067" t="s">
        <v>42</v>
      </c>
      <c r="D1067" t="s">
        <v>275</v>
      </c>
      <c r="E1067">
        <v>663281</v>
      </c>
      <c r="F1067" s="2">
        <v>0.70833333333333337</v>
      </c>
      <c r="G1067" t="s">
        <v>6</v>
      </c>
      <c r="H1067" s="2">
        <v>0.72916666666666663</v>
      </c>
      <c r="I1067">
        <v>412</v>
      </c>
      <c r="J1067">
        <v>7</v>
      </c>
      <c r="K1067">
        <v>0</v>
      </c>
      <c r="L1067">
        <v>8</v>
      </c>
      <c r="M1067">
        <v>0</v>
      </c>
      <c r="N1067">
        <v>0</v>
      </c>
      <c r="O1067">
        <v>0</v>
      </c>
      <c r="P1067">
        <v>2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2</v>
      </c>
      <c r="AC1067">
        <v>2</v>
      </c>
      <c r="AD1067" s="3" t="str">
        <f t="shared" si="48"/>
        <v>S2S PREMIUM</v>
      </c>
      <c r="AE1067" s="3" t="e">
        <f>VLOOKUP(E1067,'[1]Nómina Agentes'!$C:$D,2,0)</f>
        <v>#N/A</v>
      </c>
      <c r="AF1067" s="5">
        <f t="shared" si="49"/>
        <v>0.70833333333333337</v>
      </c>
      <c r="AG1067" s="5">
        <f t="shared" si="50"/>
        <v>0.72916666666666663</v>
      </c>
    </row>
    <row r="1068" spans="1:33" x14ac:dyDescent="0.25">
      <c r="A1068" s="1">
        <v>45567</v>
      </c>
      <c r="B1068">
        <v>925</v>
      </c>
      <c r="C1068" t="s">
        <v>42</v>
      </c>
      <c r="D1068" t="s">
        <v>275</v>
      </c>
      <c r="E1068">
        <v>663281</v>
      </c>
      <c r="F1068" s="2">
        <v>0.625</v>
      </c>
      <c r="G1068" t="s">
        <v>6</v>
      </c>
      <c r="H1068" s="2">
        <v>0.64583333333333337</v>
      </c>
      <c r="I1068">
        <v>419</v>
      </c>
      <c r="J1068">
        <v>2</v>
      </c>
      <c r="K1068">
        <v>0</v>
      </c>
      <c r="L1068">
        <v>8</v>
      </c>
      <c r="M1068">
        <v>0</v>
      </c>
      <c r="N1068">
        <v>0</v>
      </c>
      <c r="O1068">
        <v>0</v>
      </c>
      <c r="P1068">
        <v>1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2</v>
      </c>
      <c r="AC1068">
        <v>1</v>
      </c>
      <c r="AD1068" s="3" t="str">
        <f t="shared" si="48"/>
        <v>S2S PREMIUM</v>
      </c>
      <c r="AE1068" s="3" t="e">
        <f>VLOOKUP(E1068,'[1]Nómina Agentes'!$C:$D,2,0)</f>
        <v>#N/A</v>
      </c>
      <c r="AF1068" s="5">
        <f t="shared" si="49"/>
        <v>0.625</v>
      </c>
      <c r="AG1068" s="5">
        <f t="shared" si="50"/>
        <v>0.64583333333333337</v>
      </c>
    </row>
    <row r="1069" spans="1:33" x14ac:dyDescent="0.25">
      <c r="A1069" s="1">
        <v>45567</v>
      </c>
      <c r="B1069">
        <v>924</v>
      </c>
      <c r="C1069" t="s">
        <v>43</v>
      </c>
      <c r="D1069" t="s">
        <v>275</v>
      </c>
      <c r="E1069">
        <v>663281</v>
      </c>
      <c r="F1069" s="2">
        <v>0.8125</v>
      </c>
      <c r="G1069" t="s">
        <v>6</v>
      </c>
      <c r="H1069" s="2">
        <v>0.83333333333333337</v>
      </c>
      <c r="I1069">
        <v>505</v>
      </c>
      <c r="J1069">
        <v>0</v>
      </c>
      <c r="K1069">
        <v>0</v>
      </c>
      <c r="L1069">
        <v>12</v>
      </c>
      <c r="M1069">
        <v>0</v>
      </c>
      <c r="N1069">
        <v>0</v>
      </c>
      <c r="O1069">
        <v>0</v>
      </c>
      <c r="P1069">
        <v>2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3</v>
      </c>
      <c r="AC1069">
        <v>2</v>
      </c>
      <c r="AD1069" s="3" t="str">
        <f t="shared" si="48"/>
        <v>S2S NO PREMIUM</v>
      </c>
      <c r="AE1069" s="3" t="e">
        <f>VLOOKUP(E1069,'[1]Nómina Agentes'!$C:$D,2,0)</f>
        <v>#N/A</v>
      </c>
      <c r="AF1069" s="5">
        <f t="shared" si="49"/>
        <v>0.8125</v>
      </c>
      <c r="AG1069" s="5">
        <f t="shared" si="50"/>
        <v>0.83333333333333337</v>
      </c>
    </row>
    <row r="1070" spans="1:33" x14ac:dyDescent="0.25">
      <c r="A1070" s="1">
        <v>45567</v>
      </c>
      <c r="B1070">
        <v>924</v>
      </c>
      <c r="C1070" t="s">
        <v>43</v>
      </c>
      <c r="D1070" t="s">
        <v>275</v>
      </c>
      <c r="E1070">
        <v>663281</v>
      </c>
      <c r="F1070" s="2">
        <v>0.77083333333333337</v>
      </c>
      <c r="G1070" t="s">
        <v>6</v>
      </c>
      <c r="H1070" s="2">
        <v>0.79166666666666663</v>
      </c>
      <c r="I1070">
        <v>557</v>
      </c>
      <c r="J1070">
        <v>0</v>
      </c>
      <c r="K1070">
        <v>0</v>
      </c>
      <c r="L1070">
        <v>20</v>
      </c>
      <c r="M1070">
        <v>0</v>
      </c>
      <c r="N1070">
        <v>0</v>
      </c>
      <c r="O1070">
        <v>0</v>
      </c>
      <c r="P1070">
        <v>2</v>
      </c>
      <c r="Q1070">
        <v>1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5</v>
      </c>
      <c r="AC1070">
        <v>2</v>
      </c>
      <c r="AD1070" s="3" t="str">
        <f t="shared" si="48"/>
        <v>S2S NO PREMIUM</v>
      </c>
      <c r="AE1070" s="3" t="e">
        <f>VLOOKUP(E1070,'[1]Nómina Agentes'!$C:$D,2,0)</f>
        <v>#N/A</v>
      </c>
      <c r="AF1070" s="5">
        <f t="shared" si="49"/>
        <v>0.77083333333333337</v>
      </c>
      <c r="AG1070" s="5">
        <f t="shared" si="50"/>
        <v>0.79166666666666663</v>
      </c>
    </row>
    <row r="1071" spans="1:33" x14ac:dyDescent="0.25">
      <c r="A1071" s="1">
        <v>45567</v>
      </c>
      <c r="B1071">
        <v>925</v>
      </c>
      <c r="C1071" t="s">
        <v>42</v>
      </c>
      <c r="D1071" t="s">
        <v>275</v>
      </c>
      <c r="E1071">
        <v>663281</v>
      </c>
      <c r="F1071" s="2">
        <v>0.75</v>
      </c>
      <c r="G1071" t="s">
        <v>6</v>
      </c>
      <c r="H1071" s="2">
        <v>0.77083333333333337</v>
      </c>
      <c r="I1071">
        <v>573</v>
      </c>
      <c r="J1071">
        <v>0</v>
      </c>
      <c r="K1071">
        <v>0</v>
      </c>
      <c r="L1071">
        <v>16</v>
      </c>
      <c r="M1071">
        <v>0</v>
      </c>
      <c r="N1071">
        <v>0</v>
      </c>
      <c r="O1071">
        <v>0</v>
      </c>
      <c r="P1071">
        <v>130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5</v>
      </c>
      <c r="AC1071">
        <v>4</v>
      </c>
      <c r="AD1071" s="3" t="str">
        <f t="shared" si="48"/>
        <v>S2S PREMIUM</v>
      </c>
      <c r="AE1071" s="3" t="e">
        <f>VLOOKUP(E1071,'[1]Nómina Agentes'!$C:$D,2,0)</f>
        <v>#N/A</v>
      </c>
      <c r="AF1071" s="5">
        <f t="shared" si="49"/>
        <v>0.75</v>
      </c>
      <c r="AG1071" s="5">
        <f t="shared" si="50"/>
        <v>0.77083333333333337</v>
      </c>
    </row>
    <row r="1072" spans="1:33" x14ac:dyDescent="0.25">
      <c r="A1072" s="1">
        <v>45567</v>
      </c>
      <c r="B1072">
        <v>925</v>
      </c>
      <c r="C1072" t="s">
        <v>42</v>
      </c>
      <c r="D1072" t="s">
        <v>275</v>
      </c>
      <c r="E1072">
        <v>663281</v>
      </c>
      <c r="F1072" s="2">
        <v>0.64583333333333337</v>
      </c>
      <c r="G1072" t="s">
        <v>6</v>
      </c>
      <c r="H1072" s="2">
        <v>0.66666666666666663</v>
      </c>
      <c r="I1072">
        <v>696</v>
      </c>
      <c r="J1072">
        <v>0</v>
      </c>
      <c r="K1072">
        <v>0</v>
      </c>
      <c r="L1072">
        <v>12</v>
      </c>
      <c r="M1072">
        <v>0</v>
      </c>
      <c r="N1072">
        <v>0</v>
      </c>
      <c r="O1072">
        <v>0</v>
      </c>
      <c r="P1072">
        <v>3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4</v>
      </c>
      <c r="AC1072">
        <v>3</v>
      </c>
      <c r="AD1072" s="3" t="str">
        <f t="shared" si="48"/>
        <v>S2S PREMIUM</v>
      </c>
      <c r="AE1072" s="3" t="e">
        <f>VLOOKUP(E1072,'[1]Nómina Agentes'!$C:$D,2,0)</f>
        <v>#N/A</v>
      </c>
      <c r="AF1072" s="5">
        <f t="shared" si="49"/>
        <v>0.64583333333333337</v>
      </c>
      <c r="AG1072" s="5">
        <f t="shared" si="50"/>
        <v>0.66666666666666663</v>
      </c>
    </row>
    <row r="1073" spans="1:33" x14ac:dyDescent="0.25">
      <c r="A1073" s="1">
        <v>45567</v>
      </c>
      <c r="B1073">
        <v>925</v>
      </c>
      <c r="C1073" t="s">
        <v>42</v>
      </c>
      <c r="D1073" t="s">
        <v>275</v>
      </c>
      <c r="E1073">
        <v>663281</v>
      </c>
      <c r="F1073" s="2">
        <v>0.6875</v>
      </c>
      <c r="G1073" t="s">
        <v>6</v>
      </c>
      <c r="H1073" s="2">
        <v>0.70833333333333337</v>
      </c>
      <c r="I1073">
        <v>752</v>
      </c>
      <c r="J1073">
        <v>4</v>
      </c>
      <c r="K1073">
        <v>0</v>
      </c>
      <c r="L1073">
        <v>12</v>
      </c>
      <c r="M1073">
        <v>0</v>
      </c>
      <c r="N1073">
        <v>0</v>
      </c>
      <c r="O1073">
        <v>0</v>
      </c>
      <c r="P1073">
        <v>2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2</v>
      </c>
      <c r="AC1073">
        <v>2</v>
      </c>
      <c r="AD1073" s="3" t="str">
        <f t="shared" si="48"/>
        <v>S2S PREMIUM</v>
      </c>
      <c r="AE1073" s="3" t="e">
        <f>VLOOKUP(E1073,'[1]Nómina Agentes'!$C:$D,2,0)</f>
        <v>#N/A</v>
      </c>
      <c r="AF1073" s="5">
        <f t="shared" si="49"/>
        <v>0.6875</v>
      </c>
      <c r="AG1073" s="5">
        <f t="shared" si="50"/>
        <v>0.70833333333333337</v>
      </c>
    </row>
    <row r="1074" spans="1:33" x14ac:dyDescent="0.25">
      <c r="A1074" s="1">
        <v>45567</v>
      </c>
      <c r="B1074">
        <v>925</v>
      </c>
      <c r="C1074" t="s">
        <v>42</v>
      </c>
      <c r="D1074" t="s">
        <v>275</v>
      </c>
      <c r="E1074">
        <v>663281</v>
      </c>
      <c r="F1074" s="2">
        <v>0.60416666666666663</v>
      </c>
      <c r="G1074" t="s">
        <v>6</v>
      </c>
      <c r="H1074" s="2">
        <v>0.625</v>
      </c>
      <c r="I1074">
        <v>792</v>
      </c>
      <c r="J1074">
        <v>0</v>
      </c>
      <c r="K1074">
        <v>0</v>
      </c>
      <c r="L1074">
        <v>16</v>
      </c>
      <c r="M1074">
        <v>0</v>
      </c>
      <c r="N1074">
        <v>0</v>
      </c>
      <c r="O1074">
        <v>0</v>
      </c>
      <c r="P1074">
        <v>48</v>
      </c>
      <c r="Q1074">
        <v>37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3</v>
      </c>
      <c r="AC1074">
        <v>2</v>
      </c>
      <c r="AD1074" s="3" t="str">
        <f t="shared" si="48"/>
        <v>S2S PREMIUM</v>
      </c>
      <c r="AE1074" s="3" t="e">
        <f>VLOOKUP(E1074,'[1]Nómina Agentes'!$C:$D,2,0)</f>
        <v>#N/A</v>
      </c>
      <c r="AF1074" s="5">
        <f t="shared" si="49"/>
        <v>0.60416666666666663</v>
      </c>
      <c r="AG1074" s="5">
        <f t="shared" si="50"/>
        <v>0.625</v>
      </c>
    </row>
    <row r="1075" spans="1:33" x14ac:dyDescent="0.25">
      <c r="A1075" s="1">
        <v>45567</v>
      </c>
      <c r="B1075">
        <v>925</v>
      </c>
      <c r="C1075" t="s">
        <v>42</v>
      </c>
      <c r="D1075" t="s">
        <v>275</v>
      </c>
      <c r="E1075">
        <v>663281</v>
      </c>
      <c r="F1075" s="2">
        <v>0.72916666666666663</v>
      </c>
      <c r="G1075" t="s">
        <v>6</v>
      </c>
      <c r="H1075" s="2">
        <v>0.75</v>
      </c>
      <c r="I1075">
        <v>1011</v>
      </c>
      <c r="J1075">
        <v>0</v>
      </c>
      <c r="K1075">
        <v>0</v>
      </c>
      <c r="L1075">
        <v>20</v>
      </c>
      <c r="M1075">
        <v>0</v>
      </c>
      <c r="N1075">
        <v>0</v>
      </c>
      <c r="O1075">
        <v>0</v>
      </c>
      <c r="P1075">
        <v>153</v>
      </c>
      <c r="Q1075">
        <v>138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5</v>
      </c>
      <c r="AC1075">
        <v>4</v>
      </c>
      <c r="AD1075" s="3" t="str">
        <f t="shared" si="48"/>
        <v>S2S PREMIUM</v>
      </c>
      <c r="AE1075" s="3" t="e">
        <f>VLOOKUP(E1075,'[1]Nómina Agentes'!$C:$D,2,0)</f>
        <v>#N/A</v>
      </c>
      <c r="AF1075" s="5">
        <f t="shared" si="49"/>
        <v>0.72916666666666663</v>
      </c>
      <c r="AG1075" s="5">
        <f t="shared" si="50"/>
        <v>0.75</v>
      </c>
    </row>
    <row r="1076" spans="1:33" x14ac:dyDescent="0.25">
      <c r="A1076" s="1">
        <v>45567</v>
      </c>
      <c r="B1076">
        <v>925</v>
      </c>
      <c r="C1076" t="s">
        <v>42</v>
      </c>
      <c r="D1076" t="s">
        <v>275</v>
      </c>
      <c r="E1076">
        <v>663281</v>
      </c>
      <c r="F1076" s="2">
        <v>0.66666666666666663</v>
      </c>
      <c r="G1076" t="s">
        <v>6</v>
      </c>
      <c r="H1076" s="2">
        <v>0.6875</v>
      </c>
      <c r="I1076">
        <v>1385</v>
      </c>
      <c r="J1076">
        <v>0</v>
      </c>
      <c r="K1076">
        <v>0</v>
      </c>
      <c r="L1076">
        <v>7</v>
      </c>
      <c r="M1076">
        <v>0</v>
      </c>
      <c r="N1076">
        <v>0</v>
      </c>
      <c r="O1076">
        <v>0</v>
      </c>
      <c r="P1076">
        <v>2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2</v>
      </c>
      <c r="AC1076">
        <v>2</v>
      </c>
      <c r="AD1076" s="3" t="str">
        <f t="shared" si="48"/>
        <v>S2S PREMIUM</v>
      </c>
      <c r="AE1076" s="3" t="e">
        <f>VLOOKUP(E1076,'[1]Nómina Agentes'!$C:$D,2,0)</f>
        <v>#N/A</v>
      </c>
      <c r="AF1076" s="5">
        <f t="shared" si="49"/>
        <v>0.66666666666666663</v>
      </c>
      <c r="AG1076" s="5">
        <f t="shared" si="50"/>
        <v>0.6875</v>
      </c>
    </row>
    <row r="1077" spans="1:33" x14ac:dyDescent="0.25">
      <c r="A1077" s="1">
        <v>45567</v>
      </c>
      <c r="B1077">
        <v>925</v>
      </c>
      <c r="C1077" t="s">
        <v>42</v>
      </c>
      <c r="D1077" t="s">
        <v>276</v>
      </c>
      <c r="E1077">
        <v>663283</v>
      </c>
      <c r="F1077" s="2">
        <v>0.77083333333333337</v>
      </c>
      <c r="G1077" t="s">
        <v>6</v>
      </c>
      <c r="H1077" s="2">
        <v>0.79166666666666663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 s="3" t="str">
        <f t="shared" si="48"/>
        <v>S2S PREMIUM</v>
      </c>
      <c r="AE1077" s="3" t="e">
        <f>VLOOKUP(E1077,'[1]Nómina Agentes'!$C:$D,2,0)</f>
        <v>#N/A</v>
      </c>
      <c r="AF1077" s="5">
        <f t="shared" si="49"/>
        <v>0.77083333333333337</v>
      </c>
      <c r="AG1077" s="5">
        <f t="shared" si="50"/>
        <v>0.79166666666666663</v>
      </c>
    </row>
    <row r="1078" spans="1:33" x14ac:dyDescent="0.25">
      <c r="A1078" s="1">
        <v>45567</v>
      </c>
      <c r="B1078">
        <v>925</v>
      </c>
      <c r="C1078" t="s">
        <v>42</v>
      </c>
      <c r="D1078" t="s">
        <v>276</v>
      </c>
      <c r="E1078">
        <v>663283</v>
      </c>
      <c r="F1078" s="2">
        <v>0.75</v>
      </c>
      <c r="G1078" t="s">
        <v>6</v>
      </c>
      <c r="H1078" s="2">
        <v>0.77083333333333337</v>
      </c>
      <c r="I1078">
        <v>236</v>
      </c>
      <c r="J1078">
        <v>0</v>
      </c>
      <c r="K1078">
        <v>0</v>
      </c>
      <c r="L1078">
        <v>9</v>
      </c>
      <c r="M1078">
        <v>0</v>
      </c>
      <c r="N1078">
        <v>0</v>
      </c>
      <c r="O1078">
        <v>0</v>
      </c>
      <c r="P1078">
        <v>213</v>
      </c>
      <c r="Q1078">
        <v>125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2</v>
      </c>
      <c r="AC1078">
        <v>2</v>
      </c>
      <c r="AD1078" s="3" t="str">
        <f t="shared" si="48"/>
        <v>S2S PREMIUM</v>
      </c>
      <c r="AE1078" s="3" t="e">
        <f>VLOOKUP(E1078,'[1]Nómina Agentes'!$C:$D,2,0)</f>
        <v>#N/A</v>
      </c>
      <c r="AF1078" s="5">
        <f t="shared" si="49"/>
        <v>0.75</v>
      </c>
      <c r="AG1078" s="5">
        <f t="shared" si="50"/>
        <v>0.77083333333333337</v>
      </c>
    </row>
    <row r="1079" spans="1:33" x14ac:dyDescent="0.25">
      <c r="A1079" s="1">
        <v>45567</v>
      </c>
      <c r="B1079">
        <v>925</v>
      </c>
      <c r="C1079" t="s">
        <v>42</v>
      </c>
      <c r="D1079" t="s">
        <v>276</v>
      </c>
      <c r="E1079">
        <v>663283</v>
      </c>
      <c r="F1079" s="2">
        <v>0.70833333333333337</v>
      </c>
      <c r="G1079" t="s">
        <v>6</v>
      </c>
      <c r="H1079" s="2">
        <v>0.72916666666666663</v>
      </c>
      <c r="I1079">
        <v>360</v>
      </c>
      <c r="J1079">
        <v>0</v>
      </c>
      <c r="K1079">
        <v>0</v>
      </c>
      <c r="L1079">
        <v>4</v>
      </c>
      <c r="M1079">
        <v>0</v>
      </c>
      <c r="N1079">
        <v>0</v>
      </c>
      <c r="O1079">
        <v>0</v>
      </c>
      <c r="P1079">
        <v>107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2</v>
      </c>
      <c r="AC1079">
        <v>2</v>
      </c>
      <c r="AD1079" s="3" t="str">
        <f t="shared" si="48"/>
        <v>S2S PREMIUM</v>
      </c>
      <c r="AE1079" s="3" t="e">
        <f>VLOOKUP(E1079,'[1]Nómina Agentes'!$C:$D,2,0)</f>
        <v>#N/A</v>
      </c>
      <c r="AF1079" s="5">
        <f t="shared" si="49"/>
        <v>0.70833333333333337</v>
      </c>
      <c r="AG1079" s="5">
        <f t="shared" si="50"/>
        <v>0.72916666666666663</v>
      </c>
    </row>
    <row r="1080" spans="1:33" x14ac:dyDescent="0.25">
      <c r="A1080" s="1">
        <v>45567</v>
      </c>
      <c r="B1080">
        <v>925</v>
      </c>
      <c r="C1080" t="s">
        <v>42</v>
      </c>
      <c r="D1080" t="s">
        <v>276</v>
      </c>
      <c r="E1080">
        <v>663283</v>
      </c>
      <c r="F1080" s="2">
        <v>0.64583333333333337</v>
      </c>
      <c r="G1080" t="s">
        <v>6</v>
      </c>
      <c r="H1080" s="2">
        <v>0.66666666666666663</v>
      </c>
      <c r="I1080">
        <v>515</v>
      </c>
      <c r="J1080">
        <v>0</v>
      </c>
      <c r="K1080">
        <v>0</v>
      </c>
      <c r="L1080">
        <v>8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1</v>
      </c>
      <c r="AC1080">
        <v>0</v>
      </c>
      <c r="AD1080" s="3" t="str">
        <f t="shared" si="48"/>
        <v>S2S PREMIUM</v>
      </c>
      <c r="AE1080" s="3" t="e">
        <f>VLOOKUP(E1080,'[1]Nómina Agentes'!$C:$D,2,0)</f>
        <v>#N/A</v>
      </c>
      <c r="AF1080" s="5">
        <f t="shared" si="49"/>
        <v>0.64583333333333337</v>
      </c>
      <c r="AG1080" s="5">
        <f t="shared" si="50"/>
        <v>0.66666666666666663</v>
      </c>
    </row>
    <row r="1081" spans="1:33" x14ac:dyDescent="0.25">
      <c r="A1081" s="1">
        <v>45567</v>
      </c>
      <c r="B1081">
        <v>925</v>
      </c>
      <c r="C1081" t="s">
        <v>42</v>
      </c>
      <c r="D1081" t="s">
        <v>276</v>
      </c>
      <c r="E1081">
        <v>663283</v>
      </c>
      <c r="F1081" s="2">
        <v>0.66666666666666663</v>
      </c>
      <c r="G1081" t="s">
        <v>6</v>
      </c>
      <c r="H1081" s="2">
        <v>0.6875</v>
      </c>
      <c r="I1081">
        <v>856</v>
      </c>
      <c r="J1081">
        <v>0</v>
      </c>
      <c r="K1081">
        <v>0</v>
      </c>
      <c r="L1081">
        <v>11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4</v>
      </c>
      <c r="AC1081">
        <v>2</v>
      </c>
      <c r="AD1081" s="3" t="str">
        <f t="shared" si="48"/>
        <v>S2S PREMIUM</v>
      </c>
      <c r="AE1081" s="3" t="e">
        <f>VLOOKUP(E1081,'[1]Nómina Agentes'!$C:$D,2,0)</f>
        <v>#N/A</v>
      </c>
      <c r="AF1081" s="5">
        <f t="shared" si="49"/>
        <v>0.66666666666666663</v>
      </c>
      <c r="AG1081" s="5">
        <f t="shared" si="50"/>
        <v>0.6875</v>
      </c>
    </row>
    <row r="1082" spans="1:33" x14ac:dyDescent="0.25">
      <c r="A1082" s="1">
        <v>45567</v>
      </c>
      <c r="B1082">
        <v>925</v>
      </c>
      <c r="C1082" t="s">
        <v>42</v>
      </c>
      <c r="D1082" t="s">
        <v>276</v>
      </c>
      <c r="E1082">
        <v>663283</v>
      </c>
      <c r="F1082" s="2">
        <v>0.6875</v>
      </c>
      <c r="G1082" t="s">
        <v>6</v>
      </c>
      <c r="H1082" s="2">
        <v>0.70833333333333337</v>
      </c>
      <c r="I1082">
        <v>895</v>
      </c>
      <c r="J1082">
        <v>0</v>
      </c>
      <c r="K1082">
        <v>0</v>
      </c>
      <c r="L1082">
        <v>24</v>
      </c>
      <c r="M1082">
        <v>0</v>
      </c>
      <c r="N1082">
        <v>0</v>
      </c>
      <c r="O1082">
        <v>0</v>
      </c>
      <c r="P1082">
        <v>224</v>
      </c>
      <c r="Q1082">
        <v>166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5</v>
      </c>
      <c r="AC1082">
        <v>3</v>
      </c>
      <c r="AD1082" s="3" t="str">
        <f t="shared" si="48"/>
        <v>S2S PREMIUM</v>
      </c>
      <c r="AE1082" s="3" t="e">
        <f>VLOOKUP(E1082,'[1]Nómina Agentes'!$C:$D,2,0)</f>
        <v>#N/A</v>
      </c>
      <c r="AF1082" s="5">
        <f t="shared" si="49"/>
        <v>0.6875</v>
      </c>
      <c r="AG1082" s="5">
        <f t="shared" si="50"/>
        <v>0.70833333333333337</v>
      </c>
    </row>
    <row r="1083" spans="1:33" x14ac:dyDescent="0.25">
      <c r="A1083" s="1">
        <v>45567</v>
      </c>
      <c r="B1083">
        <v>925</v>
      </c>
      <c r="C1083" t="s">
        <v>42</v>
      </c>
      <c r="D1083" t="s">
        <v>276</v>
      </c>
      <c r="E1083">
        <v>663283</v>
      </c>
      <c r="F1083" s="2">
        <v>0.72916666666666663</v>
      </c>
      <c r="G1083" t="s">
        <v>6</v>
      </c>
      <c r="H1083" s="2">
        <v>0.75</v>
      </c>
      <c r="I1083">
        <v>1099</v>
      </c>
      <c r="J1083">
        <v>0</v>
      </c>
      <c r="K1083">
        <v>0</v>
      </c>
      <c r="L1083">
        <v>23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6</v>
      </c>
      <c r="AC1083">
        <v>2</v>
      </c>
      <c r="AD1083" s="3" t="str">
        <f t="shared" si="48"/>
        <v>S2S PREMIUM</v>
      </c>
      <c r="AE1083" s="3" t="e">
        <f>VLOOKUP(E1083,'[1]Nómina Agentes'!$C:$D,2,0)</f>
        <v>#N/A</v>
      </c>
      <c r="AF1083" s="5">
        <f t="shared" si="49"/>
        <v>0.72916666666666663</v>
      </c>
      <c r="AG1083" s="5">
        <f t="shared" si="50"/>
        <v>0.75</v>
      </c>
    </row>
    <row r="1084" spans="1:33" x14ac:dyDescent="0.25">
      <c r="A1084" s="1">
        <v>45567</v>
      </c>
      <c r="B1084">
        <v>925</v>
      </c>
      <c r="C1084" t="s">
        <v>42</v>
      </c>
      <c r="D1084" t="s">
        <v>277</v>
      </c>
      <c r="E1084">
        <v>663285</v>
      </c>
      <c r="F1084" s="2">
        <v>0.625</v>
      </c>
      <c r="G1084" t="s">
        <v>6</v>
      </c>
      <c r="H1084" s="2">
        <v>0.64583333333333337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 s="3" t="str">
        <f t="shared" si="48"/>
        <v>S2S PREMIUM</v>
      </c>
      <c r="AE1084" s="3" t="e">
        <f>VLOOKUP(E1084,'[1]Nómina Agentes'!$C:$D,2,0)</f>
        <v>#N/A</v>
      </c>
      <c r="AF1084" s="5">
        <f t="shared" si="49"/>
        <v>0.625</v>
      </c>
      <c r="AG1084" s="5">
        <f t="shared" si="50"/>
        <v>0.64583333333333337</v>
      </c>
    </row>
    <row r="1085" spans="1:33" x14ac:dyDescent="0.25">
      <c r="A1085" s="1">
        <v>45567</v>
      </c>
      <c r="B1085">
        <v>925</v>
      </c>
      <c r="C1085" t="s">
        <v>42</v>
      </c>
      <c r="D1085" t="s">
        <v>277</v>
      </c>
      <c r="E1085">
        <v>663285</v>
      </c>
      <c r="F1085" s="2">
        <v>0.58333333333333337</v>
      </c>
      <c r="G1085" t="s">
        <v>6</v>
      </c>
      <c r="H1085" s="2">
        <v>0.60416666666666663</v>
      </c>
      <c r="I1085">
        <v>517</v>
      </c>
      <c r="J1085">
        <v>0</v>
      </c>
      <c r="K1085">
        <v>0</v>
      </c>
      <c r="L1085">
        <v>10</v>
      </c>
      <c r="M1085">
        <v>0</v>
      </c>
      <c r="N1085">
        <v>0</v>
      </c>
      <c r="O1085">
        <v>0</v>
      </c>
      <c r="P1085">
        <v>10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2</v>
      </c>
      <c r="AC1085">
        <v>0</v>
      </c>
      <c r="AD1085" s="3" t="str">
        <f t="shared" si="48"/>
        <v>S2S PREMIUM</v>
      </c>
      <c r="AE1085" s="3" t="e">
        <f>VLOOKUP(E1085,'[1]Nómina Agentes'!$C:$D,2,0)</f>
        <v>#N/A</v>
      </c>
      <c r="AF1085" s="5">
        <f t="shared" si="49"/>
        <v>0.58333333333333337</v>
      </c>
      <c r="AG1085" s="5">
        <f t="shared" si="50"/>
        <v>0.60416666666666663</v>
      </c>
    </row>
    <row r="1086" spans="1:33" x14ac:dyDescent="0.25">
      <c r="A1086" s="1">
        <v>45567</v>
      </c>
      <c r="B1086">
        <v>925</v>
      </c>
      <c r="C1086" t="s">
        <v>42</v>
      </c>
      <c r="D1086" t="s">
        <v>277</v>
      </c>
      <c r="E1086">
        <v>663285</v>
      </c>
      <c r="F1086" s="2">
        <v>0.60416666666666663</v>
      </c>
      <c r="G1086" t="s">
        <v>6</v>
      </c>
      <c r="H1086" s="2">
        <v>0.625</v>
      </c>
      <c r="I1086">
        <v>1006</v>
      </c>
      <c r="J1086">
        <v>0</v>
      </c>
      <c r="K1086">
        <v>0</v>
      </c>
      <c r="L1086">
        <v>10</v>
      </c>
      <c r="M1086">
        <v>0</v>
      </c>
      <c r="N1086">
        <v>0</v>
      </c>
      <c r="O1086">
        <v>0</v>
      </c>
      <c r="P1086">
        <v>8</v>
      </c>
      <c r="Q1086">
        <v>2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3</v>
      </c>
      <c r="AC1086">
        <v>0</v>
      </c>
      <c r="AD1086" s="3" t="str">
        <f t="shared" si="48"/>
        <v>S2S PREMIUM</v>
      </c>
      <c r="AE1086" s="3" t="e">
        <f>VLOOKUP(E1086,'[1]Nómina Agentes'!$C:$D,2,0)</f>
        <v>#N/A</v>
      </c>
      <c r="AF1086" s="5">
        <f t="shared" si="49"/>
        <v>0.60416666666666663</v>
      </c>
      <c r="AG1086" s="5">
        <f t="shared" si="50"/>
        <v>0.625</v>
      </c>
    </row>
    <row r="1087" spans="1:33" x14ac:dyDescent="0.25">
      <c r="A1087" s="1">
        <v>45567</v>
      </c>
      <c r="B1087">
        <v>925</v>
      </c>
      <c r="C1087" t="s">
        <v>42</v>
      </c>
      <c r="D1087" t="s">
        <v>278</v>
      </c>
      <c r="E1087">
        <v>663301</v>
      </c>
      <c r="F1087" s="2">
        <v>0.75</v>
      </c>
      <c r="G1087" t="s">
        <v>6</v>
      </c>
      <c r="H1087" s="2">
        <v>0.77083333333333337</v>
      </c>
      <c r="I1087">
        <v>154</v>
      </c>
      <c r="J1087">
        <v>7</v>
      </c>
      <c r="K1087">
        <v>0</v>
      </c>
      <c r="L1087">
        <v>4</v>
      </c>
      <c r="M1087">
        <v>0</v>
      </c>
      <c r="N1087">
        <v>0</v>
      </c>
      <c r="O1087">
        <v>0</v>
      </c>
      <c r="P1087">
        <v>48</v>
      </c>
      <c r="Q1087">
        <v>43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1</v>
      </c>
      <c r="AC1087">
        <v>1</v>
      </c>
      <c r="AD1087" s="3" t="str">
        <f t="shared" ref="AD1087:AD1150" si="51">UPPER(C1087)</f>
        <v>S2S PREMIUM</v>
      </c>
      <c r="AE1087" s="3" t="e">
        <f>VLOOKUP(E1087,'[1]Nómina Agentes'!$C:$D,2,0)</f>
        <v>#N/A</v>
      </c>
      <c r="AF1087" s="5">
        <f t="shared" ref="AF1087:AF1150" si="52">F1087</f>
        <v>0.75</v>
      </c>
      <c r="AG1087" s="5">
        <f t="shared" ref="AG1087:AG1150" si="53">H1087</f>
        <v>0.77083333333333337</v>
      </c>
    </row>
    <row r="1088" spans="1:33" x14ac:dyDescent="0.25">
      <c r="A1088" s="1">
        <v>45567</v>
      </c>
      <c r="B1088">
        <v>925</v>
      </c>
      <c r="C1088" t="s">
        <v>42</v>
      </c>
      <c r="D1088" t="s">
        <v>278</v>
      </c>
      <c r="E1088">
        <v>663301</v>
      </c>
      <c r="F1088" s="2">
        <v>0.625</v>
      </c>
      <c r="G1088" t="s">
        <v>6</v>
      </c>
      <c r="H1088" s="2">
        <v>0.64583333333333337</v>
      </c>
      <c r="I1088">
        <v>237</v>
      </c>
      <c r="J1088">
        <v>0</v>
      </c>
      <c r="K1088">
        <v>0</v>
      </c>
      <c r="L1088">
        <v>8</v>
      </c>
      <c r="M1088">
        <v>0</v>
      </c>
      <c r="N1088">
        <v>0</v>
      </c>
      <c r="O1088">
        <v>0</v>
      </c>
      <c r="P1088">
        <v>90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2</v>
      </c>
      <c r="AC1088">
        <v>1</v>
      </c>
      <c r="AD1088" s="3" t="str">
        <f t="shared" si="51"/>
        <v>S2S PREMIUM</v>
      </c>
      <c r="AE1088" s="3" t="e">
        <f>VLOOKUP(E1088,'[1]Nómina Agentes'!$C:$D,2,0)</f>
        <v>#N/A</v>
      </c>
      <c r="AF1088" s="5">
        <f t="shared" si="52"/>
        <v>0.625</v>
      </c>
      <c r="AG1088" s="5">
        <f t="shared" si="53"/>
        <v>0.64583333333333337</v>
      </c>
    </row>
    <row r="1089" spans="1:33" x14ac:dyDescent="0.25">
      <c r="A1089" s="1">
        <v>45567</v>
      </c>
      <c r="B1089">
        <v>925</v>
      </c>
      <c r="C1089" t="s">
        <v>42</v>
      </c>
      <c r="D1089" t="s">
        <v>278</v>
      </c>
      <c r="E1089">
        <v>663301</v>
      </c>
      <c r="F1089" s="2">
        <v>0.70833333333333337</v>
      </c>
      <c r="G1089" t="s">
        <v>6</v>
      </c>
      <c r="H1089" s="2">
        <v>0.72916666666666663</v>
      </c>
      <c r="I1089">
        <v>459</v>
      </c>
      <c r="J1089">
        <v>0</v>
      </c>
      <c r="K1089">
        <v>0</v>
      </c>
      <c r="L1089">
        <v>12</v>
      </c>
      <c r="M1089">
        <v>0</v>
      </c>
      <c r="N1089">
        <v>0</v>
      </c>
      <c r="O1089">
        <v>0</v>
      </c>
      <c r="P1089">
        <v>3</v>
      </c>
      <c r="Q1089">
        <v>343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2</v>
      </c>
      <c r="AC1089">
        <v>1</v>
      </c>
      <c r="AD1089" s="3" t="str">
        <f t="shared" si="51"/>
        <v>S2S PREMIUM</v>
      </c>
      <c r="AE1089" s="3" t="e">
        <f>VLOOKUP(E1089,'[1]Nómina Agentes'!$C:$D,2,0)</f>
        <v>#N/A</v>
      </c>
      <c r="AF1089" s="5">
        <f t="shared" si="52"/>
        <v>0.70833333333333337</v>
      </c>
      <c r="AG1089" s="5">
        <f t="shared" si="53"/>
        <v>0.72916666666666663</v>
      </c>
    </row>
    <row r="1090" spans="1:33" x14ac:dyDescent="0.25">
      <c r="A1090" s="1">
        <v>45567</v>
      </c>
      <c r="B1090">
        <v>925</v>
      </c>
      <c r="C1090" t="s">
        <v>42</v>
      </c>
      <c r="D1090" t="s">
        <v>278</v>
      </c>
      <c r="E1090">
        <v>663301</v>
      </c>
      <c r="F1090" s="2">
        <v>0.66666666666666663</v>
      </c>
      <c r="G1090" t="s">
        <v>6</v>
      </c>
      <c r="H1090" s="2">
        <v>0.6875</v>
      </c>
      <c r="I1090">
        <v>615</v>
      </c>
      <c r="J1090">
        <v>116</v>
      </c>
      <c r="K1090">
        <v>0</v>
      </c>
      <c r="L1090">
        <v>12</v>
      </c>
      <c r="M1090">
        <v>0</v>
      </c>
      <c r="N1090">
        <v>0</v>
      </c>
      <c r="O1090">
        <v>0</v>
      </c>
      <c r="P1090">
        <v>347</v>
      </c>
      <c r="Q1090">
        <v>201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2</v>
      </c>
      <c r="AC1090">
        <v>2</v>
      </c>
      <c r="AD1090" s="3" t="str">
        <f t="shared" si="51"/>
        <v>S2S PREMIUM</v>
      </c>
      <c r="AE1090" s="3" t="e">
        <f>VLOOKUP(E1090,'[1]Nómina Agentes'!$C:$D,2,0)</f>
        <v>#N/A</v>
      </c>
      <c r="AF1090" s="5">
        <f t="shared" si="52"/>
        <v>0.66666666666666663</v>
      </c>
      <c r="AG1090" s="5">
        <f t="shared" si="53"/>
        <v>0.6875</v>
      </c>
    </row>
    <row r="1091" spans="1:33" x14ac:dyDescent="0.25">
      <c r="A1091" s="1">
        <v>45567</v>
      </c>
      <c r="B1091">
        <v>925</v>
      </c>
      <c r="C1091" t="s">
        <v>42</v>
      </c>
      <c r="D1091" t="s">
        <v>278</v>
      </c>
      <c r="E1091">
        <v>663301</v>
      </c>
      <c r="F1091" s="2">
        <v>0.64583333333333337</v>
      </c>
      <c r="G1091" t="s">
        <v>6</v>
      </c>
      <c r="H1091" s="2">
        <v>0.66666666666666663</v>
      </c>
      <c r="I1091">
        <v>731</v>
      </c>
      <c r="J1091">
        <v>0</v>
      </c>
      <c r="K1091">
        <v>0</v>
      </c>
      <c r="L1091">
        <v>15</v>
      </c>
      <c r="M1091">
        <v>0</v>
      </c>
      <c r="N1091">
        <v>0</v>
      </c>
      <c r="O1091">
        <v>0</v>
      </c>
      <c r="P1091">
        <v>101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4</v>
      </c>
      <c r="AC1091">
        <v>2</v>
      </c>
      <c r="AD1091" s="3" t="str">
        <f t="shared" si="51"/>
        <v>S2S PREMIUM</v>
      </c>
      <c r="AE1091" s="3" t="e">
        <f>VLOOKUP(E1091,'[1]Nómina Agentes'!$C:$D,2,0)</f>
        <v>#N/A</v>
      </c>
      <c r="AF1091" s="5">
        <f t="shared" si="52"/>
        <v>0.64583333333333337</v>
      </c>
      <c r="AG1091" s="5">
        <f t="shared" si="53"/>
        <v>0.66666666666666663</v>
      </c>
    </row>
    <row r="1092" spans="1:33" x14ac:dyDescent="0.25">
      <c r="A1092" s="1">
        <v>45567</v>
      </c>
      <c r="B1092">
        <v>925</v>
      </c>
      <c r="C1092" t="s">
        <v>42</v>
      </c>
      <c r="D1092" t="s">
        <v>278</v>
      </c>
      <c r="E1092">
        <v>663301</v>
      </c>
      <c r="F1092" s="2">
        <v>0.8125</v>
      </c>
      <c r="G1092" t="s">
        <v>6</v>
      </c>
      <c r="H1092" s="2">
        <v>0.83333333333333337</v>
      </c>
      <c r="I1092">
        <v>800</v>
      </c>
      <c r="J1092">
        <v>120</v>
      </c>
      <c r="K1092">
        <v>0</v>
      </c>
      <c r="L1092">
        <v>8</v>
      </c>
      <c r="M1092">
        <v>0</v>
      </c>
      <c r="N1092">
        <v>0</v>
      </c>
      <c r="O1092">
        <v>0</v>
      </c>
      <c r="P1092">
        <v>403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3</v>
      </c>
      <c r="AC1092">
        <v>3</v>
      </c>
      <c r="AD1092" s="3" t="str">
        <f t="shared" si="51"/>
        <v>S2S PREMIUM</v>
      </c>
      <c r="AE1092" s="3" t="e">
        <f>VLOOKUP(E1092,'[1]Nómina Agentes'!$C:$D,2,0)</f>
        <v>#N/A</v>
      </c>
      <c r="AF1092" s="5">
        <f t="shared" si="52"/>
        <v>0.8125</v>
      </c>
      <c r="AG1092" s="5">
        <f t="shared" si="53"/>
        <v>0.83333333333333337</v>
      </c>
    </row>
    <row r="1093" spans="1:33" x14ac:dyDescent="0.25">
      <c r="A1093" s="1">
        <v>45567</v>
      </c>
      <c r="B1093">
        <v>925</v>
      </c>
      <c r="C1093" t="s">
        <v>42</v>
      </c>
      <c r="D1093" t="s">
        <v>278</v>
      </c>
      <c r="E1093">
        <v>663301</v>
      </c>
      <c r="F1093" s="2">
        <v>0.77083333333333337</v>
      </c>
      <c r="G1093" t="s">
        <v>6</v>
      </c>
      <c r="H1093" s="2">
        <v>0.79166666666666663</v>
      </c>
      <c r="I1093">
        <v>801</v>
      </c>
      <c r="J1093">
        <v>0</v>
      </c>
      <c r="K1093">
        <v>0</v>
      </c>
      <c r="L1093">
        <v>12</v>
      </c>
      <c r="M1093">
        <v>0</v>
      </c>
      <c r="N1093">
        <v>0</v>
      </c>
      <c r="O1093">
        <v>0</v>
      </c>
      <c r="P1093">
        <v>130</v>
      </c>
      <c r="Q1093">
        <v>251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2</v>
      </c>
      <c r="AC1093">
        <v>1</v>
      </c>
      <c r="AD1093" s="3" t="str">
        <f t="shared" si="51"/>
        <v>S2S PREMIUM</v>
      </c>
      <c r="AE1093" s="3" t="e">
        <f>VLOOKUP(E1093,'[1]Nómina Agentes'!$C:$D,2,0)</f>
        <v>#N/A</v>
      </c>
      <c r="AF1093" s="5">
        <f t="shared" si="52"/>
        <v>0.77083333333333337</v>
      </c>
      <c r="AG1093" s="5">
        <f t="shared" si="53"/>
        <v>0.79166666666666663</v>
      </c>
    </row>
    <row r="1094" spans="1:33" x14ac:dyDescent="0.25">
      <c r="A1094" s="1">
        <v>45567</v>
      </c>
      <c r="B1094">
        <v>925</v>
      </c>
      <c r="C1094" t="s">
        <v>42</v>
      </c>
      <c r="D1094" t="s">
        <v>278</v>
      </c>
      <c r="E1094">
        <v>663301</v>
      </c>
      <c r="F1094" s="2">
        <v>0.6875</v>
      </c>
      <c r="G1094" t="s">
        <v>6</v>
      </c>
      <c r="H1094" s="2">
        <v>0.70833333333333337</v>
      </c>
      <c r="I1094">
        <v>853</v>
      </c>
      <c r="J1094">
        <v>0</v>
      </c>
      <c r="K1094">
        <v>0</v>
      </c>
      <c r="L1094">
        <v>8</v>
      </c>
      <c r="M1094">
        <v>0</v>
      </c>
      <c r="N1094">
        <v>0</v>
      </c>
      <c r="O1094">
        <v>0</v>
      </c>
      <c r="P1094">
        <v>391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3</v>
      </c>
      <c r="AC1094">
        <v>3</v>
      </c>
      <c r="AD1094" s="3" t="str">
        <f t="shared" si="51"/>
        <v>S2S PREMIUM</v>
      </c>
      <c r="AE1094" s="3" t="e">
        <f>VLOOKUP(E1094,'[1]Nómina Agentes'!$C:$D,2,0)</f>
        <v>#N/A</v>
      </c>
      <c r="AF1094" s="5">
        <f t="shared" si="52"/>
        <v>0.6875</v>
      </c>
      <c r="AG1094" s="5">
        <f t="shared" si="53"/>
        <v>0.70833333333333337</v>
      </c>
    </row>
    <row r="1095" spans="1:33" x14ac:dyDescent="0.25">
      <c r="A1095" s="1">
        <v>45567</v>
      </c>
      <c r="B1095">
        <v>925</v>
      </c>
      <c r="C1095" t="s">
        <v>42</v>
      </c>
      <c r="D1095" t="s">
        <v>278</v>
      </c>
      <c r="E1095">
        <v>663301</v>
      </c>
      <c r="F1095" s="2">
        <v>0.79166666666666663</v>
      </c>
      <c r="G1095" t="s">
        <v>6</v>
      </c>
      <c r="H1095" s="2">
        <v>0.8125</v>
      </c>
      <c r="I1095">
        <v>1005</v>
      </c>
      <c r="J1095">
        <v>150</v>
      </c>
      <c r="K1095">
        <v>0</v>
      </c>
      <c r="L1095">
        <v>20</v>
      </c>
      <c r="M1095">
        <v>0</v>
      </c>
      <c r="N1095">
        <v>0</v>
      </c>
      <c r="O1095">
        <v>0</v>
      </c>
      <c r="P1095">
        <v>455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5</v>
      </c>
      <c r="AC1095">
        <v>4</v>
      </c>
      <c r="AD1095" s="3" t="str">
        <f t="shared" si="51"/>
        <v>S2S PREMIUM</v>
      </c>
      <c r="AE1095" s="3" t="e">
        <f>VLOOKUP(E1095,'[1]Nómina Agentes'!$C:$D,2,0)</f>
        <v>#N/A</v>
      </c>
      <c r="AF1095" s="5">
        <f t="shared" si="52"/>
        <v>0.79166666666666663</v>
      </c>
      <c r="AG1095" s="5">
        <f t="shared" si="53"/>
        <v>0.8125</v>
      </c>
    </row>
    <row r="1096" spans="1:33" x14ac:dyDescent="0.25">
      <c r="A1096" s="1">
        <v>45567</v>
      </c>
      <c r="B1096">
        <v>925</v>
      </c>
      <c r="C1096" t="s">
        <v>42</v>
      </c>
      <c r="D1096" t="s">
        <v>278</v>
      </c>
      <c r="E1096">
        <v>663301</v>
      </c>
      <c r="F1096" s="2">
        <v>0.72916666666666663</v>
      </c>
      <c r="G1096" t="s">
        <v>6</v>
      </c>
      <c r="H1096" s="2">
        <v>0.75</v>
      </c>
      <c r="I1096">
        <v>1041</v>
      </c>
      <c r="J1096">
        <v>0</v>
      </c>
      <c r="K1096">
        <v>0</v>
      </c>
      <c r="L1096">
        <v>20</v>
      </c>
      <c r="M1096">
        <v>0</v>
      </c>
      <c r="N1096">
        <v>0</v>
      </c>
      <c r="O1096">
        <v>0</v>
      </c>
      <c r="P1096">
        <v>652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6</v>
      </c>
      <c r="AC1096">
        <v>6</v>
      </c>
      <c r="AD1096" s="3" t="str">
        <f t="shared" si="51"/>
        <v>S2S PREMIUM</v>
      </c>
      <c r="AE1096" s="3" t="e">
        <f>VLOOKUP(E1096,'[1]Nómina Agentes'!$C:$D,2,0)</f>
        <v>#N/A</v>
      </c>
      <c r="AF1096" s="5">
        <f t="shared" si="52"/>
        <v>0.72916666666666663</v>
      </c>
      <c r="AG1096" s="5">
        <f t="shared" si="53"/>
        <v>0.75</v>
      </c>
    </row>
    <row r="1097" spans="1:33" x14ac:dyDescent="0.25">
      <c r="A1097" s="1">
        <v>45567</v>
      </c>
      <c r="B1097">
        <v>925</v>
      </c>
      <c r="C1097" t="s">
        <v>42</v>
      </c>
      <c r="D1097" t="s">
        <v>279</v>
      </c>
      <c r="E1097">
        <v>663310</v>
      </c>
      <c r="F1097" s="2">
        <v>0.66666666666666663</v>
      </c>
      <c r="G1097" t="s">
        <v>6</v>
      </c>
      <c r="H1097" s="2">
        <v>0.6875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 s="3" t="str">
        <f t="shared" si="51"/>
        <v>S2S PREMIUM</v>
      </c>
      <c r="AE1097" s="3" t="e">
        <f>VLOOKUP(E1097,'[1]Nómina Agentes'!$C:$D,2,0)</f>
        <v>#N/A</v>
      </c>
      <c r="AF1097" s="5">
        <f t="shared" si="52"/>
        <v>0.66666666666666663</v>
      </c>
      <c r="AG1097" s="5">
        <f t="shared" si="53"/>
        <v>0.6875</v>
      </c>
    </row>
    <row r="1098" spans="1:33" x14ac:dyDescent="0.25">
      <c r="A1098" s="1">
        <v>45567</v>
      </c>
      <c r="B1098">
        <v>925</v>
      </c>
      <c r="C1098" t="s">
        <v>42</v>
      </c>
      <c r="D1098" t="s">
        <v>279</v>
      </c>
      <c r="E1098">
        <v>663310</v>
      </c>
      <c r="F1098" s="2">
        <v>0.625</v>
      </c>
      <c r="G1098" t="s">
        <v>6</v>
      </c>
      <c r="H1098" s="2">
        <v>0.64583333333333337</v>
      </c>
      <c r="I1098">
        <v>446</v>
      </c>
      <c r="J1098">
        <v>0</v>
      </c>
      <c r="K1098">
        <v>0</v>
      </c>
      <c r="L1098">
        <v>8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1</v>
      </c>
      <c r="AC1098">
        <v>0</v>
      </c>
      <c r="AD1098" s="3" t="str">
        <f t="shared" si="51"/>
        <v>S2S PREMIUM</v>
      </c>
      <c r="AE1098" s="3" t="e">
        <f>VLOOKUP(E1098,'[1]Nómina Agentes'!$C:$D,2,0)</f>
        <v>#N/A</v>
      </c>
      <c r="AF1098" s="5">
        <f t="shared" si="52"/>
        <v>0.625</v>
      </c>
      <c r="AG1098" s="5">
        <f t="shared" si="53"/>
        <v>0.64583333333333337</v>
      </c>
    </row>
    <row r="1099" spans="1:33" x14ac:dyDescent="0.25">
      <c r="A1099" s="1">
        <v>45567</v>
      </c>
      <c r="B1099">
        <v>925</v>
      </c>
      <c r="C1099" t="s">
        <v>42</v>
      </c>
      <c r="D1099" t="s">
        <v>279</v>
      </c>
      <c r="E1099">
        <v>663310</v>
      </c>
      <c r="F1099" s="2">
        <v>0.64583333333333337</v>
      </c>
      <c r="G1099" t="s">
        <v>6</v>
      </c>
      <c r="H1099" s="2">
        <v>0.66666666666666663</v>
      </c>
      <c r="I1099">
        <v>522</v>
      </c>
      <c r="J1099">
        <v>0</v>
      </c>
      <c r="K1099">
        <v>0</v>
      </c>
      <c r="L1099">
        <v>12</v>
      </c>
      <c r="M1099">
        <v>0</v>
      </c>
      <c r="N1099">
        <v>0</v>
      </c>
      <c r="O1099">
        <v>0</v>
      </c>
      <c r="P1099">
        <v>406</v>
      </c>
      <c r="Q1099">
        <v>297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4</v>
      </c>
      <c r="AC1099">
        <v>2</v>
      </c>
      <c r="AD1099" s="3" t="str">
        <f t="shared" si="51"/>
        <v>S2S PREMIUM</v>
      </c>
      <c r="AE1099" s="3" t="e">
        <f>VLOOKUP(E1099,'[1]Nómina Agentes'!$C:$D,2,0)</f>
        <v>#N/A</v>
      </c>
      <c r="AF1099" s="5">
        <f t="shared" si="52"/>
        <v>0.64583333333333337</v>
      </c>
      <c r="AG1099" s="5">
        <f t="shared" si="53"/>
        <v>0.66666666666666663</v>
      </c>
    </row>
    <row r="1100" spans="1:33" x14ac:dyDescent="0.25">
      <c r="A1100" s="1">
        <v>45567</v>
      </c>
      <c r="B1100">
        <v>925</v>
      </c>
      <c r="C1100" t="s">
        <v>42</v>
      </c>
      <c r="D1100" t="s">
        <v>279</v>
      </c>
      <c r="E1100">
        <v>663310</v>
      </c>
      <c r="F1100" s="2">
        <v>0.60416666666666663</v>
      </c>
      <c r="G1100" t="s">
        <v>6</v>
      </c>
      <c r="H1100" s="2">
        <v>0.625</v>
      </c>
      <c r="I1100">
        <v>569</v>
      </c>
      <c r="J1100">
        <v>0</v>
      </c>
      <c r="K1100">
        <v>0</v>
      </c>
      <c r="L1100">
        <v>20</v>
      </c>
      <c r="M1100">
        <v>0</v>
      </c>
      <c r="N1100">
        <v>0</v>
      </c>
      <c r="O1100">
        <v>0</v>
      </c>
      <c r="P1100">
        <v>287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6</v>
      </c>
      <c r="AC1100">
        <v>3</v>
      </c>
      <c r="AD1100" s="3" t="str">
        <f t="shared" si="51"/>
        <v>S2S PREMIUM</v>
      </c>
      <c r="AE1100" s="3" t="e">
        <f>VLOOKUP(E1100,'[1]Nómina Agentes'!$C:$D,2,0)</f>
        <v>#N/A</v>
      </c>
      <c r="AF1100" s="5">
        <f t="shared" si="52"/>
        <v>0.60416666666666663</v>
      </c>
      <c r="AG1100" s="5">
        <f t="shared" si="53"/>
        <v>0.625</v>
      </c>
    </row>
    <row r="1101" spans="1:33" x14ac:dyDescent="0.25">
      <c r="A1101" s="1">
        <v>45567</v>
      </c>
      <c r="B1101">
        <v>925</v>
      </c>
      <c r="C1101" t="s">
        <v>42</v>
      </c>
      <c r="D1101" t="s">
        <v>279</v>
      </c>
      <c r="E1101">
        <v>663310</v>
      </c>
      <c r="F1101" s="2">
        <v>0.58333333333333337</v>
      </c>
      <c r="G1101" t="s">
        <v>6</v>
      </c>
      <c r="H1101" s="2">
        <v>0.60416666666666663</v>
      </c>
      <c r="I1101">
        <v>782</v>
      </c>
      <c r="J1101">
        <v>0</v>
      </c>
      <c r="K1101">
        <v>0</v>
      </c>
      <c r="L1101">
        <v>8</v>
      </c>
      <c r="M1101">
        <v>0</v>
      </c>
      <c r="N1101">
        <v>0</v>
      </c>
      <c r="O1101">
        <v>0</v>
      </c>
      <c r="P1101">
        <v>57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2</v>
      </c>
      <c r="AC1101">
        <v>2</v>
      </c>
      <c r="AD1101" s="3" t="str">
        <f t="shared" si="51"/>
        <v>S2S PREMIUM</v>
      </c>
      <c r="AE1101" s="3" t="e">
        <f>VLOOKUP(E1101,'[1]Nómina Agentes'!$C:$D,2,0)</f>
        <v>#N/A</v>
      </c>
      <c r="AF1101" s="5">
        <f t="shared" si="52"/>
        <v>0.58333333333333337</v>
      </c>
      <c r="AG1101" s="5">
        <f t="shared" si="53"/>
        <v>0.60416666666666663</v>
      </c>
    </row>
    <row r="1102" spans="1:33" x14ac:dyDescent="0.25">
      <c r="A1102" s="1">
        <v>45567</v>
      </c>
      <c r="B1102">
        <v>925</v>
      </c>
      <c r="C1102" t="s">
        <v>42</v>
      </c>
      <c r="D1102" t="s">
        <v>280</v>
      </c>
      <c r="E1102">
        <v>663324</v>
      </c>
      <c r="F1102" s="2">
        <v>0.625</v>
      </c>
      <c r="G1102" t="s">
        <v>6</v>
      </c>
      <c r="H1102" s="2">
        <v>0.64583333333333337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1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1</v>
      </c>
      <c r="AC1102">
        <v>1</v>
      </c>
      <c r="AD1102" s="3" t="str">
        <f t="shared" si="51"/>
        <v>S2S PREMIUM</v>
      </c>
      <c r="AE1102" s="3" t="e">
        <f>VLOOKUP(E1102,'[1]Nómina Agentes'!$C:$D,2,0)</f>
        <v>#N/A</v>
      </c>
      <c r="AF1102" s="5">
        <f t="shared" si="52"/>
        <v>0.625</v>
      </c>
      <c r="AG1102" s="5">
        <f t="shared" si="53"/>
        <v>0.64583333333333337</v>
      </c>
    </row>
    <row r="1103" spans="1:33" x14ac:dyDescent="0.25">
      <c r="A1103" s="1">
        <v>45567</v>
      </c>
      <c r="B1103">
        <v>925</v>
      </c>
      <c r="C1103" t="s">
        <v>42</v>
      </c>
      <c r="D1103" t="s">
        <v>280</v>
      </c>
      <c r="E1103">
        <v>663324</v>
      </c>
      <c r="F1103" s="2">
        <v>0.60416666666666663</v>
      </c>
      <c r="G1103" t="s">
        <v>6</v>
      </c>
      <c r="H1103" s="2">
        <v>0.625</v>
      </c>
      <c r="I1103">
        <v>865</v>
      </c>
      <c r="J1103">
        <v>0</v>
      </c>
      <c r="K1103">
        <v>0</v>
      </c>
      <c r="L1103">
        <v>11</v>
      </c>
      <c r="M1103">
        <v>0</v>
      </c>
      <c r="N1103">
        <v>0</v>
      </c>
      <c r="O1103">
        <v>0</v>
      </c>
      <c r="P1103">
        <v>105</v>
      </c>
      <c r="Q1103">
        <v>1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3</v>
      </c>
      <c r="AC1103">
        <v>3</v>
      </c>
      <c r="AD1103" s="3" t="str">
        <f t="shared" si="51"/>
        <v>S2S PREMIUM</v>
      </c>
      <c r="AE1103" s="3" t="e">
        <f>VLOOKUP(E1103,'[1]Nómina Agentes'!$C:$D,2,0)</f>
        <v>#N/A</v>
      </c>
      <c r="AF1103" s="5">
        <f t="shared" si="52"/>
        <v>0.60416666666666663</v>
      </c>
      <c r="AG1103" s="5">
        <f t="shared" si="53"/>
        <v>0.625</v>
      </c>
    </row>
    <row r="1104" spans="1:33" x14ac:dyDescent="0.25">
      <c r="A1104" s="1">
        <v>45567</v>
      </c>
      <c r="B1104">
        <v>925</v>
      </c>
      <c r="C1104" t="s">
        <v>42</v>
      </c>
      <c r="D1104" t="s">
        <v>280</v>
      </c>
      <c r="E1104">
        <v>663324</v>
      </c>
      <c r="F1104" s="2">
        <v>0.58333333333333337</v>
      </c>
      <c r="G1104" t="s">
        <v>6</v>
      </c>
      <c r="H1104" s="2">
        <v>0.60416666666666663</v>
      </c>
      <c r="I1104">
        <v>1337</v>
      </c>
      <c r="J1104">
        <v>0</v>
      </c>
      <c r="K1104">
        <v>0</v>
      </c>
      <c r="L1104">
        <v>8</v>
      </c>
      <c r="M1104">
        <v>0</v>
      </c>
      <c r="N1104">
        <v>0</v>
      </c>
      <c r="O1104">
        <v>0</v>
      </c>
      <c r="P1104">
        <v>123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1</v>
      </c>
      <c r="AC1104">
        <v>1</v>
      </c>
      <c r="AD1104" s="3" t="str">
        <f t="shared" si="51"/>
        <v>S2S PREMIUM</v>
      </c>
      <c r="AE1104" s="3" t="e">
        <f>VLOOKUP(E1104,'[1]Nómina Agentes'!$C:$D,2,0)</f>
        <v>#N/A</v>
      </c>
      <c r="AF1104" s="5">
        <f t="shared" si="52"/>
        <v>0.58333333333333337</v>
      </c>
      <c r="AG1104" s="5">
        <f t="shared" si="53"/>
        <v>0.60416666666666663</v>
      </c>
    </row>
    <row r="1105" spans="1:33" x14ac:dyDescent="0.25">
      <c r="A1105" s="1">
        <v>45567</v>
      </c>
      <c r="B1105">
        <v>925</v>
      </c>
      <c r="C1105" t="s">
        <v>42</v>
      </c>
      <c r="D1105" t="s">
        <v>281</v>
      </c>
      <c r="E1105">
        <v>663334</v>
      </c>
      <c r="F1105" s="2">
        <v>0.79166666666666663</v>
      </c>
      <c r="G1105" t="s">
        <v>6</v>
      </c>
      <c r="H1105" s="2">
        <v>0.8125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 s="3" t="str">
        <f t="shared" si="51"/>
        <v>S2S PREMIUM</v>
      </c>
      <c r="AE1105" s="3" t="e">
        <f>VLOOKUP(E1105,'[1]Nómina Agentes'!$C:$D,2,0)</f>
        <v>#N/A</v>
      </c>
      <c r="AF1105" s="5">
        <f t="shared" si="52"/>
        <v>0.79166666666666663</v>
      </c>
      <c r="AG1105" s="5">
        <f t="shared" si="53"/>
        <v>0.8125</v>
      </c>
    </row>
    <row r="1106" spans="1:33" x14ac:dyDescent="0.25">
      <c r="A1106" s="1">
        <v>45567</v>
      </c>
      <c r="B1106">
        <v>925</v>
      </c>
      <c r="C1106" t="s">
        <v>42</v>
      </c>
      <c r="D1106" t="s">
        <v>281</v>
      </c>
      <c r="E1106">
        <v>663334</v>
      </c>
      <c r="F1106" s="2">
        <v>0.60416666666666663</v>
      </c>
      <c r="G1106" t="s">
        <v>6</v>
      </c>
      <c r="H1106" s="2">
        <v>0.625</v>
      </c>
      <c r="I1106">
        <v>419</v>
      </c>
      <c r="J1106">
        <v>0</v>
      </c>
      <c r="K1106">
        <v>0</v>
      </c>
      <c r="L1106">
        <v>16</v>
      </c>
      <c r="M1106">
        <v>0</v>
      </c>
      <c r="N1106">
        <v>0</v>
      </c>
      <c r="O1106">
        <v>0</v>
      </c>
      <c r="P1106">
        <v>230</v>
      </c>
      <c r="Q1106">
        <v>224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4</v>
      </c>
      <c r="AC1106">
        <v>4</v>
      </c>
      <c r="AD1106" s="3" t="str">
        <f t="shared" si="51"/>
        <v>S2S PREMIUM</v>
      </c>
      <c r="AE1106" s="3" t="e">
        <f>VLOOKUP(E1106,'[1]Nómina Agentes'!$C:$D,2,0)</f>
        <v>#N/A</v>
      </c>
      <c r="AF1106" s="5">
        <f t="shared" si="52"/>
        <v>0.60416666666666663</v>
      </c>
      <c r="AG1106" s="5">
        <f t="shared" si="53"/>
        <v>0.625</v>
      </c>
    </row>
    <row r="1107" spans="1:33" x14ac:dyDescent="0.25">
      <c r="A1107" s="1">
        <v>45567</v>
      </c>
      <c r="B1107">
        <v>925</v>
      </c>
      <c r="C1107" t="s">
        <v>42</v>
      </c>
      <c r="D1107" t="s">
        <v>281</v>
      </c>
      <c r="E1107">
        <v>663334</v>
      </c>
      <c r="F1107" s="2">
        <v>0.70833333333333337</v>
      </c>
      <c r="G1107" t="s">
        <v>6</v>
      </c>
      <c r="H1107" s="2">
        <v>0.72916666666666663</v>
      </c>
      <c r="I1107">
        <v>455</v>
      </c>
      <c r="J1107">
        <v>0</v>
      </c>
      <c r="K1107">
        <v>0</v>
      </c>
      <c r="L1107">
        <v>8</v>
      </c>
      <c r="M1107">
        <v>0</v>
      </c>
      <c r="N1107">
        <v>0</v>
      </c>
      <c r="O1107">
        <v>0</v>
      </c>
      <c r="P1107">
        <v>171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3</v>
      </c>
      <c r="AC1107">
        <v>3</v>
      </c>
      <c r="AD1107" s="3" t="str">
        <f t="shared" si="51"/>
        <v>S2S PREMIUM</v>
      </c>
      <c r="AE1107" s="3" t="e">
        <f>VLOOKUP(E1107,'[1]Nómina Agentes'!$C:$D,2,0)</f>
        <v>#N/A</v>
      </c>
      <c r="AF1107" s="5">
        <f t="shared" si="52"/>
        <v>0.70833333333333337</v>
      </c>
      <c r="AG1107" s="5">
        <f t="shared" si="53"/>
        <v>0.72916666666666663</v>
      </c>
    </row>
    <row r="1108" spans="1:33" x14ac:dyDescent="0.25">
      <c r="A1108" s="1">
        <v>45567</v>
      </c>
      <c r="B1108">
        <v>925</v>
      </c>
      <c r="C1108" t="s">
        <v>42</v>
      </c>
      <c r="D1108" t="s">
        <v>281</v>
      </c>
      <c r="E1108">
        <v>663334</v>
      </c>
      <c r="F1108" s="2">
        <v>0.625</v>
      </c>
      <c r="G1108" t="s">
        <v>6</v>
      </c>
      <c r="H1108" s="2">
        <v>0.64583333333333337</v>
      </c>
      <c r="I1108">
        <v>550</v>
      </c>
      <c r="J1108">
        <v>0</v>
      </c>
      <c r="K1108">
        <v>0</v>
      </c>
      <c r="L1108">
        <v>8</v>
      </c>
      <c r="M1108">
        <v>0</v>
      </c>
      <c r="N1108">
        <v>0</v>
      </c>
      <c r="O1108">
        <v>0</v>
      </c>
      <c r="P1108">
        <v>126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3</v>
      </c>
      <c r="AC1108">
        <v>2</v>
      </c>
      <c r="AD1108" s="3" t="str">
        <f t="shared" si="51"/>
        <v>S2S PREMIUM</v>
      </c>
      <c r="AE1108" s="3" t="e">
        <f>VLOOKUP(E1108,'[1]Nómina Agentes'!$C:$D,2,0)</f>
        <v>#N/A</v>
      </c>
      <c r="AF1108" s="5">
        <f t="shared" si="52"/>
        <v>0.625</v>
      </c>
      <c r="AG1108" s="5">
        <f t="shared" si="53"/>
        <v>0.64583333333333337</v>
      </c>
    </row>
    <row r="1109" spans="1:33" x14ac:dyDescent="0.25">
      <c r="A1109" s="1">
        <v>45567</v>
      </c>
      <c r="B1109">
        <v>925</v>
      </c>
      <c r="C1109" t="s">
        <v>42</v>
      </c>
      <c r="D1109" t="s">
        <v>281</v>
      </c>
      <c r="E1109">
        <v>663334</v>
      </c>
      <c r="F1109" s="2">
        <v>0.64583333333333337</v>
      </c>
      <c r="G1109" t="s">
        <v>6</v>
      </c>
      <c r="H1109" s="2">
        <v>0.66666666666666663</v>
      </c>
      <c r="I1109">
        <v>664</v>
      </c>
      <c r="J1109">
        <v>0</v>
      </c>
      <c r="K1109">
        <v>0</v>
      </c>
      <c r="L1109">
        <v>8</v>
      </c>
      <c r="M1109">
        <v>0</v>
      </c>
      <c r="N1109">
        <v>0</v>
      </c>
      <c r="O1109">
        <v>0</v>
      </c>
      <c r="P1109">
        <v>1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1</v>
      </c>
      <c r="AC1109">
        <v>1</v>
      </c>
      <c r="AD1109" s="3" t="str">
        <f t="shared" si="51"/>
        <v>S2S PREMIUM</v>
      </c>
      <c r="AE1109" s="3" t="e">
        <f>VLOOKUP(E1109,'[1]Nómina Agentes'!$C:$D,2,0)</f>
        <v>#N/A</v>
      </c>
      <c r="AF1109" s="5">
        <f t="shared" si="52"/>
        <v>0.64583333333333337</v>
      </c>
      <c r="AG1109" s="5">
        <f t="shared" si="53"/>
        <v>0.66666666666666663</v>
      </c>
    </row>
    <row r="1110" spans="1:33" x14ac:dyDescent="0.25">
      <c r="A1110" s="1">
        <v>45567</v>
      </c>
      <c r="B1110">
        <v>925</v>
      </c>
      <c r="C1110" t="s">
        <v>42</v>
      </c>
      <c r="D1110" t="s">
        <v>281</v>
      </c>
      <c r="E1110">
        <v>663334</v>
      </c>
      <c r="F1110" s="2">
        <v>0.6875</v>
      </c>
      <c r="G1110" t="s">
        <v>6</v>
      </c>
      <c r="H1110" s="2">
        <v>0.70833333333333337</v>
      </c>
      <c r="I1110">
        <v>688</v>
      </c>
      <c r="J1110">
        <v>0</v>
      </c>
      <c r="K1110">
        <v>0</v>
      </c>
      <c r="L1110">
        <v>12</v>
      </c>
      <c r="M1110">
        <v>0</v>
      </c>
      <c r="N1110">
        <v>0</v>
      </c>
      <c r="O1110">
        <v>0</v>
      </c>
      <c r="P1110">
        <v>788</v>
      </c>
      <c r="Q1110">
        <v>382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3</v>
      </c>
      <c r="AC1110">
        <v>3</v>
      </c>
      <c r="AD1110" s="3" t="str">
        <f t="shared" si="51"/>
        <v>S2S PREMIUM</v>
      </c>
      <c r="AE1110" s="3" t="e">
        <f>VLOOKUP(E1110,'[1]Nómina Agentes'!$C:$D,2,0)</f>
        <v>#N/A</v>
      </c>
      <c r="AF1110" s="5">
        <f t="shared" si="52"/>
        <v>0.6875</v>
      </c>
      <c r="AG1110" s="5">
        <f t="shared" si="53"/>
        <v>0.70833333333333337</v>
      </c>
    </row>
    <row r="1111" spans="1:33" x14ac:dyDescent="0.25">
      <c r="A1111" s="1">
        <v>45567</v>
      </c>
      <c r="B1111">
        <v>925</v>
      </c>
      <c r="C1111" t="s">
        <v>42</v>
      </c>
      <c r="D1111" t="s">
        <v>281</v>
      </c>
      <c r="E1111">
        <v>663334</v>
      </c>
      <c r="F1111" s="2">
        <v>0.75</v>
      </c>
      <c r="G1111" t="s">
        <v>6</v>
      </c>
      <c r="H1111" s="2">
        <v>0.77083333333333337</v>
      </c>
      <c r="I1111">
        <v>750</v>
      </c>
      <c r="J1111">
        <v>0</v>
      </c>
      <c r="K1111">
        <v>0</v>
      </c>
      <c r="L1111">
        <v>16</v>
      </c>
      <c r="M1111">
        <v>0</v>
      </c>
      <c r="N1111">
        <v>0</v>
      </c>
      <c r="O1111">
        <v>0</v>
      </c>
      <c r="P1111">
        <v>69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5</v>
      </c>
      <c r="AC1111">
        <v>4</v>
      </c>
      <c r="AD1111" s="3" t="str">
        <f t="shared" si="51"/>
        <v>S2S PREMIUM</v>
      </c>
      <c r="AE1111" s="3" t="e">
        <f>VLOOKUP(E1111,'[1]Nómina Agentes'!$C:$D,2,0)</f>
        <v>#N/A</v>
      </c>
      <c r="AF1111" s="5">
        <f t="shared" si="52"/>
        <v>0.75</v>
      </c>
      <c r="AG1111" s="5">
        <f t="shared" si="53"/>
        <v>0.77083333333333337</v>
      </c>
    </row>
    <row r="1112" spans="1:33" x14ac:dyDescent="0.25">
      <c r="A1112" s="1">
        <v>45567</v>
      </c>
      <c r="B1112">
        <v>925</v>
      </c>
      <c r="C1112" t="s">
        <v>42</v>
      </c>
      <c r="D1112" t="s">
        <v>281</v>
      </c>
      <c r="E1112">
        <v>663334</v>
      </c>
      <c r="F1112" s="2">
        <v>0.66666666666666663</v>
      </c>
      <c r="G1112" t="s">
        <v>6</v>
      </c>
      <c r="H1112" s="2">
        <v>0.6875</v>
      </c>
      <c r="I1112">
        <v>832</v>
      </c>
      <c r="J1112">
        <v>0</v>
      </c>
      <c r="K1112">
        <v>0</v>
      </c>
      <c r="L1112">
        <v>12</v>
      </c>
      <c r="M1112">
        <v>0</v>
      </c>
      <c r="N1112">
        <v>0</v>
      </c>
      <c r="O1112">
        <v>0</v>
      </c>
      <c r="P1112">
        <v>293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3</v>
      </c>
      <c r="AC1112">
        <v>2</v>
      </c>
      <c r="AD1112" s="3" t="str">
        <f t="shared" si="51"/>
        <v>S2S PREMIUM</v>
      </c>
      <c r="AE1112" s="3" t="e">
        <f>VLOOKUP(E1112,'[1]Nómina Agentes'!$C:$D,2,0)</f>
        <v>#N/A</v>
      </c>
      <c r="AF1112" s="5">
        <f t="shared" si="52"/>
        <v>0.66666666666666663</v>
      </c>
      <c r="AG1112" s="5">
        <f t="shared" si="53"/>
        <v>0.6875</v>
      </c>
    </row>
    <row r="1113" spans="1:33" x14ac:dyDescent="0.25">
      <c r="A1113" s="1">
        <v>45567</v>
      </c>
      <c r="B1113">
        <v>925</v>
      </c>
      <c r="C1113" t="s">
        <v>42</v>
      </c>
      <c r="D1113" t="s">
        <v>281</v>
      </c>
      <c r="E1113">
        <v>663334</v>
      </c>
      <c r="F1113" s="2">
        <v>0.77083333333333337</v>
      </c>
      <c r="G1113" t="s">
        <v>6</v>
      </c>
      <c r="H1113" s="2">
        <v>0.79166666666666663</v>
      </c>
      <c r="I1113">
        <v>832</v>
      </c>
      <c r="J1113">
        <v>0</v>
      </c>
      <c r="K1113">
        <v>0</v>
      </c>
      <c r="L1113">
        <v>20</v>
      </c>
      <c r="M1113">
        <v>0</v>
      </c>
      <c r="N1113">
        <v>0</v>
      </c>
      <c r="O1113">
        <v>0</v>
      </c>
      <c r="P1113">
        <v>94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5</v>
      </c>
      <c r="AC1113">
        <v>2</v>
      </c>
      <c r="AD1113" s="3" t="str">
        <f t="shared" si="51"/>
        <v>S2S PREMIUM</v>
      </c>
      <c r="AE1113" s="3" t="e">
        <f>VLOOKUP(E1113,'[1]Nómina Agentes'!$C:$D,2,0)</f>
        <v>#N/A</v>
      </c>
      <c r="AF1113" s="5">
        <f t="shared" si="52"/>
        <v>0.77083333333333337</v>
      </c>
      <c r="AG1113" s="5">
        <f t="shared" si="53"/>
        <v>0.79166666666666663</v>
      </c>
    </row>
    <row r="1114" spans="1:33" x14ac:dyDescent="0.25">
      <c r="A1114" s="1">
        <v>45567</v>
      </c>
      <c r="B1114">
        <v>925</v>
      </c>
      <c r="C1114" t="s">
        <v>42</v>
      </c>
      <c r="D1114" t="s">
        <v>281</v>
      </c>
      <c r="E1114">
        <v>663334</v>
      </c>
      <c r="F1114" s="2">
        <v>0.58333333333333337</v>
      </c>
      <c r="G1114" t="s">
        <v>6</v>
      </c>
      <c r="H1114" s="2">
        <v>0.60416666666666663</v>
      </c>
      <c r="I1114">
        <v>909</v>
      </c>
      <c r="J1114">
        <v>0</v>
      </c>
      <c r="K1114">
        <v>0</v>
      </c>
      <c r="L1114">
        <v>8</v>
      </c>
      <c r="M1114">
        <v>0</v>
      </c>
      <c r="N1114">
        <v>0</v>
      </c>
      <c r="O1114">
        <v>0</v>
      </c>
      <c r="P1114">
        <v>296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2</v>
      </c>
      <c r="AC1114">
        <v>2</v>
      </c>
      <c r="AD1114" s="3" t="str">
        <f t="shared" si="51"/>
        <v>S2S PREMIUM</v>
      </c>
      <c r="AE1114" s="3" t="e">
        <f>VLOOKUP(E1114,'[1]Nómina Agentes'!$C:$D,2,0)</f>
        <v>#N/A</v>
      </c>
      <c r="AF1114" s="5">
        <f t="shared" si="52"/>
        <v>0.58333333333333337</v>
      </c>
      <c r="AG1114" s="5">
        <f t="shared" si="53"/>
        <v>0.60416666666666663</v>
      </c>
    </row>
    <row r="1115" spans="1:33" x14ac:dyDescent="0.25">
      <c r="A1115" s="1">
        <v>45567</v>
      </c>
      <c r="B1115">
        <v>925</v>
      </c>
      <c r="C1115" t="s">
        <v>42</v>
      </c>
      <c r="D1115" t="s">
        <v>281</v>
      </c>
      <c r="E1115">
        <v>663334</v>
      </c>
      <c r="F1115" s="2">
        <v>0.72916666666666663</v>
      </c>
      <c r="G1115" t="s">
        <v>6</v>
      </c>
      <c r="H1115" s="2">
        <v>0.75</v>
      </c>
      <c r="I1115">
        <v>1191</v>
      </c>
      <c r="J1115">
        <v>0</v>
      </c>
      <c r="K1115">
        <v>0</v>
      </c>
      <c r="L1115">
        <v>20</v>
      </c>
      <c r="M1115">
        <v>0</v>
      </c>
      <c r="N1115">
        <v>0</v>
      </c>
      <c r="O1115">
        <v>0</v>
      </c>
      <c r="P1115">
        <v>24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4</v>
      </c>
      <c r="AC1115">
        <v>4</v>
      </c>
      <c r="AD1115" s="3" t="str">
        <f t="shared" si="51"/>
        <v>S2S PREMIUM</v>
      </c>
      <c r="AE1115" s="3" t="e">
        <f>VLOOKUP(E1115,'[1]Nómina Agentes'!$C:$D,2,0)</f>
        <v>#N/A</v>
      </c>
      <c r="AF1115" s="5">
        <f t="shared" si="52"/>
        <v>0.72916666666666663</v>
      </c>
      <c r="AG1115" s="5">
        <f t="shared" si="53"/>
        <v>0.75</v>
      </c>
    </row>
    <row r="1116" spans="1:33" x14ac:dyDescent="0.25">
      <c r="A1116" s="1">
        <v>45567</v>
      </c>
      <c r="B1116">
        <v>925</v>
      </c>
      <c r="C1116" t="s">
        <v>42</v>
      </c>
      <c r="D1116" t="s">
        <v>282</v>
      </c>
      <c r="E1116">
        <v>663385</v>
      </c>
      <c r="F1116" s="2">
        <v>0.66666666666666663</v>
      </c>
      <c r="G1116" t="s">
        <v>6</v>
      </c>
      <c r="H1116" s="2">
        <v>0.6875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 s="3" t="str">
        <f t="shared" si="51"/>
        <v>S2S PREMIUM</v>
      </c>
      <c r="AE1116" s="3" t="e">
        <f>VLOOKUP(E1116,'[1]Nómina Agentes'!$C:$D,2,0)</f>
        <v>#N/A</v>
      </c>
      <c r="AF1116" s="5">
        <f t="shared" si="52"/>
        <v>0.66666666666666663</v>
      </c>
      <c r="AG1116" s="5">
        <f t="shared" si="53"/>
        <v>0.6875</v>
      </c>
    </row>
    <row r="1117" spans="1:33" x14ac:dyDescent="0.25">
      <c r="A1117" s="1">
        <v>45567</v>
      </c>
      <c r="B1117">
        <v>925</v>
      </c>
      <c r="C1117" t="s">
        <v>42</v>
      </c>
      <c r="D1117" t="s">
        <v>282</v>
      </c>
      <c r="E1117">
        <v>663385</v>
      </c>
      <c r="F1117" s="2">
        <v>0.64583333333333337</v>
      </c>
      <c r="G1117" t="s">
        <v>6</v>
      </c>
      <c r="H1117" s="2">
        <v>0.66666666666666663</v>
      </c>
      <c r="I1117">
        <v>122</v>
      </c>
      <c r="J1117">
        <v>0</v>
      </c>
      <c r="K1117">
        <v>0</v>
      </c>
      <c r="L1117">
        <v>4</v>
      </c>
      <c r="M1117">
        <v>0</v>
      </c>
      <c r="N1117">
        <v>0</v>
      </c>
      <c r="O1117">
        <v>0</v>
      </c>
      <c r="P1117">
        <v>82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1</v>
      </c>
      <c r="AC1117">
        <v>0</v>
      </c>
      <c r="AD1117" s="3" t="str">
        <f t="shared" si="51"/>
        <v>S2S PREMIUM</v>
      </c>
      <c r="AE1117" s="3" t="e">
        <f>VLOOKUP(E1117,'[1]Nómina Agentes'!$C:$D,2,0)</f>
        <v>#N/A</v>
      </c>
      <c r="AF1117" s="5">
        <f t="shared" si="52"/>
        <v>0.64583333333333337</v>
      </c>
      <c r="AG1117" s="5">
        <f t="shared" si="53"/>
        <v>0.66666666666666663</v>
      </c>
    </row>
    <row r="1118" spans="1:33" x14ac:dyDescent="0.25">
      <c r="A1118" s="1">
        <v>45567</v>
      </c>
      <c r="B1118">
        <v>925</v>
      </c>
      <c r="C1118" t="s">
        <v>42</v>
      </c>
      <c r="D1118" t="s">
        <v>282</v>
      </c>
      <c r="E1118">
        <v>663385</v>
      </c>
      <c r="F1118" s="2">
        <v>0.625</v>
      </c>
      <c r="G1118" t="s">
        <v>6</v>
      </c>
      <c r="H1118" s="2">
        <v>0.64583333333333337</v>
      </c>
      <c r="I1118">
        <v>380</v>
      </c>
      <c r="J1118">
        <v>0</v>
      </c>
      <c r="K1118">
        <v>0</v>
      </c>
      <c r="L1118">
        <v>4</v>
      </c>
      <c r="M1118">
        <v>0</v>
      </c>
      <c r="N1118">
        <v>0</v>
      </c>
      <c r="O1118">
        <v>0</v>
      </c>
      <c r="P1118">
        <v>727</v>
      </c>
      <c r="Q1118">
        <v>544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1</v>
      </c>
      <c r="AC1118">
        <v>0</v>
      </c>
      <c r="AD1118" s="3" t="str">
        <f t="shared" si="51"/>
        <v>S2S PREMIUM</v>
      </c>
      <c r="AE1118" s="3" t="e">
        <f>VLOOKUP(E1118,'[1]Nómina Agentes'!$C:$D,2,0)</f>
        <v>#N/A</v>
      </c>
      <c r="AF1118" s="5">
        <f t="shared" si="52"/>
        <v>0.625</v>
      </c>
      <c r="AG1118" s="5">
        <f t="shared" si="53"/>
        <v>0.64583333333333337</v>
      </c>
    </row>
    <row r="1119" spans="1:33" x14ac:dyDescent="0.25">
      <c r="A1119" s="1">
        <v>45567</v>
      </c>
      <c r="B1119">
        <v>925</v>
      </c>
      <c r="C1119" t="s">
        <v>42</v>
      </c>
      <c r="D1119" t="s">
        <v>283</v>
      </c>
      <c r="E1119">
        <v>663419</v>
      </c>
      <c r="F1119" s="2">
        <v>0.77083333333333337</v>
      </c>
      <c r="G1119" t="s">
        <v>6</v>
      </c>
      <c r="H1119" s="2">
        <v>0.79166666666666663</v>
      </c>
      <c r="I1119">
        <v>632</v>
      </c>
      <c r="J1119">
        <v>0</v>
      </c>
      <c r="K1119">
        <v>0</v>
      </c>
      <c r="L1119">
        <v>12</v>
      </c>
      <c r="M1119">
        <v>0</v>
      </c>
      <c r="N1119">
        <v>0</v>
      </c>
      <c r="O1119">
        <v>0</v>
      </c>
      <c r="P1119">
        <v>2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3</v>
      </c>
      <c r="AC1119">
        <v>1</v>
      </c>
      <c r="AD1119" s="3" t="str">
        <f t="shared" si="51"/>
        <v>S2S PREMIUM</v>
      </c>
      <c r="AE1119" s="3" t="e">
        <f>VLOOKUP(E1119,'[1]Nómina Agentes'!$C:$D,2,0)</f>
        <v>#N/A</v>
      </c>
      <c r="AF1119" s="5">
        <f t="shared" si="52"/>
        <v>0.77083333333333337</v>
      </c>
      <c r="AG1119" s="5">
        <f t="shared" si="53"/>
        <v>0.79166666666666663</v>
      </c>
    </row>
    <row r="1120" spans="1:33" x14ac:dyDescent="0.25">
      <c r="A1120" s="1">
        <v>45567</v>
      </c>
      <c r="B1120">
        <v>925</v>
      </c>
      <c r="C1120" t="s">
        <v>42</v>
      </c>
      <c r="D1120" t="s">
        <v>283</v>
      </c>
      <c r="E1120">
        <v>663419</v>
      </c>
      <c r="F1120" s="2">
        <v>0.79166666666666663</v>
      </c>
      <c r="G1120" t="s">
        <v>6</v>
      </c>
      <c r="H1120" s="2">
        <v>0.8125</v>
      </c>
      <c r="I1120">
        <v>1014</v>
      </c>
      <c r="J1120">
        <v>59</v>
      </c>
      <c r="K1120">
        <v>0</v>
      </c>
      <c r="L1120">
        <v>20</v>
      </c>
      <c r="M1120">
        <v>0</v>
      </c>
      <c r="N1120">
        <v>0</v>
      </c>
      <c r="O1120">
        <v>0</v>
      </c>
      <c r="P1120">
        <v>278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4</v>
      </c>
      <c r="AC1120">
        <v>3</v>
      </c>
      <c r="AD1120" s="3" t="str">
        <f t="shared" si="51"/>
        <v>S2S PREMIUM</v>
      </c>
      <c r="AE1120" s="3" t="e">
        <f>VLOOKUP(E1120,'[1]Nómina Agentes'!$C:$D,2,0)</f>
        <v>#N/A</v>
      </c>
      <c r="AF1120" s="5">
        <f t="shared" si="52"/>
        <v>0.79166666666666663</v>
      </c>
      <c r="AG1120" s="5">
        <f t="shared" si="53"/>
        <v>0.8125</v>
      </c>
    </row>
    <row r="1121" spans="1:33" x14ac:dyDescent="0.25">
      <c r="A1121" s="1">
        <v>45567</v>
      </c>
      <c r="B1121">
        <v>925</v>
      </c>
      <c r="C1121" t="s">
        <v>42</v>
      </c>
      <c r="D1121" t="s">
        <v>283</v>
      </c>
      <c r="E1121">
        <v>663419</v>
      </c>
      <c r="F1121" s="2">
        <v>0.8125</v>
      </c>
      <c r="G1121" t="s">
        <v>6</v>
      </c>
      <c r="H1121" s="2">
        <v>0.83333333333333337</v>
      </c>
      <c r="I1121">
        <v>1199</v>
      </c>
      <c r="J1121">
        <v>0</v>
      </c>
      <c r="K1121">
        <v>0</v>
      </c>
      <c r="L1121">
        <v>16</v>
      </c>
      <c r="M1121">
        <v>0</v>
      </c>
      <c r="N1121">
        <v>0</v>
      </c>
      <c r="O1121">
        <v>0</v>
      </c>
      <c r="P1121">
        <v>105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4</v>
      </c>
      <c r="AC1121">
        <v>4</v>
      </c>
      <c r="AD1121" s="3" t="str">
        <f t="shared" si="51"/>
        <v>S2S PREMIUM</v>
      </c>
      <c r="AE1121" s="3" t="e">
        <f>VLOOKUP(E1121,'[1]Nómina Agentes'!$C:$D,2,0)</f>
        <v>#N/A</v>
      </c>
      <c r="AF1121" s="5">
        <f t="shared" si="52"/>
        <v>0.8125</v>
      </c>
      <c r="AG1121" s="5">
        <f t="shared" si="53"/>
        <v>0.83333333333333337</v>
      </c>
    </row>
    <row r="1122" spans="1:33" x14ac:dyDescent="0.25">
      <c r="A1122" s="1">
        <v>45567</v>
      </c>
      <c r="B1122">
        <v>924</v>
      </c>
      <c r="C1122" t="s">
        <v>43</v>
      </c>
      <c r="D1122" t="s">
        <v>284</v>
      </c>
      <c r="E1122">
        <v>663456</v>
      </c>
      <c r="F1122" s="2">
        <v>0.66666666666666663</v>
      </c>
      <c r="G1122" t="s">
        <v>6</v>
      </c>
      <c r="H1122" s="2">
        <v>0.6875</v>
      </c>
      <c r="I1122">
        <v>40</v>
      </c>
      <c r="J1122">
        <v>32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73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1</v>
      </c>
      <c r="AC1122">
        <v>1</v>
      </c>
      <c r="AD1122" s="3" t="str">
        <f t="shared" si="51"/>
        <v>S2S NO PREMIUM</v>
      </c>
      <c r="AE1122" s="3" t="e">
        <f>VLOOKUP(E1122,'[1]Nómina Agentes'!$C:$D,2,0)</f>
        <v>#N/A</v>
      </c>
      <c r="AF1122" s="5">
        <f t="shared" si="52"/>
        <v>0.66666666666666663</v>
      </c>
      <c r="AG1122" s="5">
        <f t="shared" si="53"/>
        <v>0.6875</v>
      </c>
    </row>
    <row r="1123" spans="1:33" x14ac:dyDescent="0.25">
      <c r="A1123" s="1">
        <v>45567</v>
      </c>
      <c r="B1123">
        <v>924</v>
      </c>
      <c r="C1123" t="s">
        <v>43</v>
      </c>
      <c r="D1123" t="s">
        <v>284</v>
      </c>
      <c r="E1123">
        <v>663456</v>
      </c>
      <c r="F1123" s="2">
        <v>0.625</v>
      </c>
      <c r="G1123" t="s">
        <v>6</v>
      </c>
      <c r="H1123" s="2">
        <v>0.64583333333333337</v>
      </c>
      <c r="I1123">
        <v>232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704</v>
      </c>
      <c r="Q1123">
        <v>260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1</v>
      </c>
      <c r="AC1123">
        <v>1</v>
      </c>
      <c r="AD1123" s="3" t="str">
        <f t="shared" si="51"/>
        <v>S2S NO PREMIUM</v>
      </c>
      <c r="AE1123" s="3" t="e">
        <f>VLOOKUP(E1123,'[1]Nómina Agentes'!$C:$D,2,0)</f>
        <v>#N/A</v>
      </c>
      <c r="AF1123" s="5">
        <f t="shared" si="52"/>
        <v>0.625</v>
      </c>
      <c r="AG1123" s="5">
        <f t="shared" si="53"/>
        <v>0.64583333333333337</v>
      </c>
    </row>
    <row r="1124" spans="1:33" x14ac:dyDescent="0.25">
      <c r="A1124" s="1">
        <v>45567</v>
      </c>
      <c r="B1124">
        <v>924</v>
      </c>
      <c r="C1124" t="s">
        <v>43</v>
      </c>
      <c r="D1124" t="s">
        <v>284</v>
      </c>
      <c r="E1124">
        <v>663456</v>
      </c>
      <c r="F1124" s="2">
        <v>0.58333333333333337</v>
      </c>
      <c r="G1124" t="s">
        <v>6</v>
      </c>
      <c r="H1124" s="2">
        <v>0.60416666666666663</v>
      </c>
      <c r="I1124">
        <v>418</v>
      </c>
      <c r="J1124">
        <v>140</v>
      </c>
      <c r="K1124">
        <v>0</v>
      </c>
      <c r="L1124">
        <v>8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2</v>
      </c>
      <c r="AC1124">
        <v>2</v>
      </c>
      <c r="AD1124" s="3" t="str">
        <f t="shared" si="51"/>
        <v>S2S NO PREMIUM</v>
      </c>
      <c r="AE1124" s="3" t="e">
        <f>VLOOKUP(E1124,'[1]Nómina Agentes'!$C:$D,2,0)</f>
        <v>#N/A</v>
      </c>
      <c r="AF1124" s="5">
        <f t="shared" si="52"/>
        <v>0.58333333333333337</v>
      </c>
      <c r="AG1124" s="5">
        <f t="shared" si="53"/>
        <v>0.60416666666666663</v>
      </c>
    </row>
    <row r="1125" spans="1:33" x14ac:dyDescent="0.25">
      <c r="A1125" s="1">
        <v>45567</v>
      </c>
      <c r="B1125">
        <v>924</v>
      </c>
      <c r="C1125" t="s">
        <v>43</v>
      </c>
      <c r="D1125" t="s">
        <v>284</v>
      </c>
      <c r="E1125">
        <v>663456</v>
      </c>
      <c r="F1125" s="2">
        <v>0.64583333333333337</v>
      </c>
      <c r="G1125" t="s">
        <v>6</v>
      </c>
      <c r="H1125" s="2">
        <v>0.66666666666666663</v>
      </c>
      <c r="I1125">
        <v>664</v>
      </c>
      <c r="J1125">
        <v>90</v>
      </c>
      <c r="K1125">
        <v>0</v>
      </c>
      <c r="L1125">
        <v>11</v>
      </c>
      <c r="M1125">
        <v>0</v>
      </c>
      <c r="N1125">
        <v>0</v>
      </c>
      <c r="O1125">
        <v>0</v>
      </c>
      <c r="P1125">
        <v>78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2</v>
      </c>
      <c r="AC1125">
        <v>1</v>
      </c>
      <c r="AD1125" s="3" t="str">
        <f t="shared" si="51"/>
        <v>S2S NO PREMIUM</v>
      </c>
      <c r="AE1125" s="3" t="e">
        <f>VLOOKUP(E1125,'[1]Nómina Agentes'!$C:$D,2,0)</f>
        <v>#N/A</v>
      </c>
      <c r="AF1125" s="5">
        <f t="shared" si="52"/>
        <v>0.64583333333333337</v>
      </c>
      <c r="AG1125" s="5">
        <f t="shared" si="53"/>
        <v>0.66666666666666663</v>
      </c>
    </row>
    <row r="1126" spans="1:33" x14ac:dyDescent="0.25">
      <c r="A1126" s="1">
        <v>45567</v>
      </c>
      <c r="B1126">
        <v>924</v>
      </c>
      <c r="C1126" t="s">
        <v>43</v>
      </c>
      <c r="D1126" t="s">
        <v>284</v>
      </c>
      <c r="E1126">
        <v>663456</v>
      </c>
      <c r="F1126" s="2">
        <v>0.60416666666666663</v>
      </c>
      <c r="G1126" t="s">
        <v>6</v>
      </c>
      <c r="H1126" s="2">
        <v>0.625</v>
      </c>
      <c r="I1126">
        <v>671</v>
      </c>
      <c r="J1126">
        <v>79</v>
      </c>
      <c r="K1126">
        <v>0</v>
      </c>
      <c r="L1126">
        <v>11</v>
      </c>
      <c r="M1126">
        <v>0</v>
      </c>
      <c r="N1126">
        <v>0</v>
      </c>
      <c r="O1126">
        <v>0</v>
      </c>
      <c r="P1126">
        <v>2</v>
      </c>
      <c r="Q1126">
        <v>2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3</v>
      </c>
      <c r="AC1126">
        <v>3</v>
      </c>
      <c r="AD1126" s="3" t="str">
        <f t="shared" si="51"/>
        <v>S2S NO PREMIUM</v>
      </c>
      <c r="AE1126" s="3" t="e">
        <f>VLOOKUP(E1126,'[1]Nómina Agentes'!$C:$D,2,0)</f>
        <v>#N/A</v>
      </c>
      <c r="AF1126" s="5">
        <f t="shared" si="52"/>
        <v>0.60416666666666663</v>
      </c>
      <c r="AG1126" s="5">
        <f t="shared" si="53"/>
        <v>0.625</v>
      </c>
    </row>
    <row r="1127" spans="1:33" x14ac:dyDescent="0.25">
      <c r="A1127" s="1">
        <v>45567</v>
      </c>
      <c r="B1127">
        <v>925</v>
      </c>
      <c r="C1127" t="s">
        <v>42</v>
      </c>
      <c r="D1127" t="s">
        <v>285</v>
      </c>
      <c r="E1127">
        <v>663510</v>
      </c>
      <c r="F1127" s="2">
        <v>0.625</v>
      </c>
      <c r="G1127" t="s">
        <v>6</v>
      </c>
      <c r="H1127" s="2">
        <v>0.64583333333333337</v>
      </c>
      <c r="I1127">
        <v>644</v>
      </c>
      <c r="J1127">
        <v>2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1</v>
      </c>
      <c r="Q1127">
        <v>2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1</v>
      </c>
      <c r="AC1127">
        <v>0</v>
      </c>
      <c r="AD1127" s="3" t="str">
        <f t="shared" si="51"/>
        <v>S2S PREMIUM</v>
      </c>
      <c r="AE1127" s="3" t="e">
        <f>VLOOKUP(E1127,'[1]Nómina Agentes'!$C:$D,2,0)</f>
        <v>#N/A</v>
      </c>
      <c r="AF1127" s="5">
        <f t="shared" si="52"/>
        <v>0.625</v>
      </c>
      <c r="AG1127" s="5">
        <f t="shared" si="53"/>
        <v>0.64583333333333337</v>
      </c>
    </row>
    <row r="1128" spans="1:33" x14ac:dyDescent="0.25">
      <c r="A1128" s="1">
        <v>45567</v>
      </c>
      <c r="B1128">
        <v>925</v>
      </c>
      <c r="C1128" t="s">
        <v>42</v>
      </c>
      <c r="D1128" t="s">
        <v>285</v>
      </c>
      <c r="E1128">
        <v>663510</v>
      </c>
      <c r="F1128" s="2">
        <v>0.58333333333333337</v>
      </c>
      <c r="G1128" t="s">
        <v>6</v>
      </c>
      <c r="H1128" s="2">
        <v>0.60416666666666663</v>
      </c>
      <c r="I1128">
        <v>704</v>
      </c>
      <c r="J1128">
        <v>0</v>
      </c>
      <c r="K1128">
        <v>0</v>
      </c>
      <c r="L1128">
        <v>12</v>
      </c>
      <c r="M1128">
        <v>0</v>
      </c>
      <c r="N1128">
        <v>0</v>
      </c>
      <c r="O1128">
        <v>0</v>
      </c>
      <c r="P1128">
        <v>1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3</v>
      </c>
      <c r="AC1128">
        <v>1</v>
      </c>
      <c r="AD1128" s="3" t="str">
        <f t="shared" si="51"/>
        <v>S2S PREMIUM</v>
      </c>
      <c r="AE1128" s="3" t="e">
        <f>VLOOKUP(E1128,'[1]Nómina Agentes'!$C:$D,2,0)</f>
        <v>#N/A</v>
      </c>
      <c r="AF1128" s="5">
        <f t="shared" si="52"/>
        <v>0.58333333333333337</v>
      </c>
      <c r="AG1128" s="5">
        <f t="shared" si="53"/>
        <v>0.60416666666666663</v>
      </c>
    </row>
    <row r="1129" spans="1:33" x14ac:dyDescent="0.25">
      <c r="A1129" s="1">
        <v>45567</v>
      </c>
      <c r="B1129">
        <v>925</v>
      </c>
      <c r="C1129" t="s">
        <v>42</v>
      </c>
      <c r="D1129" t="s">
        <v>285</v>
      </c>
      <c r="E1129">
        <v>663510</v>
      </c>
      <c r="F1129" s="2">
        <v>0.60416666666666663</v>
      </c>
      <c r="G1129" t="s">
        <v>6</v>
      </c>
      <c r="H1129" s="2">
        <v>0.625</v>
      </c>
      <c r="I1129">
        <v>904</v>
      </c>
      <c r="J1129">
        <v>0</v>
      </c>
      <c r="K1129">
        <v>0</v>
      </c>
      <c r="L1129">
        <v>12</v>
      </c>
      <c r="M1129">
        <v>0</v>
      </c>
      <c r="N1129">
        <v>0</v>
      </c>
      <c r="O1129">
        <v>0</v>
      </c>
      <c r="P1129">
        <v>2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3</v>
      </c>
      <c r="AC1129">
        <v>2</v>
      </c>
      <c r="AD1129" s="3" t="str">
        <f t="shared" si="51"/>
        <v>S2S PREMIUM</v>
      </c>
      <c r="AE1129" s="3" t="e">
        <f>VLOOKUP(E1129,'[1]Nómina Agentes'!$C:$D,2,0)</f>
        <v>#N/A</v>
      </c>
      <c r="AF1129" s="5">
        <f t="shared" si="52"/>
        <v>0.60416666666666663</v>
      </c>
      <c r="AG1129" s="5">
        <f t="shared" si="53"/>
        <v>0.625</v>
      </c>
    </row>
    <row r="1130" spans="1:33" x14ac:dyDescent="0.25">
      <c r="A1130" s="1">
        <v>45567</v>
      </c>
      <c r="B1130">
        <v>925</v>
      </c>
      <c r="C1130" t="s">
        <v>42</v>
      </c>
      <c r="D1130" t="s">
        <v>286</v>
      </c>
      <c r="E1130">
        <v>663591</v>
      </c>
      <c r="F1130" s="2">
        <v>0.58333333333333337</v>
      </c>
      <c r="G1130" t="s">
        <v>6</v>
      </c>
      <c r="H1130" s="2">
        <v>0.60416666666666663</v>
      </c>
      <c r="I1130">
        <v>7</v>
      </c>
      <c r="J1130">
        <v>10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11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1</v>
      </c>
      <c r="AC1130">
        <v>0</v>
      </c>
      <c r="AD1130" s="3" t="str">
        <f t="shared" si="51"/>
        <v>S2S PREMIUM</v>
      </c>
      <c r="AE1130" s="3" t="e">
        <f>VLOOKUP(E1130,'[1]Nómina Agentes'!$C:$D,2,0)</f>
        <v>#N/A</v>
      </c>
      <c r="AF1130" s="5">
        <f t="shared" si="52"/>
        <v>0.58333333333333337</v>
      </c>
      <c r="AG1130" s="5">
        <f t="shared" si="53"/>
        <v>0.60416666666666663</v>
      </c>
    </row>
    <row r="1131" spans="1:33" x14ac:dyDescent="0.25">
      <c r="A1131" s="1">
        <v>45567</v>
      </c>
      <c r="B1131">
        <v>925</v>
      </c>
      <c r="C1131" t="s">
        <v>42</v>
      </c>
      <c r="D1131" t="s">
        <v>287</v>
      </c>
      <c r="E1131">
        <v>663648</v>
      </c>
      <c r="F1131" s="2">
        <v>0.79166666666666663</v>
      </c>
      <c r="G1131" t="s">
        <v>6</v>
      </c>
      <c r="H1131" s="2">
        <v>0.8125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 s="3" t="str">
        <f t="shared" si="51"/>
        <v>S2S PREMIUM</v>
      </c>
      <c r="AE1131" s="3" t="e">
        <f>VLOOKUP(E1131,'[1]Nómina Agentes'!$C:$D,2,0)</f>
        <v>#N/A</v>
      </c>
      <c r="AF1131" s="5">
        <f t="shared" si="52"/>
        <v>0.79166666666666663</v>
      </c>
      <c r="AG1131" s="5">
        <f t="shared" si="53"/>
        <v>0.8125</v>
      </c>
    </row>
    <row r="1132" spans="1:33" x14ac:dyDescent="0.25">
      <c r="A1132" s="1">
        <v>45567</v>
      </c>
      <c r="B1132">
        <v>925</v>
      </c>
      <c r="C1132" t="s">
        <v>42</v>
      </c>
      <c r="D1132" t="s">
        <v>287</v>
      </c>
      <c r="E1132">
        <v>663648</v>
      </c>
      <c r="F1132" s="2">
        <v>0.66666666666666663</v>
      </c>
      <c r="G1132" t="s">
        <v>6</v>
      </c>
      <c r="H1132" s="2">
        <v>0.6875</v>
      </c>
      <c r="I1132">
        <v>78</v>
      </c>
      <c r="J1132">
        <v>0</v>
      </c>
      <c r="K1132">
        <v>0</v>
      </c>
      <c r="L1132">
        <v>4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1</v>
      </c>
      <c r="AC1132">
        <v>0</v>
      </c>
      <c r="AD1132" s="3" t="str">
        <f t="shared" si="51"/>
        <v>S2S PREMIUM</v>
      </c>
      <c r="AE1132" s="3" t="e">
        <f>VLOOKUP(E1132,'[1]Nómina Agentes'!$C:$D,2,0)</f>
        <v>#N/A</v>
      </c>
      <c r="AF1132" s="5">
        <f t="shared" si="52"/>
        <v>0.66666666666666663</v>
      </c>
      <c r="AG1132" s="5">
        <f t="shared" si="53"/>
        <v>0.6875</v>
      </c>
    </row>
    <row r="1133" spans="1:33" x14ac:dyDescent="0.25">
      <c r="A1133" s="1">
        <v>45567</v>
      </c>
      <c r="B1133">
        <v>925</v>
      </c>
      <c r="C1133" t="s">
        <v>42</v>
      </c>
      <c r="D1133" t="s">
        <v>287</v>
      </c>
      <c r="E1133">
        <v>663648</v>
      </c>
      <c r="F1133" s="2">
        <v>0.72916666666666663</v>
      </c>
      <c r="G1133" t="s">
        <v>6</v>
      </c>
      <c r="H1133" s="2">
        <v>0.75</v>
      </c>
      <c r="I1133">
        <v>105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476</v>
      </c>
      <c r="Q1133">
        <v>29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1</v>
      </c>
      <c r="AC1133">
        <v>1</v>
      </c>
      <c r="AD1133" s="3" t="str">
        <f t="shared" si="51"/>
        <v>S2S PREMIUM</v>
      </c>
      <c r="AE1133" s="3" t="e">
        <f>VLOOKUP(E1133,'[1]Nómina Agentes'!$C:$D,2,0)</f>
        <v>#N/A</v>
      </c>
      <c r="AF1133" s="5">
        <f t="shared" si="52"/>
        <v>0.72916666666666663</v>
      </c>
      <c r="AG1133" s="5">
        <f t="shared" si="53"/>
        <v>0.75</v>
      </c>
    </row>
    <row r="1134" spans="1:33" x14ac:dyDescent="0.25">
      <c r="A1134" s="1">
        <v>45567</v>
      </c>
      <c r="B1134">
        <v>925</v>
      </c>
      <c r="C1134" t="s">
        <v>42</v>
      </c>
      <c r="D1134" t="s">
        <v>287</v>
      </c>
      <c r="E1134">
        <v>663648</v>
      </c>
      <c r="F1134" s="2">
        <v>0.6875</v>
      </c>
      <c r="G1134" t="s">
        <v>6</v>
      </c>
      <c r="H1134" s="2">
        <v>0.70833333333333337</v>
      </c>
      <c r="I1134">
        <v>312</v>
      </c>
      <c r="J1134">
        <v>0</v>
      </c>
      <c r="K1134">
        <v>0</v>
      </c>
      <c r="L1134">
        <v>7</v>
      </c>
      <c r="M1134">
        <v>0</v>
      </c>
      <c r="N1134">
        <v>0</v>
      </c>
      <c r="O1134">
        <v>0</v>
      </c>
      <c r="P1134">
        <v>1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1</v>
      </c>
      <c r="AC1134">
        <v>1</v>
      </c>
      <c r="AD1134" s="3" t="str">
        <f t="shared" si="51"/>
        <v>S2S PREMIUM</v>
      </c>
      <c r="AE1134" s="3" t="e">
        <f>VLOOKUP(E1134,'[1]Nómina Agentes'!$C:$D,2,0)</f>
        <v>#N/A</v>
      </c>
      <c r="AF1134" s="5">
        <f t="shared" si="52"/>
        <v>0.6875</v>
      </c>
      <c r="AG1134" s="5">
        <f t="shared" si="53"/>
        <v>0.70833333333333337</v>
      </c>
    </row>
    <row r="1135" spans="1:33" x14ac:dyDescent="0.25">
      <c r="A1135" s="1">
        <v>45567</v>
      </c>
      <c r="B1135">
        <v>925</v>
      </c>
      <c r="C1135" t="s">
        <v>42</v>
      </c>
      <c r="D1135" t="s">
        <v>287</v>
      </c>
      <c r="E1135">
        <v>663648</v>
      </c>
      <c r="F1135" s="2">
        <v>0.75</v>
      </c>
      <c r="G1135" t="s">
        <v>6</v>
      </c>
      <c r="H1135" s="2">
        <v>0.77083333333333337</v>
      </c>
      <c r="I1135">
        <v>440</v>
      </c>
      <c r="J1135">
        <v>0</v>
      </c>
      <c r="K1135">
        <v>0</v>
      </c>
      <c r="L1135">
        <v>12</v>
      </c>
      <c r="M1135">
        <v>0</v>
      </c>
      <c r="N1135">
        <v>0</v>
      </c>
      <c r="O1135">
        <v>0</v>
      </c>
      <c r="P1135">
        <v>3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3</v>
      </c>
      <c r="AC1135">
        <v>3</v>
      </c>
      <c r="AD1135" s="3" t="str">
        <f t="shared" si="51"/>
        <v>S2S PREMIUM</v>
      </c>
      <c r="AE1135" s="3" t="e">
        <f>VLOOKUP(E1135,'[1]Nómina Agentes'!$C:$D,2,0)</f>
        <v>#N/A</v>
      </c>
      <c r="AF1135" s="5">
        <f t="shared" si="52"/>
        <v>0.75</v>
      </c>
      <c r="AG1135" s="5">
        <f t="shared" si="53"/>
        <v>0.77083333333333337</v>
      </c>
    </row>
    <row r="1136" spans="1:33" x14ac:dyDescent="0.25">
      <c r="A1136" s="1">
        <v>45567</v>
      </c>
      <c r="B1136">
        <v>925</v>
      </c>
      <c r="C1136" t="s">
        <v>42</v>
      </c>
      <c r="D1136" t="s">
        <v>287</v>
      </c>
      <c r="E1136">
        <v>663648</v>
      </c>
      <c r="F1136" s="2">
        <v>0.8125</v>
      </c>
      <c r="G1136" t="s">
        <v>6</v>
      </c>
      <c r="H1136" s="2">
        <v>0.83333333333333337</v>
      </c>
      <c r="I1136">
        <v>537</v>
      </c>
      <c r="J1136">
        <v>0</v>
      </c>
      <c r="K1136">
        <v>0</v>
      </c>
      <c r="L1136">
        <v>16</v>
      </c>
      <c r="M1136">
        <v>0</v>
      </c>
      <c r="N1136">
        <v>0</v>
      </c>
      <c r="O1136">
        <v>0</v>
      </c>
      <c r="P1136">
        <v>2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4</v>
      </c>
      <c r="AC1136">
        <v>1</v>
      </c>
      <c r="AD1136" s="3" t="str">
        <f t="shared" si="51"/>
        <v>S2S PREMIUM</v>
      </c>
      <c r="AE1136" s="3" t="e">
        <f>VLOOKUP(E1136,'[1]Nómina Agentes'!$C:$D,2,0)</f>
        <v>#N/A</v>
      </c>
      <c r="AF1136" s="5">
        <f t="shared" si="52"/>
        <v>0.8125</v>
      </c>
      <c r="AG1136" s="5">
        <f t="shared" si="53"/>
        <v>0.83333333333333337</v>
      </c>
    </row>
    <row r="1137" spans="1:33" x14ac:dyDescent="0.25">
      <c r="A1137" s="1">
        <v>45567</v>
      </c>
      <c r="B1137">
        <v>925</v>
      </c>
      <c r="C1137" t="s">
        <v>42</v>
      </c>
      <c r="D1137" t="s">
        <v>287</v>
      </c>
      <c r="E1137">
        <v>663648</v>
      </c>
      <c r="F1137" s="2">
        <v>0.77083333333333337</v>
      </c>
      <c r="G1137" t="s">
        <v>6</v>
      </c>
      <c r="H1137" s="2">
        <v>0.79166666666666663</v>
      </c>
      <c r="I1137">
        <v>799</v>
      </c>
      <c r="J1137">
        <v>0</v>
      </c>
      <c r="K1137">
        <v>0</v>
      </c>
      <c r="L1137">
        <v>8</v>
      </c>
      <c r="M1137">
        <v>0</v>
      </c>
      <c r="N1137">
        <v>0</v>
      </c>
      <c r="O1137">
        <v>0</v>
      </c>
      <c r="P1137">
        <v>2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2</v>
      </c>
      <c r="AC1137">
        <v>1</v>
      </c>
      <c r="AD1137" s="3" t="str">
        <f t="shared" si="51"/>
        <v>S2S PREMIUM</v>
      </c>
      <c r="AE1137" s="3" t="e">
        <f>VLOOKUP(E1137,'[1]Nómina Agentes'!$C:$D,2,0)</f>
        <v>#N/A</v>
      </c>
      <c r="AF1137" s="5">
        <f t="shared" si="52"/>
        <v>0.77083333333333337</v>
      </c>
      <c r="AG1137" s="5">
        <f t="shared" si="53"/>
        <v>0.79166666666666663</v>
      </c>
    </row>
    <row r="1138" spans="1:33" x14ac:dyDescent="0.25">
      <c r="A1138" s="1">
        <v>45567</v>
      </c>
      <c r="B1138">
        <v>925</v>
      </c>
      <c r="C1138" t="s">
        <v>42</v>
      </c>
      <c r="D1138" t="s">
        <v>287</v>
      </c>
      <c r="E1138">
        <v>663648</v>
      </c>
      <c r="F1138" s="2">
        <v>0.60416666666666663</v>
      </c>
      <c r="G1138" t="s">
        <v>6</v>
      </c>
      <c r="H1138" s="2">
        <v>0.625</v>
      </c>
      <c r="I1138">
        <v>862</v>
      </c>
      <c r="J1138">
        <v>0</v>
      </c>
      <c r="K1138">
        <v>0</v>
      </c>
      <c r="L1138">
        <v>11</v>
      </c>
      <c r="M1138">
        <v>0</v>
      </c>
      <c r="N1138">
        <v>0</v>
      </c>
      <c r="O1138">
        <v>0</v>
      </c>
      <c r="P1138">
        <v>2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3</v>
      </c>
      <c r="AC1138">
        <v>2</v>
      </c>
      <c r="AD1138" s="3" t="str">
        <f t="shared" si="51"/>
        <v>S2S PREMIUM</v>
      </c>
      <c r="AE1138" s="3" t="e">
        <f>VLOOKUP(E1138,'[1]Nómina Agentes'!$C:$D,2,0)</f>
        <v>#N/A</v>
      </c>
      <c r="AF1138" s="5">
        <f t="shared" si="52"/>
        <v>0.60416666666666663</v>
      </c>
      <c r="AG1138" s="5">
        <f t="shared" si="53"/>
        <v>0.625</v>
      </c>
    </row>
    <row r="1139" spans="1:33" x14ac:dyDescent="0.25">
      <c r="A1139" s="1">
        <v>45567</v>
      </c>
      <c r="B1139">
        <v>925</v>
      </c>
      <c r="C1139" t="s">
        <v>42</v>
      </c>
      <c r="D1139" t="s">
        <v>287</v>
      </c>
      <c r="E1139">
        <v>663648</v>
      </c>
      <c r="F1139" s="2">
        <v>0.70833333333333337</v>
      </c>
      <c r="G1139" t="s">
        <v>6</v>
      </c>
      <c r="H1139" s="2">
        <v>0.72916666666666663</v>
      </c>
      <c r="I1139">
        <v>870</v>
      </c>
      <c r="J1139">
        <v>0</v>
      </c>
      <c r="K1139">
        <v>0</v>
      </c>
      <c r="L1139">
        <v>8</v>
      </c>
      <c r="M1139">
        <v>0</v>
      </c>
      <c r="N1139">
        <v>0</v>
      </c>
      <c r="O1139">
        <v>0</v>
      </c>
      <c r="P1139">
        <v>0</v>
      </c>
      <c r="Q1139">
        <v>373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2</v>
      </c>
      <c r="AC1139">
        <v>0</v>
      </c>
      <c r="AD1139" s="3" t="str">
        <f t="shared" si="51"/>
        <v>S2S PREMIUM</v>
      </c>
      <c r="AE1139" s="3" t="e">
        <f>VLOOKUP(E1139,'[1]Nómina Agentes'!$C:$D,2,0)</f>
        <v>#N/A</v>
      </c>
      <c r="AF1139" s="5">
        <f t="shared" si="52"/>
        <v>0.70833333333333337</v>
      </c>
      <c r="AG1139" s="5">
        <f t="shared" si="53"/>
        <v>0.72916666666666663</v>
      </c>
    </row>
    <row r="1140" spans="1:33" x14ac:dyDescent="0.25">
      <c r="A1140" s="1">
        <v>45567</v>
      </c>
      <c r="B1140">
        <v>925</v>
      </c>
      <c r="C1140" t="s">
        <v>42</v>
      </c>
      <c r="D1140" t="s">
        <v>287</v>
      </c>
      <c r="E1140">
        <v>663648</v>
      </c>
      <c r="F1140" s="2">
        <v>0.625</v>
      </c>
      <c r="G1140" t="s">
        <v>6</v>
      </c>
      <c r="H1140" s="2">
        <v>0.64583333333333337</v>
      </c>
      <c r="I1140">
        <v>995</v>
      </c>
      <c r="J1140">
        <v>0</v>
      </c>
      <c r="K1140">
        <v>0</v>
      </c>
      <c r="L1140">
        <v>16</v>
      </c>
      <c r="M1140">
        <v>0</v>
      </c>
      <c r="N1140">
        <v>0</v>
      </c>
      <c r="O1140">
        <v>0</v>
      </c>
      <c r="P1140">
        <v>135</v>
      </c>
      <c r="Q1140">
        <v>131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3</v>
      </c>
      <c r="AC1140">
        <v>2</v>
      </c>
      <c r="AD1140" s="3" t="str">
        <f t="shared" si="51"/>
        <v>S2S PREMIUM</v>
      </c>
      <c r="AE1140" s="3" t="e">
        <f>VLOOKUP(E1140,'[1]Nómina Agentes'!$C:$D,2,0)</f>
        <v>#N/A</v>
      </c>
      <c r="AF1140" s="5">
        <f t="shared" si="52"/>
        <v>0.625</v>
      </c>
      <c r="AG1140" s="5">
        <f t="shared" si="53"/>
        <v>0.64583333333333337</v>
      </c>
    </row>
    <row r="1141" spans="1:33" x14ac:dyDescent="0.25">
      <c r="A1141" s="1">
        <v>45567</v>
      </c>
      <c r="B1141">
        <v>925</v>
      </c>
      <c r="C1141" t="s">
        <v>42</v>
      </c>
      <c r="D1141" t="s">
        <v>287</v>
      </c>
      <c r="E1141">
        <v>663648</v>
      </c>
      <c r="F1141" s="2">
        <v>0.64583333333333337</v>
      </c>
      <c r="G1141" t="s">
        <v>6</v>
      </c>
      <c r="H1141" s="2">
        <v>0.66666666666666663</v>
      </c>
      <c r="I1141">
        <v>1096</v>
      </c>
      <c r="J1141">
        <v>0</v>
      </c>
      <c r="K1141">
        <v>0</v>
      </c>
      <c r="L1141">
        <v>8</v>
      </c>
      <c r="M1141">
        <v>0</v>
      </c>
      <c r="N1141">
        <v>0</v>
      </c>
      <c r="O1141">
        <v>0</v>
      </c>
      <c r="P1141">
        <v>2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3</v>
      </c>
      <c r="AC1141">
        <v>2</v>
      </c>
      <c r="AD1141" s="3" t="str">
        <f t="shared" si="51"/>
        <v>S2S PREMIUM</v>
      </c>
      <c r="AE1141" s="3" t="e">
        <f>VLOOKUP(E1141,'[1]Nómina Agentes'!$C:$D,2,0)</f>
        <v>#N/A</v>
      </c>
      <c r="AF1141" s="5">
        <f t="shared" si="52"/>
        <v>0.64583333333333337</v>
      </c>
      <c r="AG1141" s="5">
        <f t="shared" si="53"/>
        <v>0.66666666666666663</v>
      </c>
    </row>
    <row r="1142" spans="1:33" x14ac:dyDescent="0.25">
      <c r="A1142" s="1">
        <v>45567</v>
      </c>
      <c r="B1142">
        <v>925</v>
      </c>
      <c r="C1142" t="s">
        <v>42</v>
      </c>
      <c r="D1142" t="s">
        <v>288</v>
      </c>
      <c r="E1142">
        <v>663649</v>
      </c>
      <c r="F1142" s="2">
        <v>0.79166666666666663</v>
      </c>
      <c r="G1142" t="s">
        <v>6</v>
      </c>
      <c r="H1142" s="2">
        <v>0.8125</v>
      </c>
      <c r="I1142">
        <v>2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397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1</v>
      </c>
      <c r="AC1142">
        <v>0</v>
      </c>
      <c r="AD1142" s="3" t="str">
        <f t="shared" si="51"/>
        <v>S2S PREMIUM</v>
      </c>
      <c r="AE1142" s="3" t="e">
        <f>VLOOKUP(E1142,'[1]Nómina Agentes'!$C:$D,2,0)</f>
        <v>#N/A</v>
      </c>
      <c r="AF1142" s="5">
        <f t="shared" si="52"/>
        <v>0.79166666666666663</v>
      </c>
      <c r="AG1142" s="5">
        <f t="shared" si="53"/>
        <v>0.8125</v>
      </c>
    </row>
    <row r="1143" spans="1:33" x14ac:dyDescent="0.25">
      <c r="A1143" s="1">
        <v>45567</v>
      </c>
      <c r="B1143">
        <v>925</v>
      </c>
      <c r="C1143" t="s">
        <v>42</v>
      </c>
      <c r="D1143" t="s">
        <v>288</v>
      </c>
      <c r="E1143">
        <v>663649</v>
      </c>
      <c r="F1143" s="2">
        <v>0.70833333333333337</v>
      </c>
      <c r="G1143" t="s">
        <v>6</v>
      </c>
      <c r="H1143" s="2">
        <v>0.72916666666666663</v>
      </c>
      <c r="I1143">
        <v>214</v>
      </c>
      <c r="J1143">
        <v>0</v>
      </c>
      <c r="K1143">
        <v>0</v>
      </c>
      <c r="L1143">
        <v>3</v>
      </c>
      <c r="M1143">
        <v>0</v>
      </c>
      <c r="N1143">
        <v>0</v>
      </c>
      <c r="O1143">
        <v>0</v>
      </c>
      <c r="P1143">
        <v>343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1</v>
      </c>
      <c r="AC1143">
        <v>1</v>
      </c>
      <c r="AD1143" s="3" t="str">
        <f t="shared" si="51"/>
        <v>S2S PREMIUM</v>
      </c>
      <c r="AE1143" s="3" t="e">
        <f>VLOOKUP(E1143,'[1]Nómina Agentes'!$C:$D,2,0)</f>
        <v>#N/A</v>
      </c>
      <c r="AF1143" s="5">
        <f t="shared" si="52"/>
        <v>0.70833333333333337</v>
      </c>
      <c r="AG1143" s="5">
        <f t="shared" si="53"/>
        <v>0.72916666666666663</v>
      </c>
    </row>
    <row r="1144" spans="1:33" x14ac:dyDescent="0.25">
      <c r="A1144" s="1">
        <v>45567</v>
      </c>
      <c r="B1144">
        <v>925</v>
      </c>
      <c r="C1144" t="s">
        <v>42</v>
      </c>
      <c r="D1144" t="s">
        <v>288</v>
      </c>
      <c r="E1144">
        <v>663649</v>
      </c>
      <c r="F1144" s="2">
        <v>0.625</v>
      </c>
      <c r="G1144" t="s">
        <v>6</v>
      </c>
      <c r="H1144" s="2">
        <v>0.64583333333333337</v>
      </c>
      <c r="I1144">
        <v>215</v>
      </c>
      <c r="J1144">
        <v>0</v>
      </c>
      <c r="K1144">
        <v>0</v>
      </c>
      <c r="L1144">
        <v>8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1</v>
      </c>
      <c r="AC1144">
        <v>1</v>
      </c>
      <c r="AD1144" s="3" t="str">
        <f t="shared" si="51"/>
        <v>S2S PREMIUM</v>
      </c>
      <c r="AE1144" s="3" t="e">
        <f>VLOOKUP(E1144,'[1]Nómina Agentes'!$C:$D,2,0)</f>
        <v>#N/A</v>
      </c>
      <c r="AF1144" s="5">
        <f t="shared" si="52"/>
        <v>0.625</v>
      </c>
      <c r="AG1144" s="5">
        <f t="shared" si="53"/>
        <v>0.64583333333333337</v>
      </c>
    </row>
    <row r="1145" spans="1:33" x14ac:dyDescent="0.25">
      <c r="A1145" s="1">
        <v>45567</v>
      </c>
      <c r="B1145">
        <v>925</v>
      </c>
      <c r="C1145" t="s">
        <v>42</v>
      </c>
      <c r="D1145" t="s">
        <v>288</v>
      </c>
      <c r="E1145">
        <v>663649</v>
      </c>
      <c r="F1145" s="2">
        <v>0.64583333333333337</v>
      </c>
      <c r="G1145" t="s">
        <v>6</v>
      </c>
      <c r="H1145" s="2">
        <v>0.66666666666666663</v>
      </c>
      <c r="I1145">
        <v>612</v>
      </c>
      <c r="J1145">
        <v>0</v>
      </c>
      <c r="K1145">
        <v>0</v>
      </c>
      <c r="L1145">
        <v>16</v>
      </c>
      <c r="M1145">
        <v>0</v>
      </c>
      <c r="N1145">
        <v>0</v>
      </c>
      <c r="O1145">
        <v>0</v>
      </c>
      <c r="P1145">
        <v>0</v>
      </c>
      <c r="Q1145">
        <v>15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4</v>
      </c>
      <c r="AC1145">
        <v>2</v>
      </c>
      <c r="AD1145" s="3" t="str">
        <f t="shared" si="51"/>
        <v>S2S PREMIUM</v>
      </c>
      <c r="AE1145" s="3" t="e">
        <f>VLOOKUP(E1145,'[1]Nómina Agentes'!$C:$D,2,0)</f>
        <v>#N/A</v>
      </c>
      <c r="AF1145" s="5">
        <f t="shared" si="52"/>
        <v>0.64583333333333337</v>
      </c>
      <c r="AG1145" s="5">
        <f t="shared" si="53"/>
        <v>0.66666666666666663</v>
      </c>
    </row>
    <row r="1146" spans="1:33" x14ac:dyDescent="0.25">
      <c r="A1146" s="1">
        <v>45567</v>
      </c>
      <c r="B1146">
        <v>925</v>
      </c>
      <c r="C1146" t="s">
        <v>42</v>
      </c>
      <c r="D1146" t="s">
        <v>288</v>
      </c>
      <c r="E1146">
        <v>663649</v>
      </c>
      <c r="F1146" s="2">
        <v>0.6875</v>
      </c>
      <c r="G1146" t="s">
        <v>6</v>
      </c>
      <c r="H1146" s="2">
        <v>0.70833333333333337</v>
      </c>
      <c r="I1146">
        <v>703</v>
      </c>
      <c r="J1146">
        <v>0</v>
      </c>
      <c r="K1146">
        <v>0</v>
      </c>
      <c r="L1146">
        <v>8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2</v>
      </c>
      <c r="AC1146">
        <v>2</v>
      </c>
      <c r="AD1146" s="3" t="str">
        <f t="shared" si="51"/>
        <v>S2S PREMIUM</v>
      </c>
      <c r="AE1146" s="3" t="e">
        <f>VLOOKUP(E1146,'[1]Nómina Agentes'!$C:$D,2,0)</f>
        <v>#N/A</v>
      </c>
      <c r="AF1146" s="5">
        <f t="shared" si="52"/>
        <v>0.6875</v>
      </c>
      <c r="AG1146" s="5">
        <f t="shared" si="53"/>
        <v>0.70833333333333337</v>
      </c>
    </row>
    <row r="1147" spans="1:33" x14ac:dyDescent="0.25">
      <c r="A1147" s="1">
        <v>45567</v>
      </c>
      <c r="B1147">
        <v>925</v>
      </c>
      <c r="C1147" t="s">
        <v>42</v>
      </c>
      <c r="D1147" t="s">
        <v>288</v>
      </c>
      <c r="E1147">
        <v>663649</v>
      </c>
      <c r="F1147" s="2">
        <v>0.77083333333333337</v>
      </c>
      <c r="G1147" t="s">
        <v>6</v>
      </c>
      <c r="H1147" s="2">
        <v>0.79166666666666663</v>
      </c>
      <c r="I1147">
        <v>779</v>
      </c>
      <c r="J1147">
        <v>0</v>
      </c>
      <c r="K1147">
        <v>0</v>
      </c>
      <c r="L1147">
        <v>15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3</v>
      </c>
      <c r="AC1147">
        <v>1</v>
      </c>
      <c r="AD1147" s="3" t="str">
        <f t="shared" si="51"/>
        <v>S2S PREMIUM</v>
      </c>
      <c r="AE1147" s="3" t="e">
        <f>VLOOKUP(E1147,'[1]Nómina Agentes'!$C:$D,2,0)</f>
        <v>#N/A</v>
      </c>
      <c r="AF1147" s="5">
        <f t="shared" si="52"/>
        <v>0.77083333333333337</v>
      </c>
      <c r="AG1147" s="5">
        <f t="shared" si="53"/>
        <v>0.79166666666666663</v>
      </c>
    </row>
    <row r="1148" spans="1:33" x14ac:dyDescent="0.25">
      <c r="A1148" s="1">
        <v>45567</v>
      </c>
      <c r="B1148">
        <v>925</v>
      </c>
      <c r="C1148" t="s">
        <v>42</v>
      </c>
      <c r="D1148" t="s">
        <v>288</v>
      </c>
      <c r="E1148">
        <v>663649</v>
      </c>
      <c r="F1148" s="2">
        <v>0.75</v>
      </c>
      <c r="G1148" t="s">
        <v>6</v>
      </c>
      <c r="H1148" s="2">
        <v>0.77083333333333337</v>
      </c>
      <c r="I1148">
        <v>862</v>
      </c>
      <c r="J1148">
        <v>0</v>
      </c>
      <c r="K1148">
        <v>0</v>
      </c>
      <c r="L1148">
        <v>12</v>
      </c>
      <c r="M1148">
        <v>0</v>
      </c>
      <c r="N1148">
        <v>0</v>
      </c>
      <c r="O1148">
        <v>0</v>
      </c>
      <c r="P1148">
        <v>62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4</v>
      </c>
      <c r="AC1148">
        <v>2</v>
      </c>
      <c r="AD1148" s="3" t="str">
        <f t="shared" si="51"/>
        <v>S2S PREMIUM</v>
      </c>
      <c r="AE1148" s="3" t="e">
        <f>VLOOKUP(E1148,'[1]Nómina Agentes'!$C:$D,2,0)</f>
        <v>#N/A</v>
      </c>
      <c r="AF1148" s="5">
        <f t="shared" si="52"/>
        <v>0.75</v>
      </c>
      <c r="AG1148" s="5">
        <f t="shared" si="53"/>
        <v>0.77083333333333337</v>
      </c>
    </row>
    <row r="1149" spans="1:33" x14ac:dyDescent="0.25">
      <c r="A1149" s="1">
        <v>45567</v>
      </c>
      <c r="B1149">
        <v>925</v>
      </c>
      <c r="C1149" t="s">
        <v>42</v>
      </c>
      <c r="D1149" t="s">
        <v>288</v>
      </c>
      <c r="E1149">
        <v>663649</v>
      </c>
      <c r="F1149" s="2">
        <v>0.72916666666666663</v>
      </c>
      <c r="G1149" t="s">
        <v>6</v>
      </c>
      <c r="H1149" s="2">
        <v>0.75</v>
      </c>
      <c r="I1149">
        <v>865</v>
      </c>
      <c r="J1149">
        <v>0</v>
      </c>
      <c r="K1149">
        <v>0</v>
      </c>
      <c r="L1149">
        <v>16</v>
      </c>
      <c r="M1149">
        <v>0</v>
      </c>
      <c r="N1149">
        <v>0</v>
      </c>
      <c r="O1149">
        <v>0</v>
      </c>
      <c r="P1149">
        <v>486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4</v>
      </c>
      <c r="AC1149">
        <v>4</v>
      </c>
      <c r="AD1149" s="3" t="str">
        <f t="shared" si="51"/>
        <v>S2S PREMIUM</v>
      </c>
      <c r="AE1149" s="3" t="e">
        <f>VLOOKUP(E1149,'[1]Nómina Agentes'!$C:$D,2,0)</f>
        <v>#N/A</v>
      </c>
      <c r="AF1149" s="5">
        <f t="shared" si="52"/>
        <v>0.72916666666666663</v>
      </c>
      <c r="AG1149" s="5">
        <f t="shared" si="53"/>
        <v>0.75</v>
      </c>
    </row>
    <row r="1150" spans="1:33" x14ac:dyDescent="0.25">
      <c r="A1150" s="1">
        <v>45567</v>
      </c>
      <c r="B1150">
        <v>925</v>
      </c>
      <c r="C1150" t="s">
        <v>42</v>
      </c>
      <c r="D1150" t="s">
        <v>288</v>
      </c>
      <c r="E1150">
        <v>663649</v>
      </c>
      <c r="F1150" s="2">
        <v>0.66666666666666663</v>
      </c>
      <c r="G1150" t="s">
        <v>6</v>
      </c>
      <c r="H1150" s="2">
        <v>0.6875</v>
      </c>
      <c r="I1150">
        <v>1295</v>
      </c>
      <c r="J1150">
        <v>0</v>
      </c>
      <c r="K1150">
        <v>0</v>
      </c>
      <c r="L1150">
        <v>7</v>
      </c>
      <c r="M1150">
        <v>0</v>
      </c>
      <c r="N1150">
        <v>0</v>
      </c>
      <c r="O1150">
        <v>0</v>
      </c>
      <c r="P1150">
        <v>91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2</v>
      </c>
      <c r="AC1150">
        <v>2</v>
      </c>
      <c r="AD1150" s="3" t="str">
        <f t="shared" si="51"/>
        <v>S2S PREMIUM</v>
      </c>
      <c r="AE1150" s="3" t="e">
        <f>VLOOKUP(E1150,'[1]Nómina Agentes'!$C:$D,2,0)</f>
        <v>#N/A</v>
      </c>
      <c r="AF1150" s="5">
        <f t="shared" si="52"/>
        <v>0.66666666666666663</v>
      </c>
      <c r="AG1150" s="5">
        <f t="shared" si="53"/>
        <v>0.6875</v>
      </c>
    </row>
    <row r="1151" spans="1:33" x14ac:dyDescent="0.25">
      <c r="A1151" s="1">
        <v>45567</v>
      </c>
      <c r="B1151">
        <v>925</v>
      </c>
      <c r="C1151" t="s">
        <v>42</v>
      </c>
      <c r="D1151" t="s">
        <v>289</v>
      </c>
      <c r="E1151">
        <v>663802</v>
      </c>
      <c r="F1151" s="2">
        <v>0.72916666666666663</v>
      </c>
      <c r="G1151" t="s">
        <v>6</v>
      </c>
      <c r="H1151" s="2">
        <v>0.75</v>
      </c>
      <c r="I1151">
        <v>112</v>
      </c>
      <c r="J1151">
        <v>0</v>
      </c>
      <c r="K1151">
        <v>0</v>
      </c>
      <c r="L1151">
        <v>4</v>
      </c>
      <c r="M1151">
        <v>0</v>
      </c>
      <c r="N1151">
        <v>0</v>
      </c>
      <c r="O1151">
        <v>0</v>
      </c>
      <c r="P1151">
        <v>424</v>
      </c>
      <c r="Q1151">
        <v>82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2</v>
      </c>
      <c r="AC1151">
        <v>1</v>
      </c>
      <c r="AD1151" s="3" t="str">
        <f t="shared" ref="AD1151:AD1214" si="54">UPPER(C1151)</f>
        <v>S2S PREMIUM</v>
      </c>
      <c r="AE1151" s="3" t="e">
        <f>VLOOKUP(E1151,'[1]Nómina Agentes'!$C:$D,2,0)</f>
        <v>#N/A</v>
      </c>
      <c r="AF1151" s="5">
        <f t="shared" ref="AF1151:AF1214" si="55">F1151</f>
        <v>0.72916666666666663</v>
      </c>
      <c r="AG1151" s="5">
        <f t="shared" ref="AG1151:AG1214" si="56">H1151</f>
        <v>0.75</v>
      </c>
    </row>
    <row r="1152" spans="1:33" x14ac:dyDescent="0.25">
      <c r="A1152" s="1">
        <v>45567</v>
      </c>
      <c r="B1152">
        <v>924</v>
      </c>
      <c r="C1152" t="s">
        <v>43</v>
      </c>
      <c r="D1152" t="s">
        <v>289</v>
      </c>
      <c r="E1152">
        <v>663802</v>
      </c>
      <c r="F1152" s="2">
        <v>0.75</v>
      </c>
      <c r="G1152" t="s">
        <v>6</v>
      </c>
      <c r="H1152" s="2">
        <v>0.77083333333333337</v>
      </c>
      <c r="I1152">
        <v>200</v>
      </c>
      <c r="J1152">
        <v>0</v>
      </c>
      <c r="K1152">
        <v>0</v>
      </c>
      <c r="L1152">
        <v>8</v>
      </c>
      <c r="M1152">
        <v>0</v>
      </c>
      <c r="N1152">
        <v>0</v>
      </c>
      <c r="O1152">
        <v>0</v>
      </c>
      <c r="P1152">
        <v>1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1</v>
      </c>
      <c r="AC1152">
        <v>1</v>
      </c>
      <c r="AD1152" s="3" t="str">
        <f t="shared" si="54"/>
        <v>S2S NO PREMIUM</v>
      </c>
      <c r="AE1152" s="3" t="e">
        <f>VLOOKUP(E1152,'[1]Nómina Agentes'!$C:$D,2,0)</f>
        <v>#N/A</v>
      </c>
      <c r="AF1152" s="5">
        <f t="shared" si="55"/>
        <v>0.75</v>
      </c>
      <c r="AG1152" s="5">
        <f t="shared" si="56"/>
        <v>0.77083333333333337</v>
      </c>
    </row>
    <row r="1153" spans="1:33" x14ac:dyDescent="0.25">
      <c r="A1153" s="1">
        <v>45567</v>
      </c>
      <c r="B1153">
        <v>924</v>
      </c>
      <c r="C1153" t="s">
        <v>43</v>
      </c>
      <c r="D1153" t="s">
        <v>289</v>
      </c>
      <c r="E1153">
        <v>663802</v>
      </c>
      <c r="F1153" s="2">
        <v>0.8125</v>
      </c>
      <c r="G1153" t="s">
        <v>6</v>
      </c>
      <c r="H1153" s="2">
        <v>0.83333333333333337</v>
      </c>
      <c r="I1153">
        <v>496</v>
      </c>
      <c r="J1153">
        <v>0</v>
      </c>
      <c r="K1153">
        <v>0</v>
      </c>
      <c r="L1153">
        <v>4</v>
      </c>
      <c r="M1153">
        <v>0</v>
      </c>
      <c r="N1153">
        <v>0</v>
      </c>
      <c r="O1153">
        <v>0</v>
      </c>
      <c r="P1153">
        <v>1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1</v>
      </c>
      <c r="AC1153">
        <v>1</v>
      </c>
      <c r="AD1153" s="3" t="str">
        <f t="shared" si="54"/>
        <v>S2S NO PREMIUM</v>
      </c>
      <c r="AE1153" s="3" t="e">
        <f>VLOOKUP(E1153,'[1]Nómina Agentes'!$C:$D,2,0)</f>
        <v>#N/A</v>
      </c>
      <c r="AF1153" s="5">
        <f t="shared" si="55"/>
        <v>0.8125</v>
      </c>
      <c r="AG1153" s="5">
        <f t="shared" si="56"/>
        <v>0.83333333333333337</v>
      </c>
    </row>
    <row r="1154" spans="1:33" x14ac:dyDescent="0.25">
      <c r="A1154" s="1">
        <v>45567</v>
      </c>
      <c r="B1154">
        <v>925</v>
      </c>
      <c r="C1154" t="s">
        <v>42</v>
      </c>
      <c r="D1154" t="s">
        <v>289</v>
      </c>
      <c r="E1154">
        <v>663802</v>
      </c>
      <c r="F1154" s="2">
        <v>0.70833333333333337</v>
      </c>
      <c r="G1154" t="s">
        <v>6</v>
      </c>
      <c r="H1154" s="2">
        <v>0.72916666666666663</v>
      </c>
      <c r="I1154">
        <v>662</v>
      </c>
      <c r="J1154">
        <v>0</v>
      </c>
      <c r="K1154">
        <v>0</v>
      </c>
      <c r="L1154">
        <v>16</v>
      </c>
      <c r="M1154">
        <v>0</v>
      </c>
      <c r="N1154">
        <v>0</v>
      </c>
      <c r="O1154">
        <v>0</v>
      </c>
      <c r="P1154">
        <v>41</v>
      </c>
      <c r="Q1154">
        <v>339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3</v>
      </c>
      <c r="AC1154">
        <v>3</v>
      </c>
      <c r="AD1154" s="3" t="str">
        <f t="shared" si="54"/>
        <v>S2S PREMIUM</v>
      </c>
      <c r="AE1154" s="3" t="e">
        <f>VLOOKUP(E1154,'[1]Nómina Agentes'!$C:$D,2,0)</f>
        <v>#N/A</v>
      </c>
      <c r="AF1154" s="5">
        <f t="shared" si="55"/>
        <v>0.70833333333333337</v>
      </c>
      <c r="AG1154" s="5">
        <f t="shared" si="56"/>
        <v>0.72916666666666663</v>
      </c>
    </row>
    <row r="1155" spans="1:33" x14ac:dyDescent="0.25">
      <c r="A1155" s="1">
        <v>45567</v>
      </c>
      <c r="B1155">
        <v>925</v>
      </c>
      <c r="C1155" t="s">
        <v>42</v>
      </c>
      <c r="D1155" t="s">
        <v>289</v>
      </c>
      <c r="E1155">
        <v>663802</v>
      </c>
      <c r="F1155" s="2">
        <v>0.75</v>
      </c>
      <c r="G1155" t="s">
        <v>6</v>
      </c>
      <c r="H1155" s="2">
        <v>0.77083333333333337</v>
      </c>
      <c r="I1155">
        <v>704</v>
      </c>
      <c r="J1155">
        <v>0</v>
      </c>
      <c r="K1155">
        <v>0</v>
      </c>
      <c r="L1155">
        <v>12</v>
      </c>
      <c r="M1155">
        <v>0</v>
      </c>
      <c r="N1155">
        <v>0</v>
      </c>
      <c r="O1155">
        <v>0</v>
      </c>
      <c r="P1155">
        <v>97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3</v>
      </c>
      <c r="AC1155">
        <v>3</v>
      </c>
      <c r="AD1155" s="3" t="str">
        <f t="shared" si="54"/>
        <v>S2S PREMIUM</v>
      </c>
      <c r="AE1155" s="3" t="e">
        <f>VLOOKUP(E1155,'[1]Nómina Agentes'!$C:$D,2,0)</f>
        <v>#N/A</v>
      </c>
      <c r="AF1155" s="5">
        <f t="shared" si="55"/>
        <v>0.75</v>
      </c>
      <c r="AG1155" s="5">
        <f t="shared" si="56"/>
        <v>0.77083333333333337</v>
      </c>
    </row>
    <row r="1156" spans="1:33" x14ac:dyDescent="0.25">
      <c r="A1156" s="1">
        <v>45567</v>
      </c>
      <c r="B1156">
        <v>924</v>
      </c>
      <c r="C1156" t="s">
        <v>43</v>
      </c>
      <c r="D1156" t="s">
        <v>289</v>
      </c>
      <c r="E1156">
        <v>663802</v>
      </c>
      <c r="F1156" s="2">
        <v>0.77083333333333337</v>
      </c>
      <c r="G1156" t="s">
        <v>6</v>
      </c>
      <c r="H1156" s="2">
        <v>0.79166666666666663</v>
      </c>
      <c r="I1156">
        <v>711</v>
      </c>
      <c r="J1156">
        <v>0</v>
      </c>
      <c r="K1156">
        <v>0</v>
      </c>
      <c r="L1156">
        <v>15</v>
      </c>
      <c r="M1156">
        <v>0</v>
      </c>
      <c r="N1156">
        <v>0</v>
      </c>
      <c r="O1156">
        <v>0</v>
      </c>
      <c r="P1156">
        <v>133</v>
      </c>
      <c r="Q1156">
        <v>73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4</v>
      </c>
      <c r="AC1156">
        <v>4</v>
      </c>
      <c r="AD1156" s="3" t="str">
        <f t="shared" si="54"/>
        <v>S2S NO PREMIUM</v>
      </c>
      <c r="AE1156" s="3" t="e">
        <f>VLOOKUP(E1156,'[1]Nómina Agentes'!$C:$D,2,0)</f>
        <v>#N/A</v>
      </c>
      <c r="AF1156" s="5">
        <f t="shared" si="55"/>
        <v>0.77083333333333337</v>
      </c>
      <c r="AG1156" s="5">
        <f t="shared" si="56"/>
        <v>0.79166666666666663</v>
      </c>
    </row>
    <row r="1157" spans="1:33" x14ac:dyDescent="0.25">
      <c r="A1157" s="1">
        <v>45567</v>
      </c>
      <c r="B1157">
        <v>925</v>
      </c>
      <c r="C1157" t="s">
        <v>42</v>
      </c>
      <c r="D1157" t="s">
        <v>289</v>
      </c>
      <c r="E1157">
        <v>663802</v>
      </c>
      <c r="F1157" s="2">
        <v>0.6875</v>
      </c>
      <c r="G1157" t="s">
        <v>6</v>
      </c>
      <c r="H1157" s="2">
        <v>0.70833333333333337</v>
      </c>
      <c r="I1157">
        <v>770</v>
      </c>
      <c r="J1157">
        <v>0</v>
      </c>
      <c r="K1157">
        <v>0</v>
      </c>
      <c r="L1157">
        <v>24</v>
      </c>
      <c r="M1157">
        <v>0</v>
      </c>
      <c r="N1157">
        <v>0</v>
      </c>
      <c r="O1157">
        <v>0</v>
      </c>
      <c r="P1157">
        <v>255</v>
      </c>
      <c r="Q1157">
        <v>243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6</v>
      </c>
      <c r="AC1157">
        <v>5</v>
      </c>
      <c r="AD1157" s="3" t="str">
        <f t="shared" si="54"/>
        <v>S2S PREMIUM</v>
      </c>
      <c r="AE1157" s="3" t="e">
        <f>VLOOKUP(E1157,'[1]Nómina Agentes'!$C:$D,2,0)</f>
        <v>#N/A</v>
      </c>
      <c r="AF1157" s="5">
        <f t="shared" si="55"/>
        <v>0.6875</v>
      </c>
      <c r="AG1157" s="5">
        <f t="shared" si="56"/>
        <v>0.70833333333333337</v>
      </c>
    </row>
    <row r="1158" spans="1:33" x14ac:dyDescent="0.25">
      <c r="A1158" s="1">
        <v>45567</v>
      </c>
      <c r="B1158">
        <v>925</v>
      </c>
      <c r="C1158" t="s">
        <v>42</v>
      </c>
      <c r="D1158" t="s">
        <v>289</v>
      </c>
      <c r="E1158">
        <v>663802</v>
      </c>
      <c r="F1158" s="2">
        <v>0.625</v>
      </c>
      <c r="G1158" t="s">
        <v>6</v>
      </c>
      <c r="H1158" s="2">
        <v>0.64583333333333337</v>
      </c>
      <c r="I1158">
        <v>845</v>
      </c>
      <c r="J1158">
        <v>0</v>
      </c>
      <c r="K1158">
        <v>0</v>
      </c>
      <c r="L1158">
        <v>4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 s="3" t="str">
        <f t="shared" si="54"/>
        <v>S2S PREMIUM</v>
      </c>
      <c r="AE1158" s="3" t="e">
        <f>VLOOKUP(E1158,'[1]Nómina Agentes'!$C:$D,2,0)</f>
        <v>#N/A</v>
      </c>
      <c r="AF1158" s="5">
        <f t="shared" si="55"/>
        <v>0.625</v>
      </c>
      <c r="AG1158" s="5">
        <f t="shared" si="56"/>
        <v>0.64583333333333337</v>
      </c>
    </row>
    <row r="1159" spans="1:33" x14ac:dyDescent="0.25">
      <c r="A1159" s="1">
        <v>45567</v>
      </c>
      <c r="B1159">
        <v>924</v>
      </c>
      <c r="C1159" t="s">
        <v>43</v>
      </c>
      <c r="D1159" t="s">
        <v>289</v>
      </c>
      <c r="E1159">
        <v>663802</v>
      </c>
      <c r="F1159" s="2">
        <v>0.79166666666666663</v>
      </c>
      <c r="G1159" t="s">
        <v>6</v>
      </c>
      <c r="H1159" s="2">
        <v>0.8125</v>
      </c>
      <c r="I1159">
        <v>878</v>
      </c>
      <c r="J1159">
        <v>0</v>
      </c>
      <c r="K1159">
        <v>0</v>
      </c>
      <c r="L1159">
        <v>16</v>
      </c>
      <c r="M1159">
        <v>0</v>
      </c>
      <c r="N1159">
        <v>0</v>
      </c>
      <c r="O1159">
        <v>0</v>
      </c>
      <c r="P1159">
        <v>108</v>
      </c>
      <c r="Q1159">
        <v>102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4</v>
      </c>
      <c r="AC1159">
        <v>4</v>
      </c>
      <c r="AD1159" s="3" t="str">
        <f t="shared" si="54"/>
        <v>S2S NO PREMIUM</v>
      </c>
      <c r="AE1159" s="3" t="e">
        <f>VLOOKUP(E1159,'[1]Nómina Agentes'!$C:$D,2,0)</f>
        <v>#N/A</v>
      </c>
      <c r="AF1159" s="5">
        <f t="shared" si="55"/>
        <v>0.79166666666666663</v>
      </c>
      <c r="AG1159" s="5">
        <f t="shared" si="56"/>
        <v>0.8125</v>
      </c>
    </row>
    <row r="1160" spans="1:33" x14ac:dyDescent="0.25">
      <c r="A1160" s="1">
        <v>45567</v>
      </c>
      <c r="B1160">
        <v>925</v>
      </c>
      <c r="C1160" t="s">
        <v>42</v>
      </c>
      <c r="D1160" t="s">
        <v>289</v>
      </c>
      <c r="E1160">
        <v>663802</v>
      </c>
      <c r="F1160" s="2">
        <v>0.64583333333333337</v>
      </c>
      <c r="G1160" t="s">
        <v>6</v>
      </c>
      <c r="H1160" s="2">
        <v>0.66666666666666663</v>
      </c>
      <c r="I1160">
        <v>947</v>
      </c>
      <c r="J1160">
        <v>0</v>
      </c>
      <c r="K1160">
        <v>0</v>
      </c>
      <c r="L1160">
        <v>4</v>
      </c>
      <c r="M1160">
        <v>0</v>
      </c>
      <c r="N1160">
        <v>0</v>
      </c>
      <c r="O1160">
        <v>0</v>
      </c>
      <c r="P1160">
        <v>1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1</v>
      </c>
      <c r="AC1160">
        <v>1</v>
      </c>
      <c r="AD1160" s="3" t="str">
        <f t="shared" si="54"/>
        <v>S2S PREMIUM</v>
      </c>
      <c r="AE1160" s="3" t="e">
        <f>VLOOKUP(E1160,'[1]Nómina Agentes'!$C:$D,2,0)</f>
        <v>#N/A</v>
      </c>
      <c r="AF1160" s="5">
        <f t="shared" si="55"/>
        <v>0.64583333333333337</v>
      </c>
      <c r="AG1160" s="5">
        <f t="shared" si="56"/>
        <v>0.66666666666666663</v>
      </c>
    </row>
    <row r="1161" spans="1:33" x14ac:dyDescent="0.25">
      <c r="A1161" s="1">
        <v>45567</v>
      </c>
      <c r="B1161">
        <v>925</v>
      </c>
      <c r="C1161" t="s">
        <v>42</v>
      </c>
      <c r="D1161" t="s">
        <v>289</v>
      </c>
      <c r="E1161">
        <v>663802</v>
      </c>
      <c r="F1161" s="2">
        <v>0.66666666666666663</v>
      </c>
      <c r="G1161" t="s">
        <v>6</v>
      </c>
      <c r="H1161" s="2">
        <v>0.6875</v>
      </c>
      <c r="I1161">
        <v>1066</v>
      </c>
      <c r="J1161">
        <v>0</v>
      </c>
      <c r="K1161">
        <v>0</v>
      </c>
      <c r="L1161">
        <v>4</v>
      </c>
      <c r="M1161">
        <v>0</v>
      </c>
      <c r="N1161">
        <v>0</v>
      </c>
      <c r="O1161">
        <v>0</v>
      </c>
      <c r="P1161">
        <v>953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2</v>
      </c>
      <c r="AC1161">
        <v>2</v>
      </c>
      <c r="AD1161" s="3" t="str">
        <f t="shared" si="54"/>
        <v>S2S PREMIUM</v>
      </c>
      <c r="AE1161" s="3" t="e">
        <f>VLOOKUP(E1161,'[1]Nómina Agentes'!$C:$D,2,0)</f>
        <v>#N/A</v>
      </c>
      <c r="AF1161" s="5">
        <f t="shared" si="55"/>
        <v>0.66666666666666663</v>
      </c>
      <c r="AG1161" s="5">
        <f t="shared" si="56"/>
        <v>0.6875</v>
      </c>
    </row>
    <row r="1162" spans="1:33" x14ac:dyDescent="0.25">
      <c r="A1162" s="1">
        <v>45567</v>
      </c>
      <c r="B1162">
        <v>925</v>
      </c>
      <c r="C1162" t="s">
        <v>42</v>
      </c>
      <c r="D1162" t="s">
        <v>290</v>
      </c>
      <c r="E1162">
        <v>663807</v>
      </c>
      <c r="F1162" s="2">
        <v>0.625</v>
      </c>
      <c r="G1162" t="s">
        <v>6</v>
      </c>
      <c r="H1162" s="2">
        <v>0.64583333333333337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 s="3" t="str">
        <f t="shared" si="54"/>
        <v>S2S PREMIUM</v>
      </c>
      <c r="AE1162" s="3" t="e">
        <f>VLOOKUP(E1162,'[1]Nómina Agentes'!$C:$D,2,0)</f>
        <v>#N/A</v>
      </c>
      <c r="AF1162" s="5">
        <f t="shared" si="55"/>
        <v>0.625</v>
      </c>
      <c r="AG1162" s="5">
        <f t="shared" si="56"/>
        <v>0.64583333333333337</v>
      </c>
    </row>
    <row r="1163" spans="1:33" x14ac:dyDescent="0.25">
      <c r="A1163" s="1">
        <v>45567</v>
      </c>
      <c r="B1163">
        <v>925</v>
      </c>
      <c r="C1163" t="s">
        <v>42</v>
      </c>
      <c r="D1163" t="s">
        <v>290</v>
      </c>
      <c r="E1163">
        <v>663807</v>
      </c>
      <c r="F1163" s="2">
        <v>0.60416666666666663</v>
      </c>
      <c r="G1163" t="s">
        <v>6</v>
      </c>
      <c r="H1163" s="2">
        <v>0.625</v>
      </c>
      <c r="I1163">
        <v>461</v>
      </c>
      <c r="J1163">
        <v>0</v>
      </c>
      <c r="K1163">
        <v>0</v>
      </c>
      <c r="L1163">
        <v>4</v>
      </c>
      <c r="M1163">
        <v>0</v>
      </c>
      <c r="N1163">
        <v>0</v>
      </c>
      <c r="O1163">
        <v>0</v>
      </c>
      <c r="P1163">
        <v>493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2</v>
      </c>
      <c r="AC1163">
        <v>2</v>
      </c>
      <c r="AD1163" s="3" t="str">
        <f t="shared" si="54"/>
        <v>S2S PREMIUM</v>
      </c>
      <c r="AE1163" s="3" t="e">
        <f>VLOOKUP(E1163,'[1]Nómina Agentes'!$C:$D,2,0)</f>
        <v>#N/A</v>
      </c>
      <c r="AF1163" s="5">
        <f t="shared" si="55"/>
        <v>0.60416666666666663</v>
      </c>
      <c r="AG1163" s="5">
        <f t="shared" si="56"/>
        <v>0.625</v>
      </c>
    </row>
    <row r="1164" spans="1:33" x14ac:dyDescent="0.25">
      <c r="A1164" s="1">
        <v>45567</v>
      </c>
      <c r="B1164">
        <v>925</v>
      </c>
      <c r="C1164" t="s">
        <v>42</v>
      </c>
      <c r="D1164" t="s">
        <v>290</v>
      </c>
      <c r="E1164">
        <v>663807</v>
      </c>
      <c r="F1164" s="2">
        <v>0.58333333333333337</v>
      </c>
      <c r="G1164" t="s">
        <v>6</v>
      </c>
      <c r="H1164" s="2">
        <v>0.60416666666666663</v>
      </c>
      <c r="I1164">
        <v>974</v>
      </c>
      <c r="J1164">
        <v>0</v>
      </c>
      <c r="K1164">
        <v>0</v>
      </c>
      <c r="L1164">
        <v>12</v>
      </c>
      <c r="M1164">
        <v>0</v>
      </c>
      <c r="N1164">
        <v>0</v>
      </c>
      <c r="O1164">
        <v>0</v>
      </c>
      <c r="P1164">
        <v>87</v>
      </c>
      <c r="Q1164">
        <v>1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3</v>
      </c>
      <c r="AC1164">
        <v>0</v>
      </c>
      <c r="AD1164" s="3" t="str">
        <f t="shared" si="54"/>
        <v>S2S PREMIUM</v>
      </c>
      <c r="AE1164" s="3" t="e">
        <f>VLOOKUP(E1164,'[1]Nómina Agentes'!$C:$D,2,0)</f>
        <v>#N/A</v>
      </c>
      <c r="AF1164" s="5">
        <f t="shared" si="55"/>
        <v>0.58333333333333337</v>
      </c>
      <c r="AG1164" s="5">
        <f t="shared" si="56"/>
        <v>0.60416666666666663</v>
      </c>
    </row>
    <row r="1165" spans="1:33" x14ac:dyDescent="0.25">
      <c r="A1165" s="1">
        <v>45567</v>
      </c>
      <c r="B1165">
        <v>925</v>
      </c>
      <c r="C1165" t="s">
        <v>42</v>
      </c>
      <c r="D1165" t="s">
        <v>291</v>
      </c>
      <c r="E1165">
        <v>664048</v>
      </c>
      <c r="F1165" s="2">
        <v>0.625</v>
      </c>
      <c r="G1165" t="s">
        <v>6</v>
      </c>
      <c r="H1165" s="2">
        <v>0.64583333333333337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 s="3" t="str">
        <f t="shared" si="54"/>
        <v>S2S PREMIUM</v>
      </c>
      <c r="AE1165" s="3" t="e">
        <f>VLOOKUP(E1165,'[1]Nómina Agentes'!$C:$D,2,0)</f>
        <v>#N/A</v>
      </c>
      <c r="AF1165" s="5">
        <f t="shared" si="55"/>
        <v>0.625</v>
      </c>
      <c r="AG1165" s="5">
        <f t="shared" si="56"/>
        <v>0.64583333333333337</v>
      </c>
    </row>
    <row r="1166" spans="1:33" x14ac:dyDescent="0.25">
      <c r="A1166" s="1">
        <v>45567</v>
      </c>
      <c r="B1166">
        <v>925</v>
      </c>
      <c r="C1166" t="s">
        <v>42</v>
      </c>
      <c r="D1166" t="s">
        <v>291</v>
      </c>
      <c r="E1166">
        <v>664048</v>
      </c>
      <c r="F1166" s="2">
        <v>0.58333333333333337</v>
      </c>
      <c r="G1166" t="s">
        <v>6</v>
      </c>
      <c r="H1166" s="2">
        <v>0.60416666666666663</v>
      </c>
      <c r="I1166">
        <v>776</v>
      </c>
      <c r="J1166">
        <v>0</v>
      </c>
      <c r="K1166">
        <v>0</v>
      </c>
      <c r="L1166">
        <v>14</v>
      </c>
      <c r="M1166">
        <v>0</v>
      </c>
      <c r="N1166">
        <v>0</v>
      </c>
      <c r="O1166">
        <v>0</v>
      </c>
      <c r="P1166">
        <v>1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3</v>
      </c>
      <c r="AC1166">
        <v>2</v>
      </c>
      <c r="AD1166" s="3" t="str">
        <f t="shared" si="54"/>
        <v>S2S PREMIUM</v>
      </c>
      <c r="AE1166" s="3" t="e">
        <f>VLOOKUP(E1166,'[1]Nómina Agentes'!$C:$D,2,0)</f>
        <v>#N/A</v>
      </c>
      <c r="AF1166" s="5">
        <f t="shared" si="55"/>
        <v>0.58333333333333337</v>
      </c>
      <c r="AG1166" s="5">
        <f t="shared" si="56"/>
        <v>0.60416666666666663</v>
      </c>
    </row>
    <row r="1167" spans="1:33" x14ac:dyDescent="0.25">
      <c r="A1167" s="1">
        <v>45567</v>
      </c>
      <c r="B1167">
        <v>925</v>
      </c>
      <c r="C1167" t="s">
        <v>42</v>
      </c>
      <c r="D1167" t="s">
        <v>291</v>
      </c>
      <c r="E1167">
        <v>664048</v>
      </c>
      <c r="F1167" s="2">
        <v>0.60416666666666663</v>
      </c>
      <c r="G1167" t="s">
        <v>6</v>
      </c>
      <c r="H1167" s="2">
        <v>0.625</v>
      </c>
      <c r="I1167">
        <v>1224</v>
      </c>
      <c r="J1167">
        <v>0</v>
      </c>
      <c r="K1167">
        <v>0</v>
      </c>
      <c r="L1167">
        <v>8</v>
      </c>
      <c r="M1167">
        <v>0</v>
      </c>
      <c r="N1167">
        <v>0</v>
      </c>
      <c r="O1167">
        <v>0</v>
      </c>
      <c r="P1167">
        <v>3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3</v>
      </c>
      <c r="AC1167">
        <v>2</v>
      </c>
      <c r="AD1167" s="3" t="str">
        <f t="shared" si="54"/>
        <v>S2S PREMIUM</v>
      </c>
      <c r="AE1167" s="3" t="e">
        <f>VLOOKUP(E1167,'[1]Nómina Agentes'!$C:$D,2,0)</f>
        <v>#N/A</v>
      </c>
      <c r="AF1167" s="5">
        <f t="shared" si="55"/>
        <v>0.60416666666666663</v>
      </c>
      <c r="AG1167" s="5">
        <f t="shared" si="56"/>
        <v>0.625</v>
      </c>
    </row>
    <row r="1168" spans="1:33" x14ac:dyDescent="0.25">
      <c r="A1168" s="1">
        <v>45567</v>
      </c>
      <c r="B1168">
        <v>924</v>
      </c>
      <c r="C1168" t="s">
        <v>43</v>
      </c>
      <c r="D1168" t="s">
        <v>292</v>
      </c>
      <c r="E1168">
        <v>664084</v>
      </c>
      <c r="F1168" s="2">
        <v>0.75</v>
      </c>
      <c r="G1168" t="s">
        <v>6</v>
      </c>
      <c r="H1168" s="2">
        <v>0.77083333333333337</v>
      </c>
      <c r="I1168">
        <v>210</v>
      </c>
      <c r="J1168">
        <v>0</v>
      </c>
      <c r="K1168">
        <v>0</v>
      </c>
      <c r="L1168">
        <v>4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 s="3" t="str">
        <f t="shared" si="54"/>
        <v>S2S NO PREMIUM</v>
      </c>
      <c r="AE1168" s="3" t="e">
        <f>VLOOKUP(E1168,'[1]Nómina Agentes'!$C:$D,2,0)</f>
        <v>#N/A</v>
      </c>
      <c r="AF1168" s="5">
        <f t="shared" si="55"/>
        <v>0.75</v>
      </c>
      <c r="AG1168" s="5">
        <f t="shared" si="56"/>
        <v>0.77083333333333337</v>
      </c>
    </row>
    <row r="1169" spans="1:33" x14ac:dyDescent="0.25">
      <c r="A1169" s="1">
        <v>45567</v>
      </c>
      <c r="B1169">
        <v>925</v>
      </c>
      <c r="C1169" t="s">
        <v>42</v>
      </c>
      <c r="D1169" t="s">
        <v>292</v>
      </c>
      <c r="E1169">
        <v>664084</v>
      </c>
      <c r="F1169" s="2">
        <v>0.72916666666666663</v>
      </c>
      <c r="G1169" t="s">
        <v>6</v>
      </c>
      <c r="H1169" s="2">
        <v>0.75</v>
      </c>
      <c r="I1169">
        <v>236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5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1</v>
      </c>
      <c r="AC1169">
        <v>0</v>
      </c>
      <c r="AD1169" s="3" t="str">
        <f t="shared" si="54"/>
        <v>S2S PREMIUM</v>
      </c>
      <c r="AE1169" s="3" t="e">
        <f>VLOOKUP(E1169,'[1]Nómina Agentes'!$C:$D,2,0)</f>
        <v>#N/A</v>
      </c>
      <c r="AF1169" s="5">
        <f t="shared" si="55"/>
        <v>0.72916666666666663</v>
      </c>
      <c r="AG1169" s="5">
        <f t="shared" si="56"/>
        <v>0.75</v>
      </c>
    </row>
    <row r="1170" spans="1:33" x14ac:dyDescent="0.25">
      <c r="A1170" s="1">
        <v>45567</v>
      </c>
      <c r="B1170">
        <v>925</v>
      </c>
      <c r="C1170" t="s">
        <v>42</v>
      </c>
      <c r="D1170" t="s">
        <v>292</v>
      </c>
      <c r="E1170">
        <v>664084</v>
      </c>
      <c r="F1170" s="2">
        <v>0.625</v>
      </c>
      <c r="G1170" t="s">
        <v>6</v>
      </c>
      <c r="H1170" s="2">
        <v>0.64583333333333337</v>
      </c>
      <c r="I1170">
        <v>447</v>
      </c>
      <c r="J1170">
        <v>9</v>
      </c>
      <c r="K1170">
        <v>0</v>
      </c>
      <c r="L1170">
        <v>8</v>
      </c>
      <c r="M1170">
        <v>0</v>
      </c>
      <c r="N1170">
        <v>0</v>
      </c>
      <c r="O1170">
        <v>0</v>
      </c>
      <c r="P1170">
        <v>5</v>
      </c>
      <c r="Q1170">
        <v>1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1</v>
      </c>
      <c r="AC1170">
        <v>0</v>
      </c>
      <c r="AD1170" s="3" t="str">
        <f t="shared" si="54"/>
        <v>S2S PREMIUM</v>
      </c>
      <c r="AE1170" s="3" t="e">
        <f>VLOOKUP(E1170,'[1]Nómina Agentes'!$C:$D,2,0)</f>
        <v>#N/A</v>
      </c>
      <c r="AF1170" s="5">
        <f t="shared" si="55"/>
        <v>0.625</v>
      </c>
      <c r="AG1170" s="5">
        <f t="shared" si="56"/>
        <v>0.64583333333333337</v>
      </c>
    </row>
    <row r="1171" spans="1:33" x14ac:dyDescent="0.25">
      <c r="A1171" s="1">
        <v>45567</v>
      </c>
      <c r="B1171">
        <v>925</v>
      </c>
      <c r="C1171" t="s">
        <v>42</v>
      </c>
      <c r="D1171" t="s">
        <v>292</v>
      </c>
      <c r="E1171">
        <v>664084</v>
      </c>
      <c r="F1171" s="2">
        <v>0.70833333333333337</v>
      </c>
      <c r="G1171" t="s">
        <v>6</v>
      </c>
      <c r="H1171" s="2">
        <v>0.72916666666666663</v>
      </c>
      <c r="I1171">
        <v>535</v>
      </c>
      <c r="J1171">
        <v>0</v>
      </c>
      <c r="K1171">
        <v>0</v>
      </c>
      <c r="L1171">
        <v>15</v>
      </c>
      <c r="M1171">
        <v>0</v>
      </c>
      <c r="N1171">
        <v>0</v>
      </c>
      <c r="O1171">
        <v>0</v>
      </c>
      <c r="P1171">
        <v>364</v>
      </c>
      <c r="Q1171">
        <v>204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4</v>
      </c>
      <c r="AC1171">
        <v>0</v>
      </c>
      <c r="AD1171" s="3" t="str">
        <f t="shared" si="54"/>
        <v>S2S PREMIUM</v>
      </c>
      <c r="AE1171" s="3" t="e">
        <f>VLOOKUP(E1171,'[1]Nómina Agentes'!$C:$D,2,0)</f>
        <v>#N/A</v>
      </c>
      <c r="AF1171" s="5">
        <f t="shared" si="55"/>
        <v>0.70833333333333337</v>
      </c>
      <c r="AG1171" s="5">
        <f t="shared" si="56"/>
        <v>0.72916666666666663</v>
      </c>
    </row>
    <row r="1172" spans="1:33" x14ac:dyDescent="0.25">
      <c r="A1172" s="1">
        <v>45567</v>
      </c>
      <c r="B1172">
        <v>925</v>
      </c>
      <c r="C1172" t="s">
        <v>42</v>
      </c>
      <c r="D1172" t="s">
        <v>292</v>
      </c>
      <c r="E1172">
        <v>664084</v>
      </c>
      <c r="F1172" s="2">
        <v>0.75</v>
      </c>
      <c r="G1172" t="s">
        <v>6</v>
      </c>
      <c r="H1172" s="2">
        <v>0.77083333333333337</v>
      </c>
      <c r="I1172">
        <v>612</v>
      </c>
      <c r="J1172">
        <v>0</v>
      </c>
      <c r="K1172">
        <v>0</v>
      </c>
      <c r="L1172">
        <v>12</v>
      </c>
      <c r="M1172">
        <v>0</v>
      </c>
      <c r="N1172">
        <v>0</v>
      </c>
      <c r="O1172">
        <v>0</v>
      </c>
      <c r="P1172">
        <v>16</v>
      </c>
      <c r="Q1172">
        <v>1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3</v>
      </c>
      <c r="AC1172">
        <v>0</v>
      </c>
      <c r="AD1172" s="3" t="str">
        <f t="shared" si="54"/>
        <v>S2S PREMIUM</v>
      </c>
      <c r="AE1172" s="3" t="e">
        <f>VLOOKUP(E1172,'[1]Nómina Agentes'!$C:$D,2,0)</f>
        <v>#N/A</v>
      </c>
      <c r="AF1172" s="5">
        <f t="shared" si="55"/>
        <v>0.75</v>
      </c>
      <c r="AG1172" s="5">
        <f t="shared" si="56"/>
        <v>0.77083333333333337</v>
      </c>
    </row>
    <row r="1173" spans="1:33" x14ac:dyDescent="0.25">
      <c r="A1173" s="1">
        <v>45567</v>
      </c>
      <c r="B1173">
        <v>925</v>
      </c>
      <c r="C1173" t="s">
        <v>42</v>
      </c>
      <c r="D1173" t="s">
        <v>292</v>
      </c>
      <c r="E1173">
        <v>664084</v>
      </c>
      <c r="F1173" s="2">
        <v>0.66666666666666663</v>
      </c>
      <c r="G1173" t="s">
        <v>6</v>
      </c>
      <c r="H1173" s="2">
        <v>0.6875</v>
      </c>
      <c r="I1173">
        <v>617</v>
      </c>
      <c r="J1173">
        <v>0</v>
      </c>
      <c r="K1173">
        <v>0</v>
      </c>
      <c r="L1173">
        <v>8</v>
      </c>
      <c r="M1173">
        <v>0</v>
      </c>
      <c r="N1173">
        <v>0</v>
      </c>
      <c r="O1173">
        <v>0</v>
      </c>
      <c r="P1173">
        <v>12</v>
      </c>
      <c r="Q1173">
        <v>3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3</v>
      </c>
      <c r="AC1173">
        <v>0</v>
      </c>
      <c r="AD1173" s="3" t="str">
        <f t="shared" si="54"/>
        <v>S2S PREMIUM</v>
      </c>
      <c r="AE1173" s="3" t="e">
        <f>VLOOKUP(E1173,'[1]Nómina Agentes'!$C:$D,2,0)</f>
        <v>#N/A</v>
      </c>
      <c r="AF1173" s="5">
        <f t="shared" si="55"/>
        <v>0.66666666666666663</v>
      </c>
      <c r="AG1173" s="5">
        <f t="shared" si="56"/>
        <v>0.6875</v>
      </c>
    </row>
    <row r="1174" spans="1:33" x14ac:dyDescent="0.25">
      <c r="A1174" s="1">
        <v>45567</v>
      </c>
      <c r="B1174">
        <v>925</v>
      </c>
      <c r="C1174" t="s">
        <v>42</v>
      </c>
      <c r="D1174" t="s">
        <v>292</v>
      </c>
      <c r="E1174">
        <v>664084</v>
      </c>
      <c r="F1174" s="2">
        <v>0.64583333333333337</v>
      </c>
      <c r="G1174" t="s">
        <v>6</v>
      </c>
      <c r="H1174" s="2">
        <v>0.66666666666666663</v>
      </c>
      <c r="I1174">
        <v>651</v>
      </c>
      <c r="J1174">
        <v>0</v>
      </c>
      <c r="K1174">
        <v>0</v>
      </c>
      <c r="L1174">
        <v>12</v>
      </c>
      <c r="M1174">
        <v>0</v>
      </c>
      <c r="N1174">
        <v>0</v>
      </c>
      <c r="O1174">
        <v>0</v>
      </c>
      <c r="P1174">
        <v>568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3</v>
      </c>
      <c r="AC1174">
        <v>0</v>
      </c>
      <c r="AD1174" s="3" t="str">
        <f t="shared" si="54"/>
        <v>S2S PREMIUM</v>
      </c>
      <c r="AE1174" s="3" t="e">
        <f>VLOOKUP(E1174,'[1]Nómina Agentes'!$C:$D,2,0)</f>
        <v>#N/A</v>
      </c>
      <c r="AF1174" s="5">
        <f t="shared" si="55"/>
        <v>0.64583333333333337</v>
      </c>
      <c r="AG1174" s="5">
        <f t="shared" si="56"/>
        <v>0.66666666666666663</v>
      </c>
    </row>
    <row r="1175" spans="1:33" x14ac:dyDescent="0.25">
      <c r="A1175" s="1">
        <v>45567</v>
      </c>
      <c r="B1175">
        <v>925</v>
      </c>
      <c r="C1175" t="s">
        <v>42</v>
      </c>
      <c r="D1175" t="s">
        <v>292</v>
      </c>
      <c r="E1175">
        <v>664084</v>
      </c>
      <c r="F1175" s="2">
        <v>0.6875</v>
      </c>
      <c r="G1175" t="s">
        <v>6</v>
      </c>
      <c r="H1175" s="2">
        <v>0.70833333333333337</v>
      </c>
      <c r="I1175">
        <v>829</v>
      </c>
      <c r="J1175">
        <v>8</v>
      </c>
      <c r="K1175">
        <v>0</v>
      </c>
      <c r="L1175">
        <v>20</v>
      </c>
      <c r="M1175">
        <v>0</v>
      </c>
      <c r="N1175">
        <v>0</v>
      </c>
      <c r="O1175">
        <v>0</v>
      </c>
      <c r="P1175">
        <v>57</v>
      </c>
      <c r="Q1175">
        <v>1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4</v>
      </c>
      <c r="AC1175">
        <v>0</v>
      </c>
      <c r="AD1175" s="3" t="str">
        <f t="shared" si="54"/>
        <v>S2S PREMIUM</v>
      </c>
      <c r="AE1175" s="3" t="e">
        <f>VLOOKUP(E1175,'[1]Nómina Agentes'!$C:$D,2,0)</f>
        <v>#N/A</v>
      </c>
      <c r="AF1175" s="5">
        <f t="shared" si="55"/>
        <v>0.6875</v>
      </c>
      <c r="AG1175" s="5">
        <f t="shared" si="56"/>
        <v>0.70833333333333337</v>
      </c>
    </row>
    <row r="1176" spans="1:33" x14ac:dyDescent="0.25">
      <c r="A1176" s="1">
        <v>45567</v>
      </c>
      <c r="B1176">
        <v>924</v>
      </c>
      <c r="C1176" t="s">
        <v>43</v>
      </c>
      <c r="D1176" t="s">
        <v>292</v>
      </c>
      <c r="E1176">
        <v>664084</v>
      </c>
      <c r="F1176" s="2">
        <v>0.8125</v>
      </c>
      <c r="G1176" t="s">
        <v>6</v>
      </c>
      <c r="H1176" s="2">
        <v>0.83333333333333337</v>
      </c>
      <c r="I1176">
        <v>863</v>
      </c>
      <c r="J1176">
        <v>0</v>
      </c>
      <c r="K1176">
        <v>0</v>
      </c>
      <c r="L1176">
        <v>8</v>
      </c>
      <c r="M1176">
        <v>0</v>
      </c>
      <c r="N1176">
        <v>0</v>
      </c>
      <c r="O1176">
        <v>0</v>
      </c>
      <c r="P1176">
        <v>298</v>
      </c>
      <c r="Q1176">
        <v>85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2</v>
      </c>
      <c r="AC1176">
        <v>0</v>
      </c>
      <c r="AD1176" s="3" t="str">
        <f t="shared" si="54"/>
        <v>S2S NO PREMIUM</v>
      </c>
      <c r="AE1176" s="3" t="e">
        <f>VLOOKUP(E1176,'[1]Nómina Agentes'!$C:$D,2,0)</f>
        <v>#N/A</v>
      </c>
      <c r="AF1176" s="5">
        <f t="shared" si="55"/>
        <v>0.8125</v>
      </c>
      <c r="AG1176" s="5">
        <f t="shared" si="56"/>
        <v>0.83333333333333337</v>
      </c>
    </row>
    <row r="1177" spans="1:33" x14ac:dyDescent="0.25">
      <c r="A1177" s="1">
        <v>45567</v>
      </c>
      <c r="B1177">
        <v>924</v>
      </c>
      <c r="C1177" t="s">
        <v>43</v>
      </c>
      <c r="D1177" t="s">
        <v>292</v>
      </c>
      <c r="E1177">
        <v>664084</v>
      </c>
      <c r="F1177" s="2">
        <v>0.77083333333333337</v>
      </c>
      <c r="G1177" t="s">
        <v>6</v>
      </c>
      <c r="H1177" s="2">
        <v>0.79166666666666663</v>
      </c>
      <c r="I1177">
        <v>936</v>
      </c>
      <c r="J1177">
        <v>0</v>
      </c>
      <c r="K1177">
        <v>0</v>
      </c>
      <c r="L1177">
        <v>12</v>
      </c>
      <c r="M1177">
        <v>0</v>
      </c>
      <c r="N1177">
        <v>0</v>
      </c>
      <c r="O1177">
        <v>0</v>
      </c>
      <c r="P1177">
        <v>35</v>
      </c>
      <c r="Q1177">
        <v>17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4</v>
      </c>
      <c r="AC1177">
        <v>0</v>
      </c>
      <c r="AD1177" s="3" t="str">
        <f t="shared" si="54"/>
        <v>S2S NO PREMIUM</v>
      </c>
      <c r="AE1177" s="3" t="e">
        <f>VLOOKUP(E1177,'[1]Nómina Agentes'!$C:$D,2,0)</f>
        <v>#N/A</v>
      </c>
      <c r="AF1177" s="5">
        <f t="shared" si="55"/>
        <v>0.77083333333333337</v>
      </c>
      <c r="AG1177" s="5">
        <f t="shared" si="56"/>
        <v>0.79166666666666663</v>
      </c>
    </row>
    <row r="1178" spans="1:33" x14ac:dyDescent="0.25">
      <c r="A1178" s="1">
        <v>45567</v>
      </c>
      <c r="B1178">
        <v>924</v>
      </c>
      <c r="C1178" t="s">
        <v>43</v>
      </c>
      <c r="D1178" t="s">
        <v>292</v>
      </c>
      <c r="E1178">
        <v>664084</v>
      </c>
      <c r="F1178" s="2">
        <v>0.79166666666666663</v>
      </c>
      <c r="G1178" t="s">
        <v>6</v>
      </c>
      <c r="H1178" s="2">
        <v>0.8125</v>
      </c>
      <c r="I1178">
        <v>1120</v>
      </c>
      <c r="J1178">
        <v>0</v>
      </c>
      <c r="K1178">
        <v>0</v>
      </c>
      <c r="L1178">
        <v>12</v>
      </c>
      <c r="M1178">
        <v>0</v>
      </c>
      <c r="N1178">
        <v>0</v>
      </c>
      <c r="O1178">
        <v>0</v>
      </c>
      <c r="P1178">
        <v>106</v>
      </c>
      <c r="Q1178">
        <v>1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3</v>
      </c>
      <c r="AC1178">
        <v>0</v>
      </c>
      <c r="AD1178" s="3" t="str">
        <f t="shared" si="54"/>
        <v>S2S NO PREMIUM</v>
      </c>
      <c r="AE1178" s="3" t="e">
        <f>VLOOKUP(E1178,'[1]Nómina Agentes'!$C:$D,2,0)</f>
        <v>#N/A</v>
      </c>
      <c r="AF1178" s="5">
        <f t="shared" si="55"/>
        <v>0.79166666666666663</v>
      </c>
      <c r="AG1178" s="5">
        <f t="shared" si="56"/>
        <v>0.8125</v>
      </c>
    </row>
    <row r="1179" spans="1:33" x14ac:dyDescent="0.25">
      <c r="A1179" s="1">
        <v>45567</v>
      </c>
      <c r="B1179">
        <v>925</v>
      </c>
      <c r="C1179" t="s">
        <v>42</v>
      </c>
      <c r="D1179" t="s">
        <v>293</v>
      </c>
      <c r="E1179">
        <v>664495</v>
      </c>
      <c r="F1179" s="2">
        <v>0.625</v>
      </c>
      <c r="G1179" t="s">
        <v>6</v>
      </c>
      <c r="H1179" s="2">
        <v>0.64583333333333337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 s="3" t="str">
        <f t="shared" si="54"/>
        <v>S2S PREMIUM</v>
      </c>
      <c r="AE1179" s="3" t="e">
        <f>VLOOKUP(E1179,'[1]Nómina Agentes'!$C:$D,2,0)</f>
        <v>#N/A</v>
      </c>
      <c r="AF1179" s="5">
        <f t="shared" si="55"/>
        <v>0.625</v>
      </c>
      <c r="AG1179" s="5">
        <f t="shared" si="56"/>
        <v>0.64583333333333337</v>
      </c>
    </row>
    <row r="1180" spans="1:33" x14ac:dyDescent="0.25">
      <c r="A1180" s="1">
        <v>45567</v>
      </c>
      <c r="B1180">
        <v>925</v>
      </c>
      <c r="C1180" t="s">
        <v>42</v>
      </c>
      <c r="D1180" t="s">
        <v>293</v>
      </c>
      <c r="E1180">
        <v>664495</v>
      </c>
      <c r="F1180" s="2">
        <v>0.58333333333333337</v>
      </c>
      <c r="G1180" t="s">
        <v>6</v>
      </c>
      <c r="H1180" s="2">
        <v>0.60416666666666663</v>
      </c>
      <c r="I1180">
        <v>563</v>
      </c>
      <c r="J1180">
        <v>0</v>
      </c>
      <c r="K1180">
        <v>0</v>
      </c>
      <c r="L1180">
        <v>12</v>
      </c>
      <c r="M1180">
        <v>0</v>
      </c>
      <c r="N1180">
        <v>0</v>
      </c>
      <c r="O1180">
        <v>0</v>
      </c>
      <c r="P1180">
        <v>457</v>
      </c>
      <c r="Q1180">
        <v>99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3</v>
      </c>
      <c r="AC1180">
        <v>3</v>
      </c>
      <c r="AD1180" s="3" t="str">
        <f t="shared" si="54"/>
        <v>S2S PREMIUM</v>
      </c>
      <c r="AE1180" s="3" t="e">
        <f>VLOOKUP(E1180,'[1]Nómina Agentes'!$C:$D,2,0)</f>
        <v>#N/A</v>
      </c>
      <c r="AF1180" s="5">
        <f t="shared" si="55"/>
        <v>0.58333333333333337</v>
      </c>
      <c r="AG1180" s="5">
        <f t="shared" si="56"/>
        <v>0.60416666666666663</v>
      </c>
    </row>
    <row r="1181" spans="1:33" x14ac:dyDescent="0.25">
      <c r="A1181" s="1">
        <v>45567</v>
      </c>
      <c r="B1181">
        <v>925</v>
      </c>
      <c r="C1181" t="s">
        <v>42</v>
      </c>
      <c r="D1181" t="s">
        <v>293</v>
      </c>
      <c r="E1181">
        <v>664495</v>
      </c>
      <c r="F1181" s="2">
        <v>0.60416666666666663</v>
      </c>
      <c r="G1181" t="s">
        <v>6</v>
      </c>
      <c r="H1181" s="2">
        <v>0.625</v>
      </c>
      <c r="I1181">
        <v>982</v>
      </c>
      <c r="J1181">
        <v>0</v>
      </c>
      <c r="K1181">
        <v>0</v>
      </c>
      <c r="L1181">
        <v>7</v>
      </c>
      <c r="M1181">
        <v>0</v>
      </c>
      <c r="N1181">
        <v>0</v>
      </c>
      <c r="O1181">
        <v>0</v>
      </c>
      <c r="P1181">
        <v>203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3</v>
      </c>
      <c r="AC1181">
        <v>1</v>
      </c>
      <c r="AD1181" s="3" t="str">
        <f t="shared" si="54"/>
        <v>S2S PREMIUM</v>
      </c>
      <c r="AE1181" s="3" t="e">
        <f>VLOOKUP(E1181,'[1]Nómina Agentes'!$C:$D,2,0)</f>
        <v>#N/A</v>
      </c>
      <c r="AF1181" s="5">
        <f t="shared" si="55"/>
        <v>0.60416666666666663</v>
      </c>
      <c r="AG1181" s="5">
        <f t="shared" si="56"/>
        <v>0.625</v>
      </c>
    </row>
    <row r="1182" spans="1:33" x14ac:dyDescent="0.25">
      <c r="A1182" s="1">
        <v>45567</v>
      </c>
      <c r="B1182">
        <v>924</v>
      </c>
      <c r="C1182" t="s">
        <v>43</v>
      </c>
      <c r="D1182" t="s">
        <v>294</v>
      </c>
      <c r="E1182">
        <v>664507</v>
      </c>
      <c r="F1182" s="2">
        <v>0.60416666666666663</v>
      </c>
      <c r="G1182" t="s">
        <v>6</v>
      </c>
      <c r="H1182" s="2">
        <v>0.625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 s="3" t="str">
        <f t="shared" si="54"/>
        <v>S2S NO PREMIUM</v>
      </c>
      <c r="AE1182" s="3" t="e">
        <f>VLOOKUP(E1182,'[1]Nómina Agentes'!$C:$D,2,0)</f>
        <v>#N/A</v>
      </c>
      <c r="AF1182" s="5">
        <f t="shared" si="55"/>
        <v>0.60416666666666663</v>
      </c>
      <c r="AG1182" s="5">
        <f t="shared" si="56"/>
        <v>0.625</v>
      </c>
    </row>
    <row r="1183" spans="1:33" x14ac:dyDescent="0.25">
      <c r="A1183" s="1">
        <v>45567</v>
      </c>
      <c r="B1183">
        <v>924</v>
      </c>
      <c r="C1183" t="s">
        <v>43</v>
      </c>
      <c r="D1183" t="s">
        <v>294</v>
      </c>
      <c r="E1183">
        <v>664507</v>
      </c>
      <c r="F1183" s="2">
        <v>0.625</v>
      </c>
      <c r="G1183" t="s">
        <v>6</v>
      </c>
      <c r="H1183" s="2">
        <v>0.64583333333333337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 s="3" t="str">
        <f t="shared" si="54"/>
        <v>S2S NO PREMIUM</v>
      </c>
      <c r="AE1183" s="3" t="e">
        <f>VLOOKUP(E1183,'[1]Nómina Agentes'!$C:$D,2,0)</f>
        <v>#N/A</v>
      </c>
      <c r="AF1183" s="5">
        <f t="shared" si="55"/>
        <v>0.625</v>
      </c>
      <c r="AG1183" s="5">
        <f t="shared" si="56"/>
        <v>0.64583333333333337</v>
      </c>
    </row>
    <row r="1184" spans="1:33" x14ac:dyDescent="0.25">
      <c r="A1184" s="1">
        <v>45567</v>
      </c>
      <c r="B1184">
        <v>924</v>
      </c>
      <c r="C1184" t="s">
        <v>43</v>
      </c>
      <c r="D1184" t="s">
        <v>294</v>
      </c>
      <c r="E1184">
        <v>664507</v>
      </c>
      <c r="F1184" s="2">
        <v>0.58333333333333337</v>
      </c>
      <c r="G1184" t="s">
        <v>6</v>
      </c>
      <c r="H1184" s="2">
        <v>0.60416666666666663</v>
      </c>
      <c r="I1184">
        <v>376</v>
      </c>
      <c r="J1184">
        <v>0</v>
      </c>
      <c r="K1184">
        <v>0</v>
      </c>
      <c r="L1184">
        <v>3</v>
      </c>
      <c r="M1184">
        <v>0</v>
      </c>
      <c r="N1184">
        <v>0</v>
      </c>
      <c r="O1184">
        <v>0</v>
      </c>
      <c r="P1184">
        <v>1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1</v>
      </c>
      <c r="AC1184">
        <v>1</v>
      </c>
      <c r="AD1184" s="3" t="str">
        <f t="shared" si="54"/>
        <v>S2S NO PREMIUM</v>
      </c>
      <c r="AE1184" s="3" t="e">
        <f>VLOOKUP(E1184,'[1]Nómina Agentes'!$C:$D,2,0)</f>
        <v>#N/A</v>
      </c>
      <c r="AF1184" s="5">
        <f t="shared" si="55"/>
        <v>0.58333333333333337</v>
      </c>
      <c r="AG1184" s="5">
        <f t="shared" si="56"/>
        <v>0.60416666666666663</v>
      </c>
    </row>
    <row r="1185" spans="1:33" x14ac:dyDescent="0.25">
      <c r="A1185" s="1">
        <v>45567</v>
      </c>
      <c r="B1185">
        <v>924</v>
      </c>
      <c r="C1185" t="s">
        <v>43</v>
      </c>
      <c r="D1185" t="s">
        <v>295</v>
      </c>
      <c r="E1185">
        <v>664517</v>
      </c>
      <c r="F1185" s="2">
        <v>0.75</v>
      </c>
      <c r="G1185" t="s">
        <v>6</v>
      </c>
      <c r="H1185" s="2">
        <v>0.77083333333333337</v>
      </c>
      <c r="I1185">
        <v>144</v>
      </c>
      <c r="J1185">
        <v>40</v>
      </c>
      <c r="K1185">
        <v>0</v>
      </c>
      <c r="L1185">
        <v>8</v>
      </c>
      <c r="M1185">
        <v>0</v>
      </c>
      <c r="N1185">
        <v>0</v>
      </c>
      <c r="O1185">
        <v>0</v>
      </c>
      <c r="P1185">
        <v>1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1</v>
      </c>
      <c r="AC1185">
        <v>1</v>
      </c>
      <c r="AD1185" s="3" t="str">
        <f t="shared" si="54"/>
        <v>S2S NO PREMIUM</v>
      </c>
      <c r="AE1185" s="3" t="e">
        <f>VLOOKUP(E1185,'[1]Nómina Agentes'!$C:$D,2,0)</f>
        <v>#N/A</v>
      </c>
      <c r="AF1185" s="5">
        <f t="shared" si="55"/>
        <v>0.75</v>
      </c>
      <c r="AG1185" s="5">
        <f t="shared" si="56"/>
        <v>0.77083333333333337</v>
      </c>
    </row>
    <row r="1186" spans="1:33" x14ac:dyDescent="0.25">
      <c r="A1186" s="1">
        <v>45567</v>
      </c>
      <c r="B1186">
        <v>924</v>
      </c>
      <c r="C1186" t="s">
        <v>43</v>
      </c>
      <c r="D1186" t="s">
        <v>295</v>
      </c>
      <c r="E1186">
        <v>664517</v>
      </c>
      <c r="F1186" s="2">
        <v>0.79166666666666663</v>
      </c>
      <c r="G1186" t="s">
        <v>6</v>
      </c>
      <c r="H1186" s="2">
        <v>0.8125</v>
      </c>
      <c r="I1186">
        <v>399</v>
      </c>
      <c r="J1186">
        <v>146</v>
      </c>
      <c r="K1186">
        <v>0</v>
      </c>
      <c r="L1186">
        <v>12</v>
      </c>
      <c r="M1186">
        <v>0</v>
      </c>
      <c r="N1186">
        <v>0</v>
      </c>
      <c r="O1186">
        <v>0</v>
      </c>
      <c r="P1186">
        <v>1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3</v>
      </c>
      <c r="AC1186">
        <v>1</v>
      </c>
      <c r="AD1186" s="3" t="str">
        <f t="shared" si="54"/>
        <v>S2S NO PREMIUM</v>
      </c>
      <c r="AE1186" s="3" t="e">
        <f>VLOOKUP(E1186,'[1]Nómina Agentes'!$C:$D,2,0)</f>
        <v>#N/A</v>
      </c>
      <c r="AF1186" s="5">
        <f t="shared" si="55"/>
        <v>0.79166666666666663</v>
      </c>
      <c r="AG1186" s="5">
        <f t="shared" si="56"/>
        <v>0.8125</v>
      </c>
    </row>
    <row r="1187" spans="1:33" x14ac:dyDescent="0.25">
      <c r="A1187" s="1">
        <v>45567</v>
      </c>
      <c r="B1187">
        <v>925</v>
      </c>
      <c r="C1187" t="s">
        <v>42</v>
      </c>
      <c r="D1187" t="s">
        <v>295</v>
      </c>
      <c r="E1187">
        <v>664517</v>
      </c>
      <c r="F1187" s="2">
        <v>0.75</v>
      </c>
      <c r="G1187" t="s">
        <v>6</v>
      </c>
      <c r="H1187" s="2">
        <v>0.77083333333333337</v>
      </c>
      <c r="I1187">
        <v>703</v>
      </c>
      <c r="J1187">
        <v>64</v>
      </c>
      <c r="K1187">
        <v>0</v>
      </c>
      <c r="L1187">
        <v>8</v>
      </c>
      <c r="M1187">
        <v>0</v>
      </c>
      <c r="N1187">
        <v>0</v>
      </c>
      <c r="O1187">
        <v>0</v>
      </c>
      <c r="P1187">
        <v>303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3</v>
      </c>
      <c r="AC1187">
        <v>2</v>
      </c>
      <c r="AD1187" s="3" t="str">
        <f t="shared" si="54"/>
        <v>S2S PREMIUM</v>
      </c>
      <c r="AE1187" s="3" t="e">
        <f>VLOOKUP(E1187,'[1]Nómina Agentes'!$C:$D,2,0)</f>
        <v>#N/A</v>
      </c>
      <c r="AF1187" s="5">
        <f t="shared" si="55"/>
        <v>0.75</v>
      </c>
      <c r="AG1187" s="5">
        <f t="shared" si="56"/>
        <v>0.77083333333333337</v>
      </c>
    </row>
    <row r="1188" spans="1:33" x14ac:dyDescent="0.25">
      <c r="A1188" s="1">
        <v>45567</v>
      </c>
      <c r="B1188">
        <v>925</v>
      </c>
      <c r="C1188" t="s">
        <v>42</v>
      </c>
      <c r="D1188" t="s">
        <v>295</v>
      </c>
      <c r="E1188">
        <v>664517</v>
      </c>
      <c r="F1188" s="2">
        <v>0.70833333333333337</v>
      </c>
      <c r="G1188" t="s">
        <v>6</v>
      </c>
      <c r="H1188" s="2">
        <v>0.72916666666666663</v>
      </c>
      <c r="I1188">
        <v>825</v>
      </c>
      <c r="J1188">
        <v>75</v>
      </c>
      <c r="K1188">
        <v>0</v>
      </c>
      <c r="L1188">
        <v>7</v>
      </c>
      <c r="M1188">
        <v>0</v>
      </c>
      <c r="N1188">
        <v>0</v>
      </c>
      <c r="O1188">
        <v>0</v>
      </c>
      <c r="P1188">
        <v>1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1</v>
      </c>
      <c r="AC1188">
        <v>1</v>
      </c>
      <c r="AD1188" s="3" t="str">
        <f t="shared" si="54"/>
        <v>S2S PREMIUM</v>
      </c>
      <c r="AE1188" s="3" t="e">
        <f>VLOOKUP(E1188,'[1]Nómina Agentes'!$C:$D,2,0)</f>
        <v>#N/A</v>
      </c>
      <c r="AF1188" s="5">
        <f t="shared" si="55"/>
        <v>0.70833333333333337</v>
      </c>
      <c r="AG1188" s="5">
        <f t="shared" si="56"/>
        <v>0.72916666666666663</v>
      </c>
    </row>
    <row r="1189" spans="1:33" x14ac:dyDescent="0.25">
      <c r="A1189" s="1">
        <v>45567</v>
      </c>
      <c r="B1189">
        <v>924</v>
      </c>
      <c r="C1189" t="s">
        <v>43</v>
      </c>
      <c r="D1189" t="s">
        <v>295</v>
      </c>
      <c r="E1189">
        <v>664517</v>
      </c>
      <c r="F1189" s="2">
        <v>0.77083333333333337</v>
      </c>
      <c r="G1189" t="s">
        <v>6</v>
      </c>
      <c r="H1189" s="2">
        <v>0.79166666666666663</v>
      </c>
      <c r="I1189">
        <v>937</v>
      </c>
      <c r="J1189">
        <v>26</v>
      </c>
      <c r="K1189">
        <v>0</v>
      </c>
      <c r="L1189">
        <v>16</v>
      </c>
      <c r="M1189">
        <v>0</v>
      </c>
      <c r="N1189">
        <v>0</v>
      </c>
      <c r="O1189">
        <v>0</v>
      </c>
      <c r="P1189">
        <v>72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4</v>
      </c>
      <c r="AC1189">
        <v>3</v>
      </c>
      <c r="AD1189" s="3" t="str">
        <f t="shared" si="54"/>
        <v>S2S NO PREMIUM</v>
      </c>
      <c r="AE1189" s="3" t="e">
        <f>VLOOKUP(E1189,'[1]Nómina Agentes'!$C:$D,2,0)</f>
        <v>#N/A</v>
      </c>
      <c r="AF1189" s="5">
        <f t="shared" si="55"/>
        <v>0.77083333333333337</v>
      </c>
      <c r="AG1189" s="5">
        <f t="shared" si="56"/>
        <v>0.79166666666666663</v>
      </c>
    </row>
    <row r="1190" spans="1:33" x14ac:dyDescent="0.25">
      <c r="A1190" s="1">
        <v>45567</v>
      </c>
      <c r="B1190">
        <v>924</v>
      </c>
      <c r="C1190" t="s">
        <v>43</v>
      </c>
      <c r="D1190" t="s">
        <v>295</v>
      </c>
      <c r="E1190">
        <v>664517</v>
      </c>
      <c r="F1190" s="2">
        <v>0.8125</v>
      </c>
      <c r="G1190" t="s">
        <v>6</v>
      </c>
      <c r="H1190" s="2">
        <v>0.83333333333333337</v>
      </c>
      <c r="I1190">
        <v>1210</v>
      </c>
      <c r="J1190">
        <v>0</v>
      </c>
      <c r="K1190">
        <v>0</v>
      </c>
      <c r="L1190">
        <v>3</v>
      </c>
      <c r="M1190">
        <v>0</v>
      </c>
      <c r="N1190">
        <v>0</v>
      </c>
      <c r="O1190">
        <v>0</v>
      </c>
      <c r="P1190">
        <v>182</v>
      </c>
      <c r="Q1190">
        <v>127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1</v>
      </c>
      <c r="AC1190">
        <v>1</v>
      </c>
      <c r="AD1190" s="3" t="str">
        <f t="shared" si="54"/>
        <v>S2S NO PREMIUM</v>
      </c>
      <c r="AE1190" s="3" t="e">
        <f>VLOOKUP(E1190,'[1]Nómina Agentes'!$C:$D,2,0)</f>
        <v>#N/A</v>
      </c>
      <c r="AF1190" s="5">
        <f t="shared" si="55"/>
        <v>0.8125</v>
      </c>
      <c r="AG1190" s="5">
        <f t="shared" si="56"/>
        <v>0.83333333333333337</v>
      </c>
    </row>
    <row r="1191" spans="1:33" x14ac:dyDescent="0.25">
      <c r="A1191" s="1">
        <v>45567</v>
      </c>
      <c r="B1191">
        <v>925</v>
      </c>
      <c r="C1191" t="s">
        <v>42</v>
      </c>
      <c r="D1191" t="s">
        <v>295</v>
      </c>
      <c r="E1191">
        <v>664517</v>
      </c>
      <c r="F1191" s="2">
        <v>0.72916666666666663</v>
      </c>
      <c r="G1191" t="s">
        <v>6</v>
      </c>
      <c r="H1191" s="2">
        <v>0.75</v>
      </c>
      <c r="I1191">
        <v>1233</v>
      </c>
      <c r="J1191">
        <v>125</v>
      </c>
      <c r="K1191">
        <v>0</v>
      </c>
      <c r="L1191">
        <v>20</v>
      </c>
      <c r="M1191">
        <v>0</v>
      </c>
      <c r="N1191">
        <v>0</v>
      </c>
      <c r="O1191">
        <v>0</v>
      </c>
      <c r="P1191">
        <v>3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5</v>
      </c>
      <c r="AC1191">
        <v>3</v>
      </c>
      <c r="AD1191" s="3" t="str">
        <f t="shared" si="54"/>
        <v>S2S PREMIUM</v>
      </c>
      <c r="AE1191" s="3" t="e">
        <f>VLOOKUP(E1191,'[1]Nómina Agentes'!$C:$D,2,0)</f>
        <v>#N/A</v>
      </c>
      <c r="AF1191" s="5">
        <f t="shared" si="55"/>
        <v>0.72916666666666663</v>
      </c>
      <c r="AG1191" s="5">
        <f t="shared" si="56"/>
        <v>0.75</v>
      </c>
    </row>
    <row r="1192" spans="1:33" x14ac:dyDescent="0.25">
      <c r="A1192" s="1">
        <v>45567</v>
      </c>
      <c r="B1192">
        <v>925</v>
      </c>
      <c r="C1192" t="s">
        <v>42</v>
      </c>
      <c r="D1192" t="s">
        <v>296</v>
      </c>
      <c r="E1192">
        <v>664594</v>
      </c>
      <c r="F1192" s="2">
        <v>0.625</v>
      </c>
      <c r="G1192" t="s">
        <v>6</v>
      </c>
      <c r="H1192" s="2">
        <v>0.64583333333333337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 s="3" t="str">
        <f t="shared" si="54"/>
        <v>S2S PREMIUM</v>
      </c>
      <c r="AE1192" s="3" t="e">
        <f>VLOOKUP(E1192,'[1]Nómina Agentes'!$C:$D,2,0)</f>
        <v>#N/A</v>
      </c>
      <c r="AF1192" s="5">
        <f t="shared" si="55"/>
        <v>0.625</v>
      </c>
      <c r="AG1192" s="5">
        <f t="shared" si="56"/>
        <v>0.64583333333333337</v>
      </c>
    </row>
    <row r="1193" spans="1:33" x14ac:dyDescent="0.25">
      <c r="A1193" s="1">
        <v>45567</v>
      </c>
      <c r="B1193">
        <v>925</v>
      </c>
      <c r="C1193" t="s">
        <v>42</v>
      </c>
      <c r="D1193" t="s">
        <v>296</v>
      </c>
      <c r="E1193">
        <v>664594</v>
      </c>
      <c r="F1193" s="2">
        <v>0.58333333333333337</v>
      </c>
      <c r="G1193" t="s">
        <v>6</v>
      </c>
      <c r="H1193" s="2">
        <v>0.60416666666666663</v>
      </c>
      <c r="I1193">
        <v>30</v>
      </c>
      <c r="J1193">
        <v>0</v>
      </c>
      <c r="K1193">
        <v>0</v>
      </c>
      <c r="L1193">
        <v>4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 s="3" t="str">
        <f t="shared" si="54"/>
        <v>S2S PREMIUM</v>
      </c>
      <c r="AE1193" s="3" t="e">
        <f>VLOOKUP(E1193,'[1]Nómina Agentes'!$C:$D,2,0)</f>
        <v>#N/A</v>
      </c>
      <c r="AF1193" s="5">
        <f t="shared" si="55"/>
        <v>0.58333333333333337</v>
      </c>
      <c r="AG1193" s="5">
        <f t="shared" si="56"/>
        <v>0.60416666666666663</v>
      </c>
    </row>
    <row r="1194" spans="1:33" x14ac:dyDescent="0.25">
      <c r="A1194" s="1">
        <v>45567</v>
      </c>
      <c r="B1194">
        <v>925</v>
      </c>
      <c r="C1194" t="s">
        <v>42</v>
      </c>
      <c r="D1194" t="s">
        <v>296</v>
      </c>
      <c r="E1194">
        <v>664594</v>
      </c>
      <c r="F1194" s="2">
        <v>0.60416666666666663</v>
      </c>
      <c r="G1194" t="s">
        <v>6</v>
      </c>
      <c r="H1194" s="2">
        <v>0.625</v>
      </c>
      <c r="I1194">
        <v>1457</v>
      </c>
      <c r="J1194">
        <v>0</v>
      </c>
      <c r="K1194">
        <v>0</v>
      </c>
      <c r="L1194">
        <v>8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3</v>
      </c>
      <c r="AC1194">
        <v>2</v>
      </c>
      <c r="AD1194" s="3" t="str">
        <f t="shared" si="54"/>
        <v>S2S PREMIUM</v>
      </c>
      <c r="AE1194" s="3" t="e">
        <f>VLOOKUP(E1194,'[1]Nómina Agentes'!$C:$D,2,0)</f>
        <v>#N/A</v>
      </c>
      <c r="AF1194" s="5">
        <f t="shared" si="55"/>
        <v>0.60416666666666663</v>
      </c>
      <c r="AG1194" s="5">
        <f t="shared" si="56"/>
        <v>0.625</v>
      </c>
    </row>
    <row r="1195" spans="1:33" x14ac:dyDescent="0.25">
      <c r="A1195" s="1">
        <v>45567</v>
      </c>
      <c r="B1195">
        <v>925</v>
      </c>
      <c r="C1195" t="s">
        <v>42</v>
      </c>
      <c r="D1195" t="s">
        <v>297</v>
      </c>
      <c r="E1195">
        <v>665501</v>
      </c>
      <c r="F1195" s="2">
        <v>0.66666666666666663</v>
      </c>
      <c r="G1195" t="s">
        <v>6</v>
      </c>
      <c r="H1195" s="2">
        <v>0.6875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 s="3" t="str">
        <f t="shared" si="54"/>
        <v>S2S PREMIUM</v>
      </c>
      <c r="AE1195" s="3" t="e">
        <f>VLOOKUP(E1195,'[1]Nómina Agentes'!$C:$D,2,0)</f>
        <v>#N/A</v>
      </c>
      <c r="AF1195" s="5">
        <f t="shared" si="55"/>
        <v>0.66666666666666663</v>
      </c>
      <c r="AG1195" s="5">
        <f t="shared" si="56"/>
        <v>0.6875</v>
      </c>
    </row>
    <row r="1196" spans="1:33" x14ac:dyDescent="0.25">
      <c r="A1196" s="1">
        <v>45567</v>
      </c>
      <c r="B1196">
        <v>925</v>
      </c>
      <c r="C1196" t="s">
        <v>42</v>
      </c>
      <c r="D1196" t="s">
        <v>297</v>
      </c>
      <c r="E1196">
        <v>665501</v>
      </c>
      <c r="F1196" s="2">
        <v>0.58333333333333337</v>
      </c>
      <c r="G1196" t="s">
        <v>6</v>
      </c>
      <c r="H1196" s="2">
        <v>0.60416666666666663</v>
      </c>
      <c r="I1196">
        <v>267</v>
      </c>
      <c r="J1196">
        <v>0</v>
      </c>
      <c r="K1196">
        <v>0</v>
      </c>
      <c r="L1196">
        <v>8</v>
      </c>
      <c r="M1196">
        <v>0</v>
      </c>
      <c r="N1196">
        <v>0</v>
      </c>
      <c r="O1196">
        <v>0</v>
      </c>
      <c r="P1196">
        <v>2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3</v>
      </c>
      <c r="AC1196">
        <v>2</v>
      </c>
      <c r="AD1196" s="3" t="str">
        <f t="shared" si="54"/>
        <v>S2S PREMIUM</v>
      </c>
      <c r="AE1196" s="3" t="e">
        <f>VLOOKUP(E1196,'[1]Nómina Agentes'!$C:$D,2,0)</f>
        <v>#N/A</v>
      </c>
      <c r="AF1196" s="5">
        <f t="shared" si="55"/>
        <v>0.58333333333333337</v>
      </c>
      <c r="AG1196" s="5">
        <f t="shared" si="56"/>
        <v>0.60416666666666663</v>
      </c>
    </row>
    <row r="1197" spans="1:33" x14ac:dyDescent="0.25">
      <c r="A1197" s="1">
        <v>45567</v>
      </c>
      <c r="B1197">
        <v>925</v>
      </c>
      <c r="C1197" t="s">
        <v>42</v>
      </c>
      <c r="D1197" t="s">
        <v>297</v>
      </c>
      <c r="E1197">
        <v>665501</v>
      </c>
      <c r="F1197" s="2">
        <v>0.625</v>
      </c>
      <c r="G1197" t="s">
        <v>6</v>
      </c>
      <c r="H1197" s="2">
        <v>0.64583333333333337</v>
      </c>
      <c r="I1197">
        <v>340</v>
      </c>
      <c r="J1197">
        <v>0</v>
      </c>
      <c r="K1197">
        <v>0</v>
      </c>
      <c r="L1197">
        <v>7</v>
      </c>
      <c r="M1197">
        <v>0</v>
      </c>
      <c r="N1197">
        <v>0</v>
      </c>
      <c r="O1197">
        <v>0</v>
      </c>
      <c r="P1197">
        <v>2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1</v>
      </c>
      <c r="AC1197">
        <v>1</v>
      </c>
      <c r="AD1197" s="3" t="str">
        <f t="shared" si="54"/>
        <v>S2S PREMIUM</v>
      </c>
      <c r="AE1197" s="3" t="e">
        <f>VLOOKUP(E1197,'[1]Nómina Agentes'!$C:$D,2,0)</f>
        <v>#N/A</v>
      </c>
      <c r="AF1197" s="5">
        <f t="shared" si="55"/>
        <v>0.625</v>
      </c>
      <c r="AG1197" s="5">
        <f t="shared" si="56"/>
        <v>0.64583333333333337</v>
      </c>
    </row>
    <row r="1198" spans="1:33" x14ac:dyDescent="0.25">
      <c r="A1198" s="1">
        <v>45567</v>
      </c>
      <c r="B1198">
        <v>925</v>
      </c>
      <c r="C1198" t="s">
        <v>42</v>
      </c>
      <c r="D1198" t="s">
        <v>297</v>
      </c>
      <c r="E1198">
        <v>665501</v>
      </c>
      <c r="F1198" s="2">
        <v>0.64583333333333337</v>
      </c>
      <c r="G1198" t="s">
        <v>6</v>
      </c>
      <c r="H1198" s="2">
        <v>0.66666666666666663</v>
      </c>
      <c r="I1198">
        <v>684</v>
      </c>
      <c r="J1198">
        <v>0</v>
      </c>
      <c r="K1198">
        <v>0</v>
      </c>
      <c r="L1198">
        <v>13</v>
      </c>
      <c r="M1198">
        <v>0</v>
      </c>
      <c r="N1198">
        <v>0</v>
      </c>
      <c r="O1198">
        <v>0</v>
      </c>
      <c r="P1198">
        <v>6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4</v>
      </c>
      <c r="AC1198">
        <v>3</v>
      </c>
      <c r="AD1198" s="3" t="str">
        <f t="shared" si="54"/>
        <v>S2S PREMIUM</v>
      </c>
      <c r="AE1198" s="3" t="e">
        <f>VLOOKUP(E1198,'[1]Nómina Agentes'!$C:$D,2,0)</f>
        <v>#N/A</v>
      </c>
      <c r="AF1198" s="5">
        <f t="shared" si="55"/>
        <v>0.64583333333333337</v>
      </c>
      <c r="AG1198" s="5">
        <f t="shared" si="56"/>
        <v>0.66666666666666663</v>
      </c>
    </row>
    <row r="1199" spans="1:33" x14ac:dyDescent="0.25">
      <c r="A1199" s="1">
        <v>45567</v>
      </c>
      <c r="B1199">
        <v>925</v>
      </c>
      <c r="C1199" t="s">
        <v>42</v>
      </c>
      <c r="D1199" t="s">
        <v>297</v>
      </c>
      <c r="E1199">
        <v>665501</v>
      </c>
      <c r="F1199" s="2">
        <v>0.60416666666666663</v>
      </c>
      <c r="G1199" t="s">
        <v>6</v>
      </c>
      <c r="H1199" s="2">
        <v>0.625</v>
      </c>
      <c r="I1199">
        <v>816</v>
      </c>
      <c r="J1199">
        <v>0</v>
      </c>
      <c r="K1199">
        <v>0</v>
      </c>
      <c r="L1199">
        <v>12</v>
      </c>
      <c r="M1199">
        <v>0</v>
      </c>
      <c r="N1199">
        <v>0</v>
      </c>
      <c r="O1199">
        <v>0</v>
      </c>
      <c r="P1199">
        <v>2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3</v>
      </c>
      <c r="AC1199">
        <v>2</v>
      </c>
      <c r="AD1199" s="3" t="str">
        <f t="shared" si="54"/>
        <v>S2S PREMIUM</v>
      </c>
      <c r="AE1199" s="3" t="e">
        <f>VLOOKUP(E1199,'[1]Nómina Agentes'!$C:$D,2,0)</f>
        <v>#N/A</v>
      </c>
      <c r="AF1199" s="5">
        <f t="shared" si="55"/>
        <v>0.60416666666666663</v>
      </c>
      <c r="AG1199" s="5">
        <f t="shared" si="56"/>
        <v>0.625</v>
      </c>
    </row>
    <row r="1200" spans="1:33" x14ac:dyDescent="0.25">
      <c r="A1200" s="1">
        <v>45567</v>
      </c>
      <c r="B1200">
        <v>925</v>
      </c>
      <c r="C1200" t="s">
        <v>42</v>
      </c>
      <c r="D1200" t="s">
        <v>298</v>
      </c>
      <c r="E1200">
        <v>665626</v>
      </c>
      <c r="F1200" s="2">
        <v>0.66666666666666663</v>
      </c>
      <c r="G1200" t="s">
        <v>6</v>
      </c>
      <c r="H1200" s="2">
        <v>0.6875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 s="3" t="str">
        <f t="shared" si="54"/>
        <v>S2S PREMIUM</v>
      </c>
      <c r="AE1200" s="3" t="e">
        <f>VLOOKUP(E1200,'[1]Nómina Agentes'!$C:$D,2,0)</f>
        <v>#N/A</v>
      </c>
      <c r="AF1200" s="5">
        <f t="shared" si="55"/>
        <v>0.66666666666666663</v>
      </c>
      <c r="AG1200" s="5">
        <f t="shared" si="56"/>
        <v>0.6875</v>
      </c>
    </row>
    <row r="1201" spans="1:33" x14ac:dyDescent="0.25">
      <c r="A1201" s="1">
        <v>45567</v>
      </c>
      <c r="B1201">
        <v>925</v>
      </c>
      <c r="C1201" t="s">
        <v>42</v>
      </c>
      <c r="D1201" t="s">
        <v>298</v>
      </c>
      <c r="E1201">
        <v>665626</v>
      </c>
      <c r="F1201" s="2">
        <v>0.64583333333333337</v>
      </c>
      <c r="G1201" t="s">
        <v>6</v>
      </c>
      <c r="H1201" s="2">
        <v>0.66666666666666663</v>
      </c>
      <c r="I1201">
        <v>249</v>
      </c>
      <c r="J1201">
        <v>0</v>
      </c>
      <c r="K1201">
        <v>0</v>
      </c>
      <c r="L1201">
        <v>4</v>
      </c>
      <c r="M1201">
        <v>0</v>
      </c>
      <c r="N1201">
        <v>0</v>
      </c>
      <c r="O1201">
        <v>0</v>
      </c>
      <c r="P1201">
        <v>1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1</v>
      </c>
      <c r="AC1201">
        <v>1</v>
      </c>
      <c r="AD1201" s="3" t="str">
        <f t="shared" si="54"/>
        <v>S2S PREMIUM</v>
      </c>
      <c r="AE1201" s="3" t="e">
        <f>VLOOKUP(E1201,'[1]Nómina Agentes'!$C:$D,2,0)</f>
        <v>#N/A</v>
      </c>
      <c r="AF1201" s="5">
        <f t="shared" si="55"/>
        <v>0.64583333333333337</v>
      </c>
      <c r="AG1201" s="5">
        <f t="shared" si="56"/>
        <v>0.66666666666666663</v>
      </c>
    </row>
    <row r="1202" spans="1:33" x14ac:dyDescent="0.25">
      <c r="A1202" s="1">
        <v>45567</v>
      </c>
      <c r="B1202">
        <v>925</v>
      </c>
      <c r="C1202" t="s">
        <v>42</v>
      </c>
      <c r="D1202" t="s">
        <v>298</v>
      </c>
      <c r="E1202">
        <v>665626</v>
      </c>
      <c r="F1202" s="2">
        <v>0.58333333333333337</v>
      </c>
      <c r="G1202" t="s">
        <v>6</v>
      </c>
      <c r="H1202" s="2">
        <v>0.60416666666666663</v>
      </c>
      <c r="I1202">
        <v>459</v>
      </c>
      <c r="J1202">
        <v>0</v>
      </c>
      <c r="K1202">
        <v>0</v>
      </c>
      <c r="L1202">
        <v>8</v>
      </c>
      <c r="M1202">
        <v>0</v>
      </c>
      <c r="N1202">
        <v>0</v>
      </c>
      <c r="O1202">
        <v>0</v>
      </c>
      <c r="P1202">
        <v>164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1</v>
      </c>
      <c r="AC1202">
        <v>1</v>
      </c>
      <c r="AD1202" s="3" t="str">
        <f t="shared" si="54"/>
        <v>S2S PREMIUM</v>
      </c>
      <c r="AE1202" s="3" t="e">
        <f>VLOOKUP(E1202,'[1]Nómina Agentes'!$C:$D,2,0)</f>
        <v>#N/A</v>
      </c>
      <c r="AF1202" s="5">
        <f t="shared" si="55"/>
        <v>0.58333333333333337</v>
      </c>
      <c r="AG1202" s="5">
        <f t="shared" si="56"/>
        <v>0.60416666666666663</v>
      </c>
    </row>
    <row r="1203" spans="1:33" x14ac:dyDescent="0.25">
      <c r="A1203" s="1">
        <v>45567</v>
      </c>
      <c r="B1203">
        <v>925</v>
      </c>
      <c r="C1203" t="s">
        <v>42</v>
      </c>
      <c r="D1203" t="s">
        <v>298</v>
      </c>
      <c r="E1203">
        <v>665626</v>
      </c>
      <c r="F1203" s="2">
        <v>0.60416666666666663</v>
      </c>
      <c r="G1203" t="s">
        <v>6</v>
      </c>
      <c r="H1203" s="2">
        <v>0.625</v>
      </c>
      <c r="I1203">
        <v>468</v>
      </c>
      <c r="J1203">
        <v>0</v>
      </c>
      <c r="K1203">
        <v>0</v>
      </c>
      <c r="L1203">
        <v>8</v>
      </c>
      <c r="M1203">
        <v>0</v>
      </c>
      <c r="N1203">
        <v>0</v>
      </c>
      <c r="O1203">
        <v>0</v>
      </c>
      <c r="P1203">
        <v>162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2</v>
      </c>
      <c r="AC1203">
        <v>2</v>
      </c>
      <c r="AD1203" s="3" t="str">
        <f t="shared" si="54"/>
        <v>S2S PREMIUM</v>
      </c>
      <c r="AE1203" s="3" t="e">
        <f>VLOOKUP(E1203,'[1]Nómina Agentes'!$C:$D,2,0)</f>
        <v>#N/A</v>
      </c>
      <c r="AF1203" s="5">
        <f t="shared" si="55"/>
        <v>0.60416666666666663</v>
      </c>
      <c r="AG1203" s="5">
        <f t="shared" si="56"/>
        <v>0.625</v>
      </c>
    </row>
    <row r="1204" spans="1:33" x14ac:dyDescent="0.25">
      <c r="A1204" s="1">
        <v>45567</v>
      </c>
      <c r="B1204">
        <v>925</v>
      </c>
      <c r="C1204" t="s">
        <v>42</v>
      </c>
      <c r="D1204" t="s">
        <v>298</v>
      </c>
      <c r="E1204">
        <v>665626</v>
      </c>
      <c r="F1204" s="2">
        <v>0.625</v>
      </c>
      <c r="G1204" t="s">
        <v>6</v>
      </c>
      <c r="H1204" s="2">
        <v>0.64583333333333337</v>
      </c>
      <c r="I1204">
        <v>499</v>
      </c>
      <c r="J1204">
        <v>2</v>
      </c>
      <c r="K1204">
        <v>0</v>
      </c>
      <c r="L1204">
        <v>4</v>
      </c>
      <c r="M1204">
        <v>0</v>
      </c>
      <c r="N1204">
        <v>0</v>
      </c>
      <c r="O1204">
        <v>0</v>
      </c>
      <c r="P1204">
        <v>398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2</v>
      </c>
      <c r="AC1204">
        <v>2</v>
      </c>
      <c r="AD1204" s="3" t="str">
        <f t="shared" si="54"/>
        <v>S2S PREMIUM</v>
      </c>
      <c r="AE1204" s="3" t="e">
        <f>VLOOKUP(E1204,'[1]Nómina Agentes'!$C:$D,2,0)</f>
        <v>#N/A</v>
      </c>
      <c r="AF1204" s="5">
        <f t="shared" si="55"/>
        <v>0.625</v>
      </c>
      <c r="AG1204" s="5">
        <f t="shared" si="56"/>
        <v>0.64583333333333337</v>
      </c>
    </row>
    <row r="1205" spans="1:33" x14ac:dyDescent="0.25">
      <c r="A1205" s="1">
        <v>45567</v>
      </c>
      <c r="B1205">
        <v>924</v>
      </c>
      <c r="C1205" t="s">
        <v>43</v>
      </c>
      <c r="D1205" t="s">
        <v>92</v>
      </c>
      <c r="E1205">
        <v>665673</v>
      </c>
      <c r="F1205" s="2">
        <v>0.625</v>
      </c>
      <c r="G1205" t="s">
        <v>6</v>
      </c>
      <c r="H1205" s="2">
        <v>0.64583333333333337</v>
      </c>
      <c r="I1205">
        <v>131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1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1</v>
      </c>
      <c r="AC1205">
        <v>1</v>
      </c>
      <c r="AD1205" s="3" t="str">
        <f t="shared" si="54"/>
        <v>S2S NO PREMIUM</v>
      </c>
      <c r="AE1205" s="3" t="str">
        <f>VLOOKUP(E1205,'[1]Nómina Agentes'!$C:$D,2,0)</f>
        <v>AMUNDARREY JOAQUIN LEONEL</v>
      </c>
      <c r="AF1205" s="5">
        <f t="shared" si="55"/>
        <v>0.625</v>
      </c>
      <c r="AG1205" s="5">
        <f t="shared" si="56"/>
        <v>0.64583333333333337</v>
      </c>
    </row>
    <row r="1206" spans="1:33" x14ac:dyDescent="0.25">
      <c r="A1206" s="1">
        <v>45567</v>
      </c>
      <c r="B1206">
        <v>924</v>
      </c>
      <c r="C1206" t="s">
        <v>43</v>
      </c>
      <c r="D1206" t="s">
        <v>92</v>
      </c>
      <c r="E1206">
        <v>665673</v>
      </c>
      <c r="F1206" s="2">
        <v>0.60416666666666663</v>
      </c>
      <c r="G1206" t="s">
        <v>6</v>
      </c>
      <c r="H1206" s="2">
        <v>0.625</v>
      </c>
      <c r="I1206">
        <v>696</v>
      </c>
      <c r="J1206">
        <v>0</v>
      </c>
      <c r="K1206">
        <v>0</v>
      </c>
      <c r="L1206">
        <v>28</v>
      </c>
      <c r="M1206">
        <v>0</v>
      </c>
      <c r="N1206">
        <v>0</v>
      </c>
      <c r="O1206">
        <v>0</v>
      </c>
      <c r="P1206">
        <v>4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4</v>
      </c>
      <c r="AC1206">
        <v>4</v>
      </c>
      <c r="AD1206" s="3" t="str">
        <f t="shared" si="54"/>
        <v>S2S NO PREMIUM</v>
      </c>
      <c r="AE1206" s="3" t="str">
        <f>VLOOKUP(E1206,'[1]Nómina Agentes'!$C:$D,2,0)</f>
        <v>AMUNDARREY JOAQUIN LEONEL</v>
      </c>
      <c r="AF1206" s="5">
        <f t="shared" si="55"/>
        <v>0.60416666666666663</v>
      </c>
      <c r="AG1206" s="5">
        <f t="shared" si="56"/>
        <v>0.625</v>
      </c>
    </row>
    <row r="1207" spans="1:33" x14ac:dyDescent="0.25">
      <c r="A1207" s="1">
        <v>45567</v>
      </c>
      <c r="B1207">
        <v>924</v>
      </c>
      <c r="C1207" t="s">
        <v>43</v>
      </c>
      <c r="D1207" t="s">
        <v>92</v>
      </c>
      <c r="E1207">
        <v>665673</v>
      </c>
      <c r="F1207" s="2">
        <v>0.58333333333333337</v>
      </c>
      <c r="G1207" t="s">
        <v>6</v>
      </c>
      <c r="H1207" s="2">
        <v>0.60416666666666663</v>
      </c>
      <c r="I1207">
        <v>714</v>
      </c>
      <c r="J1207">
        <v>0</v>
      </c>
      <c r="K1207">
        <v>0</v>
      </c>
      <c r="L1207">
        <v>28</v>
      </c>
      <c r="M1207">
        <v>0</v>
      </c>
      <c r="N1207">
        <v>0</v>
      </c>
      <c r="O1207">
        <v>0</v>
      </c>
      <c r="P1207">
        <v>102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3</v>
      </c>
      <c r="AC1207">
        <v>3</v>
      </c>
      <c r="AD1207" s="3" t="str">
        <f t="shared" si="54"/>
        <v>S2S NO PREMIUM</v>
      </c>
      <c r="AE1207" s="3" t="str">
        <f>VLOOKUP(E1207,'[1]Nómina Agentes'!$C:$D,2,0)</f>
        <v>AMUNDARREY JOAQUIN LEONEL</v>
      </c>
      <c r="AF1207" s="5">
        <f t="shared" si="55"/>
        <v>0.58333333333333337</v>
      </c>
      <c r="AG1207" s="5">
        <f t="shared" si="56"/>
        <v>0.60416666666666663</v>
      </c>
    </row>
    <row r="1208" spans="1:33" x14ac:dyDescent="0.25">
      <c r="A1208" s="1">
        <v>45567</v>
      </c>
      <c r="B1208">
        <v>925</v>
      </c>
      <c r="C1208" t="s">
        <v>42</v>
      </c>
      <c r="D1208" t="s">
        <v>299</v>
      </c>
      <c r="E1208">
        <v>69430</v>
      </c>
      <c r="F1208" s="2">
        <v>0.58333333333333337</v>
      </c>
      <c r="G1208" t="s">
        <v>6</v>
      </c>
      <c r="H1208" s="2">
        <v>0.60416666666666663</v>
      </c>
      <c r="I1208">
        <v>57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463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1</v>
      </c>
      <c r="AC1208">
        <v>1</v>
      </c>
      <c r="AD1208" s="3" t="str">
        <f t="shared" si="54"/>
        <v>S2S PREMIUM</v>
      </c>
      <c r="AE1208" s="3" t="e">
        <f>VLOOKUP(E1208,'[1]Nómina Agentes'!$C:$D,2,0)</f>
        <v>#N/A</v>
      </c>
      <c r="AF1208" s="5">
        <f t="shared" si="55"/>
        <v>0.58333333333333337</v>
      </c>
      <c r="AG1208" s="5">
        <f t="shared" si="56"/>
        <v>0.60416666666666663</v>
      </c>
    </row>
    <row r="1209" spans="1:33" x14ac:dyDescent="0.25">
      <c r="A1209" s="1">
        <v>45567</v>
      </c>
      <c r="B1209">
        <v>925</v>
      </c>
      <c r="C1209" t="s">
        <v>42</v>
      </c>
      <c r="D1209" t="s">
        <v>299</v>
      </c>
      <c r="E1209">
        <v>69430</v>
      </c>
      <c r="F1209" s="2">
        <v>0.70833333333333337</v>
      </c>
      <c r="G1209" t="s">
        <v>6</v>
      </c>
      <c r="H1209" s="2">
        <v>0.72916666666666663</v>
      </c>
      <c r="I1209">
        <v>453</v>
      </c>
      <c r="J1209">
        <v>2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104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1</v>
      </c>
      <c r="AC1209">
        <v>1</v>
      </c>
      <c r="AD1209" s="3" t="str">
        <f t="shared" si="54"/>
        <v>S2S PREMIUM</v>
      </c>
      <c r="AE1209" s="3" t="e">
        <f>VLOOKUP(E1209,'[1]Nómina Agentes'!$C:$D,2,0)</f>
        <v>#N/A</v>
      </c>
      <c r="AF1209" s="5">
        <f t="shared" si="55"/>
        <v>0.70833333333333337</v>
      </c>
      <c r="AG1209" s="5">
        <f t="shared" si="56"/>
        <v>0.72916666666666663</v>
      </c>
    </row>
    <row r="1210" spans="1:33" x14ac:dyDescent="0.25">
      <c r="A1210" s="1">
        <v>45567</v>
      </c>
      <c r="B1210">
        <v>925</v>
      </c>
      <c r="C1210" t="s">
        <v>42</v>
      </c>
      <c r="D1210" t="s">
        <v>299</v>
      </c>
      <c r="E1210">
        <v>69430</v>
      </c>
      <c r="F1210" s="2">
        <v>0.60416666666666663</v>
      </c>
      <c r="G1210" t="s">
        <v>6</v>
      </c>
      <c r="H1210" s="2">
        <v>0.625</v>
      </c>
      <c r="I1210">
        <v>589</v>
      </c>
      <c r="J1210">
        <v>0</v>
      </c>
      <c r="K1210">
        <v>0</v>
      </c>
      <c r="L1210">
        <v>11</v>
      </c>
      <c r="M1210">
        <v>0</v>
      </c>
      <c r="N1210">
        <v>0</v>
      </c>
      <c r="O1210">
        <v>0</v>
      </c>
      <c r="P1210">
        <v>2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2</v>
      </c>
      <c r="AC1210">
        <v>2</v>
      </c>
      <c r="AD1210" s="3" t="str">
        <f t="shared" si="54"/>
        <v>S2S PREMIUM</v>
      </c>
      <c r="AE1210" s="3" t="e">
        <f>VLOOKUP(E1210,'[1]Nómina Agentes'!$C:$D,2,0)</f>
        <v>#N/A</v>
      </c>
      <c r="AF1210" s="5">
        <f t="shared" si="55"/>
        <v>0.60416666666666663</v>
      </c>
      <c r="AG1210" s="5">
        <f t="shared" si="56"/>
        <v>0.625</v>
      </c>
    </row>
    <row r="1211" spans="1:33" x14ac:dyDescent="0.25">
      <c r="A1211" s="1">
        <v>45567</v>
      </c>
      <c r="B1211">
        <v>925</v>
      </c>
      <c r="C1211" t="s">
        <v>42</v>
      </c>
      <c r="D1211" t="s">
        <v>299</v>
      </c>
      <c r="E1211">
        <v>69430</v>
      </c>
      <c r="F1211" s="2">
        <v>0.625</v>
      </c>
      <c r="G1211" t="s">
        <v>6</v>
      </c>
      <c r="H1211" s="2">
        <v>0.64583333333333337</v>
      </c>
      <c r="I1211">
        <v>794</v>
      </c>
      <c r="J1211">
        <v>0</v>
      </c>
      <c r="K1211">
        <v>0</v>
      </c>
      <c r="L1211">
        <v>12</v>
      </c>
      <c r="M1211">
        <v>0</v>
      </c>
      <c r="N1211">
        <v>0</v>
      </c>
      <c r="O1211">
        <v>0</v>
      </c>
      <c r="P1211">
        <v>369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3</v>
      </c>
      <c r="AC1211">
        <v>3</v>
      </c>
      <c r="AD1211" s="3" t="str">
        <f t="shared" si="54"/>
        <v>S2S PREMIUM</v>
      </c>
      <c r="AE1211" s="3" t="e">
        <f>VLOOKUP(E1211,'[1]Nómina Agentes'!$C:$D,2,0)</f>
        <v>#N/A</v>
      </c>
      <c r="AF1211" s="5">
        <f t="shared" si="55"/>
        <v>0.625</v>
      </c>
      <c r="AG1211" s="5">
        <f t="shared" si="56"/>
        <v>0.64583333333333337</v>
      </c>
    </row>
    <row r="1212" spans="1:33" x14ac:dyDescent="0.25">
      <c r="A1212" s="1">
        <v>45567</v>
      </c>
      <c r="B1212">
        <v>925</v>
      </c>
      <c r="C1212" t="s">
        <v>42</v>
      </c>
      <c r="D1212" t="s">
        <v>299</v>
      </c>
      <c r="E1212">
        <v>69430</v>
      </c>
      <c r="F1212" s="2">
        <v>0.66666666666666663</v>
      </c>
      <c r="G1212" t="s">
        <v>6</v>
      </c>
      <c r="H1212" s="2">
        <v>0.6875</v>
      </c>
      <c r="I1212">
        <v>834</v>
      </c>
      <c r="J1212">
        <v>0</v>
      </c>
      <c r="K1212">
        <v>0</v>
      </c>
      <c r="L1212">
        <v>16</v>
      </c>
      <c r="M1212">
        <v>0</v>
      </c>
      <c r="N1212">
        <v>0</v>
      </c>
      <c r="O1212">
        <v>0</v>
      </c>
      <c r="P1212">
        <v>3</v>
      </c>
      <c r="Q1212">
        <v>2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3</v>
      </c>
      <c r="AC1212">
        <v>3</v>
      </c>
      <c r="AD1212" s="3" t="str">
        <f t="shared" si="54"/>
        <v>S2S PREMIUM</v>
      </c>
      <c r="AE1212" s="3" t="e">
        <f>VLOOKUP(E1212,'[1]Nómina Agentes'!$C:$D,2,0)</f>
        <v>#N/A</v>
      </c>
      <c r="AF1212" s="5">
        <f t="shared" si="55"/>
        <v>0.66666666666666663</v>
      </c>
      <c r="AG1212" s="5">
        <f t="shared" si="56"/>
        <v>0.6875</v>
      </c>
    </row>
    <row r="1213" spans="1:33" x14ac:dyDescent="0.25">
      <c r="A1213" s="1">
        <v>45567</v>
      </c>
      <c r="B1213">
        <v>925</v>
      </c>
      <c r="C1213" t="s">
        <v>42</v>
      </c>
      <c r="D1213" t="s">
        <v>299</v>
      </c>
      <c r="E1213">
        <v>69430</v>
      </c>
      <c r="F1213" s="2">
        <v>0.64583333333333337</v>
      </c>
      <c r="G1213" t="s">
        <v>6</v>
      </c>
      <c r="H1213" s="2">
        <v>0.66666666666666663</v>
      </c>
      <c r="I1213">
        <v>873</v>
      </c>
      <c r="J1213">
        <v>0</v>
      </c>
      <c r="K1213">
        <v>0</v>
      </c>
      <c r="L1213">
        <v>8</v>
      </c>
      <c r="M1213">
        <v>0</v>
      </c>
      <c r="N1213">
        <v>0</v>
      </c>
      <c r="O1213">
        <v>0</v>
      </c>
      <c r="P1213">
        <v>111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3</v>
      </c>
      <c r="AC1213">
        <v>3</v>
      </c>
      <c r="AD1213" s="3" t="str">
        <f t="shared" si="54"/>
        <v>S2S PREMIUM</v>
      </c>
      <c r="AE1213" s="3" t="e">
        <f>VLOOKUP(E1213,'[1]Nómina Agentes'!$C:$D,2,0)</f>
        <v>#N/A</v>
      </c>
      <c r="AF1213" s="5">
        <f t="shared" si="55"/>
        <v>0.64583333333333337</v>
      </c>
      <c r="AG1213" s="5">
        <f t="shared" si="56"/>
        <v>0.66666666666666663</v>
      </c>
    </row>
    <row r="1214" spans="1:33" x14ac:dyDescent="0.25">
      <c r="A1214" s="1">
        <v>45567</v>
      </c>
      <c r="B1214">
        <v>925</v>
      </c>
      <c r="C1214" t="s">
        <v>42</v>
      </c>
      <c r="D1214" t="s">
        <v>299</v>
      </c>
      <c r="E1214">
        <v>69430</v>
      </c>
      <c r="F1214" s="2">
        <v>0.6875</v>
      </c>
      <c r="G1214" t="s">
        <v>6</v>
      </c>
      <c r="H1214" s="2">
        <v>0.70833333333333337</v>
      </c>
      <c r="I1214">
        <v>948</v>
      </c>
      <c r="J1214">
        <v>0</v>
      </c>
      <c r="K1214">
        <v>0</v>
      </c>
      <c r="L1214">
        <v>16</v>
      </c>
      <c r="M1214">
        <v>0</v>
      </c>
      <c r="N1214">
        <v>0</v>
      </c>
      <c r="O1214">
        <v>0</v>
      </c>
      <c r="P1214">
        <v>396</v>
      </c>
      <c r="Q1214">
        <v>1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4</v>
      </c>
      <c r="AC1214">
        <v>4</v>
      </c>
      <c r="AD1214" s="3" t="str">
        <f t="shared" si="54"/>
        <v>S2S PREMIUM</v>
      </c>
      <c r="AE1214" s="3" t="e">
        <f>VLOOKUP(E1214,'[1]Nómina Agentes'!$C:$D,2,0)</f>
        <v>#N/A</v>
      </c>
      <c r="AF1214" s="5">
        <f t="shared" si="55"/>
        <v>0.6875</v>
      </c>
      <c r="AG1214" s="5">
        <f t="shared" si="56"/>
        <v>0.70833333333333337</v>
      </c>
    </row>
    <row r="1215" spans="1:33" x14ac:dyDescent="0.25">
      <c r="A1215" s="1">
        <v>45567</v>
      </c>
      <c r="B1215">
        <v>924</v>
      </c>
      <c r="C1215" t="s">
        <v>43</v>
      </c>
      <c r="D1215" t="s">
        <v>300</v>
      </c>
      <c r="E1215">
        <v>69994</v>
      </c>
      <c r="F1215" s="2">
        <v>0.75</v>
      </c>
      <c r="G1215" t="s">
        <v>6</v>
      </c>
      <c r="H1215" s="2">
        <v>0.77083333333333337</v>
      </c>
      <c r="I1215">
        <v>74</v>
      </c>
      <c r="J1215">
        <v>26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773</v>
      </c>
      <c r="Q1215">
        <v>287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1</v>
      </c>
      <c r="AC1215">
        <v>0</v>
      </c>
      <c r="AD1215" s="3" t="str">
        <f t="shared" ref="AD1215:AD1226" si="57">UPPER(C1215)</f>
        <v>S2S NO PREMIUM</v>
      </c>
      <c r="AE1215" s="3" t="e">
        <f>VLOOKUP(E1215,'[1]Nómina Agentes'!$C:$D,2,0)</f>
        <v>#N/A</v>
      </c>
      <c r="AF1215" s="5">
        <f t="shared" ref="AF1215:AF1226" si="58">F1215</f>
        <v>0.75</v>
      </c>
      <c r="AG1215" s="5">
        <f t="shared" ref="AG1215:AG1226" si="59">H1215</f>
        <v>0.77083333333333337</v>
      </c>
    </row>
    <row r="1216" spans="1:33" x14ac:dyDescent="0.25">
      <c r="A1216" s="1">
        <v>45567</v>
      </c>
      <c r="B1216">
        <v>924</v>
      </c>
      <c r="C1216" t="s">
        <v>43</v>
      </c>
      <c r="D1216" t="s">
        <v>300</v>
      </c>
      <c r="E1216">
        <v>69994</v>
      </c>
      <c r="F1216" s="2">
        <v>0.79166666666666663</v>
      </c>
      <c r="G1216" t="s">
        <v>6</v>
      </c>
      <c r="H1216" s="2">
        <v>0.8125</v>
      </c>
      <c r="I1216">
        <v>329</v>
      </c>
      <c r="J1216">
        <v>0</v>
      </c>
      <c r="K1216">
        <v>0</v>
      </c>
      <c r="L1216">
        <v>12</v>
      </c>
      <c r="M1216">
        <v>0</v>
      </c>
      <c r="N1216">
        <v>0</v>
      </c>
      <c r="O1216">
        <v>0</v>
      </c>
      <c r="P1216">
        <v>281</v>
      </c>
      <c r="Q1216">
        <v>169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2</v>
      </c>
      <c r="AC1216">
        <v>1</v>
      </c>
      <c r="AD1216" s="3" t="str">
        <f t="shared" si="57"/>
        <v>S2S NO PREMIUM</v>
      </c>
      <c r="AE1216" s="3" t="e">
        <f>VLOOKUP(E1216,'[1]Nómina Agentes'!$C:$D,2,0)</f>
        <v>#N/A</v>
      </c>
      <c r="AF1216" s="5">
        <f t="shared" si="58"/>
        <v>0.79166666666666663</v>
      </c>
      <c r="AG1216" s="5">
        <f t="shared" si="59"/>
        <v>0.8125</v>
      </c>
    </row>
    <row r="1217" spans="1:33" x14ac:dyDescent="0.25">
      <c r="A1217" s="1">
        <v>45567</v>
      </c>
      <c r="B1217">
        <v>924</v>
      </c>
      <c r="C1217" t="s">
        <v>43</v>
      </c>
      <c r="D1217" t="s">
        <v>300</v>
      </c>
      <c r="E1217">
        <v>69994</v>
      </c>
      <c r="F1217" s="2">
        <v>0.77083333333333337</v>
      </c>
      <c r="G1217" t="s">
        <v>6</v>
      </c>
      <c r="H1217" s="2">
        <v>0.79166666666666663</v>
      </c>
      <c r="I1217">
        <v>482</v>
      </c>
      <c r="J1217">
        <v>0</v>
      </c>
      <c r="K1217">
        <v>0</v>
      </c>
      <c r="L1217">
        <v>8</v>
      </c>
      <c r="M1217">
        <v>0</v>
      </c>
      <c r="N1217">
        <v>0</v>
      </c>
      <c r="O1217">
        <v>0</v>
      </c>
      <c r="P1217">
        <v>341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2</v>
      </c>
      <c r="AC1217">
        <v>2</v>
      </c>
      <c r="AD1217" s="3" t="str">
        <f t="shared" si="57"/>
        <v>S2S NO PREMIUM</v>
      </c>
      <c r="AE1217" s="3" t="e">
        <f>VLOOKUP(E1217,'[1]Nómina Agentes'!$C:$D,2,0)</f>
        <v>#N/A</v>
      </c>
      <c r="AF1217" s="5">
        <f t="shared" si="58"/>
        <v>0.77083333333333337</v>
      </c>
      <c r="AG1217" s="5">
        <f t="shared" si="59"/>
        <v>0.79166666666666663</v>
      </c>
    </row>
    <row r="1218" spans="1:33" x14ac:dyDescent="0.25">
      <c r="A1218" s="1">
        <v>45567</v>
      </c>
      <c r="B1218">
        <v>924</v>
      </c>
      <c r="C1218" t="s">
        <v>43</v>
      </c>
      <c r="D1218" t="s">
        <v>300</v>
      </c>
      <c r="E1218">
        <v>69994</v>
      </c>
      <c r="F1218" s="2">
        <v>0.625</v>
      </c>
      <c r="G1218" t="s">
        <v>6</v>
      </c>
      <c r="H1218" s="2">
        <v>0.64583333333333337</v>
      </c>
      <c r="I1218">
        <v>656</v>
      </c>
      <c r="J1218">
        <v>18</v>
      </c>
      <c r="K1218">
        <v>0</v>
      </c>
      <c r="L1218">
        <v>8</v>
      </c>
      <c r="M1218">
        <v>0</v>
      </c>
      <c r="N1218">
        <v>0</v>
      </c>
      <c r="O1218">
        <v>0</v>
      </c>
      <c r="P1218">
        <v>364</v>
      </c>
      <c r="Q1218">
        <v>4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3</v>
      </c>
      <c r="AC1218">
        <v>2</v>
      </c>
      <c r="AD1218" s="3" t="str">
        <f t="shared" si="57"/>
        <v>S2S NO PREMIUM</v>
      </c>
      <c r="AE1218" s="3" t="e">
        <f>VLOOKUP(E1218,'[1]Nómina Agentes'!$C:$D,2,0)</f>
        <v>#N/A</v>
      </c>
      <c r="AF1218" s="5">
        <f t="shared" si="58"/>
        <v>0.625</v>
      </c>
      <c r="AG1218" s="5">
        <f t="shared" si="59"/>
        <v>0.64583333333333337</v>
      </c>
    </row>
    <row r="1219" spans="1:33" x14ac:dyDescent="0.25">
      <c r="A1219" s="1">
        <v>45567</v>
      </c>
      <c r="B1219">
        <v>924</v>
      </c>
      <c r="C1219" t="s">
        <v>43</v>
      </c>
      <c r="D1219" t="s">
        <v>300</v>
      </c>
      <c r="E1219">
        <v>69994</v>
      </c>
      <c r="F1219" s="2">
        <v>0.58333333333333337</v>
      </c>
      <c r="G1219" t="s">
        <v>6</v>
      </c>
      <c r="H1219" s="2">
        <v>0.60416666666666663</v>
      </c>
      <c r="I1219">
        <v>706</v>
      </c>
      <c r="J1219">
        <v>0</v>
      </c>
      <c r="K1219">
        <v>0</v>
      </c>
      <c r="L1219">
        <v>12</v>
      </c>
      <c r="M1219">
        <v>0</v>
      </c>
      <c r="N1219">
        <v>0</v>
      </c>
      <c r="O1219">
        <v>0</v>
      </c>
      <c r="P1219">
        <v>75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3</v>
      </c>
      <c r="AC1219">
        <v>3</v>
      </c>
      <c r="AD1219" s="3" t="str">
        <f t="shared" si="57"/>
        <v>S2S NO PREMIUM</v>
      </c>
      <c r="AE1219" s="3" t="e">
        <f>VLOOKUP(E1219,'[1]Nómina Agentes'!$C:$D,2,0)</f>
        <v>#N/A</v>
      </c>
      <c r="AF1219" s="5">
        <f t="shared" si="58"/>
        <v>0.58333333333333337</v>
      </c>
      <c r="AG1219" s="5">
        <f t="shared" si="59"/>
        <v>0.60416666666666663</v>
      </c>
    </row>
    <row r="1220" spans="1:33" x14ac:dyDescent="0.25">
      <c r="A1220" s="1">
        <v>45567</v>
      </c>
      <c r="B1220">
        <v>924</v>
      </c>
      <c r="C1220" t="s">
        <v>43</v>
      </c>
      <c r="D1220" t="s">
        <v>300</v>
      </c>
      <c r="E1220">
        <v>69994</v>
      </c>
      <c r="F1220" s="2">
        <v>0.8125</v>
      </c>
      <c r="G1220" t="s">
        <v>6</v>
      </c>
      <c r="H1220" s="2">
        <v>0.83333333333333337</v>
      </c>
      <c r="I1220">
        <v>752</v>
      </c>
      <c r="J1220">
        <v>0</v>
      </c>
      <c r="K1220">
        <v>0</v>
      </c>
      <c r="L1220">
        <v>11</v>
      </c>
      <c r="M1220">
        <v>0</v>
      </c>
      <c r="N1220">
        <v>0</v>
      </c>
      <c r="O1220">
        <v>0</v>
      </c>
      <c r="P1220">
        <v>2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2</v>
      </c>
      <c r="AC1220">
        <v>2</v>
      </c>
      <c r="AD1220" s="3" t="str">
        <f t="shared" si="57"/>
        <v>S2S NO PREMIUM</v>
      </c>
      <c r="AE1220" s="3" t="e">
        <f>VLOOKUP(E1220,'[1]Nómina Agentes'!$C:$D,2,0)</f>
        <v>#N/A</v>
      </c>
      <c r="AF1220" s="5">
        <f t="shared" si="58"/>
        <v>0.8125</v>
      </c>
      <c r="AG1220" s="5">
        <f t="shared" si="59"/>
        <v>0.83333333333333337</v>
      </c>
    </row>
    <row r="1221" spans="1:33" x14ac:dyDescent="0.25">
      <c r="A1221" s="1">
        <v>45567</v>
      </c>
      <c r="B1221">
        <v>924</v>
      </c>
      <c r="C1221" t="s">
        <v>43</v>
      </c>
      <c r="D1221" t="s">
        <v>300</v>
      </c>
      <c r="E1221">
        <v>69994</v>
      </c>
      <c r="F1221" s="2">
        <v>0.60416666666666663</v>
      </c>
      <c r="G1221" t="s">
        <v>6</v>
      </c>
      <c r="H1221" s="2">
        <v>0.625</v>
      </c>
      <c r="I1221">
        <v>754</v>
      </c>
      <c r="J1221">
        <v>0</v>
      </c>
      <c r="K1221">
        <v>0</v>
      </c>
      <c r="L1221">
        <v>11</v>
      </c>
      <c r="M1221">
        <v>0</v>
      </c>
      <c r="N1221">
        <v>0</v>
      </c>
      <c r="O1221">
        <v>0</v>
      </c>
      <c r="P1221">
        <v>184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2</v>
      </c>
      <c r="AC1221">
        <v>2</v>
      </c>
      <c r="AD1221" s="3" t="str">
        <f t="shared" si="57"/>
        <v>S2S NO PREMIUM</v>
      </c>
      <c r="AE1221" s="3" t="e">
        <f>VLOOKUP(E1221,'[1]Nómina Agentes'!$C:$D,2,0)</f>
        <v>#N/A</v>
      </c>
      <c r="AF1221" s="5">
        <f t="shared" si="58"/>
        <v>0.60416666666666663</v>
      </c>
      <c r="AG1221" s="5">
        <f t="shared" si="59"/>
        <v>0.625</v>
      </c>
    </row>
    <row r="1222" spans="1:33" x14ac:dyDescent="0.25">
      <c r="A1222" s="1">
        <v>45567</v>
      </c>
      <c r="B1222">
        <v>924</v>
      </c>
      <c r="C1222" t="s">
        <v>43</v>
      </c>
      <c r="D1222" t="s">
        <v>300</v>
      </c>
      <c r="E1222">
        <v>69994</v>
      </c>
      <c r="F1222" s="2">
        <v>0.72916666666666663</v>
      </c>
      <c r="G1222" t="s">
        <v>6</v>
      </c>
      <c r="H1222" s="2">
        <v>0.75</v>
      </c>
      <c r="I1222">
        <v>785</v>
      </c>
      <c r="J1222">
        <v>0</v>
      </c>
      <c r="K1222">
        <v>0</v>
      </c>
      <c r="L1222">
        <v>16</v>
      </c>
      <c r="M1222">
        <v>0</v>
      </c>
      <c r="N1222">
        <v>0</v>
      </c>
      <c r="O1222">
        <v>0</v>
      </c>
      <c r="P1222">
        <v>206</v>
      </c>
      <c r="Q1222">
        <v>345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4</v>
      </c>
      <c r="AC1222">
        <v>4</v>
      </c>
      <c r="AD1222" s="3" t="str">
        <f t="shared" si="57"/>
        <v>S2S NO PREMIUM</v>
      </c>
      <c r="AE1222" s="3" t="e">
        <f>VLOOKUP(E1222,'[1]Nómina Agentes'!$C:$D,2,0)</f>
        <v>#N/A</v>
      </c>
      <c r="AF1222" s="5">
        <f t="shared" si="58"/>
        <v>0.72916666666666663</v>
      </c>
      <c r="AG1222" s="5">
        <f t="shared" si="59"/>
        <v>0.75</v>
      </c>
    </row>
    <row r="1223" spans="1:33" x14ac:dyDescent="0.25">
      <c r="A1223" s="1">
        <v>45567</v>
      </c>
      <c r="B1223">
        <v>924</v>
      </c>
      <c r="C1223" t="s">
        <v>43</v>
      </c>
      <c r="D1223" t="s">
        <v>300</v>
      </c>
      <c r="E1223">
        <v>69994</v>
      </c>
      <c r="F1223" s="2">
        <v>0.64583333333333337</v>
      </c>
      <c r="G1223" t="s">
        <v>6</v>
      </c>
      <c r="H1223" s="2">
        <v>0.66666666666666663</v>
      </c>
      <c r="I1223">
        <v>795</v>
      </c>
      <c r="J1223">
        <v>0</v>
      </c>
      <c r="K1223">
        <v>0</v>
      </c>
      <c r="L1223">
        <v>16</v>
      </c>
      <c r="M1223">
        <v>0</v>
      </c>
      <c r="N1223">
        <v>0</v>
      </c>
      <c r="O1223">
        <v>0</v>
      </c>
      <c r="P1223">
        <v>3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3</v>
      </c>
      <c r="AC1223">
        <v>3</v>
      </c>
      <c r="AD1223" s="3" t="str">
        <f t="shared" si="57"/>
        <v>S2S NO PREMIUM</v>
      </c>
      <c r="AE1223" s="3" t="e">
        <f>VLOOKUP(E1223,'[1]Nómina Agentes'!$C:$D,2,0)</f>
        <v>#N/A</v>
      </c>
      <c r="AF1223" s="5">
        <f t="shared" si="58"/>
        <v>0.64583333333333337</v>
      </c>
      <c r="AG1223" s="5">
        <f t="shared" si="59"/>
        <v>0.66666666666666663</v>
      </c>
    </row>
    <row r="1224" spans="1:33" x14ac:dyDescent="0.25">
      <c r="A1224" s="1">
        <v>45567</v>
      </c>
      <c r="B1224">
        <v>924</v>
      </c>
      <c r="C1224" t="s">
        <v>43</v>
      </c>
      <c r="D1224" t="s">
        <v>300</v>
      </c>
      <c r="E1224">
        <v>69994</v>
      </c>
      <c r="F1224" s="2">
        <v>0.70833333333333337</v>
      </c>
      <c r="G1224" t="s">
        <v>6</v>
      </c>
      <c r="H1224" s="2">
        <v>0.72916666666666663</v>
      </c>
      <c r="I1224">
        <v>1052</v>
      </c>
      <c r="J1224">
        <v>10</v>
      </c>
      <c r="K1224">
        <v>0</v>
      </c>
      <c r="L1224">
        <v>16</v>
      </c>
      <c r="M1224">
        <v>0</v>
      </c>
      <c r="N1224">
        <v>0</v>
      </c>
      <c r="O1224">
        <v>0</v>
      </c>
      <c r="P1224">
        <v>324</v>
      </c>
      <c r="Q1224">
        <v>208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4</v>
      </c>
      <c r="AC1224">
        <v>4</v>
      </c>
      <c r="AD1224" s="3" t="str">
        <f t="shared" si="57"/>
        <v>S2S NO PREMIUM</v>
      </c>
      <c r="AE1224" s="3" t="e">
        <f>VLOOKUP(E1224,'[1]Nómina Agentes'!$C:$D,2,0)</f>
        <v>#N/A</v>
      </c>
      <c r="AF1224" s="5">
        <f t="shared" si="58"/>
        <v>0.70833333333333337</v>
      </c>
      <c r="AG1224" s="5">
        <f t="shared" si="59"/>
        <v>0.72916666666666663</v>
      </c>
    </row>
    <row r="1225" spans="1:33" x14ac:dyDescent="0.25">
      <c r="A1225" s="1">
        <v>45567</v>
      </c>
      <c r="B1225">
        <v>924</v>
      </c>
      <c r="C1225" t="s">
        <v>43</v>
      </c>
      <c r="D1225" t="s">
        <v>300</v>
      </c>
      <c r="E1225">
        <v>69994</v>
      </c>
      <c r="F1225" s="2">
        <v>0.66666666666666663</v>
      </c>
      <c r="G1225" t="s">
        <v>6</v>
      </c>
      <c r="H1225" s="2">
        <v>0.6875</v>
      </c>
      <c r="I1225">
        <v>1101</v>
      </c>
      <c r="J1225">
        <v>0</v>
      </c>
      <c r="K1225">
        <v>0</v>
      </c>
      <c r="L1225">
        <v>16</v>
      </c>
      <c r="M1225">
        <v>0</v>
      </c>
      <c r="N1225">
        <v>0</v>
      </c>
      <c r="O1225">
        <v>0</v>
      </c>
      <c r="P1225">
        <v>266</v>
      </c>
      <c r="Q1225">
        <v>64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5</v>
      </c>
      <c r="AC1225">
        <v>3</v>
      </c>
      <c r="AD1225" s="3" t="str">
        <f t="shared" si="57"/>
        <v>S2S NO PREMIUM</v>
      </c>
      <c r="AE1225" s="3" t="e">
        <f>VLOOKUP(E1225,'[1]Nómina Agentes'!$C:$D,2,0)</f>
        <v>#N/A</v>
      </c>
      <c r="AF1225" s="5">
        <f t="shared" si="58"/>
        <v>0.66666666666666663</v>
      </c>
      <c r="AG1225" s="5">
        <f t="shared" si="59"/>
        <v>0.6875</v>
      </c>
    </row>
    <row r="1226" spans="1:33" x14ac:dyDescent="0.25">
      <c r="A1226" s="1">
        <v>45567</v>
      </c>
      <c r="B1226">
        <v>924</v>
      </c>
      <c r="C1226" t="s">
        <v>43</v>
      </c>
      <c r="D1226" t="s">
        <v>300</v>
      </c>
      <c r="E1226">
        <v>69994</v>
      </c>
      <c r="F1226" s="2">
        <v>0.6875</v>
      </c>
      <c r="G1226" t="s">
        <v>6</v>
      </c>
      <c r="H1226" s="2">
        <v>0.70833333333333337</v>
      </c>
      <c r="I1226">
        <v>1558</v>
      </c>
      <c r="J1226">
        <v>0</v>
      </c>
      <c r="K1226">
        <v>0</v>
      </c>
      <c r="L1226">
        <v>12</v>
      </c>
      <c r="M1226">
        <v>0</v>
      </c>
      <c r="N1226">
        <v>0</v>
      </c>
      <c r="O1226">
        <v>0</v>
      </c>
      <c r="P1226">
        <v>117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2</v>
      </c>
      <c r="AC1226">
        <v>2</v>
      </c>
      <c r="AD1226" s="3" t="str">
        <f t="shared" si="57"/>
        <v>S2S NO PREMIUM</v>
      </c>
      <c r="AE1226" s="3" t="e">
        <f>VLOOKUP(E1226,'[1]Nómina Agentes'!$C:$D,2,0)</f>
        <v>#N/A</v>
      </c>
      <c r="AF1226" s="5">
        <f t="shared" si="58"/>
        <v>0.6875</v>
      </c>
      <c r="AG1226" s="5">
        <f t="shared" si="59"/>
        <v>0.70833333333333337</v>
      </c>
    </row>
  </sheetData>
  <autoFilter ref="A1:AG623" xr:uid="{2BDF78A0-772A-41B0-9B41-E85A3220F61C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A5313-5923-42DF-B3DF-F6CC2194DDBC}">
  <sheetPr codeName="Hoja2"/>
  <dimension ref="A1:K229"/>
  <sheetViews>
    <sheetView showGridLines="0" tabSelected="1" topLeftCell="A168" zoomScale="80" zoomScaleNormal="80" workbookViewId="0">
      <selection activeCell="I181" sqref="I181"/>
    </sheetView>
  </sheetViews>
  <sheetFormatPr baseColWidth="10" defaultRowHeight="15" x14ac:dyDescent="0.25"/>
  <cols>
    <col min="1" max="1" width="5.28515625" customWidth="1"/>
    <col min="2" max="2" width="28.140625" customWidth="1"/>
    <col min="3" max="3" width="46.85546875" customWidth="1"/>
    <col min="4" max="4" width="17.140625" bestFit="1" customWidth="1"/>
    <col min="5" max="5" width="6.85546875" bestFit="1" customWidth="1"/>
    <col min="6" max="6" width="14.42578125" customWidth="1"/>
    <col min="8" max="8" width="13.42578125" bestFit="1" customWidth="1"/>
    <col min="9" max="9" width="38.5703125" customWidth="1"/>
  </cols>
  <sheetData>
    <row r="1" spans="1:9" ht="12" customHeight="1" x14ac:dyDescent="0.25"/>
    <row r="2" spans="1:9" x14ac:dyDescent="0.25">
      <c r="A2" s="6"/>
      <c r="B2" s="6"/>
      <c r="C2" s="6"/>
      <c r="D2" s="6"/>
      <c r="E2" s="6"/>
      <c r="F2" s="6"/>
    </row>
    <row r="3" spans="1:9" ht="25.9" customHeight="1" x14ac:dyDescent="0.25">
      <c r="A3" s="6"/>
      <c r="B3" s="7" t="s">
        <v>34</v>
      </c>
      <c r="C3" s="7"/>
      <c r="D3" s="6"/>
      <c r="E3" s="6"/>
      <c r="F3" s="6"/>
    </row>
    <row r="4" spans="1:9" ht="14.45" customHeight="1" x14ac:dyDescent="0.25">
      <c r="A4" s="6"/>
      <c r="B4" s="7"/>
      <c r="C4" s="7"/>
      <c r="D4" s="6"/>
      <c r="E4" s="6"/>
      <c r="F4" s="6"/>
    </row>
    <row r="5" spans="1:9" x14ac:dyDescent="0.25">
      <c r="A5" s="6"/>
      <c r="B5" s="6"/>
      <c r="C5" s="6"/>
      <c r="D5" s="6"/>
      <c r="E5" s="6"/>
      <c r="F5" s="6"/>
    </row>
    <row r="8" spans="1:9" x14ac:dyDescent="0.25">
      <c r="B8" s="9" t="s">
        <v>29</v>
      </c>
      <c r="C8" s="9" t="s">
        <v>38</v>
      </c>
      <c r="D8" s="9" t="s">
        <v>4</v>
      </c>
      <c r="E8" s="9" t="s">
        <v>30</v>
      </c>
      <c r="F8" s="9" t="s">
        <v>33</v>
      </c>
      <c r="G8" s="9" t="s">
        <v>35</v>
      </c>
      <c r="H8" s="9" t="s">
        <v>36</v>
      </c>
      <c r="I8" s="9" t="s">
        <v>37</v>
      </c>
    </row>
    <row r="9" spans="1:9" x14ac:dyDescent="0.25">
      <c r="B9" s="8" t="s">
        <v>39</v>
      </c>
      <c r="C9" s="8" t="s">
        <v>56</v>
      </c>
      <c r="D9" s="8">
        <v>605502</v>
      </c>
      <c r="E9" s="8">
        <v>3</v>
      </c>
      <c r="F9" s="8" t="str" cm="1">
        <f t="array" ref="F9">(CONCATENATE(TEXT(MIN(IF('Base Avaya'!$E:$E='Operadores S2S'!$D9,'Base Avaya'!$AF:$AF)),"hh:mm")," - ",TEXT(MAX(IF('Base Avaya'!$E:$E='Operadores S2S'!$D9,'Base Avaya'!$AG:$AG)),"hh:mm")))</f>
        <v>14:00 - 15:00</v>
      </c>
      <c r="G9" s="8"/>
      <c r="H9" s="8" t="str">
        <f>VLOOKUP(C9,'[1]Nómina Agentes'!$D:$AU,44,0)</f>
        <v>VMAAYACO</v>
      </c>
      <c r="I9" s="8" t="str">
        <f>VLOOKUP(C9,'[1]Nómina Agentes'!$D$4:$H$473,5,0)</f>
        <v>VILLALBA, VICTORIA</v>
      </c>
    </row>
    <row r="10" spans="1:9" x14ac:dyDescent="0.25">
      <c r="B10" s="8" t="s">
        <v>39</v>
      </c>
      <c r="C10" s="8" t="s">
        <v>121</v>
      </c>
      <c r="D10" s="8">
        <v>606264</v>
      </c>
      <c r="E10" s="8">
        <v>10</v>
      </c>
      <c r="F10" s="8" t="str" cm="1">
        <f t="array" ref="F10">(CONCATENATE(TEXT(MIN(IF('Base Avaya'!$E:$E='Operadores S2S'!$D10,'Base Avaya'!$AF:$AF)),"hh:mm")," - ",TEXT(MAX(IF('Base Avaya'!$E:$E='Operadores S2S'!$D10,'Base Avaya'!$AG:$AG)),"hh:mm")))</f>
        <v>14:00 - 15:30</v>
      </c>
      <c r="G10" s="8"/>
      <c r="H10" s="8" t="str">
        <f>VLOOKUP(C10,'[1]Nómina Agentes'!$D:$AU,44,0)</f>
        <v>VMASEACO</v>
      </c>
      <c r="I10" s="8" t="str">
        <f>VLOOKUP(C10,'[1]Nómina Agentes'!$D$4:$H$473,5,0)</f>
        <v>ROJAS, LUCAS</v>
      </c>
    </row>
    <row r="11" spans="1:9" x14ac:dyDescent="0.25">
      <c r="B11" s="8" t="s">
        <v>39</v>
      </c>
      <c r="C11" s="11" t="s">
        <v>301</v>
      </c>
      <c r="D11" s="11">
        <v>606470</v>
      </c>
      <c r="E11" s="8">
        <v>28</v>
      </c>
      <c r="F11" s="8" t="str" cm="1">
        <f t="array" ref="F11">(CONCATENATE(TEXT(MIN(IF('Base Avaya'!$E:$E='Operadores S2S'!$D11,'Base Avaya'!$AF:$AF)),"hh:mm")," - ",TEXT(MAX(IF('Base Avaya'!$E:$E='Operadores S2S'!$D11,'Base Avaya'!$AG:$AG)),"hh:mm")))</f>
        <v>14:30 - 20:00</v>
      </c>
      <c r="G11" s="8"/>
      <c r="H11" s="8" t="str">
        <f>VLOOKUP(C11,'[1]Nómina Agentes'!$D:$AU,44,0)</f>
        <v>VMALUALM</v>
      </c>
      <c r="I11" s="8" t="str">
        <f>VLOOKUP(C11,'[1]Nómina Agentes'!$D$4:$H$473,5,0)</f>
        <v>YBARRA, LUCIA ALDANA</v>
      </c>
    </row>
    <row r="12" spans="1:9" x14ac:dyDescent="0.25">
      <c r="B12" s="8" t="s">
        <v>39</v>
      </c>
      <c r="C12" s="11" t="s">
        <v>93</v>
      </c>
      <c r="D12" s="11">
        <v>665673</v>
      </c>
      <c r="E12" s="8">
        <v>8</v>
      </c>
      <c r="F12" s="8" t="str" cm="1">
        <f t="array" ref="F12">(CONCATENATE(TEXT(MIN(IF('Base Avaya'!$E:$E='Operadores S2S'!$D12,'Base Avaya'!$AF:$AF)),"hh:mm")," - ",TEXT(MAX(IF('Base Avaya'!$E:$E='Operadores S2S'!$D12,'Base Avaya'!$AG:$AG)),"hh:mm")))</f>
        <v>14:00 - 15:30</v>
      </c>
      <c r="G12" s="8"/>
      <c r="H12" s="8" t="str">
        <f>VLOOKUP(C12,'[1]Nómina Agentes'!$D:$AU,44,0)</f>
        <v>VMAJOAMU</v>
      </c>
      <c r="I12" s="8" t="str">
        <f>VLOOKUP(C12,'[1]Nómina Agentes'!$D$4:$H$473,5,0)</f>
        <v>ROBLEDO, YESICA DANIELA</v>
      </c>
    </row>
    <row r="13" spans="1:9" x14ac:dyDescent="0.25">
      <c r="B13" s="8" t="s">
        <v>39</v>
      </c>
      <c r="C13" s="11" t="s">
        <v>67</v>
      </c>
      <c r="D13" s="11">
        <v>606649</v>
      </c>
      <c r="E13" s="8">
        <v>7</v>
      </c>
      <c r="F13" s="8" t="str" cm="1">
        <f t="array" ref="F13">(CONCATENATE(TEXT(MIN(IF('Base Avaya'!$E:$E='Operadores S2S'!$D13,'Base Avaya'!$AF:$AF)),"hh:mm")," - ",TEXT(MAX(IF('Base Avaya'!$E:$E='Operadores S2S'!$D13,'Base Avaya'!$AG:$AG)),"hh:mm")))</f>
        <v>14:00 - 15:00</v>
      </c>
      <c r="G13" s="8"/>
      <c r="H13" s="8" t="str">
        <f>VLOOKUP(C13,'[1]Nómina Agentes'!$D:$AU,44,0)</f>
        <v>VMACAAND</v>
      </c>
      <c r="I13" s="8" t="str">
        <f>VLOOKUP(C13,'[1]Nómina Agentes'!$D$4:$H$473,5,0)</f>
        <v>DIAZ, PAULA</v>
      </c>
    </row>
    <row r="14" spans="1:9" x14ac:dyDescent="0.25">
      <c r="B14" s="8" t="s">
        <v>39</v>
      </c>
      <c r="C14" s="11" t="s">
        <v>302</v>
      </c>
      <c r="D14" s="11">
        <v>606507</v>
      </c>
      <c r="E14" s="8">
        <v>17</v>
      </c>
      <c r="F14" s="8" t="str" cm="1">
        <f t="array" ref="F14">(CONCATENATE(TEXT(MIN(IF('Base Avaya'!$E:$E='Operadores S2S'!$D14,'Base Avaya'!$AF:$AF)),"hh:mm")," - ",TEXT(MAX(IF('Base Avaya'!$E:$E='Operadores S2S'!$D14,'Base Avaya'!$AG:$AG)),"hh:mm")))</f>
        <v>18:00 - 20:00</v>
      </c>
      <c r="G14" s="8"/>
      <c r="H14" s="8" t="str">
        <f>VLOOKUP(C14,'[1]Nómina Agentes'!$D:$AU,44,0)</f>
        <v>VMAFEBAR</v>
      </c>
      <c r="I14" s="8" t="str">
        <f>VLOOKUP(C14,'[1]Nómina Agentes'!$D$4:$H$473,5,0)</f>
        <v>MIR, TOMAS MAURICIO</v>
      </c>
    </row>
    <row r="15" spans="1:9" x14ac:dyDescent="0.25">
      <c r="B15" s="8" t="s">
        <v>39</v>
      </c>
      <c r="C15" s="11" t="s">
        <v>69</v>
      </c>
      <c r="D15" s="11">
        <v>606408</v>
      </c>
      <c r="E15" s="8">
        <v>12</v>
      </c>
      <c r="F15" s="8" t="str" cm="1">
        <f t="array" ref="F15">(CONCATENATE(TEXT(MIN(IF('Base Avaya'!$E:$E='Operadores S2S'!$D15,'Base Avaya'!$AF:$AF)),"hh:mm")," - ",TEXT(MAX(IF('Base Avaya'!$E:$E='Operadores S2S'!$D15,'Base Avaya'!$AG:$AG)),"hh:mm")))</f>
        <v>14:00 - 15:30</v>
      </c>
      <c r="G15" s="8"/>
      <c r="H15" s="8" t="str">
        <f>VLOOKUP(C15,'[1]Nómina Agentes'!$D:$AU,44,0)</f>
        <v>VMALUBEL</v>
      </c>
      <c r="I15" s="8" t="str">
        <f>VLOOKUP(C15,'[1]Nómina Agentes'!$D$4:$H$473,5,0)</f>
        <v>ROJAS, LUCAS</v>
      </c>
    </row>
    <row r="16" spans="1:9" x14ac:dyDescent="0.25">
      <c r="B16" s="8" t="s">
        <v>39</v>
      </c>
      <c r="C16" s="11" t="s">
        <v>111</v>
      </c>
      <c r="D16" s="11">
        <v>605591</v>
      </c>
      <c r="E16" s="8">
        <v>5</v>
      </c>
      <c r="F16" s="8" t="str" cm="1">
        <f t="array" ref="F16">(CONCATENATE(TEXT(MIN(IF('Base Avaya'!$E:$E='Operadores S2S'!$D16,'Base Avaya'!$AF:$AF)),"hh:mm")," - ",TEXT(MAX(IF('Base Avaya'!$E:$E='Operadores S2S'!$D16,'Base Avaya'!$AG:$AG)),"hh:mm")))</f>
        <v>14:00 - 15:30</v>
      </c>
      <c r="G16" s="8"/>
      <c r="H16" s="8" t="str">
        <f>VLOOKUP(C16,'[1]Nómina Agentes'!$D:$AU,44,0)</f>
        <v>vmaagber</v>
      </c>
      <c r="I16" s="8" t="str">
        <f>VLOOKUP(C16,'[1]Nómina Agentes'!$D$4:$H$473,5,0)</f>
        <v>ROBLEDO, YESICA DANIELA</v>
      </c>
    </row>
    <row r="17" spans="2:9" x14ac:dyDescent="0.25">
      <c r="B17" s="8" t="s">
        <v>39</v>
      </c>
      <c r="C17" s="11" t="s">
        <v>303</v>
      </c>
      <c r="D17" s="11">
        <v>606443</v>
      </c>
      <c r="E17" s="8">
        <v>3</v>
      </c>
      <c r="F17" s="8" t="str" cm="1">
        <f t="array" ref="F17">(CONCATENATE(TEXT(MIN(IF('Base Avaya'!$E:$E='Operadores S2S'!$D17,'Base Avaya'!$AF:$AF)),"hh:mm")," - ",TEXT(MAX(IF('Base Avaya'!$E:$E='Operadores S2S'!$D17,'Base Avaya'!$AG:$AG)),"hh:mm")))</f>
        <v>14:30 - 16:00</v>
      </c>
      <c r="G17" s="8"/>
      <c r="H17" s="8" t="str">
        <f>VLOOKUP(C17,'[1]Nómina Agentes'!$D:$AU,44,0)</f>
        <v>VMAMABUR</v>
      </c>
      <c r="I17" s="8" t="str">
        <f>VLOOKUP(C17,'[1]Nómina Agentes'!$D$4:$H$473,5,0)</f>
        <v>ROJAS, LUCAS</v>
      </c>
    </row>
    <row r="18" spans="2:9" x14ac:dyDescent="0.25">
      <c r="B18" s="8" t="s">
        <v>39</v>
      </c>
      <c r="C18" s="11" t="s">
        <v>63</v>
      </c>
      <c r="D18" s="11">
        <v>606371</v>
      </c>
      <c r="E18" s="8">
        <v>31</v>
      </c>
      <c r="F18" s="8" t="str" cm="1">
        <f t="array" ref="F18">(CONCATENATE(TEXT(MIN(IF('Base Avaya'!$E:$E='Operadores S2S'!$D18,'Base Avaya'!$AF:$AF)),"hh:mm")," - ",TEXT(MAX(IF('Base Avaya'!$E:$E='Operadores S2S'!$D18,'Base Avaya'!$AG:$AG)),"hh:mm")))</f>
        <v>14:00 - 18:30</v>
      </c>
      <c r="G18" s="8"/>
      <c r="H18" s="8" t="str">
        <f>VLOOKUP(C18,'[1]Nómina Agentes'!$D:$AU,44,0)</f>
        <v>VMASICAL</v>
      </c>
      <c r="I18" s="8" t="str">
        <f>VLOOKUP(C18,'[1]Nómina Agentes'!$D$4:$H$473,5,0)</f>
        <v>SOLER, SANTIAGO MAXIMILIANO</v>
      </c>
    </row>
    <row r="19" spans="2:9" x14ac:dyDescent="0.25">
      <c r="B19" s="8" t="s">
        <v>39</v>
      </c>
      <c r="C19" s="11" t="s">
        <v>304</v>
      </c>
      <c r="D19" s="11">
        <v>606210</v>
      </c>
      <c r="E19" s="8">
        <v>30</v>
      </c>
      <c r="F19" s="8" t="str" cm="1">
        <f t="array" ref="F19">(CONCATENATE(TEXT(MIN(IF('Base Avaya'!$E:$E='Operadores S2S'!$D19,'Base Avaya'!$AF:$AF)),"hh:mm")," - ",TEXT(MAX(IF('Base Avaya'!$E:$E='Operadores S2S'!$D19,'Base Avaya'!$AG:$AG)),"hh:mm")))</f>
        <v>15:30 - 20:00</v>
      </c>
      <c r="G19" s="8"/>
      <c r="H19" s="8" t="str">
        <f>VLOOKUP(C19,'[1]Nómina Agentes'!$D:$AU,44,0)</f>
        <v>VMAJOCAN</v>
      </c>
      <c r="I19" s="8" t="str">
        <f>VLOOKUP(C19,'[1]Nómina Agentes'!$D$4:$H$473,5,0)</f>
        <v>MIR, TOMAS MAURICIO</v>
      </c>
    </row>
    <row r="20" spans="2:9" x14ac:dyDescent="0.25">
      <c r="B20" s="8" t="s">
        <v>39</v>
      </c>
      <c r="C20" s="11" t="s">
        <v>94</v>
      </c>
      <c r="D20" s="11">
        <v>605901</v>
      </c>
      <c r="E20" s="8">
        <v>19</v>
      </c>
      <c r="F20" s="8" t="str" cm="1">
        <f t="array" ref="F20">(CONCATENATE(TEXT(MIN(IF('Base Avaya'!$E:$E='Operadores S2S'!$D20,'Base Avaya'!$AF:$AF)),"hh:mm")," - ",TEXT(MAX(IF('Base Avaya'!$E:$E='Operadores S2S'!$D20,'Base Avaya'!$AG:$AG)),"hh:mm")))</f>
        <v>14:00 - 17:30</v>
      </c>
      <c r="G20" s="8"/>
      <c r="H20" s="8" t="str">
        <f>VLOOKUP(C20,'[1]Nómina Agentes'!$D:$AU,44,0)</f>
        <v>VMALUCCA</v>
      </c>
      <c r="I20" s="8" t="str">
        <f>VLOOKUP(C20,'[1]Nómina Agentes'!$D$4:$H$473,5,0)</f>
        <v>GOYECHEA, AGUSTINA LOURDES</v>
      </c>
    </row>
    <row r="21" spans="2:9" x14ac:dyDescent="0.25">
      <c r="B21" s="8" t="s">
        <v>39</v>
      </c>
      <c r="C21" s="11" t="s">
        <v>305</v>
      </c>
      <c r="D21" s="11">
        <v>605774</v>
      </c>
      <c r="E21" s="8">
        <v>46</v>
      </c>
      <c r="F21" s="8" t="str" cm="1">
        <f t="array" ref="F21">(CONCATENATE(TEXT(MIN(IF('Base Avaya'!$E:$E='Operadores S2S'!$D21,'Base Avaya'!$AF:$AF)),"hh:mm")," - ",TEXT(MAX(IF('Base Avaya'!$E:$E='Operadores S2S'!$D21,'Base Avaya'!$AG:$AG)),"hh:mm")))</f>
        <v>14:30 - 20:00</v>
      </c>
      <c r="G21" s="8"/>
      <c r="H21" s="8" t="str">
        <f>VLOOKUP(C21,'[1]Nómina Agentes'!$D:$AU,44,0)</f>
        <v>VMACRCAS</v>
      </c>
      <c r="I21" s="8" t="str">
        <f>VLOOKUP(C21,'[1]Nómina Agentes'!$D$4:$H$473,5,0)</f>
        <v>SOLER, SANTIAGO MAXIMILIANO</v>
      </c>
    </row>
    <row r="22" spans="2:9" x14ac:dyDescent="0.25">
      <c r="B22" s="8" t="s">
        <v>39</v>
      </c>
      <c r="C22" s="11" t="s">
        <v>306</v>
      </c>
      <c r="D22" s="11">
        <v>606031</v>
      </c>
      <c r="E22" s="8">
        <v>14</v>
      </c>
      <c r="F22" s="8" t="str" cm="1">
        <f t="array" ref="F22">(CONCATENATE(TEXT(MIN(IF('Base Avaya'!$E:$E='Operadores S2S'!$D22,'Base Avaya'!$AF:$AF)),"hh:mm")," - ",TEXT(MAX(IF('Base Avaya'!$E:$E='Operadores S2S'!$D22,'Base Avaya'!$AG:$AG)),"hh:mm")))</f>
        <v>15:00 - 20:00</v>
      </c>
      <c r="G22" s="8"/>
      <c r="H22" s="8" t="str">
        <f>VLOOKUP(C22,'[1]Nómina Agentes'!$D:$AU,44,0)</f>
        <v>VMAMACEJ</v>
      </c>
      <c r="I22" s="8" t="str">
        <f>VLOOKUP(C22,'[1]Nómina Agentes'!$D$4:$H$473,5,0)</f>
        <v>GOMEZ, SASHA</v>
      </c>
    </row>
    <row r="23" spans="2:9" x14ac:dyDescent="0.25">
      <c r="B23" s="8" t="s">
        <v>39</v>
      </c>
      <c r="C23" s="11" t="s">
        <v>307</v>
      </c>
      <c r="D23" s="11">
        <v>606645</v>
      </c>
      <c r="E23" s="8">
        <v>32</v>
      </c>
      <c r="F23" s="8" t="str" cm="1">
        <f t="array" ref="F23">(CONCATENATE(TEXT(MIN(IF('Base Avaya'!$E:$E='Operadores S2S'!$D23,'Base Avaya'!$AF:$AF)),"hh:mm")," - ",TEXT(MAX(IF('Base Avaya'!$E:$E='Operadores S2S'!$D23,'Base Avaya'!$AG:$AG)),"hh:mm")))</f>
        <v>15:30 - 20:00</v>
      </c>
      <c r="G23" s="8"/>
      <c r="H23" s="8" t="str">
        <f>VLOOKUP(C23,'[1]Nómina Agentes'!$D:$AU,44,0)</f>
        <v>VMAEMCOL</v>
      </c>
      <c r="I23" s="8" t="str">
        <f>VLOOKUP(C23,'[1]Nómina Agentes'!$D$4:$H$473,5,0)</f>
        <v>MIR, TOMAS MAURICIO</v>
      </c>
    </row>
    <row r="24" spans="2:9" x14ac:dyDescent="0.25">
      <c r="B24" s="8" t="s">
        <v>39</v>
      </c>
      <c r="C24" s="11" t="s">
        <v>49</v>
      </c>
      <c r="D24" s="11">
        <v>605676</v>
      </c>
      <c r="E24" s="8">
        <v>1</v>
      </c>
      <c r="F24" s="8" t="str" cm="1">
        <f t="array" ref="F24">(CONCATENATE(TEXT(MIN(IF('Base Avaya'!$E:$E='Operadores S2S'!$D24,'Base Avaya'!$AF:$AF)),"hh:mm")," - ",TEXT(MAX(IF('Base Avaya'!$E:$E='Operadores S2S'!$D24,'Base Avaya'!$AG:$AG)),"hh:mm")))</f>
        <v>14:00 - 14:30</v>
      </c>
      <c r="G24" s="8"/>
      <c r="H24" s="8" t="str">
        <f>VLOOKUP(C24,'[1]Nómina Agentes'!$D:$AU,44,0)</f>
        <v>VMAMACUB</v>
      </c>
      <c r="I24" s="8" t="str">
        <f>VLOOKUP(C24,'[1]Nómina Agentes'!$D$4:$H$473,5,0)</f>
        <v>RUIZ, TOMAS EMANUEL</v>
      </c>
    </row>
    <row r="25" spans="2:9" x14ac:dyDescent="0.25">
      <c r="B25" s="8" t="s">
        <v>39</v>
      </c>
      <c r="C25" s="11" t="s">
        <v>308</v>
      </c>
      <c r="D25" s="11">
        <v>606249</v>
      </c>
      <c r="E25" s="8">
        <v>42</v>
      </c>
      <c r="F25" s="8" t="str" cm="1">
        <f t="array" ref="F25">(CONCATENATE(TEXT(MIN(IF('Base Avaya'!$E:$E='Operadores S2S'!$D25,'Base Avaya'!$AF:$AF)),"hh:mm")," - ",TEXT(MAX(IF('Base Avaya'!$E:$E='Operadores S2S'!$D25,'Base Avaya'!$AG:$AG)),"hh:mm")))</f>
        <v>15:00 - 20:00</v>
      </c>
      <c r="G25" s="8"/>
      <c r="H25" s="8" t="str">
        <f>VLOOKUP(C25,'[1]Nómina Agentes'!$D:$AU,44,0)</f>
        <v>VMACADUR</v>
      </c>
      <c r="I25" s="8" t="str">
        <f>VLOOKUP(C25,'[1]Nómina Agentes'!$D$4:$H$473,5,0)</f>
        <v>GARZON, ROCIO BELEN</v>
      </c>
    </row>
    <row r="26" spans="2:9" x14ac:dyDescent="0.25">
      <c r="B26" s="8" t="s">
        <v>39</v>
      </c>
      <c r="C26" s="11" t="s">
        <v>309</v>
      </c>
      <c r="D26" s="11">
        <v>605882</v>
      </c>
      <c r="E26" s="8">
        <v>15</v>
      </c>
      <c r="F26" s="8" t="str" cm="1">
        <f t="array" ref="F26">(CONCATENATE(TEXT(MIN(IF('Base Avaya'!$E:$E='Operadores S2S'!$D26,'Base Avaya'!$AF:$AF)),"hh:mm")," - ",TEXT(MAX(IF('Base Avaya'!$E:$E='Operadores S2S'!$D26,'Base Avaya'!$AG:$AG)),"hh:mm")))</f>
        <v>18:00 - 20:00</v>
      </c>
      <c r="G26" s="8"/>
      <c r="H26" s="8" t="str">
        <f>VLOOKUP(C26,'[1]Nómina Agentes'!$D:$AU,44,0)</f>
        <v>VMACIESP</v>
      </c>
      <c r="I26" s="8" t="str">
        <f>VLOOKUP(C26,'[1]Nómina Agentes'!$D$4:$H$473,5,0)</f>
        <v>PELOC, MARIA SOLEDAD</v>
      </c>
    </row>
    <row r="27" spans="2:9" x14ac:dyDescent="0.25">
      <c r="B27" s="8" t="s">
        <v>39</v>
      </c>
      <c r="C27" s="11" t="s">
        <v>95</v>
      </c>
      <c r="D27" s="11">
        <v>606030</v>
      </c>
      <c r="E27" s="8">
        <v>2</v>
      </c>
      <c r="F27" s="8" t="str" cm="1">
        <f t="array" ref="F27">(CONCATENATE(TEXT(MIN(IF('Base Avaya'!$E:$E='Operadores S2S'!$D27,'Base Avaya'!$AF:$AF)),"hh:mm")," - ",TEXT(MAX(IF('Base Avaya'!$E:$E='Operadores S2S'!$D27,'Base Avaya'!$AG:$AG)),"hh:mm")))</f>
        <v>14:00 - 15:30</v>
      </c>
      <c r="G27" s="8"/>
      <c r="H27" s="8" t="str">
        <f>VLOOKUP(C27,'[1]Nómina Agentes'!$D:$AU,44,0)</f>
        <v>VMAVAFON</v>
      </c>
      <c r="I27" s="8" t="str">
        <f>VLOOKUP(C27,'[1]Nómina Agentes'!$D$4:$H$473,5,0)</f>
        <v>VILLALBA, VICTORIA</v>
      </c>
    </row>
    <row r="28" spans="2:9" x14ac:dyDescent="0.25">
      <c r="B28" s="8" t="s">
        <v>39</v>
      </c>
      <c r="C28" s="8" t="s">
        <v>58</v>
      </c>
      <c r="D28" s="8">
        <v>606558</v>
      </c>
      <c r="E28" s="8">
        <v>4</v>
      </c>
      <c r="F28" s="8" t="str" cm="1">
        <f t="array" ref="F28">(CONCATENATE(TEXT(MIN(IF('Base Avaya'!$E:$E='Operadores S2S'!$D28,'Base Avaya'!$AF:$AF)),"hh:mm")," - ",TEXT(MAX(IF('Base Avaya'!$E:$E='Operadores S2S'!$D28,'Base Avaya'!$AG:$AG)),"hh:mm")))</f>
        <v>14:00 - 15:00</v>
      </c>
      <c r="G28" s="8"/>
      <c r="H28" s="8" t="str">
        <f>VLOOKUP(C28,'[1]Nómina Agentes'!$D:$AU,44,0)</f>
        <v>VMAPAFRA</v>
      </c>
      <c r="I28" s="8" t="str">
        <f>VLOOKUP(C28,'[1]Nómina Agentes'!$D$4:$H$473,5,0)</f>
        <v>ROBLEDO, YESICA DANIELA</v>
      </c>
    </row>
    <row r="29" spans="2:9" x14ac:dyDescent="0.25">
      <c r="B29" s="8" t="s">
        <v>39</v>
      </c>
      <c r="C29" s="11" t="s">
        <v>112</v>
      </c>
      <c r="D29" s="11">
        <v>605768</v>
      </c>
      <c r="E29" s="8">
        <v>6</v>
      </c>
      <c r="F29" s="8" t="str" cm="1">
        <f t="array" ref="F29">(CONCATENATE(TEXT(MIN(IF('Base Avaya'!$E:$E='Operadores S2S'!$D29,'Base Avaya'!$AF:$AF)),"hh:mm")," - ",TEXT(MAX(IF('Base Avaya'!$E:$E='Operadores S2S'!$D29,'Base Avaya'!$AG:$AG)),"hh:mm")))</f>
        <v>14:00 - 15:30</v>
      </c>
      <c r="G29" s="8"/>
      <c r="H29" s="8" t="str">
        <f>VLOOKUP(C29,'[1]Nómina Agentes'!$D:$AU,44,0)</f>
        <v>VMABRFRI</v>
      </c>
      <c r="I29" s="8" t="str">
        <f>VLOOKUP(C29,'[1]Nómina Agentes'!$D$4:$H$473,5,0)</f>
        <v>VILLALBA, MAITEN</v>
      </c>
    </row>
    <row r="30" spans="2:9" x14ac:dyDescent="0.25">
      <c r="B30" s="8" t="s">
        <v>39</v>
      </c>
      <c r="C30" s="11" t="s">
        <v>310</v>
      </c>
      <c r="D30" s="11">
        <v>606401</v>
      </c>
      <c r="E30" s="8">
        <v>40</v>
      </c>
      <c r="F30" s="8" t="str" cm="1">
        <f t="array" ref="F30">(CONCATENATE(TEXT(MIN(IF('Base Avaya'!$E:$E='Operadores S2S'!$D30,'Base Avaya'!$AF:$AF)),"hh:mm")," - ",TEXT(MAX(IF('Base Avaya'!$E:$E='Operadores S2S'!$D30,'Base Avaya'!$AG:$AG)),"hh:mm")))</f>
        <v>15:00 - 20:00</v>
      </c>
      <c r="G30" s="8"/>
      <c r="H30" s="8" t="str">
        <f>VLOOKUP(C30,'[1]Nómina Agentes'!$D:$AU,44,0)</f>
        <v>VMAMAGAY</v>
      </c>
      <c r="I30" s="8" t="str">
        <f>VLOOKUP(C30,'[1]Nómina Agentes'!$D$4:$H$473,5,0)</f>
        <v>YBARRA, LUCIA ALDANA</v>
      </c>
    </row>
    <row r="31" spans="2:9" x14ac:dyDescent="0.25">
      <c r="B31" s="8" t="s">
        <v>39</v>
      </c>
      <c r="C31" s="11" t="s">
        <v>96</v>
      </c>
      <c r="D31" s="11">
        <v>606488</v>
      </c>
      <c r="E31" s="8">
        <v>2</v>
      </c>
      <c r="F31" s="8" t="str" cm="1">
        <f t="array" ref="F31">(CONCATENATE(TEXT(MIN(IF('Base Avaya'!$E:$E='Operadores S2S'!$D31,'Base Avaya'!$AF:$AF)),"hh:mm")," - ",TEXT(MAX(IF('Base Avaya'!$E:$E='Operadores S2S'!$D31,'Base Avaya'!$AG:$AG)),"hh:mm")))</f>
        <v>14:00 - 15:00</v>
      </c>
      <c r="G31" s="8"/>
      <c r="H31" s="8" t="str">
        <f>VLOOKUP(C31,'[1]Nómina Agentes'!$D:$AU,44,0)</f>
        <v>VMAALGIA</v>
      </c>
      <c r="I31" s="8" t="str">
        <f>VLOOKUP(C31,'[1]Nómina Agentes'!$D$4:$H$473,5,0)</f>
        <v>SORIA, ANA PAULA</v>
      </c>
    </row>
    <row r="32" spans="2:9" x14ac:dyDescent="0.25">
      <c r="B32" s="8" t="s">
        <v>39</v>
      </c>
      <c r="C32" s="11" t="s">
        <v>311</v>
      </c>
      <c r="D32" s="11">
        <v>606216</v>
      </c>
      <c r="E32" s="8">
        <v>3</v>
      </c>
      <c r="F32" s="8" t="str" cm="1">
        <f t="array" ref="F32">(CONCATENATE(TEXT(MIN(IF('Base Avaya'!$E:$E='Operadores S2S'!$D32,'Base Avaya'!$AF:$AF)),"hh:mm")," - ",TEXT(MAX(IF('Base Avaya'!$E:$E='Operadores S2S'!$D32,'Base Avaya'!$AG:$AG)),"hh:mm")))</f>
        <v>15:00 - 15:30</v>
      </c>
      <c r="G32" s="8"/>
      <c r="H32" s="8" t="str">
        <f>VLOOKUP(C32,'[1]Nómina Agentes'!$D:$AU,44,0)</f>
        <v>VMABRGOM</v>
      </c>
      <c r="I32" s="8" t="str">
        <f>VLOOKUP(C32,'[1]Nómina Agentes'!$D$4:$H$473,5,0)</f>
        <v>ONETTO, MARIA DE LOS MILAGROS</v>
      </c>
    </row>
    <row r="33" spans="2:9" x14ac:dyDescent="0.25">
      <c r="B33" s="8" t="s">
        <v>39</v>
      </c>
      <c r="C33" s="11" t="s">
        <v>312</v>
      </c>
      <c r="D33" s="11">
        <v>606411</v>
      </c>
      <c r="E33" s="8">
        <v>45</v>
      </c>
      <c r="F33" s="8" t="str" cm="1">
        <f t="array" ref="F33">(CONCATENATE(TEXT(MIN(IF('Base Avaya'!$E:$E='Operadores S2S'!$D33,'Base Avaya'!$AF:$AF)),"hh:mm")," - ",TEXT(MAX(IF('Base Avaya'!$E:$E='Operadores S2S'!$D33,'Base Avaya'!$AG:$AG)),"hh:mm")))</f>
        <v>15:00 - 20:00</v>
      </c>
      <c r="G33" s="8"/>
      <c r="H33" s="8" t="str">
        <f>VLOOKUP(C33,'[1]Nómina Agentes'!$D:$AU,44,0)</f>
        <v>VMACEGOM</v>
      </c>
      <c r="I33" s="8" t="str">
        <f>VLOOKUP(C33,'[1]Nómina Agentes'!$D$4:$H$473,5,0)</f>
        <v>YBARRA, LUCIA ALDANA</v>
      </c>
    </row>
    <row r="34" spans="2:9" x14ac:dyDescent="0.25">
      <c r="B34" s="8" t="s">
        <v>39</v>
      </c>
      <c r="C34" s="11" t="s">
        <v>313</v>
      </c>
      <c r="D34" s="11">
        <v>606391</v>
      </c>
      <c r="E34" s="8">
        <v>19</v>
      </c>
      <c r="F34" s="8" t="str" cm="1">
        <f t="array" ref="F34">(CONCATENATE(TEXT(MIN(IF('Base Avaya'!$E:$E='Operadores S2S'!$D34,'Base Avaya'!$AF:$AF)),"hh:mm")," - ",TEXT(MAX(IF('Base Avaya'!$E:$E='Operadores S2S'!$D34,'Base Avaya'!$AG:$AG)),"hh:mm")))</f>
        <v>14:30 - 18:00</v>
      </c>
      <c r="G34" s="8"/>
      <c r="H34" s="8" t="str">
        <f>VLOOKUP(C34,'[1]Nómina Agentes'!$D:$AU,44,0)</f>
        <v>VMAEMGON</v>
      </c>
      <c r="I34" s="8" t="str">
        <f>VLOOKUP(C34,'[1]Nómina Agentes'!$D$4:$H$473,5,0)</f>
        <v>GOMEZ, AYLEN MILAGROS</v>
      </c>
    </row>
    <row r="35" spans="2:9" x14ac:dyDescent="0.25">
      <c r="B35" s="8" t="s">
        <v>39</v>
      </c>
      <c r="C35" s="11" t="s">
        <v>75</v>
      </c>
      <c r="D35" s="11">
        <v>606481</v>
      </c>
      <c r="E35" s="8">
        <v>6</v>
      </c>
      <c r="F35" s="8" t="str" cm="1">
        <f t="array" ref="F35">(CONCATENATE(TEXT(MIN(IF('Base Avaya'!$E:$E='Operadores S2S'!$D35,'Base Avaya'!$AF:$AF)),"hh:mm")," - ",TEXT(MAX(IF('Base Avaya'!$E:$E='Operadores S2S'!$D35,'Base Avaya'!$AG:$AG)),"hh:mm")))</f>
        <v>14:00 - 15:00</v>
      </c>
      <c r="G35" s="8"/>
      <c r="H35" s="8" t="str">
        <f>VLOOKUP(C35,'[1]Nómina Agentes'!$D:$AU,44,0)</f>
        <v>VMABRGUT</v>
      </c>
      <c r="I35" s="8" t="str">
        <f>VLOOKUP(C35,'[1]Nómina Agentes'!$D$4:$H$473,5,0)</f>
        <v>VILLALBA, MAITEN</v>
      </c>
    </row>
    <row r="36" spans="2:9" x14ac:dyDescent="0.25">
      <c r="B36" s="8" t="s">
        <v>39</v>
      </c>
      <c r="C36" s="8" t="s">
        <v>64</v>
      </c>
      <c r="D36" s="8">
        <v>606291</v>
      </c>
      <c r="E36" s="8">
        <v>27</v>
      </c>
      <c r="F36" s="8" t="str" cm="1">
        <f t="array" ref="F36">(CONCATENATE(TEXT(MIN(IF('Base Avaya'!$E:$E='Operadores S2S'!$D36,'Base Avaya'!$AF:$AF)),"hh:mm")," - ",TEXT(MAX(IF('Base Avaya'!$E:$E='Operadores S2S'!$D36,'Base Avaya'!$AG:$AG)),"hh:mm")))</f>
        <v>14:00 - 18:00</v>
      </c>
      <c r="G36" s="8"/>
      <c r="H36" s="8" t="str">
        <f>VLOOKUP(C36,'[1]Nómina Agentes'!$D:$AU,44,0)</f>
        <v>VMACLOPE</v>
      </c>
      <c r="I36" s="8" t="str">
        <f>VLOOKUP(C36,'[1]Nómina Agentes'!$D$4:$H$473,5,0)</f>
        <v>ROBLEDO, LEANDRO JAVIER</v>
      </c>
    </row>
    <row r="37" spans="2:9" x14ac:dyDescent="0.25">
      <c r="B37" s="8" t="s">
        <v>39</v>
      </c>
      <c r="C37" s="11" t="s">
        <v>50</v>
      </c>
      <c r="D37" s="11">
        <v>606359</v>
      </c>
      <c r="E37" s="8">
        <v>13</v>
      </c>
      <c r="F37" s="8" t="str" cm="1">
        <f t="array" ref="F37">(CONCATENATE(TEXT(MIN(IF('Base Avaya'!$E:$E='Operadores S2S'!$D37,'Base Avaya'!$AF:$AF)),"hh:mm")," - ",TEXT(MAX(IF('Base Avaya'!$E:$E='Operadores S2S'!$D37,'Base Avaya'!$AG:$AG)),"hh:mm")))</f>
        <v>14:00 - 16:00</v>
      </c>
      <c r="G37" s="8"/>
      <c r="H37" s="8" t="str">
        <f>VLOOKUP(C37,'[1]Nómina Agentes'!$D:$AU,44,0)</f>
        <v>VMANOMAR</v>
      </c>
      <c r="I37" s="8" t="str">
        <f>VLOOKUP(C37,'[1]Nómina Agentes'!$D$4:$H$473,5,0)</f>
        <v>DIAZ, PAULA</v>
      </c>
    </row>
    <row r="38" spans="2:9" x14ac:dyDescent="0.25">
      <c r="B38" s="8" t="s">
        <v>39</v>
      </c>
      <c r="C38" s="11" t="s">
        <v>133</v>
      </c>
      <c r="D38" s="11">
        <v>605511</v>
      </c>
      <c r="E38" s="8">
        <v>2</v>
      </c>
      <c r="F38" s="8" t="str" cm="1">
        <f t="array" ref="F38">(CONCATENATE(TEXT(MIN(IF('Base Avaya'!$E:$E='Operadores S2S'!$D38,'Base Avaya'!$AF:$AF)),"hh:mm")," - ",TEXT(MAX(IF('Base Avaya'!$E:$E='Operadores S2S'!$D38,'Base Avaya'!$AG:$AG)),"hh:mm")))</f>
        <v>14:00 - 14:30</v>
      </c>
      <c r="G38" s="8"/>
      <c r="H38" s="8" t="str">
        <f>VLOOKUP(C38,'[1]Nómina Agentes'!$D:$AU,44,0)</f>
        <v>VMANAMEN</v>
      </c>
      <c r="I38" s="8" t="str">
        <f>VLOOKUP(C38,'[1]Nómina Agentes'!$D$4:$H$473,5,0)</f>
        <v>VILLALBA, VICTORIA</v>
      </c>
    </row>
    <row r="39" spans="2:9" x14ac:dyDescent="0.25">
      <c r="B39" s="8" t="s">
        <v>39</v>
      </c>
      <c r="C39" s="11" t="s">
        <v>314</v>
      </c>
      <c r="D39" s="11">
        <v>606331</v>
      </c>
      <c r="E39" s="8">
        <v>44</v>
      </c>
      <c r="F39" s="8" t="str" cm="1">
        <f t="array" ref="F39">(CONCATENATE(TEXT(MIN(IF('Base Avaya'!$E:$E='Operadores S2S'!$D39,'Base Avaya'!$AF:$AF)),"hh:mm")," - ",TEXT(MAX(IF('Base Avaya'!$E:$E='Operadores S2S'!$D39,'Base Avaya'!$AG:$AG)),"hh:mm")))</f>
        <v>15:00 - 20:00</v>
      </c>
      <c r="G39" s="8"/>
      <c r="H39" s="8" t="str">
        <f>VLOOKUP(C39,'[1]Nómina Agentes'!$D:$AU,44,0)</f>
        <v>VMAMIMOR</v>
      </c>
      <c r="I39" s="8" t="str">
        <f>VLOOKUP(C39,'[1]Nómina Agentes'!$D$4:$H$473,5,0)</f>
        <v>SOLER, SANTIAGO MAXIMILIANO</v>
      </c>
    </row>
    <row r="40" spans="2:9" x14ac:dyDescent="0.25">
      <c r="B40" s="8" t="s">
        <v>39</v>
      </c>
      <c r="C40" s="11" t="s">
        <v>97</v>
      </c>
      <c r="D40" s="11">
        <v>606306</v>
      </c>
      <c r="E40" s="8">
        <v>7</v>
      </c>
      <c r="F40" s="8" t="str" cm="1">
        <f t="array" ref="F40">(CONCATENATE(TEXT(MIN(IF('Base Avaya'!$E:$E='Operadores S2S'!$D40,'Base Avaya'!$AF:$AF)),"hh:mm")," - ",TEXT(MAX(IF('Base Avaya'!$E:$E='Operadores S2S'!$D40,'Base Avaya'!$AG:$AG)),"hh:mm")))</f>
        <v>14:00 - 15:30</v>
      </c>
      <c r="G40" s="8"/>
      <c r="H40" s="8" t="str">
        <f>VLOOKUP(C40,'[1]Nómina Agentes'!$D:$AU,44,0)</f>
        <v>VMAFEMOS</v>
      </c>
      <c r="I40" s="8" t="str">
        <f>VLOOKUP(C40,'[1]Nómina Agentes'!$D$4:$H$473,5,0)</f>
        <v>DIAZ, PAULA</v>
      </c>
    </row>
    <row r="41" spans="2:9" x14ac:dyDescent="0.25">
      <c r="B41" s="8" t="s">
        <v>39</v>
      </c>
      <c r="C41" s="11" t="s">
        <v>51</v>
      </c>
      <c r="D41" s="11">
        <v>606227</v>
      </c>
      <c r="E41" s="8">
        <v>19</v>
      </c>
      <c r="F41" s="8" t="str" cm="1">
        <f t="array" ref="F41">(CONCATENATE(TEXT(MIN(IF('Base Avaya'!$E:$E='Operadores S2S'!$D41,'Base Avaya'!$AF:$AF)),"hh:mm")," - ",TEXT(MAX(IF('Base Avaya'!$E:$E='Operadores S2S'!$D41,'Base Avaya'!$AG:$AG)),"hh:mm")))</f>
        <v>14:00 - 17:00</v>
      </c>
      <c r="G41" s="8"/>
      <c r="H41" s="8" t="str">
        <f>VLOOKUP(C41,'[1]Nómina Agentes'!$D:$AU,44,0)</f>
        <v>VMASUNAR</v>
      </c>
      <c r="I41" s="8" t="str">
        <f>VLOOKUP(C41,'[1]Nómina Agentes'!$D$4:$H$473,5,0)</f>
        <v>VILLALBA, MAITEN</v>
      </c>
    </row>
    <row r="42" spans="2:9" x14ac:dyDescent="0.25">
      <c r="B42" s="8" t="s">
        <v>39</v>
      </c>
      <c r="C42" s="11" t="s">
        <v>98</v>
      </c>
      <c r="D42" s="11">
        <v>606478</v>
      </c>
      <c r="E42" s="8">
        <v>6</v>
      </c>
      <c r="F42" s="8" t="str" cm="1">
        <f t="array" ref="F42">(CONCATENATE(TEXT(MIN(IF('Base Avaya'!$E:$E='Operadores S2S'!$D42,'Base Avaya'!$AF:$AF)),"hh:mm")," - ",TEXT(MAX(IF('Base Avaya'!$E:$E='Operadores S2S'!$D42,'Base Avaya'!$AG:$AG)),"hh:mm")))</f>
        <v>14:00 - 15:00</v>
      </c>
      <c r="G42" s="8"/>
      <c r="H42" s="8" t="str">
        <f>VLOOKUP(C42,'[1]Nómina Agentes'!$D:$AU,44,0)</f>
        <v>VMAANQUI</v>
      </c>
      <c r="I42" s="8" t="str">
        <f>VLOOKUP(C42,'[1]Nómina Agentes'!$D$4:$H$473,5,0)</f>
        <v>DIAZ, PAULA</v>
      </c>
    </row>
    <row r="43" spans="2:9" x14ac:dyDescent="0.25">
      <c r="B43" s="8" t="s">
        <v>39</v>
      </c>
      <c r="C43" s="11" t="s">
        <v>53</v>
      </c>
      <c r="D43" s="11">
        <v>606577</v>
      </c>
      <c r="E43" s="8">
        <v>15</v>
      </c>
      <c r="F43" s="8" t="str" cm="1">
        <f t="array" ref="F43">(CONCATENATE(TEXT(MIN(IF('Base Avaya'!$E:$E='Operadores S2S'!$D43,'Base Avaya'!$AF:$AF)),"hh:mm")," - ",TEXT(MAX(IF('Base Avaya'!$E:$E='Operadores S2S'!$D43,'Base Avaya'!$AG:$AG)),"hh:mm")))</f>
        <v>14:00 - 16:00</v>
      </c>
      <c r="G43" s="8"/>
      <c r="H43" s="8" t="str">
        <f>VLOOKUP(C43,'[1]Nómina Agentes'!$D:$AU,44,0)</f>
        <v>VMALURIQ</v>
      </c>
      <c r="I43" s="8" t="str">
        <f>VLOOKUP(C43,'[1]Nómina Agentes'!$D$4:$H$473,5,0)</f>
        <v>LOUREIRO, FLORENCIA CANDELA</v>
      </c>
    </row>
    <row r="44" spans="2:9" x14ac:dyDescent="0.25">
      <c r="B44" s="8" t="s">
        <v>39</v>
      </c>
      <c r="C44" s="11" t="s">
        <v>99</v>
      </c>
      <c r="D44" s="11">
        <v>606550</v>
      </c>
      <c r="E44" s="8">
        <v>6</v>
      </c>
      <c r="F44" s="8" t="str" cm="1">
        <f t="array" ref="F44">(CONCATENATE(TEXT(MIN(IF('Base Avaya'!$E:$E='Operadores S2S'!$D44,'Base Avaya'!$AF:$AF)),"hh:mm")," - ",TEXT(MAX(IF('Base Avaya'!$E:$E='Operadores S2S'!$D44,'Base Avaya'!$AG:$AG)),"hh:mm")))</f>
        <v>14:00 - 15:00</v>
      </c>
      <c r="G44" s="8"/>
      <c r="H44" s="8" t="str">
        <f>VLOOKUP(C44,'[1]Nómina Agentes'!$D:$AU,44,0)</f>
        <v>VMANAROL</v>
      </c>
      <c r="I44" s="8" t="str">
        <f>VLOOKUP(C44,'[1]Nómina Agentes'!$D$4:$H$473,5,0)</f>
        <v>GROESMANN, MAYA JUDITH</v>
      </c>
    </row>
    <row r="45" spans="2:9" x14ac:dyDescent="0.25">
      <c r="B45" s="8" t="s">
        <v>39</v>
      </c>
      <c r="C45" s="11" t="s">
        <v>315</v>
      </c>
      <c r="D45" s="11">
        <v>606286</v>
      </c>
      <c r="E45" s="8">
        <v>4</v>
      </c>
      <c r="F45" s="8" t="str" cm="1">
        <f t="array" ref="F45">(CONCATENATE(TEXT(MIN(IF('Base Avaya'!$E:$E='Operadores S2S'!$D45,'Base Avaya'!$AF:$AF)),"hh:mm")," - ",TEXT(MAX(IF('Base Avaya'!$E:$E='Operadores S2S'!$D45,'Base Avaya'!$AG:$AG)),"hh:mm")))</f>
        <v>15:00 - 16:00</v>
      </c>
      <c r="G45" s="8"/>
      <c r="H45" s="8" t="str">
        <f>VLOOKUP(C45,'[1]Nómina Agentes'!$D:$AU,44,0)</f>
        <v>VMAAGROM</v>
      </c>
      <c r="I45" s="8" t="str">
        <f>VLOOKUP(C45,'[1]Nómina Agentes'!$D$4:$H$473,5,0)</f>
        <v>ONETTO, MARIA DE LOS MILAGROS</v>
      </c>
    </row>
    <row r="46" spans="2:9" x14ac:dyDescent="0.25">
      <c r="B46" s="8" t="s">
        <v>39</v>
      </c>
      <c r="C46" s="11" t="s">
        <v>316</v>
      </c>
      <c r="D46" s="11">
        <v>606436</v>
      </c>
      <c r="E46" s="8">
        <v>42</v>
      </c>
      <c r="F46" s="8" t="str" cm="1">
        <f t="array" ref="F46">(CONCATENATE(TEXT(MIN(IF('Base Avaya'!$E:$E='Operadores S2S'!$D46,'Base Avaya'!$AF:$AF)),"hh:mm")," - ",TEXT(MAX(IF('Base Avaya'!$E:$E='Operadores S2S'!$D46,'Base Avaya'!$AG:$AG)),"hh:mm")))</f>
        <v>14:30 - 20:00</v>
      </c>
      <c r="G46" s="8"/>
      <c r="H46" s="8" t="str">
        <f>VLOOKUP(C46,'[1]Nómina Agentes'!$D:$AU,44,0)</f>
        <v>VMALASAN</v>
      </c>
      <c r="I46" s="8" t="str">
        <f>VLOOKUP(C46,'[1]Nómina Agentes'!$D$4:$H$473,5,0)</f>
        <v>ROJAS, LUCAS</v>
      </c>
    </row>
    <row r="47" spans="2:9" x14ac:dyDescent="0.25">
      <c r="B47" s="8" t="s">
        <v>39</v>
      </c>
      <c r="C47" s="11" t="s">
        <v>317</v>
      </c>
      <c r="D47" s="11">
        <v>606492</v>
      </c>
      <c r="E47" s="8">
        <v>13</v>
      </c>
      <c r="F47" s="8" t="str" cm="1">
        <f t="array" ref="F47">(CONCATENATE(TEXT(MIN(IF('Base Avaya'!$E:$E='Operadores S2S'!$D47,'Base Avaya'!$AF:$AF)),"hh:mm")," - ",TEXT(MAX(IF('Base Avaya'!$E:$E='Operadores S2S'!$D47,'Base Avaya'!$AG:$AG)),"hh:mm")))</f>
        <v>17:30 - 20:00</v>
      </c>
      <c r="G47" s="8"/>
      <c r="H47" s="8" t="str">
        <f>VLOOKUP(C47,'[1]Nómina Agentes'!$D:$AU,44,0)</f>
        <v>VMANASAN</v>
      </c>
      <c r="I47" s="8" t="str">
        <f>VLOOKUP(C47,'[1]Nómina Agentes'!$D$4:$H$473,5,0)</f>
        <v>MIR, TOMAS MAURICIO</v>
      </c>
    </row>
    <row r="48" spans="2:9" x14ac:dyDescent="0.25">
      <c r="B48" s="8" t="s">
        <v>39</v>
      </c>
      <c r="C48" s="11" t="s">
        <v>318</v>
      </c>
      <c r="D48" s="11">
        <v>605698</v>
      </c>
      <c r="E48" s="8">
        <v>36</v>
      </c>
      <c r="F48" s="8" t="str" cm="1">
        <f t="array" ref="F48">(CONCATENATE(TEXT(MIN(IF('Base Avaya'!$E:$E='Operadores S2S'!$D48,'Base Avaya'!$AF:$AF)),"hh:mm")," - ",TEXT(MAX(IF('Base Avaya'!$E:$E='Operadores S2S'!$D48,'Base Avaya'!$AG:$AG)),"hh:mm")))</f>
        <v>15:30 - 20:00</v>
      </c>
      <c r="G48" s="8"/>
      <c r="H48" s="8" t="str">
        <f>VLOOKUP(C48,'[1]Nómina Agentes'!$D:$AU,44,0)</f>
        <v>VMAMELSO</v>
      </c>
      <c r="I48" s="8" t="str">
        <f>VLOOKUP(C48,'[1]Nómina Agentes'!$D$4:$H$473,5,0)</f>
        <v>PELOC, MARIA SOLEDAD</v>
      </c>
    </row>
    <row r="49" spans="2:9" x14ac:dyDescent="0.25">
      <c r="B49" s="8" t="s">
        <v>39</v>
      </c>
      <c r="C49" s="11" t="s">
        <v>319</v>
      </c>
      <c r="D49" s="11">
        <v>606614</v>
      </c>
      <c r="E49" s="8">
        <v>34</v>
      </c>
      <c r="F49" s="8" t="str" cm="1">
        <f t="array" ref="F49">(CONCATENATE(TEXT(MIN(IF('Base Avaya'!$E:$E='Operadores S2S'!$D49,'Base Avaya'!$AF:$AF)),"hh:mm")," - ",TEXT(MAX(IF('Base Avaya'!$E:$E='Operadores S2S'!$D49,'Base Avaya'!$AG:$AG)),"hh:mm")))</f>
        <v>14:30 - 20:00</v>
      </c>
      <c r="G49" s="8"/>
      <c r="H49" s="8" t="str">
        <f>VLOOKUP(C49,'[1]Nómina Agentes'!$D:$AU,44,0)</f>
        <v>VMAMARSO</v>
      </c>
      <c r="I49" s="8" t="str">
        <f>VLOOKUP(C49,'[1]Nómina Agentes'!$D$4:$H$473,5,0)</f>
        <v>GARZON, ROCIO BELEN</v>
      </c>
    </row>
    <row r="50" spans="2:9" x14ac:dyDescent="0.25">
      <c r="B50" s="8" t="s">
        <v>39</v>
      </c>
      <c r="C50" s="11" t="s">
        <v>320</v>
      </c>
      <c r="D50" s="11">
        <v>606536</v>
      </c>
      <c r="E50" s="8">
        <v>40</v>
      </c>
      <c r="F50" s="8" t="str" cm="1">
        <f t="array" ref="F50">(CONCATENATE(TEXT(MIN(IF('Base Avaya'!$E:$E='Operadores S2S'!$D50,'Base Avaya'!$AF:$AF)),"hh:mm")," - ",TEXT(MAX(IF('Base Avaya'!$E:$E='Operadores S2S'!$D50,'Base Avaya'!$AG:$AG)),"hh:mm")))</f>
        <v>15:00 - 20:00</v>
      </c>
      <c r="G50" s="8"/>
      <c r="H50" s="8" t="str">
        <f>VLOOKUP(C50,'[1]Nómina Agentes'!$D:$AU,44,0)</f>
        <v>VMASISOT</v>
      </c>
      <c r="I50" s="8" t="str">
        <f>VLOOKUP(C50,'[1]Nómina Agentes'!$D$4:$H$473,5,0)</f>
        <v>SOLER, SANTIAGO MAXIMILIANO</v>
      </c>
    </row>
    <row r="51" spans="2:9" x14ac:dyDescent="0.25">
      <c r="B51" s="8" t="s">
        <v>39</v>
      </c>
      <c r="C51" s="11" t="s">
        <v>134</v>
      </c>
      <c r="D51" s="11">
        <v>606501</v>
      </c>
      <c r="E51" s="8">
        <v>6</v>
      </c>
      <c r="F51" s="8" t="str" cm="1">
        <f t="array" ref="F51">(CONCATENATE(TEXT(MIN(IF('Base Avaya'!$E:$E='Operadores S2S'!$D51,'Base Avaya'!$AF:$AF)),"hh:mm")," - ",TEXT(MAX(IF('Base Avaya'!$E:$E='Operadores S2S'!$D51,'Base Avaya'!$AG:$AG)),"hh:mm")))</f>
        <v>14:00 - 15:00</v>
      </c>
      <c r="G51" s="8"/>
      <c r="H51" s="8" t="str">
        <f>VLOOKUP(C51,'[1]Nómina Agentes'!$D:$AU,44,0)</f>
        <v>VMAEVTOF</v>
      </c>
      <c r="I51" s="8" t="str">
        <f>VLOOKUP(C51,'[1]Nómina Agentes'!$D$4:$H$473,5,0)</f>
        <v>GROESMANN, MAYA JUDITH</v>
      </c>
    </row>
    <row r="52" spans="2:9" x14ac:dyDescent="0.25">
      <c r="B52" s="8" t="s">
        <v>39</v>
      </c>
      <c r="C52" s="11" t="s">
        <v>66</v>
      </c>
      <c r="D52" s="11">
        <v>605508</v>
      </c>
      <c r="E52" s="8">
        <v>46</v>
      </c>
      <c r="F52" s="8" t="str" cm="1">
        <f t="array" ref="F52">(CONCATENATE(TEXT(MIN(IF('Base Avaya'!$E:$E='Operadores S2S'!$D52,'Base Avaya'!$AF:$AF)),"hh:mm")," - ",TEXT(MAX(IF('Base Avaya'!$E:$E='Operadores S2S'!$D52,'Base Avaya'!$AG:$AG)),"hh:mm")))</f>
        <v>14:00 - 20:00</v>
      </c>
      <c r="G52" s="8"/>
      <c r="H52" s="8" t="str">
        <f>VLOOKUP(C52,'[1]Nómina Agentes'!$D:$AU,44,0)</f>
        <v>VMAESTOL</v>
      </c>
      <c r="I52" s="8" t="str">
        <f>VLOOKUP(C52,'[1]Nómina Agentes'!$D$4:$H$473,5,0)</f>
        <v>DIAZ, PAULA</v>
      </c>
    </row>
    <row r="53" spans="2:9" x14ac:dyDescent="0.25">
      <c r="B53" s="8" t="s">
        <v>39</v>
      </c>
      <c r="C53" s="11" t="s">
        <v>113</v>
      </c>
      <c r="D53" s="11">
        <v>606239</v>
      </c>
      <c r="E53" s="8">
        <v>4</v>
      </c>
      <c r="F53" s="8" t="str" cm="1">
        <f t="array" ref="F53">(CONCATENATE(TEXT(MIN(IF('Base Avaya'!$E:$E='Operadores S2S'!$D53,'Base Avaya'!$AF:$AF)),"hh:mm")," - ",TEXT(MAX(IF('Base Avaya'!$E:$E='Operadores S2S'!$D53,'Base Avaya'!$AG:$AG)),"hh:mm")))</f>
        <v>14:00 - 15:00</v>
      </c>
      <c r="G53" s="8"/>
      <c r="H53" s="8" t="str">
        <f>VLOOKUP(C53,'[1]Nómina Agentes'!$D:$AU,44,0)</f>
        <v>VMALUTOR</v>
      </c>
      <c r="I53" s="8" t="str">
        <f>VLOOKUP(C53,'[1]Nómina Agentes'!$D$4:$H$473,5,0)</f>
        <v>RUIZ, TOMAS EMANUEL</v>
      </c>
    </row>
    <row r="54" spans="2:9" x14ac:dyDescent="0.25">
      <c r="B54" s="8" t="s">
        <v>39</v>
      </c>
      <c r="C54" s="11" t="s">
        <v>135</v>
      </c>
      <c r="D54" s="11">
        <v>606475</v>
      </c>
      <c r="E54" s="8">
        <v>12</v>
      </c>
      <c r="F54" s="8" t="str" cm="1">
        <f t="array" ref="F54">(CONCATENATE(TEXT(MIN(IF('Base Avaya'!$E:$E='Operadores S2S'!$D54,'Base Avaya'!$AF:$AF)),"hh:mm")," - ",TEXT(MAX(IF('Base Avaya'!$E:$E='Operadores S2S'!$D54,'Base Avaya'!$AG:$AG)),"hh:mm")))</f>
        <v>14:00 - 16:30</v>
      </c>
      <c r="G54" s="8"/>
      <c r="H54" s="8" t="str">
        <f>VLOOKUP(C54,'[1]Nómina Agentes'!$D:$AU,44,0)</f>
        <v>VMAANVAC</v>
      </c>
      <c r="I54" s="8" t="str">
        <f>VLOOKUP(C54,'[1]Nómina Agentes'!$D$4:$H$473,5,0)</f>
        <v>VILLALBA, MAITEN</v>
      </c>
    </row>
    <row r="55" spans="2:9" x14ac:dyDescent="0.25">
      <c r="B55" s="8" t="s">
        <v>39</v>
      </c>
      <c r="C55" s="11" t="s">
        <v>321</v>
      </c>
      <c r="D55" s="11">
        <v>605766</v>
      </c>
      <c r="E55" s="8">
        <v>42</v>
      </c>
      <c r="F55" s="8" t="str" cm="1">
        <f t="array" ref="F55">(CONCATENATE(TEXT(MIN(IF('Base Avaya'!$E:$E='Operadores S2S'!$D55,'Base Avaya'!$AF:$AF)),"hh:mm")," - ",TEXT(MAX(IF('Base Avaya'!$E:$E='Operadores S2S'!$D55,'Base Avaya'!$AG:$AG)),"hh:mm")))</f>
        <v>15:00 - 20:00</v>
      </c>
      <c r="G55" s="8"/>
      <c r="H55" s="8" t="str">
        <f>VLOOKUP(C55,'[1]Nómina Agentes'!$D:$AU,44,0)</f>
        <v>VMAMAZAP</v>
      </c>
      <c r="I55" s="8" t="str">
        <f>VLOOKUP(C55,'[1]Nómina Agentes'!$D$4:$H$473,5,0)</f>
        <v>SOLER, SANTIAGO MAXIMILIANO</v>
      </c>
    </row>
    <row r="56" spans="2:9" x14ac:dyDescent="0.25">
      <c r="B56" s="8" t="s">
        <v>39</v>
      </c>
      <c r="C56" s="11" t="s">
        <v>322</v>
      </c>
      <c r="D56" s="11">
        <v>628237</v>
      </c>
      <c r="E56" s="8">
        <v>8</v>
      </c>
      <c r="F56" s="8" t="str" cm="1">
        <f t="array" ref="F56">(CONCATENATE(TEXT(MIN(IF('Base Avaya'!$E:$E='Operadores S2S'!$D56,'Base Avaya'!$AF:$AF)),"hh:mm")," - ",TEXT(MAX(IF('Base Avaya'!$E:$E='Operadores S2S'!$D56,'Base Avaya'!$AG:$AG)),"hh:mm")))</f>
        <v>14:00 - 15:30</v>
      </c>
      <c r="G56" s="8"/>
      <c r="H56" s="8" t="e">
        <f>VLOOKUP(C56,'[1]Nómina Agentes'!$D:$AU,44,0)</f>
        <v>#N/A</v>
      </c>
      <c r="I56" s="8" t="e">
        <f>VLOOKUP(C56,'[1]Nómina Agentes'!$D$4:$H$473,5,0)</f>
        <v>#N/A</v>
      </c>
    </row>
    <row r="57" spans="2:9" x14ac:dyDescent="0.25">
      <c r="B57" s="8" t="s">
        <v>39</v>
      </c>
      <c r="C57" s="11" t="s">
        <v>322</v>
      </c>
      <c r="D57" s="11">
        <v>628263</v>
      </c>
      <c r="E57" s="8">
        <v>0</v>
      </c>
      <c r="F57" s="8" t="str" cm="1">
        <f t="array" ref="F57">(CONCATENATE(TEXT(MIN(IF('Base Avaya'!$E:$E='Operadores S2S'!$D57,'Base Avaya'!$AF:$AF)),"hh:mm")," - ",TEXT(MAX(IF('Base Avaya'!$E:$E='Operadores S2S'!$D57,'Base Avaya'!$AG:$AG)),"hh:mm")))</f>
        <v>14:00 - 15:30</v>
      </c>
      <c r="G57" s="8"/>
      <c r="H57" s="8" t="e">
        <f>VLOOKUP(C57,'[1]Nómina Agentes'!$D:$AU,44,0)</f>
        <v>#N/A</v>
      </c>
      <c r="I57" s="8" t="e">
        <f>VLOOKUP(C57,'[1]Nómina Agentes'!$D$4:$H$473,5,0)</f>
        <v>#N/A</v>
      </c>
    </row>
    <row r="58" spans="2:9" x14ac:dyDescent="0.25">
      <c r="B58" s="8" t="s">
        <v>39</v>
      </c>
      <c r="C58" s="11" t="s">
        <v>322</v>
      </c>
      <c r="D58" s="11">
        <v>628356</v>
      </c>
      <c r="E58" s="8">
        <v>11</v>
      </c>
      <c r="F58" s="8" t="str" cm="1">
        <f t="array" ref="F58">(CONCATENATE(TEXT(MIN(IF('Base Avaya'!$E:$E='Operadores S2S'!$D58,'Base Avaya'!$AF:$AF)),"hh:mm")," - ",TEXT(MAX(IF('Base Avaya'!$E:$E='Operadores S2S'!$D58,'Base Avaya'!$AG:$AG)),"hh:mm")))</f>
        <v>15:00 - 20:00</v>
      </c>
      <c r="G58" s="8"/>
      <c r="H58" s="8" t="e">
        <f>VLOOKUP(C58,'[1]Nómina Agentes'!$D:$AU,44,0)</f>
        <v>#N/A</v>
      </c>
      <c r="I58" s="8" t="e">
        <f>VLOOKUP(C58,'[1]Nómina Agentes'!$D$4:$H$473,5,0)</f>
        <v>#N/A</v>
      </c>
    </row>
    <row r="59" spans="2:9" x14ac:dyDescent="0.25">
      <c r="B59" s="8" t="s">
        <v>39</v>
      </c>
      <c r="C59" s="11" t="s">
        <v>322</v>
      </c>
      <c r="D59" s="11">
        <v>628411</v>
      </c>
      <c r="E59" s="8">
        <v>9</v>
      </c>
      <c r="F59" s="8" t="str" cm="1">
        <f t="array" ref="F59">(CONCATENATE(TEXT(MIN(IF('Base Avaya'!$E:$E='Operadores S2S'!$D59,'Base Avaya'!$AF:$AF)),"hh:mm")," - ",TEXT(MAX(IF('Base Avaya'!$E:$E='Operadores S2S'!$D59,'Base Avaya'!$AG:$AG)),"hh:mm")))</f>
        <v>14:30 - 20:00</v>
      </c>
      <c r="G59" s="8"/>
      <c r="H59" s="8" t="e">
        <f>VLOOKUP(C59,'[1]Nómina Agentes'!$D:$AU,44,0)</f>
        <v>#N/A</v>
      </c>
      <c r="I59" s="8" t="e">
        <f>VLOOKUP(C59,'[1]Nómina Agentes'!$D$4:$H$473,5,0)</f>
        <v>#N/A</v>
      </c>
    </row>
    <row r="60" spans="2:9" x14ac:dyDescent="0.25">
      <c r="B60" s="8" t="s">
        <v>39</v>
      </c>
      <c r="C60" s="11" t="s">
        <v>322</v>
      </c>
      <c r="D60" s="11">
        <v>628412</v>
      </c>
      <c r="E60" s="8">
        <v>39</v>
      </c>
      <c r="F60" s="8" t="str" cm="1">
        <f t="array" ref="F60">(CONCATENATE(TEXT(MIN(IF('Base Avaya'!$E:$E='Operadores S2S'!$D60,'Base Avaya'!$AF:$AF)),"hh:mm")," - ",TEXT(MAX(IF('Base Avaya'!$E:$E='Operadores S2S'!$D60,'Base Avaya'!$AG:$AG)),"hh:mm")))</f>
        <v>15:00 - 20:00</v>
      </c>
      <c r="G60" s="8"/>
      <c r="H60" s="8" t="e">
        <f>VLOOKUP(C60,'[1]Nómina Agentes'!$D:$AU,44,0)</f>
        <v>#N/A</v>
      </c>
      <c r="I60" s="8" t="e">
        <f>VLOOKUP(C60,'[1]Nómina Agentes'!$D$4:$H$473,5,0)</f>
        <v>#N/A</v>
      </c>
    </row>
    <row r="61" spans="2:9" x14ac:dyDescent="0.25">
      <c r="B61" s="8" t="s">
        <v>39</v>
      </c>
      <c r="C61" s="11" t="s">
        <v>322</v>
      </c>
      <c r="D61" s="11">
        <v>628419</v>
      </c>
      <c r="E61" s="8">
        <v>32</v>
      </c>
      <c r="F61" s="8" t="str" cm="1">
        <f t="array" ref="F61">(CONCATENATE(TEXT(MIN(IF('Base Avaya'!$E:$E='Operadores S2S'!$D61,'Base Avaya'!$AF:$AF)),"hh:mm")," - ",TEXT(MAX(IF('Base Avaya'!$E:$E='Operadores S2S'!$D61,'Base Avaya'!$AG:$AG)),"hh:mm")))</f>
        <v>15:30 - 20:00</v>
      </c>
      <c r="G61" s="8"/>
      <c r="H61" s="8" t="e">
        <f>VLOOKUP(C61,'[1]Nómina Agentes'!$D:$AU,44,0)</f>
        <v>#N/A</v>
      </c>
      <c r="I61" s="8" t="e">
        <f>VLOOKUP(C61,'[1]Nómina Agentes'!$D$4:$H$473,5,0)</f>
        <v>#N/A</v>
      </c>
    </row>
    <row r="62" spans="2:9" x14ac:dyDescent="0.25">
      <c r="B62" s="8" t="s">
        <v>39</v>
      </c>
      <c r="C62" s="11" t="s">
        <v>322</v>
      </c>
      <c r="D62" s="11">
        <v>628431</v>
      </c>
      <c r="E62" s="8">
        <v>32</v>
      </c>
      <c r="F62" s="8" t="str" cm="1">
        <f t="array" ref="F62">(CONCATENATE(TEXT(MIN(IF('Base Avaya'!$E:$E='Operadores S2S'!$D62,'Base Avaya'!$AF:$AF)),"hh:mm")," - ",TEXT(MAX(IF('Base Avaya'!$E:$E='Operadores S2S'!$D62,'Base Avaya'!$AG:$AG)),"hh:mm")))</f>
        <v>15:00 - 20:00</v>
      </c>
      <c r="G62" s="8"/>
      <c r="H62" s="8" t="e">
        <f>VLOOKUP(C62,'[1]Nómina Agentes'!$D:$AU,44,0)</f>
        <v>#N/A</v>
      </c>
      <c r="I62" s="8" t="e">
        <f>VLOOKUP(C62,'[1]Nómina Agentes'!$D$4:$H$473,5,0)</f>
        <v>#N/A</v>
      </c>
    </row>
    <row r="63" spans="2:9" x14ac:dyDescent="0.25">
      <c r="B63" s="8" t="s">
        <v>39</v>
      </c>
      <c r="C63" s="11" t="s">
        <v>322</v>
      </c>
      <c r="D63" s="11">
        <v>628434</v>
      </c>
      <c r="E63" s="8">
        <v>20</v>
      </c>
      <c r="F63" s="8" t="str" cm="1">
        <f t="array" ref="F63">(CONCATENATE(TEXT(MIN(IF('Base Avaya'!$E:$E='Operadores S2S'!$D63,'Base Avaya'!$AF:$AF)),"hh:mm")," - ",TEXT(MAX(IF('Base Avaya'!$E:$E='Operadores S2S'!$D63,'Base Avaya'!$AG:$AG)),"hh:mm")))</f>
        <v>15:00 - 20:00</v>
      </c>
      <c r="G63" s="8"/>
      <c r="H63" s="8" t="e">
        <f>VLOOKUP(C63,'[1]Nómina Agentes'!$D:$AU,44,0)</f>
        <v>#N/A</v>
      </c>
      <c r="I63" s="8" t="e">
        <f>VLOOKUP(C63,'[1]Nómina Agentes'!$D$4:$H$473,5,0)</f>
        <v>#N/A</v>
      </c>
    </row>
    <row r="64" spans="2:9" x14ac:dyDescent="0.25">
      <c r="B64" s="8" t="s">
        <v>39</v>
      </c>
      <c r="C64" s="11" t="s">
        <v>322</v>
      </c>
      <c r="D64" s="11">
        <v>628452</v>
      </c>
      <c r="E64" s="8">
        <v>9</v>
      </c>
      <c r="F64" s="8" t="str" cm="1">
        <f t="array" ref="F64">(CONCATENATE(TEXT(MIN(IF('Base Avaya'!$E:$E='Operadores S2S'!$D64,'Base Avaya'!$AF:$AF)),"hh:mm")," - ",TEXT(MAX(IF('Base Avaya'!$E:$E='Operadores S2S'!$D64,'Base Avaya'!$AG:$AG)),"hh:mm")))</f>
        <v>15:00 - 20:00</v>
      </c>
      <c r="G64" s="8"/>
      <c r="H64" s="8" t="e">
        <f>VLOOKUP(C64,'[1]Nómina Agentes'!$D:$AU,44,0)</f>
        <v>#N/A</v>
      </c>
      <c r="I64" s="8" t="e">
        <f>VLOOKUP(C64,'[1]Nómina Agentes'!$D$4:$H$473,5,0)</f>
        <v>#N/A</v>
      </c>
    </row>
    <row r="65" spans="2:9" x14ac:dyDescent="0.25">
      <c r="B65" s="8" t="s">
        <v>39</v>
      </c>
      <c r="C65" s="11" t="s">
        <v>322</v>
      </c>
      <c r="D65" s="11">
        <v>663281</v>
      </c>
      <c r="E65" s="8">
        <v>11</v>
      </c>
      <c r="F65" s="8" t="str" cm="1">
        <f t="array" ref="F65">(CONCATENATE(TEXT(MIN(IF('Base Avaya'!$E:$E='Operadores S2S'!$D65,'Base Avaya'!$AF:$AF)),"hh:mm")," - ",TEXT(MAX(IF('Base Avaya'!$E:$E='Operadores S2S'!$D65,'Base Avaya'!$AG:$AG)),"hh:mm")))</f>
        <v>14:00 - 20:00</v>
      </c>
      <c r="G65" s="8"/>
      <c r="H65" s="8" t="e">
        <f>VLOOKUP(C65,'[1]Nómina Agentes'!$D:$AU,44,0)</f>
        <v>#N/A</v>
      </c>
      <c r="I65" s="8" t="e">
        <f>VLOOKUP(C65,'[1]Nómina Agentes'!$D$4:$H$473,5,0)</f>
        <v>#N/A</v>
      </c>
    </row>
    <row r="66" spans="2:9" x14ac:dyDescent="0.25">
      <c r="B66" s="8" t="s">
        <v>39</v>
      </c>
      <c r="C66" s="11" t="s">
        <v>322</v>
      </c>
      <c r="D66" s="11">
        <v>663802</v>
      </c>
      <c r="E66" s="8">
        <v>10</v>
      </c>
      <c r="F66" s="8" t="str" cm="1">
        <f t="array" ref="F66">(CONCATENATE(TEXT(MIN(IF('Base Avaya'!$E:$E='Operadores S2S'!$D66,'Base Avaya'!$AF:$AF)),"hh:mm")," - ",TEXT(MAX(IF('Base Avaya'!$E:$E='Operadores S2S'!$D66,'Base Avaya'!$AG:$AG)),"hh:mm")))</f>
        <v>15:00 - 20:00</v>
      </c>
      <c r="G66" s="8"/>
      <c r="H66" s="8" t="e">
        <f>VLOOKUP(C66,'[1]Nómina Agentes'!$D:$AU,44,0)</f>
        <v>#N/A</v>
      </c>
      <c r="I66" s="8" t="e">
        <f>VLOOKUP(C66,'[1]Nómina Agentes'!$D$4:$H$473,5,0)</f>
        <v>#N/A</v>
      </c>
    </row>
    <row r="67" spans="2:9" x14ac:dyDescent="0.25">
      <c r="B67" s="8" t="s">
        <v>39</v>
      </c>
      <c r="C67" s="11" t="s">
        <v>322</v>
      </c>
      <c r="D67" s="11">
        <v>664084</v>
      </c>
      <c r="E67" s="8">
        <v>9</v>
      </c>
      <c r="F67" s="8" t="str" cm="1">
        <f t="array" ref="F67">(CONCATENATE(TEXT(MIN(IF('Base Avaya'!$E:$E='Operadores S2S'!$D67,'Base Avaya'!$AF:$AF)),"hh:mm")," - ",TEXT(MAX(IF('Base Avaya'!$E:$E='Operadores S2S'!$D67,'Base Avaya'!$AG:$AG)),"hh:mm")))</f>
        <v>15:00 - 20:00</v>
      </c>
      <c r="G67" s="8"/>
      <c r="H67" s="8" t="e">
        <f>VLOOKUP(C67,'[1]Nómina Agentes'!$D:$AU,44,0)</f>
        <v>#N/A</v>
      </c>
      <c r="I67" s="8" t="e">
        <f>VLOOKUP(C67,'[1]Nómina Agentes'!$D$4:$H$473,5,0)</f>
        <v>#N/A</v>
      </c>
    </row>
    <row r="68" spans="2:9" x14ac:dyDescent="0.25">
      <c r="B68" s="8" t="s">
        <v>39</v>
      </c>
      <c r="C68" s="11" t="s">
        <v>322</v>
      </c>
      <c r="D68" s="11">
        <v>664507</v>
      </c>
      <c r="E68" s="8">
        <v>1</v>
      </c>
      <c r="F68" s="8" t="str" cm="1">
        <f t="array" ref="F68">(CONCATENATE(TEXT(MIN(IF('Base Avaya'!$E:$E='Operadores S2S'!$D68,'Base Avaya'!$AF:$AF)),"hh:mm")," - ",TEXT(MAX(IF('Base Avaya'!$E:$E='Operadores S2S'!$D68,'Base Avaya'!$AG:$AG)),"hh:mm")))</f>
        <v>14:00 - 15:30</v>
      </c>
      <c r="G68" s="8"/>
      <c r="H68" s="8" t="e">
        <f>VLOOKUP(C68,'[1]Nómina Agentes'!$D:$AU,44,0)</f>
        <v>#N/A</v>
      </c>
      <c r="I68" s="8" t="e">
        <f>VLOOKUP(C68,'[1]Nómina Agentes'!$D$4:$H$473,5,0)</f>
        <v>#N/A</v>
      </c>
    </row>
    <row r="69" spans="2:9" x14ac:dyDescent="0.25">
      <c r="B69" s="8" t="s">
        <v>39</v>
      </c>
      <c r="C69" s="11" t="s">
        <v>322</v>
      </c>
      <c r="D69" s="11">
        <v>628292</v>
      </c>
      <c r="E69" s="8">
        <v>10</v>
      </c>
      <c r="F69" s="8" t="str" cm="1">
        <f t="array" ref="F69">(CONCATENATE(TEXT(MIN(IF('Base Avaya'!$E:$E='Operadores S2S'!$D69,'Base Avaya'!$AF:$AF)),"hh:mm")," - ",TEXT(MAX(IF('Base Avaya'!$E:$E='Operadores S2S'!$D69,'Base Avaya'!$AG:$AG)),"hh:mm")))</f>
        <v>14:00 - 16:30</v>
      </c>
      <c r="G69" s="8"/>
      <c r="H69" s="8" t="e">
        <f>VLOOKUP(C69,'[1]Nómina Agentes'!$D:$AU,44,0)</f>
        <v>#N/A</v>
      </c>
      <c r="I69" s="8" t="e">
        <f>VLOOKUP(C69,'[1]Nómina Agentes'!$D$4:$H$473,5,0)</f>
        <v>#N/A</v>
      </c>
    </row>
    <row r="70" spans="2:9" x14ac:dyDescent="0.25">
      <c r="B70" s="8" t="s">
        <v>39</v>
      </c>
      <c r="C70" s="11" t="s">
        <v>322</v>
      </c>
      <c r="D70" s="11">
        <v>628345</v>
      </c>
      <c r="E70" s="8">
        <v>9</v>
      </c>
      <c r="F70" s="8" t="str" cm="1">
        <f t="array" ref="F70">(CONCATENATE(TEXT(MIN(IF('Base Avaya'!$E:$E='Operadores S2S'!$D70,'Base Avaya'!$AF:$AF)),"hh:mm")," - ",TEXT(MAX(IF('Base Avaya'!$E:$E='Operadores S2S'!$D70,'Base Avaya'!$AG:$AG)),"hh:mm")))</f>
        <v>14:00 - 16:00</v>
      </c>
      <c r="G70" s="8"/>
      <c r="H70" s="8" t="e">
        <f>VLOOKUP(C70,'[1]Nómina Agentes'!$D:$AU,44,0)</f>
        <v>#N/A</v>
      </c>
      <c r="I70" s="8" t="e">
        <f>VLOOKUP(C70,'[1]Nómina Agentes'!$D$4:$H$473,5,0)</f>
        <v>#N/A</v>
      </c>
    </row>
    <row r="71" spans="2:9" x14ac:dyDescent="0.25">
      <c r="B71" s="8" t="s">
        <v>39</v>
      </c>
      <c r="C71" s="11" t="s">
        <v>322</v>
      </c>
      <c r="D71" s="11">
        <v>628391</v>
      </c>
      <c r="E71" s="8">
        <v>9</v>
      </c>
      <c r="F71" s="8" t="str" cm="1">
        <f t="array" ref="F71">(CONCATENATE(TEXT(MIN(IF('Base Avaya'!$E:$E='Operadores S2S'!$D71,'Base Avaya'!$AF:$AF)),"hh:mm")," - ",TEXT(MAX(IF('Base Avaya'!$E:$E='Operadores S2S'!$D71,'Base Avaya'!$AG:$AG)),"hh:mm")))</f>
        <v>14:00 - 16:00</v>
      </c>
      <c r="G71" s="8"/>
      <c r="H71" s="8" t="e">
        <f>VLOOKUP(C71,'[1]Nómina Agentes'!$D:$AU,44,0)</f>
        <v>#N/A</v>
      </c>
      <c r="I71" s="8" t="e">
        <f>VLOOKUP(C71,'[1]Nómina Agentes'!$D$4:$H$473,5,0)</f>
        <v>#N/A</v>
      </c>
    </row>
    <row r="72" spans="2:9" x14ac:dyDescent="0.25">
      <c r="B72" s="8" t="s">
        <v>39</v>
      </c>
      <c r="C72" s="11" t="s">
        <v>322</v>
      </c>
      <c r="D72" s="11">
        <v>628479</v>
      </c>
      <c r="E72" s="8">
        <v>1</v>
      </c>
      <c r="F72" s="8" t="str" cm="1">
        <f t="array" ref="F72">(CONCATENATE(TEXT(MIN(IF('Base Avaya'!$E:$E='Operadores S2S'!$D72,'Base Avaya'!$AF:$AF)),"hh:mm")," - ",TEXT(MAX(IF('Base Avaya'!$E:$E='Operadores S2S'!$D72,'Base Avaya'!$AG:$AG)),"hh:mm")))</f>
        <v>15:00 - 16:00</v>
      </c>
      <c r="G72" s="8"/>
      <c r="H72" s="8" t="e">
        <f>VLOOKUP(C72,'[1]Nómina Agentes'!$D:$AU,44,0)</f>
        <v>#N/A</v>
      </c>
      <c r="I72" s="8" t="e">
        <f>VLOOKUP(C72,'[1]Nómina Agentes'!$D$4:$H$473,5,0)</f>
        <v>#N/A</v>
      </c>
    </row>
    <row r="73" spans="2:9" x14ac:dyDescent="0.25">
      <c r="B73" s="8" t="s">
        <v>39</v>
      </c>
      <c r="C73" s="11" t="s">
        <v>322</v>
      </c>
      <c r="D73" s="11">
        <v>628540</v>
      </c>
      <c r="E73" s="8">
        <v>11</v>
      </c>
      <c r="F73" s="8" t="str" cm="1">
        <f t="array" ref="F73">(CONCATENATE(TEXT(MIN(IF('Base Avaya'!$E:$E='Operadores S2S'!$D73,'Base Avaya'!$AF:$AF)),"hh:mm")," - ",TEXT(MAX(IF('Base Avaya'!$E:$E='Operadores S2S'!$D73,'Base Avaya'!$AG:$AG)),"hh:mm")))</f>
        <v>15:00 - 20:00</v>
      </c>
      <c r="G73" s="8"/>
      <c r="H73" s="8" t="e">
        <f>VLOOKUP(C73,'[1]Nómina Agentes'!$D:$AU,44,0)</f>
        <v>#N/A</v>
      </c>
      <c r="I73" s="8" t="e">
        <f>VLOOKUP(C73,'[1]Nómina Agentes'!$D$4:$H$473,5,0)</f>
        <v>#N/A</v>
      </c>
    </row>
    <row r="74" spans="2:9" x14ac:dyDescent="0.25">
      <c r="B74" s="8" t="s">
        <v>39</v>
      </c>
      <c r="C74" s="11" t="s">
        <v>322</v>
      </c>
      <c r="D74" s="11">
        <v>628362</v>
      </c>
      <c r="E74" s="8">
        <v>2</v>
      </c>
      <c r="F74" s="8" t="str" cm="1">
        <f t="array" ref="F74">(CONCATENATE(TEXT(MIN(IF('Base Avaya'!$E:$E='Operadores S2S'!$D74,'Base Avaya'!$AF:$AF)),"hh:mm")," - ",TEXT(MAX(IF('Base Avaya'!$E:$E='Operadores S2S'!$D74,'Base Avaya'!$AG:$AG)),"hh:mm")))</f>
        <v>15:00 - 16:00</v>
      </c>
      <c r="G74" s="8"/>
      <c r="H74" s="8" t="e">
        <f>VLOOKUP(C74,'[1]Nómina Agentes'!$D:$AU,44,0)</f>
        <v>#N/A</v>
      </c>
      <c r="I74" s="8" t="e">
        <f>VLOOKUP(C74,'[1]Nómina Agentes'!$D$4:$H$473,5,0)</f>
        <v>#N/A</v>
      </c>
    </row>
    <row r="75" spans="2:9" x14ac:dyDescent="0.25">
      <c r="B75" s="8" t="s">
        <v>39</v>
      </c>
      <c r="C75" s="11" t="s">
        <v>322</v>
      </c>
      <c r="D75" s="11">
        <v>628424</v>
      </c>
      <c r="E75" s="8">
        <v>26</v>
      </c>
      <c r="F75" s="8" t="str" cm="1">
        <f t="array" ref="F75">(CONCATENATE(TEXT(MIN(IF('Base Avaya'!$E:$E='Operadores S2S'!$D75,'Base Avaya'!$AF:$AF)),"hh:mm")," - ",TEXT(MAX(IF('Base Avaya'!$E:$E='Operadores S2S'!$D75,'Base Avaya'!$AG:$AG)),"hh:mm")))</f>
        <v>15:00 - 20:00</v>
      </c>
      <c r="G75" s="8"/>
      <c r="H75" s="8" t="e">
        <f>VLOOKUP(C75,'[1]Nómina Agentes'!$D:$AU,44,0)</f>
        <v>#N/A</v>
      </c>
      <c r="I75" s="8" t="e">
        <f>VLOOKUP(C75,'[1]Nómina Agentes'!$D$4:$H$473,5,0)</f>
        <v>#N/A</v>
      </c>
    </row>
    <row r="76" spans="2:9" x14ac:dyDescent="0.25">
      <c r="B76" s="8" t="s">
        <v>39</v>
      </c>
      <c r="C76" s="11" t="s">
        <v>322</v>
      </c>
      <c r="D76" s="11">
        <v>628460</v>
      </c>
      <c r="E76" s="8">
        <v>4</v>
      </c>
      <c r="F76" s="8" t="str" cm="1">
        <f t="array" ref="F76">(CONCATENATE(TEXT(MIN(IF('Base Avaya'!$E:$E='Operadores S2S'!$D76,'Base Avaya'!$AF:$AF)),"hh:mm")," - ",TEXT(MAX(IF('Base Avaya'!$E:$E='Operadores S2S'!$D76,'Base Avaya'!$AG:$AG)),"hh:mm")))</f>
        <v>14:00 - 16:00</v>
      </c>
      <c r="G76" s="8"/>
      <c r="H76" s="8" t="e">
        <f>VLOOKUP(C76,'[1]Nómina Agentes'!$D:$AU,44,0)</f>
        <v>#N/A</v>
      </c>
      <c r="I76" s="8" t="e">
        <f>VLOOKUP(C76,'[1]Nómina Agentes'!$D$4:$H$473,5,0)</f>
        <v>#N/A</v>
      </c>
    </row>
    <row r="77" spans="2:9" x14ac:dyDescent="0.25">
      <c r="B77" s="8" t="s">
        <v>39</v>
      </c>
      <c r="C77" s="11" t="s">
        <v>322</v>
      </c>
      <c r="D77" s="11">
        <v>628294</v>
      </c>
      <c r="E77" s="8">
        <v>6</v>
      </c>
      <c r="F77" s="8" t="str" cm="1">
        <f t="array" ref="F77">(CONCATENATE(TEXT(MIN(IF('Base Avaya'!$E:$E='Operadores S2S'!$D77,'Base Avaya'!$AF:$AF)),"hh:mm")," - ",TEXT(MAX(IF('Base Avaya'!$E:$E='Operadores S2S'!$D77,'Base Avaya'!$AG:$AG)),"hh:mm")))</f>
        <v>14:00 - 15:30</v>
      </c>
      <c r="G77" s="8"/>
      <c r="H77" s="8" t="e">
        <f>VLOOKUP(C77,'[1]Nómina Agentes'!$D:$AU,44,0)</f>
        <v>#N/A</v>
      </c>
      <c r="I77" s="8" t="e">
        <f>VLOOKUP(C77,'[1]Nómina Agentes'!$D$4:$H$473,5,0)</f>
        <v>#N/A</v>
      </c>
    </row>
    <row r="78" spans="2:9" x14ac:dyDescent="0.25">
      <c r="B78" s="8" t="s">
        <v>39</v>
      </c>
      <c r="C78" s="11" t="s">
        <v>322</v>
      </c>
      <c r="D78" s="11">
        <v>628382</v>
      </c>
      <c r="E78" s="8">
        <v>30</v>
      </c>
      <c r="F78" s="8" t="str" cm="1">
        <f t="array" ref="F78">(CONCATENATE(TEXT(MIN(IF('Base Avaya'!$E:$E='Operadores S2S'!$D78,'Base Avaya'!$AF:$AF)),"hh:mm")," - ",TEXT(MAX(IF('Base Avaya'!$E:$E='Operadores S2S'!$D78,'Base Avaya'!$AG:$AG)),"hh:mm")))</f>
        <v>14:00 - 19:00</v>
      </c>
      <c r="G78" s="8"/>
      <c r="H78" s="8" t="e">
        <f>VLOOKUP(C78,'[1]Nómina Agentes'!$D:$AU,44,0)</f>
        <v>#N/A</v>
      </c>
      <c r="I78" s="8" t="e">
        <f>VLOOKUP(C78,'[1]Nómina Agentes'!$D$4:$H$473,5,0)</f>
        <v>#N/A</v>
      </c>
    </row>
    <row r="79" spans="2:9" x14ac:dyDescent="0.25">
      <c r="B79" s="8" t="s">
        <v>39</v>
      </c>
      <c r="C79" s="11" t="s">
        <v>322</v>
      </c>
      <c r="D79" s="11">
        <v>628394</v>
      </c>
      <c r="E79" s="8">
        <v>9</v>
      </c>
      <c r="F79" s="8" t="str" cm="1">
        <f t="array" ref="F79">(CONCATENATE(TEXT(MIN(IF('Base Avaya'!$E:$E='Operadores S2S'!$D79,'Base Avaya'!$AF:$AF)),"hh:mm")," - ",TEXT(MAX(IF('Base Avaya'!$E:$E='Operadores S2S'!$D79,'Base Avaya'!$AG:$AG)),"hh:mm")))</f>
        <v>14:00 - 16:30</v>
      </c>
      <c r="G79" s="8"/>
      <c r="H79" s="8" t="e">
        <f>VLOOKUP(C79,'[1]Nómina Agentes'!$D:$AU,44,0)</f>
        <v>#N/A</v>
      </c>
      <c r="I79" s="8" t="e">
        <f>VLOOKUP(C79,'[1]Nómina Agentes'!$D$4:$H$473,5,0)</f>
        <v>#N/A</v>
      </c>
    </row>
    <row r="80" spans="2:9" x14ac:dyDescent="0.25">
      <c r="B80" s="8" t="s">
        <v>39</v>
      </c>
      <c r="C80" s="11" t="s">
        <v>322</v>
      </c>
      <c r="D80" s="11">
        <v>663456</v>
      </c>
      <c r="E80" s="8">
        <v>9</v>
      </c>
      <c r="F80" s="8" t="str" cm="1">
        <f t="array" ref="F80">(CONCATENATE(TEXT(MIN(IF('Base Avaya'!$E:$E='Operadores S2S'!$D80,'Base Avaya'!$AF:$AF)),"hh:mm")," - ",TEXT(MAX(IF('Base Avaya'!$E:$E='Operadores S2S'!$D80,'Base Avaya'!$AG:$AG)),"hh:mm")))</f>
        <v>14:00 - 16:30</v>
      </c>
      <c r="G80" s="8"/>
      <c r="H80" s="8" t="e">
        <f>VLOOKUP(C80,'[1]Nómina Agentes'!$D:$AU,44,0)</f>
        <v>#N/A</v>
      </c>
      <c r="I80" s="8" t="e">
        <f>VLOOKUP(C80,'[1]Nómina Agentes'!$D$4:$H$473,5,0)</f>
        <v>#N/A</v>
      </c>
    </row>
    <row r="81" spans="2:9" x14ac:dyDescent="0.25">
      <c r="B81" s="8" t="s">
        <v>39</v>
      </c>
      <c r="C81" s="11" t="s">
        <v>322</v>
      </c>
      <c r="D81" s="11">
        <v>616002</v>
      </c>
      <c r="E81" s="8">
        <v>13</v>
      </c>
      <c r="F81" s="8" t="str" cm="1">
        <f t="array" ref="F81">(CONCATENATE(TEXT(MIN(IF('Base Avaya'!$E:$E='Operadores S2S'!$D81,'Base Avaya'!$AF:$AF)),"hh:mm")," - ",TEXT(MAX(IF('Base Avaya'!$E:$E='Operadores S2S'!$D81,'Base Avaya'!$AG:$AG)),"hh:mm")))</f>
        <v>14:00 - 16:30</v>
      </c>
      <c r="G81" s="8"/>
      <c r="H81" s="8" t="e">
        <f>VLOOKUP(C81,'[1]Nómina Agentes'!$D:$AU,44,0)</f>
        <v>#N/A</v>
      </c>
      <c r="I81" s="8" t="e">
        <f>VLOOKUP(C81,'[1]Nómina Agentes'!$D$4:$H$473,5,0)</f>
        <v>#N/A</v>
      </c>
    </row>
    <row r="82" spans="2:9" x14ac:dyDescent="0.25">
      <c r="B82" s="8" t="s">
        <v>39</v>
      </c>
      <c r="C82" s="11" t="s">
        <v>322</v>
      </c>
      <c r="D82" s="11">
        <v>616221</v>
      </c>
      <c r="E82" s="8">
        <v>6</v>
      </c>
      <c r="F82" s="8" t="str" cm="1">
        <f t="array" ref="F82">(CONCATENATE(TEXT(MIN(IF('Base Avaya'!$E:$E='Operadores S2S'!$D82,'Base Avaya'!$AF:$AF)),"hh:mm")," - ",TEXT(MAX(IF('Base Avaya'!$E:$E='Operadores S2S'!$D82,'Base Avaya'!$AG:$AG)),"hh:mm")))</f>
        <v>14:00 - 15:30</v>
      </c>
      <c r="G82" s="8"/>
      <c r="H82" s="8" t="e">
        <f>VLOOKUP(C82,'[1]Nómina Agentes'!$D:$AU,44,0)</f>
        <v>#N/A</v>
      </c>
      <c r="I82" s="8" t="e">
        <f>VLOOKUP(C82,'[1]Nómina Agentes'!$D$4:$H$473,5,0)</f>
        <v>#N/A</v>
      </c>
    </row>
    <row r="83" spans="2:9" x14ac:dyDescent="0.25">
      <c r="B83" s="8" t="s">
        <v>39</v>
      </c>
      <c r="C83" s="11" t="s">
        <v>322</v>
      </c>
      <c r="D83" s="11">
        <v>616261</v>
      </c>
      <c r="E83" s="8">
        <v>15</v>
      </c>
      <c r="F83" s="8" t="str" cm="1">
        <f t="array" ref="F83">(CONCATENATE(TEXT(MIN(IF('Base Avaya'!$E:$E='Operadores S2S'!$D83,'Base Avaya'!$AF:$AF)),"hh:mm")," - ",TEXT(MAX(IF('Base Avaya'!$E:$E='Operadores S2S'!$D83,'Base Avaya'!$AG:$AG)),"hh:mm")))</f>
        <v>14:00 - 16:30</v>
      </c>
      <c r="G83" s="8"/>
      <c r="H83" s="8" t="e">
        <f>VLOOKUP(C83,'[1]Nómina Agentes'!$D:$AU,44,0)</f>
        <v>#N/A</v>
      </c>
      <c r="I83" s="8" t="e">
        <f>VLOOKUP(C83,'[1]Nómina Agentes'!$D$4:$H$473,5,0)</f>
        <v>#N/A</v>
      </c>
    </row>
    <row r="84" spans="2:9" x14ac:dyDescent="0.25">
      <c r="B84" s="8" t="s">
        <v>39</v>
      </c>
      <c r="C84" s="11" t="s">
        <v>322</v>
      </c>
      <c r="D84" s="11">
        <v>616370</v>
      </c>
      <c r="E84" s="8">
        <v>4</v>
      </c>
      <c r="F84" s="8" t="str" cm="1">
        <f t="array" ref="F84">(CONCATENATE(TEXT(MIN(IF('Base Avaya'!$E:$E='Operadores S2S'!$D84,'Base Avaya'!$AF:$AF)),"hh:mm")," - ",TEXT(MAX(IF('Base Avaya'!$E:$E='Operadores S2S'!$D84,'Base Avaya'!$AG:$AG)),"hh:mm")))</f>
        <v>14:00 - 15:30</v>
      </c>
      <c r="G84" s="8"/>
      <c r="H84" s="8" t="e">
        <f>VLOOKUP(C84,'[1]Nómina Agentes'!$D:$AU,44,0)</f>
        <v>#N/A</v>
      </c>
      <c r="I84" s="8" t="e">
        <f>VLOOKUP(C84,'[1]Nómina Agentes'!$D$4:$H$473,5,0)</f>
        <v>#N/A</v>
      </c>
    </row>
    <row r="85" spans="2:9" x14ac:dyDescent="0.25">
      <c r="B85" s="8" t="s">
        <v>39</v>
      </c>
      <c r="C85" s="11" t="s">
        <v>322</v>
      </c>
      <c r="D85" s="11">
        <v>616413</v>
      </c>
      <c r="E85" s="8">
        <v>4</v>
      </c>
      <c r="F85" s="8" t="str" cm="1">
        <f t="array" ref="F85">(CONCATENATE(TEXT(MIN(IF('Base Avaya'!$E:$E='Operadores S2S'!$D85,'Base Avaya'!$AF:$AF)),"hh:mm")," - ",TEXT(MAX(IF('Base Avaya'!$E:$E='Operadores S2S'!$D85,'Base Avaya'!$AG:$AG)),"hh:mm")))</f>
        <v>14:00 - 15:30</v>
      </c>
      <c r="G85" s="8"/>
      <c r="H85" s="8" t="e">
        <f>VLOOKUP(C85,'[1]Nómina Agentes'!$D:$AU,44,0)</f>
        <v>#N/A</v>
      </c>
      <c r="I85" s="8" t="e">
        <f>VLOOKUP(C85,'[1]Nómina Agentes'!$D$4:$H$473,5,0)</f>
        <v>#N/A</v>
      </c>
    </row>
    <row r="86" spans="2:9" x14ac:dyDescent="0.25">
      <c r="B86" s="8" t="s">
        <v>39</v>
      </c>
      <c r="C86" s="11" t="s">
        <v>322</v>
      </c>
      <c r="D86" s="11">
        <v>616414</v>
      </c>
      <c r="E86" s="8">
        <v>5</v>
      </c>
      <c r="F86" s="8" t="str" cm="1">
        <f t="array" ref="F86">(CONCATENATE(TEXT(MIN(IF('Base Avaya'!$E:$E='Operadores S2S'!$D86,'Base Avaya'!$AF:$AF)),"hh:mm")," - ",TEXT(MAX(IF('Base Avaya'!$E:$E='Operadores S2S'!$D86,'Base Avaya'!$AG:$AG)),"hh:mm")))</f>
        <v>14:00 - 15:30</v>
      </c>
      <c r="G86" s="8"/>
      <c r="H86" s="8" t="e">
        <f>VLOOKUP(C86,'[1]Nómina Agentes'!$D:$AU,44,0)</f>
        <v>#N/A</v>
      </c>
      <c r="I86" s="8" t="e">
        <f>VLOOKUP(C86,'[1]Nómina Agentes'!$D$4:$H$473,5,0)</f>
        <v>#N/A</v>
      </c>
    </row>
    <row r="87" spans="2:9" x14ac:dyDescent="0.25">
      <c r="B87" s="8" t="s">
        <v>39</v>
      </c>
      <c r="C87" s="11" t="s">
        <v>322</v>
      </c>
      <c r="D87" s="11">
        <v>616433</v>
      </c>
      <c r="E87" s="8">
        <v>17</v>
      </c>
      <c r="F87" s="8" t="str" cm="1">
        <f t="array" ref="F87">(CONCATENATE(TEXT(MIN(IF('Base Avaya'!$E:$E='Operadores S2S'!$D87,'Base Avaya'!$AF:$AF)),"hh:mm")," - ",TEXT(MAX(IF('Base Avaya'!$E:$E='Operadores S2S'!$D87,'Base Avaya'!$AG:$AG)),"hh:mm")))</f>
        <v>14:00 - 18:30</v>
      </c>
      <c r="G87" s="8"/>
      <c r="H87" s="8" t="e">
        <f>VLOOKUP(C87,'[1]Nómina Agentes'!$D:$AU,44,0)</f>
        <v>#N/A</v>
      </c>
      <c r="I87" s="8" t="e">
        <f>VLOOKUP(C87,'[1]Nómina Agentes'!$D$4:$H$473,5,0)</f>
        <v>#N/A</v>
      </c>
    </row>
    <row r="88" spans="2:9" x14ac:dyDescent="0.25">
      <c r="B88" s="8" t="s">
        <v>39</v>
      </c>
      <c r="C88" s="11" t="s">
        <v>322</v>
      </c>
      <c r="D88" s="11">
        <v>616457</v>
      </c>
      <c r="E88" s="8">
        <v>5</v>
      </c>
      <c r="F88" s="8" t="str" cm="1">
        <f t="array" ref="F88">(CONCATENATE(TEXT(MIN(IF('Base Avaya'!$E:$E='Operadores S2S'!$D88,'Base Avaya'!$AF:$AF)),"hh:mm")," - ",TEXT(MAX(IF('Base Avaya'!$E:$E='Operadores S2S'!$D88,'Base Avaya'!$AG:$AG)),"hh:mm")))</f>
        <v>14:00 - 15:30</v>
      </c>
      <c r="G88" s="8"/>
      <c r="H88" s="8" t="e">
        <f>VLOOKUP(C88,'[1]Nómina Agentes'!$D:$AU,44,0)</f>
        <v>#N/A</v>
      </c>
      <c r="I88" s="8" t="e">
        <f>VLOOKUP(C88,'[1]Nómina Agentes'!$D$4:$H$473,5,0)</f>
        <v>#N/A</v>
      </c>
    </row>
    <row r="89" spans="2:9" x14ac:dyDescent="0.25">
      <c r="B89" s="8" t="s">
        <v>39</v>
      </c>
      <c r="C89" s="11" t="s">
        <v>322</v>
      </c>
      <c r="D89" s="11">
        <v>616481</v>
      </c>
      <c r="E89" s="8">
        <v>6</v>
      </c>
      <c r="F89" s="8" t="str" cm="1">
        <f t="array" ref="F89">(CONCATENATE(TEXT(MIN(IF('Base Avaya'!$E:$E='Operadores S2S'!$D89,'Base Avaya'!$AF:$AF)),"hh:mm")," - ",TEXT(MAX(IF('Base Avaya'!$E:$E='Operadores S2S'!$D89,'Base Avaya'!$AG:$AG)),"hh:mm")))</f>
        <v>14:00 - 15:30</v>
      </c>
      <c r="G89" s="8"/>
      <c r="H89" s="8" t="e">
        <f>VLOOKUP(C89,'[1]Nómina Agentes'!$D:$AU,44,0)</f>
        <v>#N/A</v>
      </c>
      <c r="I89" s="8" t="e">
        <f>VLOOKUP(C89,'[1]Nómina Agentes'!$D$4:$H$473,5,0)</f>
        <v>#N/A</v>
      </c>
    </row>
    <row r="90" spans="2:9" x14ac:dyDescent="0.25">
      <c r="B90" s="8" t="s">
        <v>39</v>
      </c>
      <c r="C90" s="11" t="s">
        <v>322</v>
      </c>
      <c r="D90" s="11">
        <v>616483</v>
      </c>
      <c r="E90" s="8">
        <v>6</v>
      </c>
      <c r="F90" s="8" t="str" cm="1">
        <f t="array" ref="F90">(CONCATENATE(TEXT(MIN(IF('Base Avaya'!$E:$E='Operadores S2S'!$D90,'Base Avaya'!$AF:$AF)),"hh:mm")," - ",TEXT(MAX(IF('Base Avaya'!$E:$E='Operadores S2S'!$D90,'Base Avaya'!$AG:$AG)),"hh:mm")))</f>
        <v>14:00 - 15:30</v>
      </c>
      <c r="G90" s="8"/>
      <c r="H90" s="8" t="e">
        <f>VLOOKUP(C90,'[1]Nómina Agentes'!$D:$AU,44,0)</f>
        <v>#N/A</v>
      </c>
      <c r="I90" s="8" t="e">
        <f>VLOOKUP(C90,'[1]Nómina Agentes'!$D$4:$H$473,5,0)</f>
        <v>#N/A</v>
      </c>
    </row>
    <row r="91" spans="2:9" x14ac:dyDescent="0.25">
      <c r="B91" s="8" t="s">
        <v>39</v>
      </c>
      <c r="C91" s="11" t="s">
        <v>322</v>
      </c>
      <c r="D91" s="11">
        <v>616491</v>
      </c>
      <c r="E91" s="8">
        <v>9</v>
      </c>
      <c r="F91" s="8" t="str" cm="1">
        <f t="array" ref="F91">(CONCATENATE(TEXT(MIN(IF('Base Avaya'!$E:$E='Operadores S2S'!$D91,'Base Avaya'!$AF:$AF)),"hh:mm")," - ",TEXT(MAX(IF('Base Avaya'!$E:$E='Operadores S2S'!$D91,'Base Avaya'!$AG:$AG)),"hh:mm")))</f>
        <v>14:00 - 16:30</v>
      </c>
      <c r="G91" s="8"/>
      <c r="H91" s="8" t="e">
        <f>VLOOKUP(C91,'[1]Nómina Agentes'!$D:$AU,44,0)</f>
        <v>#N/A</v>
      </c>
      <c r="I91" s="8" t="e">
        <f>VLOOKUP(C91,'[1]Nómina Agentes'!$D$4:$H$473,5,0)</f>
        <v>#N/A</v>
      </c>
    </row>
    <row r="92" spans="2:9" x14ac:dyDescent="0.25">
      <c r="B92" s="8" t="s">
        <v>39</v>
      </c>
      <c r="C92" s="11" t="s">
        <v>322</v>
      </c>
      <c r="D92" s="11">
        <v>616494</v>
      </c>
      <c r="E92" s="8">
        <v>19</v>
      </c>
      <c r="F92" s="8" t="str" cm="1">
        <f t="array" ref="F92">(CONCATENATE(TEXT(MIN(IF('Base Avaya'!$E:$E='Operadores S2S'!$D92,'Base Avaya'!$AF:$AF)),"hh:mm")," - ",TEXT(MAX(IF('Base Avaya'!$E:$E='Operadores S2S'!$D92,'Base Avaya'!$AG:$AG)),"hh:mm")))</f>
        <v>14:00 - 17:30</v>
      </c>
      <c r="G92" s="8"/>
      <c r="H92" s="8" t="e">
        <f>VLOOKUP(C92,'[1]Nómina Agentes'!$D:$AU,44,0)</f>
        <v>#N/A</v>
      </c>
      <c r="I92" s="8" t="e">
        <f>VLOOKUP(C92,'[1]Nómina Agentes'!$D$4:$H$473,5,0)</f>
        <v>#N/A</v>
      </c>
    </row>
    <row r="93" spans="2:9" x14ac:dyDescent="0.25">
      <c r="B93" s="8" t="s">
        <v>39</v>
      </c>
      <c r="C93" s="11" t="s">
        <v>322</v>
      </c>
      <c r="D93" s="11">
        <v>616518</v>
      </c>
      <c r="E93" s="8">
        <v>6</v>
      </c>
      <c r="F93" s="8" t="str" cm="1">
        <f t="array" ref="F93">(CONCATENATE(TEXT(MIN(IF('Base Avaya'!$E:$E='Operadores S2S'!$D93,'Base Avaya'!$AF:$AF)),"hh:mm")," - ",TEXT(MAX(IF('Base Avaya'!$E:$E='Operadores S2S'!$D93,'Base Avaya'!$AG:$AG)),"hh:mm")))</f>
        <v>14:00 - 15:30</v>
      </c>
      <c r="G93" s="8"/>
      <c r="H93" s="8" t="e">
        <f>VLOOKUP(C93,'[1]Nómina Agentes'!$D:$AU,44,0)</f>
        <v>#N/A</v>
      </c>
      <c r="I93" s="8" t="e">
        <f>VLOOKUP(C93,'[1]Nómina Agentes'!$D$4:$H$473,5,0)</f>
        <v>#N/A</v>
      </c>
    </row>
    <row r="94" spans="2:9" x14ac:dyDescent="0.25">
      <c r="B94" s="8" t="s">
        <v>39</v>
      </c>
      <c r="C94" s="11" t="s">
        <v>322</v>
      </c>
      <c r="D94" s="11">
        <v>616522</v>
      </c>
      <c r="E94" s="8">
        <v>9</v>
      </c>
      <c r="F94" s="8" t="str" cm="1">
        <f t="array" ref="F94">(CONCATENATE(TEXT(MIN(IF('Base Avaya'!$E:$E='Operadores S2S'!$D94,'Base Avaya'!$AF:$AF)),"hh:mm")," - ",TEXT(MAX(IF('Base Avaya'!$E:$E='Operadores S2S'!$D94,'Base Avaya'!$AG:$AG)),"hh:mm")))</f>
        <v>14:00 - 16:30</v>
      </c>
      <c r="G94" s="8"/>
      <c r="H94" s="8" t="e">
        <f>VLOOKUP(C94,'[1]Nómina Agentes'!$D:$AU,44,0)</f>
        <v>#N/A</v>
      </c>
      <c r="I94" s="8" t="e">
        <f>VLOOKUP(C94,'[1]Nómina Agentes'!$D$4:$H$473,5,0)</f>
        <v>#N/A</v>
      </c>
    </row>
    <row r="95" spans="2:9" x14ac:dyDescent="0.25">
      <c r="B95" s="8" t="s">
        <v>39</v>
      </c>
      <c r="C95" s="11" t="s">
        <v>322</v>
      </c>
      <c r="D95" s="11">
        <v>616590</v>
      </c>
      <c r="E95" s="8">
        <v>34</v>
      </c>
      <c r="F95" s="8" t="str" cm="1">
        <f t="array" ref="F95">(CONCATENATE(TEXT(MIN(IF('Base Avaya'!$E:$E='Operadores S2S'!$D95,'Base Avaya'!$AF:$AF)),"hh:mm")," - ",TEXT(MAX(IF('Base Avaya'!$E:$E='Operadores S2S'!$D95,'Base Avaya'!$AG:$AG)),"hh:mm")))</f>
        <v>14:00 - 20:00</v>
      </c>
      <c r="G95" s="8"/>
      <c r="H95" s="8" t="e">
        <f>VLOOKUP(C95,'[1]Nómina Agentes'!$D:$AU,44,0)</f>
        <v>#N/A</v>
      </c>
      <c r="I95" s="8" t="e">
        <f>VLOOKUP(C95,'[1]Nómina Agentes'!$D$4:$H$473,5,0)</f>
        <v>#N/A</v>
      </c>
    </row>
    <row r="96" spans="2:9" x14ac:dyDescent="0.25">
      <c r="B96" s="8" t="s">
        <v>39</v>
      </c>
      <c r="C96" s="11" t="s">
        <v>322</v>
      </c>
      <c r="D96" s="11">
        <v>628107</v>
      </c>
      <c r="E96" s="8">
        <v>6</v>
      </c>
      <c r="F96" s="8" t="str" cm="1">
        <f t="array" ref="F96">(CONCATENATE(TEXT(MIN(IF('Base Avaya'!$E:$E='Operadores S2S'!$D96,'Base Avaya'!$AF:$AF)),"hh:mm")," - ",TEXT(MAX(IF('Base Avaya'!$E:$E='Operadores S2S'!$D96,'Base Avaya'!$AG:$AG)),"hh:mm")))</f>
        <v>14:00 - 20:00</v>
      </c>
      <c r="G96" s="8"/>
      <c r="H96" s="8" t="e">
        <f>VLOOKUP(C96,'[1]Nómina Agentes'!$D:$AU,44,0)</f>
        <v>#N/A</v>
      </c>
      <c r="I96" s="8" t="e">
        <f>VLOOKUP(C96,'[1]Nómina Agentes'!$D$4:$H$473,5,0)</f>
        <v>#N/A</v>
      </c>
    </row>
    <row r="97" spans="2:11" x14ac:dyDescent="0.25">
      <c r="B97" s="8" t="s">
        <v>39</v>
      </c>
      <c r="C97" s="11" t="s">
        <v>322</v>
      </c>
      <c r="D97" s="11">
        <v>616238</v>
      </c>
      <c r="E97" s="8">
        <v>7</v>
      </c>
      <c r="F97" s="8" t="str" cm="1">
        <f t="array" ref="F97">(CONCATENATE(TEXT(MIN(IF('Base Avaya'!$E:$E='Operadores S2S'!$D97,'Base Avaya'!$AF:$AF)),"hh:mm")," - ",TEXT(MAX(IF('Base Avaya'!$E:$E='Operadores S2S'!$D97,'Base Avaya'!$AG:$AG)),"hh:mm")))</f>
        <v>14:00 - 15:30</v>
      </c>
      <c r="G97" s="8"/>
      <c r="H97" s="8" t="e">
        <f>VLOOKUP(C97,'[1]Nómina Agentes'!$D:$AU,44,0)</f>
        <v>#N/A</v>
      </c>
      <c r="I97" s="8" t="e">
        <f>VLOOKUP(C97,'[1]Nómina Agentes'!$D$4:$H$473,5,0)</f>
        <v>#N/A</v>
      </c>
    </row>
    <row r="98" spans="2:11" x14ac:dyDescent="0.25">
      <c r="B98" s="8" t="s">
        <v>39</v>
      </c>
      <c r="C98" s="11" t="s">
        <v>322</v>
      </c>
      <c r="D98" s="11">
        <v>616090</v>
      </c>
      <c r="E98" s="8">
        <v>35</v>
      </c>
      <c r="F98" s="8" t="str" cm="1">
        <f t="array" ref="F98">(CONCATENATE(TEXT(MIN(IF('Base Avaya'!$E:$E='Operadores S2S'!$D98,'Base Avaya'!$AF:$AF)),"hh:mm")," - ",TEXT(MAX(IF('Base Avaya'!$E:$E='Operadores S2S'!$D98,'Base Avaya'!$AG:$AG)),"hh:mm")))</f>
        <v>14:00 - 20:00</v>
      </c>
      <c r="G98" s="8"/>
      <c r="H98" s="8" t="e">
        <f>VLOOKUP(C98,'[1]Nómina Agentes'!$D:$AU,44,0)</f>
        <v>#N/A</v>
      </c>
      <c r="I98" s="8" t="e">
        <f>VLOOKUP(C98,'[1]Nómina Agentes'!$D$4:$H$473,5,0)</f>
        <v>#N/A</v>
      </c>
    </row>
    <row r="99" spans="2:11" x14ac:dyDescent="0.25">
      <c r="B99" s="8" t="s">
        <v>39</v>
      </c>
      <c r="C99" s="11" t="s">
        <v>322</v>
      </c>
      <c r="D99" s="11">
        <v>616206</v>
      </c>
      <c r="E99" s="8">
        <v>42</v>
      </c>
      <c r="F99" s="8" t="str" cm="1">
        <f t="array" ref="F99">(CONCATENATE(TEXT(MIN(IF('Base Avaya'!$E:$E='Operadores S2S'!$D99,'Base Avaya'!$AF:$AF)),"hh:mm")," - ",TEXT(MAX(IF('Base Avaya'!$E:$E='Operadores S2S'!$D99,'Base Avaya'!$AG:$AG)),"hh:mm")))</f>
        <v>14:00 - 20:00</v>
      </c>
      <c r="G99" s="8"/>
      <c r="H99" s="8" t="e">
        <f>VLOOKUP(C99,'[1]Nómina Agentes'!$D:$AU,44,0)</f>
        <v>#N/A</v>
      </c>
      <c r="I99" s="8" t="e">
        <f>VLOOKUP(C99,'[1]Nómina Agentes'!$D$4:$H$473,5,0)</f>
        <v>#N/A</v>
      </c>
    </row>
    <row r="100" spans="2:11" x14ac:dyDescent="0.25">
      <c r="B100" s="8" t="s">
        <v>39</v>
      </c>
      <c r="C100" s="11" t="s">
        <v>322</v>
      </c>
      <c r="D100" s="11">
        <v>616336</v>
      </c>
      <c r="E100" s="8">
        <v>24</v>
      </c>
      <c r="F100" s="8" t="str" cm="1">
        <f t="array" ref="F100">(CONCATENATE(TEXT(MIN(IF('Base Avaya'!$E:$E='Operadores S2S'!$D100,'Base Avaya'!$AF:$AF)),"hh:mm")," - ",TEXT(MAX(IF('Base Avaya'!$E:$E='Operadores S2S'!$D100,'Base Avaya'!$AG:$AG)),"hh:mm")))</f>
        <v>14:00 - 20:00</v>
      </c>
      <c r="G100" s="8"/>
      <c r="H100" s="8" t="e">
        <f>VLOOKUP(C100,'[1]Nómina Agentes'!$D:$AU,44,0)</f>
        <v>#N/A</v>
      </c>
      <c r="I100" s="8" t="e">
        <f>VLOOKUP(C100,'[1]Nómina Agentes'!$D$4:$H$473,5,0)</f>
        <v>#N/A</v>
      </c>
    </row>
    <row r="101" spans="2:11" x14ac:dyDescent="0.25">
      <c r="B101" s="8" t="s">
        <v>39</v>
      </c>
      <c r="C101" s="11" t="s">
        <v>322</v>
      </c>
      <c r="D101" s="11">
        <v>616423</v>
      </c>
      <c r="E101" s="8">
        <v>18</v>
      </c>
      <c r="F101" s="8" t="str" cm="1">
        <f t="array" ref="F101">(CONCATENATE(TEXT(MIN(IF('Base Avaya'!$E:$E='Operadores S2S'!$D101,'Base Avaya'!$AF:$AF)),"hh:mm")," - ",TEXT(MAX(IF('Base Avaya'!$E:$E='Operadores S2S'!$D101,'Base Avaya'!$AG:$AG)),"hh:mm")))</f>
        <v>17:00 - 20:00</v>
      </c>
      <c r="G101" s="8"/>
      <c r="H101" s="8" t="e">
        <f>VLOOKUP(C101,'[1]Nómina Agentes'!$D:$AU,44,0)</f>
        <v>#N/A</v>
      </c>
      <c r="I101" s="8" t="e">
        <f>VLOOKUP(C101,'[1]Nómina Agentes'!$D$4:$H$473,5,0)</f>
        <v>#N/A</v>
      </c>
    </row>
    <row r="102" spans="2:11" x14ac:dyDescent="0.25">
      <c r="B102" s="8" t="s">
        <v>39</v>
      </c>
      <c r="C102" s="11" t="s">
        <v>322</v>
      </c>
      <c r="D102" s="11">
        <v>616438</v>
      </c>
      <c r="E102" s="8">
        <v>27</v>
      </c>
      <c r="F102" s="8" t="str" cm="1">
        <f t="array" ref="F102">(CONCATENATE(TEXT(MIN(IF('Base Avaya'!$E:$E='Operadores S2S'!$D102,'Base Avaya'!$AF:$AF)),"hh:mm")," - ",TEXT(MAX(IF('Base Avaya'!$E:$E='Operadores S2S'!$D102,'Base Avaya'!$AG:$AG)),"hh:mm")))</f>
        <v>15:00 - 20:00</v>
      </c>
      <c r="G102" s="8"/>
      <c r="H102" s="8" t="e">
        <f>VLOOKUP(C102,'[1]Nómina Agentes'!$D:$AU,44,0)</f>
        <v>#N/A</v>
      </c>
      <c r="I102" s="8" t="e">
        <f>VLOOKUP(C102,'[1]Nómina Agentes'!$D$4:$H$473,5,0)</f>
        <v>#N/A</v>
      </c>
    </row>
    <row r="103" spans="2:11" x14ac:dyDescent="0.25">
      <c r="B103" s="8" t="s">
        <v>39</v>
      </c>
      <c r="C103" s="11" t="s">
        <v>322</v>
      </c>
      <c r="D103" s="11">
        <v>616520</v>
      </c>
      <c r="E103" s="8">
        <v>35</v>
      </c>
      <c r="F103" s="8" t="str" cm="1">
        <f t="array" ref="F103">(CONCATENATE(TEXT(MIN(IF('Base Avaya'!$E:$E='Operadores S2S'!$D103,'Base Avaya'!$AF:$AF)),"hh:mm")," - ",TEXT(MAX(IF('Base Avaya'!$E:$E='Operadores S2S'!$D103,'Base Avaya'!$AG:$AG)),"hh:mm")))</f>
        <v>15:00 - 20:00</v>
      </c>
      <c r="G103" s="8"/>
      <c r="H103" s="8" t="e">
        <f>VLOOKUP(C103,'[1]Nómina Agentes'!$D:$AU,44,0)</f>
        <v>#N/A</v>
      </c>
      <c r="I103" s="8" t="e">
        <f>VLOOKUP(C103,'[1]Nómina Agentes'!$D$4:$H$473,5,0)</f>
        <v>#N/A</v>
      </c>
    </row>
    <row r="104" spans="2:11" x14ac:dyDescent="0.25">
      <c r="B104" s="8" t="s">
        <v>39</v>
      </c>
      <c r="C104" s="11" t="s">
        <v>322</v>
      </c>
      <c r="D104" s="11">
        <v>616530</v>
      </c>
      <c r="E104" s="8">
        <v>39</v>
      </c>
      <c r="F104" s="8" t="str" cm="1">
        <f t="array" ref="F104">(CONCATENATE(TEXT(MIN(IF('Base Avaya'!$E:$E='Operadores S2S'!$D104,'Base Avaya'!$AF:$AF)),"hh:mm")," - ",TEXT(MAX(IF('Base Avaya'!$E:$E='Operadores S2S'!$D104,'Base Avaya'!$AG:$AG)),"hh:mm")))</f>
        <v>14:00 - 19:30</v>
      </c>
      <c r="G104" s="8"/>
      <c r="H104" s="8" t="e">
        <f>VLOOKUP(C104,'[1]Nómina Agentes'!$D:$AU,44,0)</f>
        <v>#N/A</v>
      </c>
      <c r="I104" s="8" t="e">
        <f>VLOOKUP(C104,'[1]Nómina Agentes'!$D$4:$H$473,5,0)</f>
        <v>#N/A</v>
      </c>
    </row>
    <row r="105" spans="2:11" x14ac:dyDescent="0.25">
      <c r="B105" s="8" t="s">
        <v>39</v>
      </c>
      <c r="C105" s="11" t="s">
        <v>322</v>
      </c>
      <c r="D105" s="11">
        <v>616597</v>
      </c>
      <c r="E105" s="8">
        <v>32</v>
      </c>
      <c r="F105" s="8" t="str" cm="1">
        <f t="array" ref="F105">(CONCATENATE(TEXT(MIN(IF('Base Avaya'!$E:$E='Operadores S2S'!$D105,'Base Avaya'!$AF:$AF)),"hh:mm")," - ",TEXT(MAX(IF('Base Avaya'!$E:$E='Operadores S2S'!$D105,'Base Avaya'!$AG:$AG)),"hh:mm")))</f>
        <v>14:00 - 20:00</v>
      </c>
      <c r="G105" s="8"/>
      <c r="H105" s="8" t="e">
        <f>VLOOKUP(C105,'[1]Nómina Agentes'!$D:$AU,44,0)</f>
        <v>#N/A</v>
      </c>
      <c r="I105" s="8" t="e">
        <f>VLOOKUP(C105,'[1]Nómina Agentes'!$D$4:$H$473,5,0)</f>
        <v>#N/A</v>
      </c>
    </row>
    <row r="106" spans="2:11" x14ac:dyDescent="0.25">
      <c r="B106" s="8" t="s">
        <v>39</v>
      </c>
      <c r="C106" s="11" t="s">
        <v>322</v>
      </c>
      <c r="D106" s="11">
        <v>628010</v>
      </c>
      <c r="E106" s="8">
        <v>7</v>
      </c>
      <c r="F106" s="8" t="str" cm="1">
        <f t="array" ref="F106">(CONCATENATE(TEXT(MIN(IF('Base Avaya'!$E:$E='Operadores S2S'!$D106,'Base Avaya'!$AF:$AF)),"hh:mm")," - ",TEXT(MAX(IF('Base Avaya'!$E:$E='Operadores S2S'!$D106,'Base Avaya'!$AG:$AG)),"hh:mm")))</f>
        <v>14:00 - 15:30</v>
      </c>
      <c r="G106" s="8"/>
      <c r="H106" s="8" t="e">
        <f>VLOOKUP(C106,'[1]Nómina Agentes'!$D:$AU,44,0)</f>
        <v>#N/A</v>
      </c>
      <c r="I106" s="8" t="e">
        <f>VLOOKUP(C106,'[1]Nómina Agentes'!$D$4:$H$473,5,0)</f>
        <v>#N/A</v>
      </c>
    </row>
    <row r="107" spans="2:11" x14ac:dyDescent="0.25">
      <c r="B107" s="8" t="s">
        <v>39</v>
      </c>
      <c r="C107" s="11" t="s">
        <v>322</v>
      </c>
      <c r="D107" s="11">
        <v>628286</v>
      </c>
      <c r="E107" s="8">
        <v>6</v>
      </c>
      <c r="F107" s="8" t="str" cm="1">
        <f t="array" ref="F107">(CONCATENATE(TEXT(MIN(IF('Base Avaya'!$E:$E='Operadores S2S'!$D107,'Base Avaya'!$AF:$AF)),"hh:mm")," - ",TEXT(MAX(IF('Base Avaya'!$E:$E='Operadores S2S'!$D107,'Base Avaya'!$AG:$AG)),"hh:mm")))</f>
        <v>14:00 - 15:30</v>
      </c>
      <c r="G107" s="8"/>
      <c r="H107" s="8" t="e">
        <f>VLOOKUP(C107,'[1]Nómina Agentes'!$D:$AU,44,0)</f>
        <v>#N/A</v>
      </c>
      <c r="I107" s="8" t="e">
        <f>VLOOKUP(C107,'[1]Nómina Agentes'!$D$4:$H$473,5,0)</f>
        <v>#N/A</v>
      </c>
    </row>
    <row r="108" spans="2:11" x14ac:dyDescent="0.25">
      <c r="B108" s="8" t="s">
        <v>39</v>
      </c>
      <c r="C108" s="11" t="s">
        <v>322</v>
      </c>
      <c r="D108" s="11">
        <v>69994</v>
      </c>
      <c r="E108" s="8">
        <v>33</v>
      </c>
      <c r="F108" s="8" t="str" cm="1">
        <f t="array" ref="F108">(CONCATENATE(TEXT(MIN(IF('Base Avaya'!$E:$E='Operadores S2S'!$D108,'Base Avaya'!$AF:$AF)),"hh:mm")," - ",TEXT(MAX(IF('Base Avaya'!$E:$E='Operadores S2S'!$D108,'Base Avaya'!$AG:$AG)),"hh:mm")))</f>
        <v>14:00 - 20:00</v>
      </c>
      <c r="G108" s="8"/>
      <c r="H108" s="8" t="e">
        <f>VLOOKUP(C108,'[1]Nómina Agentes'!$D:$AU,44,0)</f>
        <v>#N/A</v>
      </c>
      <c r="I108" s="8" t="e">
        <f>VLOOKUP(C108,'[1]Nómina Agentes'!$D$4:$H$473,5,0)</f>
        <v>#N/A</v>
      </c>
    </row>
    <row r="109" spans="2:11" x14ac:dyDescent="0.25">
      <c r="B109" s="8" t="s">
        <v>39</v>
      </c>
      <c r="C109" s="11" t="s">
        <v>322</v>
      </c>
      <c r="D109" s="11">
        <v>628034</v>
      </c>
      <c r="E109" s="8">
        <v>8</v>
      </c>
      <c r="F109" s="8" t="str" cm="1">
        <f t="array" ref="F109">(CONCATENATE(TEXT(MIN(IF('Base Avaya'!$E:$E='Operadores S2S'!$D109,'Base Avaya'!$AF:$AF)),"hh:mm")," - ",TEXT(MAX(IF('Base Avaya'!$E:$E='Operadores S2S'!$D109,'Base Avaya'!$AG:$AG)),"hh:mm")))</f>
        <v>14:00 - 16:00</v>
      </c>
      <c r="G109" s="8"/>
      <c r="H109" s="8" t="e">
        <f>VLOOKUP(C109,'[1]Nómina Agentes'!$D:$AU,44,0)</f>
        <v>#N/A</v>
      </c>
      <c r="I109" s="8" t="e">
        <f>VLOOKUP(C109,'[1]Nómina Agentes'!$D$4:$H$473,5,0)</f>
        <v>#N/A</v>
      </c>
      <c r="J109" s="10"/>
      <c r="K109" s="10"/>
    </row>
    <row r="110" spans="2:11" x14ac:dyDescent="0.25">
      <c r="B110" s="8" t="s">
        <v>39</v>
      </c>
      <c r="C110" s="11" t="s">
        <v>322</v>
      </c>
      <c r="D110" s="11">
        <v>628388</v>
      </c>
      <c r="E110" s="8">
        <v>5</v>
      </c>
      <c r="F110" s="8" t="str" cm="1">
        <f t="array" ref="F110">(CONCATENATE(TEXT(MIN(IF('Base Avaya'!$E:$E='Operadores S2S'!$D110,'Base Avaya'!$AF:$AF)),"hh:mm")," - ",TEXT(MAX(IF('Base Avaya'!$E:$E='Operadores S2S'!$D110,'Base Avaya'!$AG:$AG)),"hh:mm")))</f>
        <v>14:00 - 15:30</v>
      </c>
      <c r="G110" s="8"/>
      <c r="H110" s="8" t="e">
        <f>VLOOKUP(C110,'[1]Nómina Agentes'!$D:$AU,44,0)</f>
        <v>#N/A</v>
      </c>
      <c r="I110" s="8" t="e">
        <f>VLOOKUP(C110,'[1]Nómina Agentes'!$D$4:$H$473,5,0)</f>
        <v>#N/A</v>
      </c>
      <c r="J110" s="10"/>
      <c r="K110" s="10"/>
    </row>
    <row r="111" spans="2:11" x14ac:dyDescent="0.25">
      <c r="B111" s="8" t="s">
        <v>39</v>
      </c>
      <c r="C111" s="11" t="s">
        <v>322</v>
      </c>
      <c r="D111" s="11">
        <v>628423</v>
      </c>
      <c r="E111" s="8">
        <v>6</v>
      </c>
      <c r="F111" s="8" t="str" cm="1">
        <f t="array" ref="F111">(CONCATENATE(TEXT(MIN(IF('Base Avaya'!$E:$E='Operadores S2S'!$D111,'Base Avaya'!$AF:$AF)),"hh:mm")," - ",TEXT(MAX(IF('Base Avaya'!$E:$E='Operadores S2S'!$D111,'Base Avaya'!$AG:$AG)),"hh:mm")))</f>
        <v>14:00 - 15:30</v>
      </c>
      <c r="G111" s="8"/>
      <c r="H111" s="8" t="e">
        <f>VLOOKUP(C111,'[1]Nómina Agentes'!$D:$AU,44,0)</f>
        <v>#N/A</v>
      </c>
      <c r="I111" s="8" t="e">
        <f>VLOOKUP(C111,'[1]Nómina Agentes'!$D$4:$H$473,5,0)</f>
        <v>#N/A</v>
      </c>
      <c r="J111" s="10"/>
      <c r="K111" s="10"/>
    </row>
    <row r="112" spans="2:11" x14ac:dyDescent="0.25">
      <c r="B112" s="8" t="s">
        <v>39</v>
      </c>
      <c r="C112" s="11" t="s">
        <v>322</v>
      </c>
      <c r="D112" s="11">
        <v>628395</v>
      </c>
      <c r="E112" s="8">
        <v>34</v>
      </c>
      <c r="F112" s="8" t="str" cm="1">
        <f t="array" ref="F112">(CONCATENATE(TEXT(MIN(IF('Base Avaya'!$E:$E='Operadores S2S'!$D112,'Base Avaya'!$AF:$AF)),"hh:mm")," - ",TEXT(MAX(IF('Base Avaya'!$E:$E='Operadores S2S'!$D112,'Base Avaya'!$AG:$AG)),"hh:mm")))</f>
        <v>14:00 - 20:00</v>
      </c>
      <c r="G112" s="8"/>
      <c r="H112" s="8" t="e">
        <f>VLOOKUP(C112,'[1]Nómina Agentes'!$D:$AU,44,0)</f>
        <v>#N/A</v>
      </c>
      <c r="I112" s="8" t="e">
        <f>VLOOKUP(C112,'[1]Nómina Agentes'!$D$4:$H$473,5,0)</f>
        <v>#N/A</v>
      </c>
      <c r="J112" s="10"/>
      <c r="K112" s="10"/>
    </row>
    <row r="113" spans="2:11" x14ac:dyDescent="0.25">
      <c r="B113" s="8" t="s">
        <v>39</v>
      </c>
      <c r="C113" s="11" t="s">
        <v>322</v>
      </c>
      <c r="D113" s="11">
        <v>628070</v>
      </c>
      <c r="E113" s="8">
        <v>9</v>
      </c>
      <c r="F113" s="8" t="str" cm="1">
        <f t="array" ref="F113">(CONCATENATE(TEXT(MIN(IF('Base Avaya'!$E:$E='Operadores S2S'!$D113,'Base Avaya'!$AF:$AF)),"hh:mm")," - ",TEXT(MAX(IF('Base Avaya'!$E:$E='Operadores S2S'!$D113,'Base Avaya'!$AG:$AG)),"hh:mm")))</f>
        <v>14:00 - 16:00</v>
      </c>
      <c r="G113" s="8"/>
      <c r="H113" s="8" t="e">
        <f>VLOOKUP(C113,'[1]Nómina Agentes'!$D:$AU,44,0)</f>
        <v>#N/A</v>
      </c>
      <c r="I113" s="8" t="e">
        <f>VLOOKUP(C113,'[1]Nómina Agentes'!$D$4:$H$473,5,0)</f>
        <v>#N/A</v>
      </c>
    </row>
    <row r="114" spans="2:11" x14ac:dyDescent="0.25">
      <c r="B114" s="8" t="s">
        <v>39</v>
      </c>
      <c r="C114" s="11" t="s">
        <v>322</v>
      </c>
      <c r="D114" s="11">
        <v>628496</v>
      </c>
      <c r="E114" s="8">
        <v>2</v>
      </c>
      <c r="F114" s="8" t="str" cm="1">
        <f t="array" ref="F114">(CONCATENATE(TEXT(MIN(IF('Base Avaya'!$E:$E='Operadores S2S'!$D114,'Base Avaya'!$AF:$AF)),"hh:mm")," - ",TEXT(MAX(IF('Base Avaya'!$E:$E='Operadores S2S'!$D114,'Base Avaya'!$AG:$AG)),"hh:mm")))</f>
        <v>15:00 - 20:00</v>
      </c>
      <c r="G114" s="8"/>
      <c r="H114" s="8" t="e">
        <f>VLOOKUP(C114,'[1]Nómina Agentes'!$D:$AU,44,0)</f>
        <v>#N/A</v>
      </c>
      <c r="I114" s="8" t="e">
        <f>VLOOKUP(C114,'[1]Nómina Agentes'!$D$4:$H$473,5,0)</f>
        <v>#N/A</v>
      </c>
      <c r="K114" s="10"/>
    </row>
    <row r="115" spans="2:11" x14ac:dyDescent="0.25">
      <c r="B115" s="8" t="s">
        <v>39</v>
      </c>
      <c r="C115" s="11" t="s">
        <v>322</v>
      </c>
      <c r="D115" s="11">
        <v>625572</v>
      </c>
      <c r="E115" s="8">
        <v>11</v>
      </c>
      <c r="F115" s="8" t="str" cm="1">
        <f t="array" ref="F115">(CONCATENATE(TEXT(MIN(IF('Base Avaya'!$E:$E='Operadores S2S'!$D115,'Base Avaya'!$AF:$AF)),"hh:mm")," - ",TEXT(MAX(IF('Base Avaya'!$E:$E='Operadores S2S'!$D115,'Base Avaya'!$AG:$AG)),"hh:mm")))</f>
        <v>14:00 - 20:00</v>
      </c>
      <c r="G115" s="8"/>
      <c r="H115" s="8" t="e">
        <f>VLOOKUP(C115,'[1]Nómina Agentes'!$D:$AU,44,0)</f>
        <v>#N/A</v>
      </c>
      <c r="I115" s="8" t="e">
        <f>VLOOKUP(C115,'[1]Nómina Agentes'!$D$4:$H$473,5,0)</f>
        <v>#N/A</v>
      </c>
      <c r="K115" s="10"/>
    </row>
    <row r="116" spans="2:11" x14ac:dyDescent="0.25">
      <c r="B116" s="8" t="s">
        <v>39</v>
      </c>
      <c r="C116" s="11" t="s">
        <v>322</v>
      </c>
      <c r="D116" s="11">
        <v>628092</v>
      </c>
      <c r="E116" s="8">
        <v>2</v>
      </c>
      <c r="F116" s="8" t="str" cm="1">
        <f t="array" ref="F116">(CONCATENATE(TEXT(MIN(IF('Base Avaya'!$E:$E='Operadores S2S'!$D116,'Base Avaya'!$AF:$AF)),"hh:mm")," - ",TEXT(MAX(IF('Base Avaya'!$E:$E='Operadores S2S'!$D116,'Base Avaya'!$AG:$AG)),"hh:mm")))</f>
        <v>15:00 - 16:00</v>
      </c>
      <c r="G116" s="8"/>
      <c r="H116" s="8" t="e">
        <f>VLOOKUP(C116,'[1]Nómina Agentes'!$D:$AU,44,0)</f>
        <v>#N/A</v>
      </c>
      <c r="I116" s="8" t="e">
        <f>VLOOKUP(C116,'[1]Nómina Agentes'!$D$4:$H$473,5,0)</f>
        <v>#N/A</v>
      </c>
      <c r="K116" s="10"/>
    </row>
    <row r="117" spans="2:11" x14ac:dyDescent="0.25">
      <c r="B117" s="8" t="s">
        <v>39</v>
      </c>
      <c r="C117" s="11" t="s">
        <v>322</v>
      </c>
      <c r="D117" s="11">
        <v>628315</v>
      </c>
      <c r="E117" s="8">
        <v>6</v>
      </c>
      <c r="F117" s="8" t="str" cm="1">
        <f t="array" ref="F117">(CONCATENATE(TEXT(MIN(IF('Base Avaya'!$E:$E='Operadores S2S'!$D117,'Base Avaya'!$AF:$AF)),"hh:mm")," - ",TEXT(MAX(IF('Base Avaya'!$E:$E='Operadores S2S'!$D117,'Base Avaya'!$AG:$AG)),"hh:mm")))</f>
        <v>15:00 - 20:00</v>
      </c>
      <c r="G117" s="8"/>
      <c r="H117" s="8" t="e">
        <f>VLOOKUP(C117,'[1]Nómina Agentes'!$D:$AU,44,0)</f>
        <v>#N/A</v>
      </c>
      <c r="I117" s="8" t="e">
        <f>VLOOKUP(C117,'[1]Nómina Agentes'!$D$4:$H$473,5,0)</f>
        <v>#N/A</v>
      </c>
      <c r="K117" s="10"/>
    </row>
    <row r="118" spans="2:11" x14ac:dyDescent="0.25">
      <c r="B118" s="8" t="s">
        <v>39</v>
      </c>
      <c r="C118" s="11" t="s">
        <v>322</v>
      </c>
      <c r="D118" s="11">
        <v>628386</v>
      </c>
      <c r="E118" s="8">
        <v>2</v>
      </c>
      <c r="F118" s="8" t="str" cm="1">
        <f t="array" ref="F118">(CONCATENATE(TEXT(MIN(IF('Base Avaya'!$E:$E='Operadores S2S'!$D118,'Base Avaya'!$AF:$AF)),"hh:mm")," - ",TEXT(MAX(IF('Base Avaya'!$E:$E='Operadores S2S'!$D118,'Base Avaya'!$AG:$AG)),"hh:mm")))</f>
        <v>15:00 - 16:00</v>
      </c>
      <c r="G118" s="8"/>
      <c r="H118" s="8" t="e">
        <f>VLOOKUP(C118,'[1]Nómina Agentes'!$D:$AU,44,0)</f>
        <v>#N/A</v>
      </c>
      <c r="I118" s="8" t="e">
        <f>VLOOKUP(C118,'[1]Nómina Agentes'!$D$4:$H$473,5,0)</f>
        <v>#N/A</v>
      </c>
    </row>
    <row r="119" spans="2:11" x14ac:dyDescent="0.25">
      <c r="B119" s="8" t="s">
        <v>39</v>
      </c>
      <c r="C119" s="11" t="s">
        <v>322</v>
      </c>
      <c r="D119" s="11">
        <v>628531</v>
      </c>
      <c r="E119" s="8">
        <v>1</v>
      </c>
      <c r="F119" s="8" t="str" cm="1">
        <f t="array" ref="F119">(CONCATENATE(TEXT(MIN(IF('Base Avaya'!$E:$E='Operadores S2S'!$D119,'Base Avaya'!$AF:$AF)),"hh:mm")," - ",TEXT(MAX(IF('Base Avaya'!$E:$E='Operadores S2S'!$D119,'Base Avaya'!$AG:$AG)),"hh:mm")))</f>
        <v>15:00 - 16:00</v>
      </c>
      <c r="G119" s="8"/>
      <c r="H119" s="8" t="e">
        <f>VLOOKUP(C119,'[1]Nómina Agentes'!$D:$AU,44,0)</f>
        <v>#N/A</v>
      </c>
      <c r="I119" s="8" t="e">
        <f>VLOOKUP(C119,'[1]Nómina Agentes'!$D$4:$H$473,5,0)</f>
        <v>#N/A</v>
      </c>
    </row>
    <row r="120" spans="2:11" x14ac:dyDescent="0.25">
      <c r="B120" s="8" t="s">
        <v>39</v>
      </c>
      <c r="C120" s="11" t="s">
        <v>322</v>
      </c>
      <c r="D120" s="11">
        <v>664517</v>
      </c>
      <c r="E120" s="8">
        <v>9</v>
      </c>
      <c r="F120" s="8" t="str" cm="1">
        <f t="array" ref="F120">(CONCATENATE(TEXT(MIN(IF('Base Avaya'!$E:$E='Operadores S2S'!$D120,'Base Avaya'!$AF:$AF)),"hh:mm")," - ",TEXT(MAX(IF('Base Avaya'!$E:$E='Operadores S2S'!$D120,'Base Avaya'!$AG:$AG)),"hh:mm")))</f>
        <v>17:00 - 20:00</v>
      </c>
      <c r="G120" s="8"/>
      <c r="H120" s="8" t="e">
        <f>VLOOKUP(C120,'[1]Nómina Agentes'!$D:$AU,44,0)</f>
        <v>#N/A</v>
      </c>
      <c r="I120" s="8" t="e">
        <f>VLOOKUP(C120,'[1]Nómina Agentes'!$D$4:$H$473,5,0)</f>
        <v>#N/A</v>
      </c>
    </row>
    <row r="121" spans="2:11" x14ac:dyDescent="0.25">
      <c r="B121" s="8" t="s">
        <v>39</v>
      </c>
      <c r="C121" s="11" t="s">
        <v>322</v>
      </c>
      <c r="D121" s="11">
        <v>628512</v>
      </c>
      <c r="E121" s="8">
        <v>27</v>
      </c>
      <c r="F121" s="8" t="str" cm="1">
        <f t="array" ref="F121">(CONCATENATE(TEXT(MIN(IF('Base Avaya'!$E:$E='Operadores S2S'!$D121,'Base Avaya'!$AF:$AF)),"hh:mm")," - ",TEXT(MAX(IF('Base Avaya'!$E:$E='Operadores S2S'!$D121,'Base Avaya'!$AG:$AG)),"hh:mm")))</f>
        <v>15:30 - 20:00</v>
      </c>
      <c r="G121" s="8"/>
      <c r="H121" s="8" t="e">
        <f>VLOOKUP(C121,'[1]Nómina Agentes'!$D:$AU,44,0)</f>
        <v>#N/A</v>
      </c>
      <c r="I121" s="8" t="e">
        <f>VLOOKUP(C121,'[1]Nómina Agentes'!$D$4:$H$473,5,0)</f>
        <v>#N/A</v>
      </c>
    </row>
    <row r="122" spans="2:11" x14ac:dyDescent="0.25">
      <c r="B122" s="8" t="s">
        <v>39</v>
      </c>
      <c r="C122" s="11" t="s">
        <v>114</v>
      </c>
      <c r="D122" s="11">
        <v>605503</v>
      </c>
      <c r="E122" s="8">
        <v>11</v>
      </c>
      <c r="F122" s="8" t="str" cm="1">
        <f t="array" ref="F122">(CONCATENATE(TEXT(MIN(IF('Base Avaya'!$E:$E='Operadores S2S'!$D122,'Base Avaya'!$AF:$AF)),"hh:mm")," - ",TEXT(MAX(IF('Base Avaya'!$E:$E='Operadores S2S'!$D122,'Base Avaya'!$AG:$AG)),"hh:mm")))</f>
        <v>14:00 - 16:00</v>
      </c>
      <c r="G122" s="8"/>
      <c r="H122" s="8" t="str">
        <f>VLOOKUP(C122,'[1]Nómina Agentes'!$D:$AU,44,0)</f>
        <v>VMARORUS</v>
      </c>
      <c r="I122" s="8" t="str">
        <f>VLOOKUP(C122,'[1]Nómina Agentes'!$D$4:$H$473,5,0)</f>
        <v>ROBLEDO, YESICA DANIELA</v>
      </c>
    </row>
    <row r="123" spans="2:11" x14ac:dyDescent="0.25">
      <c r="B123" s="8" t="s">
        <v>39</v>
      </c>
      <c r="C123" s="11" t="s">
        <v>115</v>
      </c>
      <c r="D123" s="11">
        <v>605982</v>
      </c>
      <c r="E123" s="8">
        <v>9</v>
      </c>
      <c r="F123" s="8" t="str" cm="1">
        <f t="array" ref="F123">(CONCATENATE(TEXT(MIN(IF('Base Avaya'!$E:$E='Operadores S2S'!$D123,'Base Avaya'!$AF:$AF)),"hh:mm")," - ",TEXT(MAX(IF('Base Avaya'!$E:$E='Operadores S2S'!$D123,'Base Avaya'!$AG:$AG)),"hh:mm")))</f>
        <v>14:00 - 15:30</v>
      </c>
      <c r="G123" s="8"/>
      <c r="H123" s="8" t="str">
        <f>VLOOKUP(C123,'[1]Nómina Agentes'!$D:$AU,44,0)</f>
        <v>VMAIGWET</v>
      </c>
      <c r="I123" s="8" t="str">
        <f>VLOOKUP(C123,'[1]Nómina Agentes'!$D$4:$H$473,5,0)</f>
        <v>VILLALBA, VICTORIA</v>
      </c>
    </row>
    <row r="124" spans="2:11" x14ac:dyDescent="0.25">
      <c r="B124" s="8" t="s">
        <v>40</v>
      </c>
      <c r="C124" s="11" t="s">
        <v>323</v>
      </c>
      <c r="D124" s="11">
        <v>606348</v>
      </c>
      <c r="E124" s="8">
        <v>37</v>
      </c>
      <c r="F124" s="8" t="str" cm="1">
        <f t="array" ref="F124">(CONCATENATE(TEXT(MIN(IF('Base Avaya'!$E:$E='Operadores S2S'!$D124,'Base Avaya'!$AF:$AF)),"hh:mm")," - ",TEXT(MAX(IF('Base Avaya'!$E:$E='Operadores S2S'!$D124,'Base Avaya'!$AG:$AG)),"hh:mm")))</f>
        <v>14:30 - 20:00</v>
      </c>
      <c r="G124" s="8"/>
      <c r="H124" s="8" t="str">
        <f>VLOOKUP(C124,'[1]Nómina Agentes'!$D:$AU,44,0)</f>
        <v>VMADAABA</v>
      </c>
      <c r="I124" s="8" t="str">
        <f>VLOOKUP(C124,'[1]Nómina Agentes'!$D$4:$H$473,5,0)</f>
        <v>ROJAS, LUCAS</v>
      </c>
    </row>
    <row r="125" spans="2:11" x14ac:dyDescent="0.25">
      <c r="B125" s="8" t="s">
        <v>40</v>
      </c>
      <c r="C125" s="11" t="s">
        <v>324</v>
      </c>
      <c r="D125" s="11">
        <v>605986</v>
      </c>
      <c r="E125" s="8">
        <v>1</v>
      </c>
      <c r="F125" s="8" t="str" cm="1">
        <f t="array" ref="F125">(CONCATENATE(TEXT(MIN(IF('Base Avaya'!$E:$E='Operadores S2S'!$D125,'Base Avaya'!$AF:$AF)),"hh:mm")," - ",TEXT(MAX(IF('Base Avaya'!$E:$E='Operadores S2S'!$D125,'Base Avaya'!$AG:$AG)),"hh:mm")))</f>
        <v>18:00 - 18:30</v>
      </c>
      <c r="G125" s="8"/>
      <c r="H125" s="8" t="str">
        <f>VLOOKUP(C125,'[1]Nómina Agentes'!$D:$AU,44,0)</f>
        <v>VMALOBEN</v>
      </c>
      <c r="I125" s="8" t="str">
        <f>VLOOKUP(C125,'[1]Nómina Agentes'!$D$4:$H$473,5,0)</f>
        <v>YBARRA, LUCIA ALDANA</v>
      </c>
    </row>
    <row r="126" spans="2:11" x14ac:dyDescent="0.25">
      <c r="B126" s="8" t="s">
        <v>40</v>
      </c>
      <c r="C126" s="11" t="s">
        <v>325</v>
      </c>
      <c r="D126" s="11">
        <v>605589</v>
      </c>
      <c r="E126" s="8">
        <v>17</v>
      </c>
      <c r="F126" s="8" t="str" cm="1">
        <f t="array" ref="F126">(CONCATENATE(TEXT(MIN(IF('Base Avaya'!$E:$E='Operadores S2S'!$D126,'Base Avaya'!$AF:$AF)),"hh:mm")," - ",TEXT(MAX(IF('Base Avaya'!$E:$E='Operadores S2S'!$D126,'Base Avaya'!$AG:$AG)),"hh:mm")))</f>
        <v>14:30 - 17:30</v>
      </c>
      <c r="G126" s="8"/>
      <c r="H126" s="8" t="str">
        <f>VLOOKUP(C126,'[1]Nómina Agentes'!$D:$AU,44,0)</f>
        <v>VMAMICCA</v>
      </c>
      <c r="I126" s="8" t="str">
        <f>VLOOKUP(C126,'[1]Nómina Agentes'!$D$4:$H$473,5,0)</f>
        <v>GOMEZ, SASHA</v>
      </c>
    </row>
    <row r="127" spans="2:11" x14ac:dyDescent="0.25">
      <c r="B127" s="8" t="s">
        <v>40</v>
      </c>
      <c r="C127" s="11" t="s">
        <v>136</v>
      </c>
      <c r="D127" s="11">
        <v>606528</v>
      </c>
      <c r="E127" s="8">
        <v>44</v>
      </c>
      <c r="F127" s="8" t="str" cm="1">
        <f t="array" ref="F127">(CONCATENATE(TEXT(MIN(IF('Base Avaya'!$E:$E='Operadores S2S'!$D127,'Base Avaya'!$AF:$AF)),"hh:mm")," - ",TEXT(MAX(IF('Base Avaya'!$E:$E='Operadores S2S'!$D127,'Base Avaya'!$AG:$AG)),"hh:mm")))</f>
        <v>14:00 - 20:00</v>
      </c>
      <c r="G127" s="8"/>
      <c r="H127" s="8" t="str">
        <f>VLOOKUP(C127,'[1]Nómina Agentes'!$D:$AU,44,0)</f>
        <v>VMALOCER</v>
      </c>
      <c r="I127" s="8" t="str">
        <f>VLOOKUP(C127,'[1]Nómina Agentes'!$D$4:$H$473,5,0)</f>
        <v>YBARRA, LUCIA ALDANA</v>
      </c>
    </row>
    <row r="128" spans="2:11" x14ac:dyDescent="0.25">
      <c r="B128" s="8" t="s">
        <v>40</v>
      </c>
      <c r="C128" s="11" t="s">
        <v>122</v>
      </c>
      <c r="D128" s="11">
        <v>606623</v>
      </c>
      <c r="E128" s="8">
        <v>41</v>
      </c>
      <c r="F128" s="8" t="str" cm="1">
        <f t="array" ref="F128">(CONCATENATE(TEXT(MIN(IF('Base Avaya'!$E:$E='Operadores S2S'!$D128,'Base Avaya'!$AF:$AF)),"hh:mm")," - ",TEXT(MAX(IF('Base Avaya'!$E:$E='Operadores S2S'!$D128,'Base Avaya'!$AG:$AG)),"hh:mm")))</f>
        <v>14:00 - 20:00</v>
      </c>
      <c r="G128" s="8"/>
      <c r="H128" s="8" t="str">
        <f>VLOOKUP(C128,'[1]Nómina Agentes'!$D:$AU,44,0)</f>
        <v>VMACANCO</v>
      </c>
      <c r="I128" s="8" t="str">
        <f>VLOOKUP(C128,'[1]Nómina Agentes'!$D$4:$H$473,5,0)</f>
        <v>GARZON, ROCIO BELEN</v>
      </c>
    </row>
    <row r="129" spans="2:9" x14ac:dyDescent="0.25">
      <c r="B129" s="8" t="s">
        <v>40</v>
      </c>
      <c r="C129" s="11" t="s">
        <v>77</v>
      </c>
      <c r="D129" s="11">
        <v>605760</v>
      </c>
      <c r="E129" s="8">
        <v>7</v>
      </c>
      <c r="F129" s="8" t="str" cm="1">
        <f t="array" ref="F129">(CONCATENATE(TEXT(MIN(IF('Base Avaya'!$E:$E='Operadores S2S'!$D129,'Base Avaya'!$AF:$AF)),"hh:mm")," - ",TEXT(MAX(IF('Base Avaya'!$E:$E='Operadores S2S'!$D129,'Base Avaya'!$AG:$AG)),"hh:mm")))</f>
        <v>14:00 - 15:30</v>
      </c>
      <c r="G129" s="8"/>
      <c r="H129" s="8" t="str">
        <f>VLOOKUP(C129,'[1]Nómina Agentes'!$D:$AU,44,0)</f>
        <v>VMAJOCUE</v>
      </c>
      <c r="I129" s="8" t="str">
        <f>VLOOKUP(C129,'[1]Nómina Agentes'!$D$4:$H$473,5,0)</f>
        <v>LOUREIRO, FLORENCIA CANDELA</v>
      </c>
    </row>
    <row r="130" spans="2:9" x14ac:dyDescent="0.25">
      <c r="B130" s="8" t="s">
        <v>40</v>
      </c>
      <c r="C130" s="11" t="s">
        <v>137</v>
      </c>
      <c r="D130" s="11">
        <v>605611</v>
      </c>
      <c r="E130" s="8">
        <v>38</v>
      </c>
      <c r="F130" s="8" t="str" cm="1">
        <f t="array" ref="F130">(CONCATENATE(TEXT(MIN(IF('Base Avaya'!$E:$E='Operadores S2S'!$D130,'Base Avaya'!$AF:$AF)),"hh:mm")," - ",TEXT(MAX(IF('Base Avaya'!$E:$E='Operadores S2S'!$D130,'Base Avaya'!$AG:$AG)),"hh:mm")))</f>
        <v>14:00 - 20:00</v>
      </c>
      <c r="G130" s="8"/>
      <c r="H130" s="8" t="str">
        <f>VLOOKUP(C130,'[1]Nómina Agentes'!$D:$AU,44,0)</f>
        <v>VMAMADAG</v>
      </c>
      <c r="I130" s="8" t="str">
        <f>VLOOKUP(C130,'[1]Nómina Agentes'!$D$4:$H$473,5,0)</f>
        <v>YBARRA, LUCIA ALDANA</v>
      </c>
    </row>
    <row r="131" spans="2:9" x14ac:dyDescent="0.25">
      <c r="B131" s="8" t="s">
        <v>40</v>
      </c>
      <c r="C131" s="11" t="s">
        <v>326</v>
      </c>
      <c r="D131" s="11">
        <v>605617</v>
      </c>
      <c r="E131" s="8">
        <v>16</v>
      </c>
      <c r="F131" s="8" t="str" cm="1">
        <f t="array" ref="F131">(CONCATENATE(TEXT(MIN(IF('Base Avaya'!$E:$E='Operadores S2S'!$D131,'Base Avaya'!$AF:$AF)),"hh:mm")," - ",TEXT(MAX(IF('Base Avaya'!$E:$E='Operadores S2S'!$D131,'Base Avaya'!$AG:$AG)),"hh:mm")))</f>
        <v>15:00 - 17:30</v>
      </c>
      <c r="G131" s="8"/>
      <c r="H131" s="8" t="str">
        <f>VLOOKUP(C131,'[1]Nómina Agentes'!$D:$AU,44,0)</f>
        <v>VMAFACDE</v>
      </c>
      <c r="I131" s="8" t="str">
        <f>VLOOKUP(C131,'[1]Nómina Agentes'!$D$4:$H$473,5,0)</f>
        <v>GOMEZ, SASHA</v>
      </c>
    </row>
    <row r="132" spans="2:9" x14ac:dyDescent="0.25">
      <c r="B132" s="8" t="s">
        <v>40</v>
      </c>
      <c r="C132" s="8" t="s">
        <v>60</v>
      </c>
      <c r="D132" s="8">
        <v>605969</v>
      </c>
      <c r="E132" s="8">
        <v>8</v>
      </c>
      <c r="F132" s="8" t="str" cm="1">
        <f t="array" ref="F132">(CONCATENATE(TEXT(MIN(IF('Base Avaya'!$E:$E='Operadores S2S'!$D132,'Base Avaya'!$AF:$AF)),"hh:mm")," - ",TEXT(MAX(IF('Base Avaya'!$E:$E='Operadores S2S'!$D132,'Base Avaya'!$AG:$AG)),"hh:mm")))</f>
        <v>14:00 - 15:00</v>
      </c>
      <c r="G132" s="8"/>
      <c r="H132" s="8" t="str">
        <f>VLOOKUP(C132,'[1]Nómina Agentes'!$D:$AU,44,0)</f>
        <v>VMAFIDEM</v>
      </c>
      <c r="I132" s="8" t="str">
        <f>VLOOKUP(C132,'[1]Nómina Agentes'!$D$4:$H$473,5,0)</f>
        <v>VILLALBA, VICTORIA</v>
      </c>
    </row>
    <row r="133" spans="2:9" x14ac:dyDescent="0.25">
      <c r="B133" s="8" t="s">
        <v>40</v>
      </c>
      <c r="C133" s="11" t="s">
        <v>327</v>
      </c>
      <c r="D133" s="11">
        <v>606309</v>
      </c>
      <c r="E133" s="8">
        <v>4</v>
      </c>
      <c r="F133" s="8" t="str" cm="1">
        <f t="array" ref="F133">(CONCATENATE(TEXT(MIN(IF('Base Avaya'!$E:$E='Operadores S2S'!$D133,'Base Avaya'!$AF:$AF)),"hh:mm")," - ",TEXT(MAX(IF('Base Avaya'!$E:$E='Operadores S2S'!$D133,'Base Avaya'!$AG:$AG)),"hh:mm")))</f>
        <v>18:30 - 20:00</v>
      </c>
      <c r="G133" s="8"/>
      <c r="H133" s="8" t="str">
        <f>VLOOKUP(C133,'[1]Nómina Agentes'!$D:$AU,44,0)</f>
        <v>VMAANDON</v>
      </c>
      <c r="I133" s="8" t="str">
        <f>VLOOKUP(C133,'[1]Nómina Agentes'!$D$4:$H$473,5,0)</f>
        <v>ROBLEDO, LEANDRO JAVIER</v>
      </c>
    </row>
    <row r="134" spans="2:9" x14ac:dyDescent="0.25">
      <c r="B134" s="8" t="s">
        <v>40</v>
      </c>
      <c r="C134" s="8" t="s">
        <v>116</v>
      </c>
      <c r="D134" s="8">
        <v>605580</v>
      </c>
      <c r="E134" s="8">
        <v>1</v>
      </c>
      <c r="F134" s="8" t="str" cm="1">
        <f t="array" ref="F134">(CONCATENATE(TEXT(MIN(IF('Base Avaya'!$E:$E='Operadores S2S'!$D134,'Base Avaya'!$AF:$AF)),"hh:mm")," - ",TEXT(MAX(IF('Base Avaya'!$E:$E='Operadores S2S'!$D134,'Base Avaya'!$AG:$AG)),"hh:mm")))</f>
        <v>14:00 - 16:00</v>
      </c>
      <c r="G134" s="8"/>
      <c r="H134" s="8" t="str">
        <f>VLOOKUP(C134,'[1]Nómina Agentes'!$D:$AU,44,0)</f>
        <v>VMATOFER</v>
      </c>
      <c r="I134" s="8" t="str">
        <f>VLOOKUP(C134,'[1]Nómina Agentes'!$D$4:$H$473,5,0)</f>
        <v>GROESMANN, MAYA JUDITH</v>
      </c>
    </row>
    <row r="135" spans="2:9" x14ac:dyDescent="0.25">
      <c r="B135" s="8" t="s">
        <v>40</v>
      </c>
      <c r="C135" s="11" t="s">
        <v>123</v>
      </c>
      <c r="D135" s="11">
        <v>605763</v>
      </c>
      <c r="E135" s="8">
        <v>23</v>
      </c>
      <c r="F135" s="8" t="str" cm="1">
        <f t="array" ref="F135">(CONCATENATE(TEXT(MIN(IF('Base Avaya'!$E:$E='Operadores S2S'!$D135,'Base Avaya'!$AF:$AF)),"hh:mm")," - ",TEXT(MAX(IF('Base Avaya'!$E:$E='Operadores S2S'!$D135,'Base Avaya'!$AG:$AG)),"hh:mm")))</f>
        <v>14:00 - 17:30</v>
      </c>
      <c r="G135" s="8"/>
      <c r="H135" s="8" t="str">
        <f>VLOOKUP(C135,'[1]Nómina Agentes'!$D:$AU,44,0)</f>
        <v>VMANIFRA</v>
      </c>
      <c r="I135" s="8" t="str">
        <f>VLOOKUP(C135,'[1]Nómina Agentes'!$D$4:$H$473,5,0)</f>
        <v>ROJAS, LUCAS</v>
      </c>
    </row>
    <row r="136" spans="2:9" x14ac:dyDescent="0.25">
      <c r="B136" s="8" t="s">
        <v>40</v>
      </c>
      <c r="C136" s="11" t="s">
        <v>328</v>
      </c>
      <c r="D136" s="11">
        <v>606330</v>
      </c>
      <c r="E136" s="8">
        <v>30</v>
      </c>
      <c r="F136" s="8" t="str" cm="1">
        <f t="array" ref="F136">(CONCATENATE(TEXT(MIN(IF('Base Avaya'!$E:$E='Operadores S2S'!$D136,'Base Avaya'!$AF:$AF)),"hh:mm")," - ",TEXT(MAX(IF('Base Avaya'!$E:$E='Operadores S2S'!$D136,'Base Avaya'!$AG:$AG)),"hh:mm")))</f>
        <v>14:30 - 20:00</v>
      </c>
      <c r="G136" s="8"/>
      <c r="H136" s="8" t="str">
        <f>VLOOKUP(C136,'[1]Nómina Agentes'!$D:$AU,44,0)</f>
        <v>VMASEFRA</v>
      </c>
      <c r="I136" s="8" t="str">
        <f>VLOOKUP(C136,'[1]Nómina Agentes'!$D$4:$H$473,5,0)</f>
        <v>GOMEZ, AYLEN MILAGROS</v>
      </c>
    </row>
    <row r="137" spans="2:9" x14ac:dyDescent="0.25">
      <c r="B137" s="8" t="s">
        <v>40</v>
      </c>
      <c r="C137" s="11" t="s">
        <v>329</v>
      </c>
      <c r="D137" s="11">
        <v>606457</v>
      </c>
      <c r="E137" s="8">
        <v>6</v>
      </c>
      <c r="F137" s="8" t="str" cm="1">
        <f t="array" ref="F137">(CONCATENATE(TEXT(MIN(IF('Base Avaya'!$E:$E='Operadores S2S'!$D137,'Base Avaya'!$AF:$AF)),"hh:mm")," - ",TEXT(MAX(IF('Base Avaya'!$E:$E='Operadores S2S'!$D137,'Base Avaya'!$AG:$AG)),"hh:mm")))</f>
        <v>18:00 - 20:00</v>
      </c>
      <c r="G137" s="8"/>
      <c r="H137" s="8" t="str">
        <f>VLOOKUP(C137,'[1]Nómina Agentes'!$D:$AU,44,0)</f>
        <v>VMAPAFUH</v>
      </c>
      <c r="I137" s="8" t="str">
        <f>VLOOKUP(C137,'[1]Nómina Agentes'!$D$4:$H$473,5,0)</f>
        <v>MIR, TOMAS MAURICIO</v>
      </c>
    </row>
    <row r="138" spans="2:9" x14ac:dyDescent="0.25">
      <c r="B138" s="8" t="s">
        <v>40</v>
      </c>
      <c r="C138" s="11" t="s">
        <v>100</v>
      </c>
      <c r="D138" s="11">
        <v>606445</v>
      </c>
      <c r="E138" s="8">
        <v>9</v>
      </c>
      <c r="F138" s="8" t="str" cm="1">
        <f t="array" ref="F138">(CONCATENATE(TEXT(MIN(IF('Base Avaya'!$E:$E='Operadores S2S'!$D138,'Base Avaya'!$AF:$AF)),"hh:mm")," - ",TEXT(MAX(IF('Base Avaya'!$E:$E='Operadores S2S'!$D138,'Base Avaya'!$AG:$AG)),"hh:mm")))</f>
        <v>14:00 - 16:00</v>
      </c>
      <c r="G138" s="8"/>
      <c r="H138" s="8" t="str">
        <f>VLOOKUP(C138,'[1]Nómina Agentes'!$D:$AU,44,0)</f>
        <v>VMACAGAR</v>
      </c>
      <c r="I138" s="8" t="str">
        <f>VLOOKUP(C138,'[1]Nómina Agentes'!$D$4:$H$473,5,0)</f>
        <v>DIAZ, PAULA</v>
      </c>
    </row>
    <row r="139" spans="2:9" x14ac:dyDescent="0.25">
      <c r="B139" s="8" t="s">
        <v>40</v>
      </c>
      <c r="C139" s="11" t="s">
        <v>330</v>
      </c>
      <c r="D139" s="11">
        <v>606039</v>
      </c>
      <c r="E139" s="8">
        <v>23</v>
      </c>
      <c r="F139" s="8" t="str" cm="1">
        <f t="array" ref="F139">(CONCATENATE(TEXT(MIN(IF('Base Avaya'!$E:$E='Operadores S2S'!$D139,'Base Avaya'!$AF:$AF)),"hh:mm")," - ",TEXT(MAX(IF('Base Avaya'!$E:$E='Operadores S2S'!$D139,'Base Avaya'!$AG:$AG)),"hh:mm")))</f>
        <v>15:00 - 20:00</v>
      </c>
      <c r="G139" s="8"/>
      <c r="H139" s="8" t="str">
        <f>VLOOKUP(C139,'[1]Nómina Agentes'!$D:$AU,44,0)</f>
        <v>VMAMOGOM</v>
      </c>
      <c r="I139" s="8" t="str">
        <f>VLOOKUP(C139,'[1]Nómina Agentes'!$D$4:$H$473,5,0)</f>
        <v>GOMEZ, SASHA</v>
      </c>
    </row>
    <row r="140" spans="2:9" x14ac:dyDescent="0.25">
      <c r="B140" s="8" t="s">
        <v>40</v>
      </c>
      <c r="C140" s="11" t="s">
        <v>117</v>
      </c>
      <c r="D140" s="11">
        <v>605826</v>
      </c>
      <c r="E140" s="8">
        <v>8</v>
      </c>
      <c r="F140" s="8" t="str" cm="1">
        <f t="array" ref="F140">(CONCATENATE(TEXT(MIN(IF('Base Avaya'!$E:$E='Operadores S2S'!$D140,'Base Avaya'!$AF:$AF)),"hh:mm")," - ",TEXT(MAX(IF('Base Avaya'!$E:$E='Operadores S2S'!$D140,'Base Avaya'!$AG:$AG)),"hh:mm")))</f>
        <v>14:00 - 15:00</v>
      </c>
      <c r="G140" s="8"/>
      <c r="H140" s="8" t="str">
        <f>VLOOKUP(C140,'[1]Nómina Agentes'!$D:$AU,44,0)</f>
        <v>VMACAGON</v>
      </c>
      <c r="I140" s="8" t="str">
        <f>VLOOKUP(C140,'[1]Nómina Agentes'!$D$4:$H$473,5,0)</f>
        <v>GROESMANN, MAYA JUDITH</v>
      </c>
    </row>
    <row r="141" spans="2:9" x14ac:dyDescent="0.25">
      <c r="B141" s="8" t="s">
        <v>40</v>
      </c>
      <c r="C141" s="11" t="s">
        <v>331</v>
      </c>
      <c r="D141" s="11">
        <v>606338</v>
      </c>
      <c r="E141" s="8">
        <v>17</v>
      </c>
      <c r="F141" s="8" t="str" cm="1">
        <f t="array" ref="F141">(CONCATENATE(TEXT(MIN(IF('Base Avaya'!$E:$E='Operadores S2S'!$D141,'Base Avaya'!$AF:$AF)),"hh:mm")," - ",TEXT(MAX(IF('Base Avaya'!$E:$E='Operadores S2S'!$D141,'Base Avaya'!$AG:$AG)),"hh:mm")))</f>
        <v>17:30 - 20:00</v>
      </c>
      <c r="G141" s="8"/>
      <c r="H141" s="8" t="str">
        <f>VLOOKUP(C141,'[1]Nómina Agentes'!$D:$AU,44,0)</f>
        <v>VMACRGON</v>
      </c>
      <c r="I141" s="8" t="str">
        <f>VLOOKUP(C141,'[1]Nómina Agentes'!$D$4:$H$473,5,0)</f>
        <v>ROJAS, LUCAS</v>
      </c>
    </row>
    <row r="142" spans="2:9" x14ac:dyDescent="0.25">
      <c r="B142" s="8" t="s">
        <v>40</v>
      </c>
      <c r="C142" s="11" t="s">
        <v>332</v>
      </c>
      <c r="D142" s="11">
        <v>605911</v>
      </c>
      <c r="E142" s="8">
        <v>15</v>
      </c>
      <c r="F142" s="8" t="str" cm="1">
        <f t="array" ref="F142">(CONCATENATE(TEXT(MIN(IF('Base Avaya'!$E:$E='Operadores S2S'!$D142,'Base Avaya'!$AF:$AF)),"hh:mm")," - ",TEXT(MAX(IF('Base Avaya'!$E:$E='Operadores S2S'!$D142,'Base Avaya'!$AG:$AG)),"hh:mm")))</f>
        <v>14:30 - 20:00</v>
      </c>
      <c r="G142" s="8"/>
      <c r="H142" s="8" t="str">
        <f>VLOOKUP(C142,'[1]Nómina Agentes'!$D:$AU,44,0)</f>
        <v>VMAENINF</v>
      </c>
      <c r="I142" s="8" t="str">
        <f>VLOOKUP(C142,'[1]Nómina Agentes'!$D$4:$H$473,5,0)</f>
        <v>GOMEZ, AYLEN MILAGROS</v>
      </c>
    </row>
    <row r="143" spans="2:9" x14ac:dyDescent="0.25">
      <c r="B143" s="8" t="s">
        <v>40</v>
      </c>
      <c r="C143" s="11" t="s">
        <v>333</v>
      </c>
      <c r="D143" s="11">
        <v>606463</v>
      </c>
      <c r="E143" s="8">
        <v>2</v>
      </c>
      <c r="F143" s="8" t="str" cm="1">
        <f t="array" ref="F143">(CONCATENATE(TEXT(MIN(IF('Base Avaya'!$E:$E='Operadores S2S'!$D143,'Base Avaya'!$AF:$AF)),"hh:mm")," - ",TEXT(MAX(IF('Base Avaya'!$E:$E='Operadores S2S'!$D143,'Base Avaya'!$AG:$AG)),"hh:mm")))</f>
        <v>19:30 - 20:00</v>
      </c>
      <c r="G143" s="8"/>
      <c r="H143" s="8" t="str">
        <f>VLOOKUP(C143,'[1]Nómina Agentes'!$D:$AU,44,0)</f>
        <v>VMAELMAC</v>
      </c>
      <c r="I143" s="8" t="str">
        <f>VLOOKUP(C143,'[1]Nómina Agentes'!$D$4:$H$473,5,0)</f>
        <v>GOYECHEA, AGUSTINA LOURDES</v>
      </c>
    </row>
    <row r="144" spans="2:9" x14ac:dyDescent="0.25">
      <c r="B144" s="8" t="s">
        <v>40</v>
      </c>
      <c r="C144" s="11" t="s">
        <v>334</v>
      </c>
      <c r="D144" s="11">
        <v>605513</v>
      </c>
      <c r="E144" s="8">
        <v>13</v>
      </c>
      <c r="F144" s="8" t="str" cm="1">
        <f t="array" ref="F144">(CONCATENATE(TEXT(MIN(IF('Base Avaya'!$E:$E='Operadores S2S'!$D144,'Base Avaya'!$AF:$AF)),"hh:mm")," - ",TEXT(MAX(IF('Base Avaya'!$E:$E='Operadores S2S'!$D144,'Base Avaya'!$AG:$AG)),"hh:mm")))</f>
        <v>14:00 - 18:00</v>
      </c>
      <c r="G144" s="8"/>
      <c r="H144" s="8" t="str">
        <f>VLOOKUP(C144,'[1]Nómina Agentes'!$D:$AU,44,0)</f>
        <v>VMAMAMAI</v>
      </c>
      <c r="I144" s="8" t="str">
        <f>VLOOKUP(C144,'[1]Nómina Agentes'!$D$4:$H$473,5,0)</f>
        <v>YBARRA, LUCIA ALDANA</v>
      </c>
    </row>
    <row r="145" spans="2:9" x14ac:dyDescent="0.25">
      <c r="B145" s="8" t="s">
        <v>40</v>
      </c>
      <c r="C145" s="11" t="s">
        <v>335</v>
      </c>
      <c r="D145" s="11">
        <v>606219</v>
      </c>
      <c r="E145" s="8">
        <v>20</v>
      </c>
      <c r="F145" s="8" t="str" cm="1">
        <f t="array" ref="F145">(CONCATENATE(TEXT(MIN(IF('Base Avaya'!$E:$E='Operadores S2S'!$D145,'Base Avaya'!$AF:$AF)),"hh:mm")," - ",TEXT(MAX(IF('Base Avaya'!$E:$E='Operadores S2S'!$D145,'Base Avaya'!$AG:$AG)),"hh:mm")))</f>
        <v>15:00 - 20:00</v>
      </c>
      <c r="G145" s="8"/>
      <c r="H145" s="8" t="str">
        <f>VLOOKUP(C145,'[1]Nómina Agentes'!$D:$AU,44,0)</f>
        <v>VMACAMAI</v>
      </c>
      <c r="I145" s="8" t="str">
        <f>VLOOKUP(C145,'[1]Nómina Agentes'!$D$4:$H$473,5,0)</f>
        <v>ONETTO, MARIA DE LOS MILAGROS</v>
      </c>
    </row>
    <row r="146" spans="2:9" x14ac:dyDescent="0.25">
      <c r="B146" s="8" t="s">
        <v>40</v>
      </c>
      <c r="C146" s="11" t="s">
        <v>336</v>
      </c>
      <c r="D146" s="11">
        <v>605632</v>
      </c>
      <c r="E146" s="8">
        <v>27</v>
      </c>
      <c r="F146" s="8" t="str" cm="1">
        <f t="array" ref="F146">(CONCATENATE(TEXT(MIN(IF('Base Avaya'!$E:$E='Operadores S2S'!$D146,'Base Avaya'!$AF:$AF)),"hh:mm")," - ",TEXT(MAX(IF('Base Avaya'!$E:$E='Operadores S2S'!$D146,'Base Avaya'!$AG:$AG)),"hh:mm")))</f>
        <v>14:30 - 20:00</v>
      </c>
      <c r="G146" s="8"/>
      <c r="H146" s="8" t="str">
        <f>VLOOKUP(C146,'[1]Nómina Agentes'!$D:$AU,44,0)</f>
        <v>VMAMEMAN</v>
      </c>
      <c r="I146" s="8" t="str">
        <f>VLOOKUP(C146,'[1]Nómina Agentes'!$D$4:$H$473,5,0)</f>
        <v>GOMEZ, SASHA</v>
      </c>
    </row>
    <row r="147" spans="2:9" x14ac:dyDescent="0.25">
      <c r="B147" s="8" t="s">
        <v>40</v>
      </c>
      <c r="C147" s="8" t="s">
        <v>78</v>
      </c>
      <c r="D147" s="8">
        <v>606142</v>
      </c>
      <c r="E147" s="8">
        <v>5</v>
      </c>
      <c r="F147" s="8" t="str" cm="1">
        <f t="array" ref="F147">(CONCATENATE(TEXT(MIN(IF('Base Avaya'!$E:$E='Operadores S2S'!$D147,'Base Avaya'!$AF:$AF)),"hh:mm")," - ",TEXT(MAX(IF('Base Avaya'!$E:$E='Operadores S2S'!$D147,'Base Avaya'!$AG:$AG)),"hh:mm")))</f>
        <v>14:00 - 15:00</v>
      </c>
      <c r="G147" s="8"/>
      <c r="H147" s="8" t="str">
        <f>VLOOKUP(C147,'[1]Nómina Agentes'!$D:$AU,44,0)</f>
        <v>VMAAYMAR</v>
      </c>
      <c r="I147" s="8" t="str">
        <f>VLOOKUP(C147,'[1]Nómina Agentes'!$D$4:$H$473,5,0)</f>
        <v>SORIA, ANA PAULA</v>
      </c>
    </row>
    <row r="148" spans="2:9" x14ac:dyDescent="0.25">
      <c r="B148" s="8" t="s">
        <v>40</v>
      </c>
      <c r="C148" s="11" t="s">
        <v>45</v>
      </c>
      <c r="D148" s="11">
        <v>605696</v>
      </c>
      <c r="E148" s="8">
        <v>4</v>
      </c>
      <c r="F148" s="8" t="str" cm="1">
        <f t="array" ref="F148">(CONCATENATE(TEXT(MIN(IF('Base Avaya'!$E:$E='Operadores S2S'!$D148,'Base Avaya'!$AF:$AF)),"hh:mm")," - ",TEXT(MAX(IF('Base Avaya'!$E:$E='Operadores S2S'!$D148,'Base Avaya'!$AG:$AG)),"hh:mm")))</f>
        <v>14:00 - 15:30</v>
      </c>
      <c r="G148" s="8"/>
      <c r="H148" s="8" t="str">
        <f>VLOOKUP(C148,'[1]Nómina Agentes'!$D:$AU,44,0)</f>
        <v>VMAIGMAR</v>
      </c>
      <c r="I148" s="8" t="str">
        <f>VLOOKUP(C148,'[1]Nómina Agentes'!$D$4:$H$473,5,0)</f>
        <v>VILLALBA, VICTORIA</v>
      </c>
    </row>
    <row r="149" spans="2:9" x14ac:dyDescent="0.25">
      <c r="B149" s="8" t="s">
        <v>40</v>
      </c>
      <c r="C149" s="11" t="s">
        <v>138</v>
      </c>
      <c r="D149" s="11">
        <v>606123</v>
      </c>
      <c r="E149" s="8">
        <v>13</v>
      </c>
      <c r="F149" s="8" t="str" cm="1">
        <f t="array" ref="F149">(CONCATENATE(TEXT(MIN(IF('Base Avaya'!$E:$E='Operadores S2S'!$D149,'Base Avaya'!$AF:$AF)),"hh:mm")," - ",TEXT(MAX(IF('Base Avaya'!$E:$E='Operadores S2S'!$D149,'Base Avaya'!$AG:$AG)),"hh:mm")))</f>
        <v>14:00 - 17:30</v>
      </c>
      <c r="G149" s="8"/>
      <c r="H149" s="8" t="str">
        <f>VLOOKUP(C149,'[1]Nómina Agentes'!$D:$AU,44,0)</f>
        <v>VMALUMEN</v>
      </c>
      <c r="I149" s="8" t="str">
        <f>VLOOKUP(C149,'[1]Nómina Agentes'!$D$4:$H$473,5,0)</f>
        <v>LOUREIRO, FLORENCIA CANDELA</v>
      </c>
    </row>
    <row r="150" spans="2:9" x14ac:dyDescent="0.25">
      <c r="B150" s="8" t="s">
        <v>40</v>
      </c>
      <c r="C150" s="11" t="s">
        <v>337</v>
      </c>
      <c r="D150" s="11">
        <v>606437</v>
      </c>
      <c r="E150" s="8">
        <v>34</v>
      </c>
      <c r="F150" s="8" t="str" cm="1">
        <f t="array" ref="F150">(CONCATENATE(TEXT(MIN(IF('Base Avaya'!$E:$E='Operadores S2S'!$D150,'Base Avaya'!$AF:$AF)),"hh:mm")," - ",TEXT(MAX(IF('Base Avaya'!$E:$E='Operadores S2S'!$D150,'Base Avaya'!$AG:$AG)),"hh:mm")))</f>
        <v>14:00 - 20:00</v>
      </c>
      <c r="G150" s="8"/>
      <c r="H150" s="8" t="str">
        <f>VLOOKUP(C150,'[1]Nómina Agentes'!$D:$AU,44,0)</f>
        <v>VMAMAMIR</v>
      </c>
      <c r="I150" s="8" t="str">
        <f>VLOOKUP(C150,'[1]Nómina Agentes'!$D$4:$H$473,5,0)</f>
        <v>ROJAS, LUCAS</v>
      </c>
    </row>
    <row r="151" spans="2:9" x14ac:dyDescent="0.25">
      <c r="B151" s="8" t="s">
        <v>40</v>
      </c>
      <c r="C151" s="11" t="s">
        <v>338</v>
      </c>
      <c r="D151" s="11">
        <v>606288</v>
      </c>
      <c r="E151" s="8">
        <v>14</v>
      </c>
      <c r="F151" s="8" t="str" cm="1">
        <f t="array" ref="F151">(CONCATENATE(TEXT(MIN(IF('Base Avaya'!$E:$E='Operadores S2S'!$D151,'Base Avaya'!$AF:$AF)),"hh:mm")," - ",TEXT(MAX(IF('Base Avaya'!$E:$E='Operadores S2S'!$D151,'Base Avaya'!$AG:$AG)),"hh:mm")))</f>
        <v>18:00 - 20:00</v>
      </c>
      <c r="G151" s="8"/>
      <c r="H151" s="8" t="str">
        <f>VLOOKUP(C151,'[1]Nómina Agentes'!$D:$AU,44,0)</f>
        <v>VMAMAYOJ</v>
      </c>
      <c r="I151" s="8" t="str">
        <f>VLOOKUP(C151,'[1]Nómina Agentes'!$D$4:$H$473,5,0)</f>
        <v>GOMEZ, SASHA</v>
      </c>
    </row>
    <row r="152" spans="2:9" x14ac:dyDescent="0.25">
      <c r="B152" s="8" t="s">
        <v>40</v>
      </c>
      <c r="C152" s="11" t="s">
        <v>79</v>
      </c>
      <c r="D152" s="11">
        <v>606049</v>
      </c>
      <c r="E152" s="8">
        <v>6</v>
      </c>
      <c r="F152" s="8" t="str" cm="1">
        <f t="array" ref="F152">(CONCATENATE(TEXT(MIN(IF('Base Avaya'!$E:$E='Operadores S2S'!$D152,'Base Avaya'!$AF:$AF)),"hh:mm")," - ",TEXT(MAX(IF('Base Avaya'!$E:$E='Operadores S2S'!$D152,'Base Avaya'!$AG:$AG)),"hh:mm")))</f>
        <v>14:00 - 15:00</v>
      </c>
      <c r="G152" s="8"/>
      <c r="H152" s="8" t="str">
        <f>VLOOKUP(C152,'[1]Nómina Agentes'!$D:$AU,44,0)</f>
        <v>VMABRNAV</v>
      </c>
      <c r="I152" s="8" t="str">
        <f>VLOOKUP(C152,'[1]Nómina Agentes'!$D$4:$H$473,5,0)</f>
        <v>SORIA, ANA PAULA</v>
      </c>
    </row>
    <row r="153" spans="2:9" x14ac:dyDescent="0.25">
      <c r="B153" s="8" t="s">
        <v>40</v>
      </c>
      <c r="C153" s="11" t="s">
        <v>339</v>
      </c>
      <c r="D153" s="11">
        <v>606026</v>
      </c>
      <c r="E153" s="8">
        <v>24</v>
      </c>
      <c r="F153" s="8" t="str" cm="1">
        <f t="array" ref="F153">(CONCATENATE(TEXT(MIN(IF('Base Avaya'!$E:$E='Operadores S2S'!$D153,'Base Avaya'!$AF:$AF)),"hh:mm")," - ",TEXT(MAX(IF('Base Avaya'!$E:$E='Operadores S2S'!$D153,'Base Avaya'!$AG:$AG)),"hh:mm")))</f>
        <v>15:00 - 20:00</v>
      </c>
      <c r="G153" s="8"/>
      <c r="H153" s="8" t="str">
        <f>VLOOKUP(C153,'[1]Nómina Agentes'!$D:$AU,44,0)</f>
        <v>VMAMIOLI</v>
      </c>
      <c r="I153" s="8" t="str">
        <f>VLOOKUP(C153,'[1]Nómina Agentes'!$D$4:$H$473,5,0)</f>
        <v>GOMEZ, SASHA</v>
      </c>
    </row>
    <row r="154" spans="2:9" x14ac:dyDescent="0.25">
      <c r="B154" s="8" t="s">
        <v>40</v>
      </c>
      <c r="C154" s="11" t="s">
        <v>340</v>
      </c>
      <c r="D154" s="11">
        <v>606285</v>
      </c>
      <c r="E154" s="8">
        <v>17</v>
      </c>
      <c r="F154" s="8" t="str" cm="1">
        <f t="array" ref="F154">(CONCATENATE(TEXT(MIN(IF('Base Avaya'!$E:$E='Operadores S2S'!$D154,'Base Avaya'!$AF:$AF)),"hh:mm")," - ",TEXT(MAX(IF('Base Avaya'!$E:$E='Operadores S2S'!$D154,'Base Avaya'!$AG:$AG)),"hh:mm")))</f>
        <v>15:00 - 20:00</v>
      </c>
      <c r="G154" s="8"/>
      <c r="H154" s="8" t="str">
        <f>VLOOKUP(C154,'[1]Nómina Agentes'!$D:$AU,44,0)</f>
        <v>VMALUPAE</v>
      </c>
      <c r="I154" s="8" t="str">
        <f>VLOOKUP(C154,'[1]Nómina Agentes'!$D$4:$H$473,5,0)</f>
        <v>ONETTO, MARIA DE LOS MILAGROS</v>
      </c>
    </row>
    <row r="155" spans="2:9" x14ac:dyDescent="0.25">
      <c r="B155" s="8" t="s">
        <v>40</v>
      </c>
      <c r="C155" s="11" t="s">
        <v>341</v>
      </c>
      <c r="D155" s="11">
        <v>606058</v>
      </c>
      <c r="E155" s="8">
        <v>32</v>
      </c>
      <c r="F155" s="8" t="str" cm="1">
        <f t="array" ref="F155">(CONCATENATE(TEXT(MIN(IF('Base Avaya'!$E:$E='Operadores S2S'!$D155,'Base Avaya'!$AF:$AF)),"hh:mm")," - ",TEXT(MAX(IF('Base Avaya'!$E:$E='Operadores S2S'!$D155,'Base Avaya'!$AG:$AG)),"hh:mm")))</f>
        <v>15:30 - 20:00</v>
      </c>
      <c r="G155" s="8"/>
      <c r="H155" s="8" t="str">
        <f>VLOOKUP(C155,'[1]Nómina Agentes'!$D:$AU,44,0)</f>
        <v>VMALOPER</v>
      </c>
      <c r="I155" s="8" t="str">
        <f>VLOOKUP(C155,'[1]Nómina Agentes'!$D$4:$H$473,5,0)</f>
        <v>MIR, TOMAS MAURICIO</v>
      </c>
    </row>
    <row r="156" spans="2:9" x14ac:dyDescent="0.25">
      <c r="B156" s="8" t="s">
        <v>40</v>
      </c>
      <c r="C156" s="11" t="s">
        <v>342</v>
      </c>
      <c r="D156" s="11">
        <v>606370</v>
      </c>
      <c r="E156" s="8">
        <v>33</v>
      </c>
      <c r="F156" s="8" t="str" cm="1">
        <f t="array" ref="F156">(CONCATENATE(TEXT(MIN(IF('Base Avaya'!$E:$E='Operadores S2S'!$D156,'Base Avaya'!$AF:$AF)),"hh:mm")," - ",TEXT(MAX(IF('Base Avaya'!$E:$E='Operadores S2S'!$D156,'Base Avaya'!$AG:$AG)),"hh:mm")))</f>
        <v>14:30 - 20:00</v>
      </c>
      <c r="G156" s="8"/>
      <c r="H156" s="8" t="str">
        <f>VLOOKUP(C156,'[1]Nómina Agentes'!$D:$AU,44,0)</f>
        <v>VMAELPIN</v>
      </c>
      <c r="I156" s="8" t="str">
        <f>VLOOKUP(C156,'[1]Nómina Agentes'!$D$4:$H$473,5,0)</f>
        <v>SORIA, ANA PAULA</v>
      </c>
    </row>
    <row r="157" spans="2:9" x14ac:dyDescent="0.25">
      <c r="B157" s="8" t="s">
        <v>40</v>
      </c>
      <c r="C157" s="11" t="s">
        <v>343</v>
      </c>
      <c r="D157" s="11">
        <v>606616</v>
      </c>
      <c r="E157" s="8">
        <v>34</v>
      </c>
      <c r="F157" s="8" t="str" cm="1">
        <f t="array" ref="F157">(CONCATENATE(TEXT(MIN(IF('Base Avaya'!$E:$E='Operadores S2S'!$D157,'Base Avaya'!$AF:$AF)),"hh:mm")," - ",TEXT(MAX(IF('Base Avaya'!$E:$E='Operadores S2S'!$D157,'Base Avaya'!$AG:$AG)),"hh:mm")))</f>
        <v>15:00 - 20:00</v>
      </c>
      <c r="G157" s="8"/>
      <c r="H157" s="8" t="str">
        <f>VLOOKUP(C157,'[1]Nómina Agentes'!$D:$AU,44,0)</f>
        <v>VMANISAG</v>
      </c>
      <c r="I157" s="8" t="str">
        <f>VLOOKUP(C157,'[1]Nómina Agentes'!$D$4:$H$473,5,0)</f>
        <v>SOLER, SANTIAGO MAXIMILIANO</v>
      </c>
    </row>
    <row r="158" spans="2:9" x14ac:dyDescent="0.25">
      <c r="B158" s="8" t="s">
        <v>40</v>
      </c>
      <c r="C158" s="11" t="s">
        <v>139</v>
      </c>
      <c r="D158" s="11">
        <v>606644</v>
      </c>
      <c r="E158" s="8">
        <v>1</v>
      </c>
      <c r="F158" s="8" t="str" cm="1">
        <f t="array" ref="F158">(CONCATENATE(TEXT(MIN(IF('Base Avaya'!$E:$E='Operadores S2S'!$D158,'Base Avaya'!$AF:$AF)),"hh:mm")," - ",TEXT(MAX(IF('Base Avaya'!$E:$E='Operadores S2S'!$D158,'Base Avaya'!$AG:$AG)),"hh:mm")))</f>
        <v>14:00 - 14:30</v>
      </c>
      <c r="G158" s="8"/>
      <c r="H158" s="8" t="str">
        <f>VLOOKUP(C158,'[1]Nómina Agentes'!$D:$AU,44,0)</f>
        <v>VMAMATSA</v>
      </c>
      <c r="I158" s="8" t="str">
        <f>VLOOKUP(C158,'[1]Nómina Agentes'!$D$4:$H$473,5,0)</f>
        <v>MIR, TOMAS MAURICIO</v>
      </c>
    </row>
    <row r="159" spans="2:9" x14ac:dyDescent="0.25">
      <c r="B159" s="8" t="s">
        <v>40</v>
      </c>
      <c r="C159" s="11" t="s">
        <v>101</v>
      </c>
      <c r="D159" s="11">
        <v>606498</v>
      </c>
      <c r="E159" s="8">
        <v>3</v>
      </c>
      <c r="F159" s="8" t="str" cm="1">
        <f t="array" ref="F159">(CONCATENATE(TEXT(MIN(IF('Base Avaya'!$E:$E='Operadores S2S'!$D159,'Base Avaya'!$AF:$AF)),"hh:mm")," - ",TEXT(MAX(IF('Base Avaya'!$E:$E='Operadores S2S'!$D159,'Base Avaya'!$AG:$AG)),"hh:mm")))</f>
        <v>14:00 - 15:00</v>
      </c>
      <c r="G159" s="8"/>
      <c r="H159" s="8" t="str">
        <f>VLOOKUP(C159,'[1]Nómina Agentes'!$D:$AU,44,0)</f>
        <v>VMAADSAN</v>
      </c>
      <c r="I159" s="8" t="str">
        <f>VLOOKUP(C159,'[1]Nómina Agentes'!$D$4:$H$473,5,0)</f>
        <v>LOUREIRO, FLORENCIA CANDELA</v>
      </c>
    </row>
    <row r="160" spans="2:9" x14ac:dyDescent="0.25">
      <c r="B160" s="8" t="s">
        <v>40</v>
      </c>
      <c r="C160" s="11" t="s">
        <v>344</v>
      </c>
      <c r="D160" s="11">
        <v>606646</v>
      </c>
      <c r="E160" s="8">
        <v>16</v>
      </c>
      <c r="F160" s="8" t="str" cm="1">
        <f t="array" ref="F160">(CONCATENATE(TEXT(MIN(IF('Base Avaya'!$E:$E='Operadores S2S'!$D160,'Base Avaya'!$AF:$AF)),"hh:mm")," - ",TEXT(MAX(IF('Base Avaya'!$E:$E='Operadores S2S'!$D160,'Base Avaya'!$AG:$AG)),"hh:mm")))</f>
        <v>18:00 - 20:00</v>
      </c>
      <c r="G160" s="8"/>
      <c r="H160" s="8" t="str">
        <f>VLOOKUP(C160,'[1]Nómina Agentes'!$D:$AU,44,0)</f>
        <v>VMAJUSAN</v>
      </c>
      <c r="I160" s="8" t="str">
        <f>VLOOKUP(C160,'[1]Nómina Agentes'!$D$4:$H$473,5,0)</f>
        <v>MIR, TOMAS MAURICIO</v>
      </c>
    </row>
    <row r="161" spans="2:9" x14ac:dyDescent="0.25">
      <c r="B161" s="8" t="s">
        <v>40</v>
      </c>
      <c r="C161" s="11" t="s">
        <v>102</v>
      </c>
      <c r="D161" s="11">
        <v>605912</v>
      </c>
      <c r="E161" s="8">
        <v>8</v>
      </c>
      <c r="F161" s="8" t="str" cm="1">
        <f t="array" ref="F161">(CONCATENATE(TEXT(MIN(IF('Base Avaya'!$E:$E='Operadores S2S'!$D161,'Base Avaya'!$AF:$AF)),"hh:mm")," - ",TEXT(MAX(IF('Base Avaya'!$E:$E='Operadores S2S'!$D161,'Base Avaya'!$AG:$AG)),"hh:mm")))</f>
        <v>14:00 - 15:00</v>
      </c>
      <c r="G161" s="8"/>
      <c r="H161" s="8" t="str">
        <f>VLOOKUP(C161,'[1]Nómina Agentes'!$D:$AU,44,0)</f>
        <v>VMASOLUC</v>
      </c>
      <c r="I161" s="8" t="str">
        <f>VLOOKUP(C161,'[1]Nómina Agentes'!$D$4:$H$473,5,0)</f>
        <v>LOUREIRO, FLORENCIA CANDELA</v>
      </c>
    </row>
    <row r="162" spans="2:9" x14ac:dyDescent="0.25">
      <c r="B162" s="8" t="s">
        <v>40</v>
      </c>
      <c r="C162" s="11" t="s">
        <v>76</v>
      </c>
      <c r="D162" s="11">
        <v>605769</v>
      </c>
      <c r="E162" s="8">
        <v>6</v>
      </c>
      <c r="F162" s="8" t="str" cm="1">
        <f t="array" ref="F162">(CONCATENATE(TEXT(MIN(IF('Base Avaya'!$E:$E='Operadores S2S'!$D162,'Base Avaya'!$AF:$AF)),"hh:mm")," - ",TEXT(MAX(IF('Base Avaya'!$E:$E='Operadores S2S'!$D162,'Base Avaya'!$AG:$AG)),"hh:mm")))</f>
        <v>14:00 - 15:00</v>
      </c>
      <c r="G162" s="8"/>
      <c r="H162" s="8" t="str">
        <f>VLOOKUP(C162,'[1]Nómina Agentes'!$D:$AU,44,0)</f>
        <v>VMAVASOS</v>
      </c>
      <c r="I162" s="8" t="str">
        <f>VLOOKUP(C162,'[1]Nómina Agentes'!$D$4:$H$473,5,0)</f>
        <v>ROBLEDO, LEANDRO JAVIER</v>
      </c>
    </row>
    <row r="163" spans="2:9" x14ac:dyDescent="0.25">
      <c r="B163" s="8" t="s">
        <v>40</v>
      </c>
      <c r="C163" s="11" t="s">
        <v>345</v>
      </c>
      <c r="D163" s="11">
        <v>605612</v>
      </c>
      <c r="E163" s="8">
        <v>22</v>
      </c>
      <c r="F163" s="8" t="str" cm="1">
        <f t="array" ref="F163">(CONCATENATE(TEXT(MIN(IF('Base Avaya'!$E:$E='Operadores S2S'!$D200,'Base Avaya'!$AF:$AF)),"hh:mm")," - ",TEXT(MAX(IF('Base Avaya'!$E:$E='Operadores S2S'!$D200,'Base Avaya'!$AG:$AG)),"hh:mm")))</f>
        <v>14:00 - 15:30</v>
      </c>
      <c r="G163" s="8"/>
      <c r="H163" s="8" t="str">
        <f>VLOOKUP(C163,'[1]Nómina Agentes'!$D:$AU,44,0)</f>
        <v>VMAENSOT</v>
      </c>
      <c r="I163" s="8" t="str">
        <f>VLOOKUP(C163,'[1]Nómina Agentes'!$D$4:$H$473,5,0)</f>
        <v>GOMEZ, SASHA</v>
      </c>
    </row>
    <row r="164" spans="2:9" x14ac:dyDescent="0.25">
      <c r="B164" s="8" t="s">
        <v>40</v>
      </c>
      <c r="C164" s="11" t="s">
        <v>346</v>
      </c>
      <c r="D164" s="11">
        <v>605545</v>
      </c>
      <c r="E164" s="8">
        <v>23</v>
      </c>
      <c r="F164" s="8" t="str" cm="1">
        <f t="array" ref="F164">(CONCATENATE(TEXT(MIN(IF('Base Avaya'!$E:$E='Operadores S2S'!$D201,'Base Avaya'!$AF:$AF)),"hh:mm")," - ",TEXT(MAX(IF('Base Avaya'!$E:$E='Operadores S2S'!$D201,'Base Avaya'!$AG:$AG)),"hh:mm")))</f>
        <v>14:00 - 16:30</v>
      </c>
      <c r="G164" s="8"/>
      <c r="H164" s="8" t="str">
        <f>VLOOKUP(C164,'[1]Nómina Agentes'!$D:$AU,44,0)</f>
        <v>VMAMEVAL</v>
      </c>
      <c r="I164" s="8" t="str">
        <f>VLOOKUP(C164,'[1]Nómina Agentes'!$D$4:$H$473,5,0)</f>
        <v>GOMEZ, SASHA</v>
      </c>
    </row>
    <row r="165" spans="2:9" x14ac:dyDescent="0.25">
      <c r="B165" s="8" t="s">
        <v>40</v>
      </c>
      <c r="C165" s="11" t="s">
        <v>140</v>
      </c>
      <c r="D165" s="11">
        <v>605957</v>
      </c>
      <c r="E165" s="8">
        <v>8</v>
      </c>
      <c r="F165" s="8" t="str" cm="1">
        <f t="array" ref="F165">(CONCATENATE(TEXT(MIN(IF('Base Avaya'!$E:$E='Operadores S2S'!$D202,'Base Avaya'!$AF:$AF)),"hh:mm")," - ",TEXT(MAX(IF('Base Avaya'!$E:$E='Operadores S2S'!$D202,'Base Avaya'!$AG:$AG)),"hh:mm")))</f>
        <v>14:00 - 15:30</v>
      </c>
      <c r="G165" s="8"/>
      <c r="H165" s="8" t="str">
        <f>VLOOKUP(C165,'[1]Nómina Agentes'!$D:$AU,44,0)</f>
        <v>VMACAVAR</v>
      </c>
      <c r="I165" s="8" t="str">
        <f>VLOOKUP(C165,'[1]Nómina Agentes'!$D$4:$H$473,5,0)</f>
        <v>GROESMANN, MAYA JUDITH</v>
      </c>
    </row>
    <row r="166" spans="2:9" x14ac:dyDescent="0.25">
      <c r="B166" s="8" t="s">
        <v>40</v>
      </c>
      <c r="C166" s="11" t="s">
        <v>347</v>
      </c>
      <c r="D166" s="11">
        <v>605794</v>
      </c>
      <c r="E166" s="8">
        <v>30</v>
      </c>
      <c r="F166" s="8" t="str" cm="1">
        <f t="array" ref="F166">(CONCATENATE(TEXT(MIN(IF('Base Avaya'!$E:$E='Operadores S2S'!$D203,'Base Avaya'!$AF:$AF)),"hh:mm")," - ",TEXT(MAX(IF('Base Avaya'!$E:$E='Operadores S2S'!$D203,'Base Avaya'!$AG:$AG)),"hh:mm")))</f>
        <v>14:00 - 15:30</v>
      </c>
      <c r="G166" s="8"/>
      <c r="H166" s="8" t="str">
        <f>VLOOKUP(C166,'[1]Nómina Agentes'!$D:$AU,44,0)</f>
        <v>VMASOVAZ</v>
      </c>
      <c r="I166" s="8" t="str">
        <f>VLOOKUP(C166,'[1]Nómina Agentes'!$D$4:$H$473,5,0)</f>
        <v>GOMEZ, SASHA</v>
      </c>
    </row>
    <row r="167" spans="2:9" x14ac:dyDescent="0.25">
      <c r="B167" s="8" t="s">
        <v>40</v>
      </c>
      <c r="C167" s="8" t="s">
        <v>103</v>
      </c>
      <c r="D167" s="8">
        <v>606019</v>
      </c>
      <c r="E167" s="8">
        <v>0</v>
      </c>
      <c r="F167" s="8" t="str" cm="1">
        <f t="array" ref="F167">(CONCATENATE(TEXT(MIN(IF('Base Avaya'!$E:$E='Operadores S2S'!$D204,'Base Avaya'!$AF:$AF)),"hh:mm")," - ",TEXT(MAX(IF('Base Avaya'!$E:$E='Operadores S2S'!$D204,'Base Avaya'!$AG:$AG)),"hh:mm")))</f>
        <v>15:00 - 20:00</v>
      </c>
      <c r="G167" s="8"/>
      <c r="H167" s="8" t="str">
        <f>VLOOKUP(C167,'[1]Nómina Agentes'!$D:$AU,44,0)</f>
        <v>VMATAVER</v>
      </c>
      <c r="I167" s="8" t="str">
        <f>VLOOKUP(C167,'[1]Nómina Agentes'!$D$4:$H$473,5,0)</f>
        <v>LOUREIRO, FLORENCIA CANDELA</v>
      </c>
    </row>
    <row r="168" spans="2:9" x14ac:dyDescent="0.25">
      <c r="B168" s="8" t="s">
        <v>40</v>
      </c>
      <c r="C168" s="11" t="s">
        <v>81</v>
      </c>
      <c r="D168" s="11">
        <v>609727</v>
      </c>
      <c r="E168" s="8">
        <v>8</v>
      </c>
      <c r="F168" s="8" t="str" cm="1">
        <f t="array" ref="F168">(CONCATENATE(TEXT(MIN(IF('Base Avaya'!$E:$E='Operadores S2S'!$D205,'Base Avaya'!$AF:$AF)),"hh:mm")," - ",TEXT(MAX(IF('Base Avaya'!$E:$E='Operadores S2S'!$D205,'Base Avaya'!$AG:$AG)),"hh:mm")))</f>
        <v>14:00 - 16:30</v>
      </c>
      <c r="G168" s="8"/>
      <c r="H168" s="8" t="str">
        <f>VLOOKUP(C168,'[1]Nómina Agentes'!$D:$AU,44,0)</f>
        <v>VMABRZAL</v>
      </c>
      <c r="I168" s="8" t="str">
        <f>VLOOKUP(C168,'[1]Nómina Agentes'!$D$4:$H$473,5,0)</f>
        <v>ROBLEDO, LEANDRO JAVIER</v>
      </c>
    </row>
    <row r="169" spans="2:9" x14ac:dyDescent="0.25">
      <c r="B169" s="8" t="s">
        <v>40</v>
      </c>
      <c r="C169" s="11" t="s">
        <v>322</v>
      </c>
      <c r="D169" s="11">
        <v>628032</v>
      </c>
      <c r="E169" s="8">
        <v>4</v>
      </c>
      <c r="F169" s="8" t="str" cm="1">
        <f t="array" ref="F169">(CONCATENATE(TEXT(MIN(IF('Base Avaya'!$E:$E='Operadores S2S'!$D206,'Base Avaya'!$AF:$AF)),"hh:mm")," - ",TEXT(MAX(IF('Base Avaya'!$E:$E='Operadores S2S'!$D206,'Base Avaya'!$AG:$AG)),"hh:mm")))</f>
        <v>14:00 - 18:30</v>
      </c>
      <c r="G169" s="8"/>
      <c r="H169" s="8" t="e">
        <f>VLOOKUP(C169,'[1]Nómina Agentes'!$D:$AU,44,0)</f>
        <v>#N/A</v>
      </c>
      <c r="I169" s="8" t="e">
        <f>VLOOKUP(C169,'[1]Nómina Agentes'!$D$4:$H$473,5,0)</f>
        <v>#N/A</v>
      </c>
    </row>
    <row r="170" spans="2:9" x14ac:dyDescent="0.25">
      <c r="B170" s="8" t="s">
        <v>40</v>
      </c>
      <c r="C170" s="11" t="s">
        <v>322</v>
      </c>
      <c r="D170" s="11">
        <v>628044</v>
      </c>
      <c r="E170" s="8">
        <v>6</v>
      </c>
      <c r="F170" s="8" t="str" cm="1">
        <f t="array" ref="F170">(CONCATENATE(TEXT(MIN(IF('Base Avaya'!$E:$E='Operadores S2S'!$D207,'Base Avaya'!$AF:$AF)),"hh:mm")," - ",TEXT(MAX(IF('Base Avaya'!$E:$E='Operadores S2S'!$D207,'Base Avaya'!$AG:$AG)),"hh:mm")))</f>
        <v>14:00 - 17:00</v>
      </c>
      <c r="G170" s="8"/>
      <c r="H170" s="8" t="e">
        <f>VLOOKUP(C170,'[1]Nómina Agentes'!$D:$AU,44,0)</f>
        <v>#N/A</v>
      </c>
      <c r="I170" s="8" t="e">
        <f>VLOOKUP(C170,'[1]Nómina Agentes'!$D$4:$H$473,5,0)</f>
        <v>#N/A</v>
      </c>
    </row>
    <row r="171" spans="2:9" x14ac:dyDescent="0.25">
      <c r="B171" s="8" t="s">
        <v>40</v>
      </c>
      <c r="C171" s="11" t="s">
        <v>322</v>
      </c>
      <c r="D171" s="11">
        <v>628100</v>
      </c>
      <c r="E171" s="8">
        <v>37</v>
      </c>
      <c r="F171" s="8" t="str" cm="1">
        <f t="array" ref="F171">(CONCATENATE(TEXT(MIN(IF('Base Avaya'!$E:$E='Operadores S2S'!$D208,'Base Avaya'!$AF:$AF)),"hh:mm")," - ",TEXT(MAX(IF('Base Avaya'!$E:$E='Operadores S2S'!$D208,'Base Avaya'!$AG:$AG)),"hh:mm")))</f>
        <v>14:00 - 20:00</v>
      </c>
      <c r="G171" s="8"/>
      <c r="H171" s="8" t="e">
        <f>VLOOKUP(C171,'[1]Nómina Agentes'!$D:$AU,44,0)</f>
        <v>#N/A</v>
      </c>
      <c r="I171" s="8" t="e">
        <f>VLOOKUP(C171,'[1]Nómina Agentes'!$D$4:$H$473,5,0)</f>
        <v>#N/A</v>
      </c>
    </row>
    <row r="172" spans="2:9" x14ac:dyDescent="0.25">
      <c r="B172" s="8" t="s">
        <v>40</v>
      </c>
      <c r="C172" s="11" t="s">
        <v>322</v>
      </c>
      <c r="D172" s="11">
        <v>628159</v>
      </c>
      <c r="E172" s="8">
        <v>5</v>
      </c>
      <c r="F172" s="8" t="str" cm="1">
        <f t="array" ref="F172">(CONCATENATE(TEXT(MIN(IF('Base Avaya'!$E:$E='Operadores S2S'!$D209,'Base Avaya'!$AF:$AF)),"hh:mm")," - ",TEXT(MAX(IF('Base Avaya'!$E:$E='Operadores S2S'!$D209,'Base Avaya'!$AG:$AG)),"hh:mm")))</f>
        <v>14:00 - 15:30</v>
      </c>
      <c r="G172" s="8"/>
      <c r="H172" s="8" t="e">
        <f>VLOOKUP(C172,'[1]Nómina Agentes'!$D:$AU,44,0)</f>
        <v>#N/A</v>
      </c>
      <c r="I172" s="8" t="e">
        <f>VLOOKUP(C172,'[1]Nómina Agentes'!$D$4:$H$473,5,0)</f>
        <v>#N/A</v>
      </c>
    </row>
    <row r="173" spans="2:9" x14ac:dyDescent="0.25">
      <c r="B173" s="8" t="s">
        <v>40</v>
      </c>
      <c r="C173" s="11" t="s">
        <v>322</v>
      </c>
      <c r="D173" s="11">
        <v>628233</v>
      </c>
      <c r="E173" s="8">
        <v>6</v>
      </c>
      <c r="F173" s="8" t="str" cm="1">
        <f t="array" ref="F173">(CONCATENATE(TEXT(MIN(IF('Base Avaya'!$E:$E='Operadores S2S'!$D210,'Base Avaya'!$AF:$AF)),"hh:mm")," - ",TEXT(MAX(IF('Base Avaya'!$E:$E='Operadores S2S'!$D210,'Base Avaya'!$AG:$AG)),"hh:mm")))</f>
        <v>14:00 - 14:30</v>
      </c>
      <c r="G173" s="8"/>
      <c r="H173" s="8" t="e">
        <f>VLOOKUP(C173,'[1]Nómina Agentes'!$D:$AU,44,0)</f>
        <v>#N/A</v>
      </c>
      <c r="I173" s="8" t="e">
        <f>VLOOKUP(C173,'[1]Nómina Agentes'!$D$4:$H$473,5,0)</f>
        <v>#N/A</v>
      </c>
    </row>
    <row r="174" spans="2:9" x14ac:dyDescent="0.25">
      <c r="B174" s="8" t="s">
        <v>40</v>
      </c>
      <c r="C174" s="11" t="s">
        <v>322</v>
      </c>
      <c r="D174" s="11">
        <v>628253</v>
      </c>
      <c r="E174" s="8">
        <v>7</v>
      </c>
      <c r="F174" s="8" t="str" cm="1">
        <f t="array" ref="F174">(CONCATENATE(TEXT(MIN(IF('Base Avaya'!$E:$E='Operadores S2S'!$D211,'Base Avaya'!$AF:$AF)),"hh:mm")," - ",TEXT(MAX(IF('Base Avaya'!$E:$E='Operadores S2S'!$D211,'Base Avaya'!$AG:$AG)),"hh:mm")))</f>
        <v>14:00 - 17:30</v>
      </c>
      <c r="G174" s="8"/>
      <c r="H174" s="8" t="e">
        <f>VLOOKUP(C174,'[1]Nómina Agentes'!$D:$AU,44,0)</f>
        <v>#N/A</v>
      </c>
      <c r="I174" s="8" t="e">
        <f>VLOOKUP(C174,'[1]Nómina Agentes'!$D$4:$H$473,5,0)</f>
        <v>#N/A</v>
      </c>
    </row>
    <row r="175" spans="2:9" x14ac:dyDescent="0.25">
      <c r="B175" s="8" t="s">
        <v>40</v>
      </c>
      <c r="C175" s="11" t="s">
        <v>322</v>
      </c>
      <c r="D175" s="11">
        <v>628297</v>
      </c>
      <c r="E175" s="8">
        <v>28</v>
      </c>
      <c r="F175" s="8" t="str" cm="1">
        <f t="array" ref="F175">(CONCATENATE(TEXT(MIN(IF('Base Avaya'!$E:$E='Operadores S2S'!$D212,'Base Avaya'!$AF:$AF)),"hh:mm")," - ",TEXT(MAX(IF('Base Avaya'!$E:$E='Operadores S2S'!$D212,'Base Avaya'!$AG:$AG)),"hh:mm")))</f>
        <v>14:00 - 16:30</v>
      </c>
      <c r="G175" s="8"/>
      <c r="H175" s="8" t="e">
        <f>VLOOKUP(C175,'[1]Nómina Agentes'!$D:$AU,44,0)</f>
        <v>#N/A</v>
      </c>
      <c r="I175" s="8" t="e">
        <f>VLOOKUP(C175,'[1]Nómina Agentes'!$D$4:$H$473,5,0)</f>
        <v>#N/A</v>
      </c>
    </row>
    <row r="176" spans="2:9" x14ac:dyDescent="0.25">
      <c r="B176" s="8" t="s">
        <v>40</v>
      </c>
      <c r="C176" s="11" t="s">
        <v>322</v>
      </c>
      <c r="D176" s="11">
        <v>628300</v>
      </c>
      <c r="E176" s="8">
        <v>3</v>
      </c>
      <c r="F176" s="8" t="str" cm="1">
        <f t="array" ref="F176">(CONCATENATE(TEXT(MIN(IF('Base Avaya'!$E:$E='Operadores S2S'!$D213,'Base Avaya'!$AF:$AF)),"hh:mm")," - ",TEXT(MAX(IF('Base Avaya'!$E:$E='Operadores S2S'!$D213,'Base Avaya'!$AG:$AG)),"hh:mm")))</f>
        <v>15:00 - 20:00</v>
      </c>
      <c r="G176" s="8"/>
      <c r="H176" s="8" t="e">
        <f>VLOOKUP(C176,'[1]Nómina Agentes'!$D:$AU,44,0)</f>
        <v>#N/A</v>
      </c>
      <c r="I176" s="8" t="e">
        <f>VLOOKUP(C176,'[1]Nómina Agentes'!$D$4:$H$473,5,0)</f>
        <v>#N/A</v>
      </c>
    </row>
    <row r="177" spans="2:9" x14ac:dyDescent="0.25">
      <c r="B177" s="8" t="s">
        <v>40</v>
      </c>
      <c r="C177" s="11" t="s">
        <v>322</v>
      </c>
      <c r="D177" s="11">
        <v>628352</v>
      </c>
      <c r="E177" s="8">
        <v>30</v>
      </c>
      <c r="F177" s="8" t="str" cm="1">
        <f t="array" ref="F177">(CONCATENATE(TEXT(MIN(IF('Base Avaya'!$E:$E='Operadores S2S'!$D214,'Base Avaya'!$AF:$AF)),"hh:mm")," - ",TEXT(MAX(IF('Base Avaya'!$E:$E='Operadores S2S'!$D214,'Base Avaya'!$AG:$AG)),"hh:mm")))</f>
        <v>15:00 - 20:00</v>
      </c>
      <c r="G177" s="8"/>
      <c r="H177" s="8" t="e">
        <f>VLOOKUP(C177,'[1]Nómina Agentes'!$D:$AU,44,0)</f>
        <v>#N/A</v>
      </c>
      <c r="I177" s="8" t="e">
        <f>VLOOKUP(C177,'[1]Nómina Agentes'!$D$4:$H$473,5,0)</f>
        <v>#N/A</v>
      </c>
    </row>
    <row r="178" spans="2:9" x14ac:dyDescent="0.25">
      <c r="B178" s="8" t="s">
        <v>40</v>
      </c>
      <c r="C178" s="11" t="s">
        <v>322</v>
      </c>
      <c r="D178" s="11">
        <v>628356</v>
      </c>
      <c r="E178" s="8">
        <v>22</v>
      </c>
      <c r="F178" s="8" t="str" cm="1">
        <f t="array" ref="F178">(CONCATENATE(TEXT(MIN(IF('Base Avaya'!$E:$E='Operadores S2S'!$D215,'Base Avaya'!$AF:$AF)),"hh:mm")," - ",TEXT(MAX(IF('Base Avaya'!$E:$E='Operadores S2S'!$D215,'Base Avaya'!$AG:$AG)),"hh:mm")))</f>
        <v>14:00 - 16:30</v>
      </c>
      <c r="G178" s="8"/>
      <c r="H178" s="8" t="e">
        <f>VLOOKUP(C178,'[1]Nómina Agentes'!$D:$AU,44,0)</f>
        <v>#N/A</v>
      </c>
      <c r="I178" s="8" t="e">
        <f>VLOOKUP(C178,'[1]Nómina Agentes'!$D$4:$H$473,5,0)</f>
        <v>#N/A</v>
      </c>
    </row>
    <row r="179" spans="2:9" x14ac:dyDescent="0.25">
      <c r="B179" s="8" t="s">
        <v>40</v>
      </c>
      <c r="C179" s="11" t="s">
        <v>322</v>
      </c>
      <c r="D179" s="11">
        <v>628397</v>
      </c>
      <c r="E179" s="8">
        <v>25</v>
      </c>
      <c r="F179" s="8" t="str" cm="1">
        <f t="array" ref="F179">(CONCATENATE(TEXT(MIN(IF('Base Avaya'!$E:$E='Operadores S2S'!$D216,'Base Avaya'!$AF:$AF)),"hh:mm")," - ",TEXT(MAX(IF('Base Avaya'!$E:$E='Operadores S2S'!$D216,'Base Avaya'!$AG:$AG)),"hh:mm")))</f>
        <v>14:00 - 15:30</v>
      </c>
      <c r="G179" s="8"/>
      <c r="H179" s="8" t="e">
        <f>VLOOKUP(C179,'[1]Nómina Agentes'!$D:$AU,44,0)</f>
        <v>#N/A</v>
      </c>
      <c r="I179" s="8" t="e">
        <f>VLOOKUP(C179,'[1]Nómina Agentes'!$D$4:$H$473,5,0)</f>
        <v>#N/A</v>
      </c>
    </row>
    <row r="180" spans="2:9" x14ac:dyDescent="0.25">
      <c r="B180" s="8" t="s">
        <v>40</v>
      </c>
      <c r="C180" s="11" t="s">
        <v>322</v>
      </c>
      <c r="D180" s="11">
        <v>628411</v>
      </c>
      <c r="E180" s="8">
        <v>16</v>
      </c>
      <c r="F180" s="8" t="str" cm="1">
        <f t="array" ref="F180">(CONCATENATE(TEXT(MIN(IF('Base Avaya'!$E:$E='Operadores S2S'!$D217,'Base Avaya'!$AF:$AF)),"hh:mm")," - ",TEXT(MAX(IF('Base Avaya'!$E:$E='Operadores S2S'!$D217,'Base Avaya'!$AG:$AG)),"hh:mm")))</f>
        <v>14:00 - 15:30</v>
      </c>
      <c r="G180" s="8"/>
      <c r="H180" s="8" t="e">
        <f>VLOOKUP(C180,'[1]Nómina Agentes'!$D:$AU,44,0)</f>
        <v>#N/A</v>
      </c>
      <c r="I180" s="8" t="e">
        <f>VLOOKUP(C180,'[1]Nómina Agentes'!$D$4:$H$473,5,0)</f>
        <v>#N/A</v>
      </c>
    </row>
    <row r="181" spans="2:9" x14ac:dyDescent="0.25">
      <c r="B181" s="8" t="s">
        <v>40</v>
      </c>
      <c r="C181" s="11" t="s">
        <v>322</v>
      </c>
      <c r="D181" s="11">
        <v>628433</v>
      </c>
      <c r="E181" s="8">
        <v>9</v>
      </c>
      <c r="F181" s="8" t="str" cm="1">
        <f t="array" ref="F181">(CONCATENATE(TEXT(MIN(IF('Base Avaya'!$E:$E='Operadores S2S'!$D218,'Base Avaya'!$AF:$AF)),"hh:mm")," - ",TEXT(MAX(IF('Base Avaya'!$E:$E='Operadores S2S'!$D218,'Base Avaya'!$AG:$AG)),"hh:mm")))</f>
        <v>15:30 - 19:00</v>
      </c>
      <c r="G181" s="8"/>
      <c r="H181" s="8" t="e">
        <f>VLOOKUP(C181,'[1]Nómina Agentes'!$D:$AU,44,0)</f>
        <v>#N/A</v>
      </c>
      <c r="I181" s="8" t="e">
        <f>VLOOKUP(C181,'[1]Nómina Agentes'!$D$4:$H$473,5,0)</f>
        <v>#N/A</v>
      </c>
    </row>
    <row r="182" spans="2:9" x14ac:dyDescent="0.25">
      <c r="B182" s="8" t="s">
        <v>40</v>
      </c>
      <c r="C182" s="11" t="s">
        <v>322</v>
      </c>
      <c r="D182" s="11">
        <v>628450</v>
      </c>
      <c r="E182" s="8">
        <v>31</v>
      </c>
      <c r="F182" s="8" t="str" cm="1">
        <f t="array" ref="F182">(CONCATENATE(TEXT(MIN(IF('Base Avaya'!$E:$E='Operadores S2S'!$D219,'Base Avaya'!$AF:$AF)),"hh:mm")," - ",TEXT(MAX(IF('Base Avaya'!$E:$E='Operadores S2S'!$D219,'Base Avaya'!$AG:$AG)),"hh:mm")))</f>
        <v>14:00 - 15:30</v>
      </c>
      <c r="G182" s="8"/>
      <c r="H182" s="8" t="e">
        <f>VLOOKUP(C182,'[1]Nómina Agentes'!$D:$AU,44,0)</f>
        <v>#N/A</v>
      </c>
      <c r="I182" s="8" t="e">
        <f>VLOOKUP(C182,'[1]Nómina Agentes'!$D$4:$H$473,5,0)</f>
        <v>#N/A</v>
      </c>
    </row>
    <row r="183" spans="2:9" x14ac:dyDescent="0.25">
      <c r="B183" s="8" t="s">
        <v>40</v>
      </c>
      <c r="C183" s="11" t="s">
        <v>322</v>
      </c>
      <c r="D183" s="11">
        <v>628452</v>
      </c>
      <c r="E183" s="8">
        <v>20</v>
      </c>
      <c r="F183" s="8" t="str" cm="1">
        <f t="array" ref="F183">(CONCATENATE(TEXT(MIN(IF('Base Avaya'!$E:$E='Operadores S2S'!$D220,'Base Avaya'!$AF:$AF)),"hh:mm")," - ",TEXT(MAX(IF('Base Avaya'!$E:$E='Operadores S2S'!$D220,'Base Avaya'!$AG:$AG)),"hh:mm")))</f>
        <v>15:00 - 20:00</v>
      </c>
      <c r="G183" s="8"/>
      <c r="H183" s="8" t="e">
        <f>VLOOKUP(C183,'[1]Nómina Agentes'!$D:$AU,44,0)</f>
        <v>#N/A</v>
      </c>
      <c r="I183" s="8" t="e">
        <f>VLOOKUP(C183,'[1]Nómina Agentes'!$D$4:$H$473,5,0)</f>
        <v>#N/A</v>
      </c>
    </row>
    <row r="184" spans="2:9" x14ac:dyDescent="0.25">
      <c r="B184" s="8" t="s">
        <v>40</v>
      </c>
      <c r="C184" s="11" t="s">
        <v>322</v>
      </c>
      <c r="D184" s="11">
        <v>628455</v>
      </c>
      <c r="E184" s="8">
        <v>4</v>
      </c>
      <c r="F184" s="8" t="str" cm="1">
        <f t="array" ref="F184">(CONCATENATE(TEXT(MIN(IF('Base Avaya'!$E:$E='Operadores S2S'!$D221,'Base Avaya'!$AF:$AF)),"hh:mm")," - ",TEXT(MAX(IF('Base Avaya'!$E:$E='Operadores S2S'!$D221,'Base Avaya'!$AG:$AG)),"hh:mm")))</f>
        <v>14:00 - 20:00</v>
      </c>
      <c r="G184" s="8"/>
      <c r="H184" s="8" t="e">
        <f>VLOOKUP(C184,'[1]Nómina Agentes'!$D:$AU,44,0)</f>
        <v>#N/A</v>
      </c>
      <c r="I184" s="8" t="e">
        <f>VLOOKUP(C184,'[1]Nómina Agentes'!$D$4:$H$473,5,0)</f>
        <v>#N/A</v>
      </c>
    </row>
    <row r="185" spans="2:9" x14ac:dyDescent="0.25">
      <c r="B185" s="8" t="s">
        <v>40</v>
      </c>
      <c r="C185" s="11" t="s">
        <v>322</v>
      </c>
      <c r="D185" s="11">
        <v>628507</v>
      </c>
      <c r="E185" s="8">
        <v>35</v>
      </c>
      <c r="F185" s="8" t="str" cm="1">
        <f t="array" ref="F185">(CONCATENATE(TEXT(MIN(IF('Base Avaya'!$E:$E='Operadores S2S'!$D222,'Base Avaya'!$AF:$AF)),"hh:mm")," - ",TEXT(MAX(IF('Base Avaya'!$E:$E='Operadores S2S'!$D222,'Base Avaya'!$AG:$AG)),"hh:mm")))</f>
        <v>15:00 - 20:00</v>
      </c>
      <c r="G185" s="8"/>
      <c r="H185" s="8" t="e">
        <f>VLOOKUP(C185,'[1]Nómina Agentes'!$D:$AU,44,0)</f>
        <v>#N/A</v>
      </c>
      <c r="I185" s="8" t="e">
        <f>VLOOKUP(C185,'[1]Nómina Agentes'!$D$4:$H$473,5,0)</f>
        <v>#N/A</v>
      </c>
    </row>
    <row r="186" spans="2:9" x14ac:dyDescent="0.25">
      <c r="B186" s="8" t="s">
        <v>40</v>
      </c>
      <c r="C186" s="11" t="s">
        <v>322</v>
      </c>
      <c r="D186" s="11">
        <v>663252</v>
      </c>
      <c r="E186" s="8">
        <v>6</v>
      </c>
      <c r="F186" s="8" t="str" cm="1">
        <f t="array" ref="F186">(CONCATENATE(TEXT(MIN(IF('Base Avaya'!$E:$E='Operadores S2S'!$D223,'Base Avaya'!$AF:$AF)),"hh:mm")," - ",TEXT(MAX(IF('Base Avaya'!$E:$E='Operadores S2S'!$D223,'Base Avaya'!$AG:$AG)),"hh:mm")))</f>
        <v>15:00 - 20:00</v>
      </c>
      <c r="G186" s="8"/>
      <c r="H186" s="8" t="e">
        <f>VLOOKUP(C186,'[1]Nómina Agentes'!$D:$AU,44,0)</f>
        <v>#N/A</v>
      </c>
      <c r="I186" s="8" t="e">
        <f>VLOOKUP(C186,'[1]Nómina Agentes'!$D$4:$H$473,5,0)</f>
        <v>#N/A</v>
      </c>
    </row>
    <row r="187" spans="2:9" x14ac:dyDescent="0.25">
      <c r="B187" s="8" t="s">
        <v>40</v>
      </c>
      <c r="C187" s="11" t="s">
        <v>322</v>
      </c>
      <c r="D187" s="11">
        <v>663281</v>
      </c>
      <c r="E187" s="8">
        <v>27</v>
      </c>
      <c r="F187" s="8" t="str" cm="1">
        <f t="array" ref="F187">(CONCATENATE(TEXT(MIN(IF('Base Avaya'!$E:$E='Operadores S2S'!$D224,'Base Avaya'!$AF:$AF)),"hh:mm")," - ",TEXT(MAX(IF('Base Avaya'!$E:$E='Operadores S2S'!$D224,'Base Avaya'!$AG:$AG)),"hh:mm")))</f>
        <v>18:00 - 18:30</v>
      </c>
      <c r="G187" s="8"/>
      <c r="H187" s="8" t="e">
        <f>VLOOKUP(C187,'[1]Nómina Agentes'!$D:$AU,44,0)</f>
        <v>#N/A</v>
      </c>
      <c r="I187" s="8" t="e">
        <f>VLOOKUP(C187,'[1]Nómina Agentes'!$D$4:$H$473,5,0)</f>
        <v>#N/A</v>
      </c>
    </row>
    <row r="188" spans="2:9" x14ac:dyDescent="0.25">
      <c r="B188" s="8" t="s">
        <v>40</v>
      </c>
      <c r="C188" s="11" t="s">
        <v>322</v>
      </c>
      <c r="D188" s="11">
        <v>663301</v>
      </c>
      <c r="E188" s="8">
        <v>30</v>
      </c>
      <c r="F188" s="8" t="str" cm="1">
        <f t="array" ref="F188">(CONCATENATE(TEXT(MIN(IF('Base Avaya'!$E:$E='Operadores S2S'!$D225,'Base Avaya'!$AF:$AF)),"hh:mm")," - ",TEXT(MAX(IF('Base Avaya'!$E:$E='Operadores S2S'!$D225,'Base Avaya'!$AG:$AG)),"hh:mm")))</f>
        <v>15:00 - 15:30</v>
      </c>
      <c r="G188" s="8"/>
      <c r="H188" s="8" t="e">
        <f>VLOOKUP(C188,'[1]Nómina Agentes'!$D:$AU,44,0)</f>
        <v>#N/A</v>
      </c>
      <c r="I188" s="8" t="e">
        <f>VLOOKUP(C188,'[1]Nómina Agentes'!$D$4:$H$473,5,0)</f>
        <v>#N/A</v>
      </c>
    </row>
    <row r="189" spans="2:9" x14ac:dyDescent="0.25">
      <c r="B189" s="8" t="s">
        <v>40</v>
      </c>
      <c r="C189" s="11" t="s">
        <v>322</v>
      </c>
      <c r="D189" s="11">
        <v>663310</v>
      </c>
      <c r="E189" s="8">
        <v>13</v>
      </c>
      <c r="F189" s="8" t="str" cm="1">
        <f t="array" ref="F189">(CONCATENATE(TEXT(MIN(IF('Base Avaya'!$E:$E='Operadores S2S'!$D226,'Base Avaya'!$AF:$AF)),"hh:mm")," - ",TEXT(MAX(IF('Base Avaya'!$E:$E='Operadores S2S'!$D226,'Base Avaya'!$AG:$AG)),"hh:mm")))</f>
        <v>15:00 - 16:30</v>
      </c>
      <c r="G189" s="8"/>
      <c r="H189" s="8" t="e">
        <f>VLOOKUP(C189,'[1]Nómina Agentes'!$D:$AU,44,0)</f>
        <v>#N/A</v>
      </c>
      <c r="I189" s="8" t="e">
        <f>VLOOKUP(C189,'[1]Nómina Agentes'!$D$4:$H$473,5,0)</f>
        <v>#N/A</v>
      </c>
    </row>
    <row r="190" spans="2:9" x14ac:dyDescent="0.25">
      <c r="B190" s="8" t="s">
        <v>40</v>
      </c>
      <c r="C190" s="11" t="s">
        <v>322</v>
      </c>
      <c r="D190" s="11">
        <v>663324</v>
      </c>
      <c r="E190" s="8">
        <v>5</v>
      </c>
      <c r="F190" s="8" t="str" cm="1">
        <f t="array" ref="F190">(CONCATENATE(TEXT(MIN(IF('Base Avaya'!$E:$E='Operadores S2S'!$D227,'Base Avaya'!$AF:$AF)),"hh:mm")," - ",TEXT(MAX(IF('Base Avaya'!$E:$E='Operadores S2S'!$D227,'Base Avaya'!$AG:$AG)),"hh:mm")))</f>
        <v>17:00 - 20:00</v>
      </c>
      <c r="G190" s="8"/>
      <c r="H190" s="8" t="e">
        <f>VLOOKUP(C190,'[1]Nómina Agentes'!$D:$AU,44,0)</f>
        <v>#N/A</v>
      </c>
      <c r="I190" s="8" t="e">
        <f>VLOOKUP(C190,'[1]Nómina Agentes'!$D$4:$H$473,5,0)</f>
        <v>#N/A</v>
      </c>
    </row>
    <row r="191" spans="2:9" x14ac:dyDescent="0.25">
      <c r="B191" s="8" t="s">
        <v>40</v>
      </c>
      <c r="C191" s="11" t="s">
        <v>322</v>
      </c>
      <c r="D191" s="11">
        <v>663334</v>
      </c>
      <c r="E191" s="8">
        <v>33</v>
      </c>
      <c r="F191" s="8" t="str" cm="1">
        <f t="array" ref="F191">(CONCATENATE(TEXT(MIN(IF('Base Avaya'!$E:$E='Operadores S2S'!$D228,'Base Avaya'!$AF:$AF)),"hh:mm")," - ",TEXT(MAX(IF('Base Avaya'!$E:$E='Operadores S2S'!$D228,'Base Avaya'!$AG:$AG)),"hh:mm")))</f>
        <v>14:00 - 15:30</v>
      </c>
      <c r="G191" s="8"/>
      <c r="H191" s="8" t="e">
        <f>VLOOKUP(C191,'[1]Nómina Agentes'!$D:$AU,44,0)</f>
        <v>#N/A</v>
      </c>
      <c r="I191" s="8" t="e">
        <f>VLOOKUP(C191,'[1]Nómina Agentes'!$D$4:$H$473,5,0)</f>
        <v>#N/A</v>
      </c>
    </row>
    <row r="192" spans="2:9" x14ac:dyDescent="0.25">
      <c r="B192" s="8" t="s">
        <v>40</v>
      </c>
      <c r="C192" s="11" t="s">
        <v>322</v>
      </c>
      <c r="D192" s="11">
        <v>663419</v>
      </c>
      <c r="E192" s="8">
        <v>11</v>
      </c>
      <c r="F192" s="8" t="str" cm="1">
        <f t="array" ref="F192">(CONCATENATE(TEXT(MIN(IF('Base Avaya'!$E:$E='Operadores S2S'!$D229,'Base Avaya'!$AF:$AF)),"hh:mm")," - ",TEXT(MAX(IF('Base Avaya'!$E:$E='Operadores S2S'!$D229,'Base Avaya'!$AG:$AG)),"hh:mm")))</f>
        <v>00:00 - 00:00</v>
      </c>
      <c r="G192" s="8"/>
      <c r="H192" s="8" t="e">
        <f>VLOOKUP(C192,'[1]Nómina Agentes'!$D:$AU,44,0)</f>
        <v>#N/A</v>
      </c>
      <c r="I192" s="8" t="e">
        <f>VLOOKUP(C192,'[1]Nómina Agentes'!$D$4:$H$473,5,0)</f>
        <v>#N/A</v>
      </c>
    </row>
    <row r="193" spans="2:9" x14ac:dyDescent="0.25">
      <c r="B193" s="8" t="s">
        <v>40</v>
      </c>
      <c r="C193" s="11" t="s">
        <v>322</v>
      </c>
      <c r="D193" s="11">
        <v>663648</v>
      </c>
      <c r="E193" s="8">
        <v>23</v>
      </c>
      <c r="F193" s="8" t="str" cm="1">
        <f t="array" ref="F193">(CONCATENATE(TEXT(MIN(IF('Base Avaya'!$E:$E='Operadores S2S'!$D230,'Base Avaya'!$AF:$AF)),"hh:mm")," - ",TEXT(MAX(IF('Base Avaya'!$E:$E='Operadores S2S'!$D230,'Base Avaya'!$AG:$AG)),"hh:mm")))</f>
        <v>00:00 - 00:00</v>
      </c>
      <c r="G193" s="8"/>
      <c r="H193" s="8" t="e">
        <f>VLOOKUP(C193,'[1]Nómina Agentes'!$D:$AU,44,0)</f>
        <v>#N/A</v>
      </c>
      <c r="I193" s="8" t="e">
        <f>VLOOKUP(C193,'[1]Nómina Agentes'!$D$4:$H$473,5,0)</f>
        <v>#N/A</v>
      </c>
    </row>
    <row r="194" spans="2:9" x14ac:dyDescent="0.25">
      <c r="B194" s="8" t="s">
        <v>40</v>
      </c>
      <c r="C194" s="11" t="s">
        <v>322</v>
      </c>
      <c r="D194" s="11">
        <v>663649</v>
      </c>
      <c r="E194" s="8">
        <v>22</v>
      </c>
      <c r="F194" s="8" t="str" cm="1">
        <f t="array" ref="F194">(CONCATENATE(TEXT(MIN(IF('Base Avaya'!$E:$E='Operadores S2S'!$D231,'Base Avaya'!$AF:$AF)),"hh:mm")," - ",TEXT(MAX(IF('Base Avaya'!$E:$E='Operadores S2S'!$D231,'Base Avaya'!$AG:$AG)),"hh:mm")))</f>
        <v>00:00 - 00:00</v>
      </c>
      <c r="G194" s="8"/>
      <c r="H194" s="8" t="e">
        <f>VLOOKUP(C194,'[1]Nómina Agentes'!$D:$AU,44,0)</f>
        <v>#N/A</v>
      </c>
      <c r="I194" s="8" t="e">
        <f>VLOOKUP(C194,'[1]Nómina Agentes'!$D$4:$H$473,5,0)</f>
        <v>#N/A</v>
      </c>
    </row>
    <row r="195" spans="2:9" x14ac:dyDescent="0.25">
      <c r="B195" s="8" t="s">
        <v>40</v>
      </c>
      <c r="C195" s="11" t="s">
        <v>322</v>
      </c>
      <c r="D195" s="11">
        <v>663802</v>
      </c>
      <c r="E195" s="8">
        <v>17</v>
      </c>
      <c r="F195" s="8" t="str" cm="1">
        <f t="array" ref="F195">(CONCATENATE(TEXT(MIN(IF('Base Avaya'!$E:$E='Operadores S2S'!$D232,'Base Avaya'!$AF:$AF)),"hh:mm")," - ",TEXT(MAX(IF('Base Avaya'!$E:$E='Operadores S2S'!$D232,'Base Avaya'!$AG:$AG)),"hh:mm")))</f>
        <v>00:00 - 00:00</v>
      </c>
      <c r="G195" s="8"/>
      <c r="H195" s="8" t="e">
        <f>VLOOKUP(C195,'[1]Nómina Agentes'!$D:$AU,44,0)</f>
        <v>#N/A</v>
      </c>
      <c r="I195" s="8" t="e">
        <f>VLOOKUP(C195,'[1]Nómina Agentes'!$D$4:$H$473,5,0)</f>
        <v>#N/A</v>
      </c>
    </row>
    <row r="196" spans="2:9" x14ac:dyDescent="0.25">
      <c r="B196" s="8" t="s">
        <v>40</v>
      </c>
      <c r="C196" s="11" t="s">
        <v>322</v>
      </c>
      <c r="D196" s="11">
        <v>664048</v>
      </c>
      <c r="E196" s="8">
        <v>6</v>
      </c>
      <c r="F196" s="8" t="str" cm="1">
        <f t="array" ref="F196">(CONCATENATE(TEXT(MIN(IF('Base Avaya'!$E:$E='Operadores S2S'!$D233,'Base Avaya'!$AF:$AF)),"hh:mm")," - ",TEXT(MAX(IF('Base Avaya'!$E:$E='Operadores S2S'!$D233,'Base Avaya'!$AG:$AG)),"hh:mm")))</f>
        <v>00:00 - 00:00</v>
      </c>
      <c r="G196" s="8"/>
      <c r="H196" s="8" t="e">
        <f>VLOOKUP(C196,'[1]Nómina Agentes'!$D:$AU,44,0)</f>
        <v>#N/A</v>
      </c>
      <c r="I196" s="8" t="e">
        <f>VLOOKUP(C196,'[1]Nómina Agentes'!$D$4:$H$473,5,0)</f>
        <v>#N/A</v>
      </c>
    </row>
    <row r="197" spans="2:9" x14ac:dyDescent="0.25">
      <c r="B197" s="8" t="s">
        <v>40</v>
      </c>
      <c r="C197" s="11" t="s">
        <v>322</v>
      </c>
      <c r="D197" s="11">
        <v>664084</v>
      </c>
      <c r="E197" s="8">
        <v>19</v>
      </c>
      <c r="F197" s="8" t="str" cm="1">
        <f t="array" ref="F197">(CONCATENATE(TEXT(MIN(IF('Base Avaya'!$E:$E='Operadores S2S'!$D234,'Base Avaya'!$AF:$AF)),"hh:mm")," - ",TEXT(MAX(IF('Base Avaya'!$E:$E='Operadores S2S'!$D234,'Base Avaya'!$AG:$AG)),"hh:mm")))</f>
        <v>00:00 - 00:00</v>
      </c>
      <c r="G197" s="8"/>
      <c r="H197" s="8" t="e">
        <f>VLOOKUP(C197,'[1]Nómina Agentes'!$D:$AU,44,0)</f>
        <v>#N/A</v>
      </c>
      <c r="I197" s="8" t="e">
        <f>VLOOKUP(C197,'[1]Nómina Agentes'!$D$4:$H$473,5,0)</f>
        <v>#N/A</v>
      </c>
    </row>
    <row r="198" spans="2:9" x14ac:dyDescent="0.25">
      <c r="B198" s="8" t="s">
        <v>40</v>
      </c>
      <c r="C198" s="11" t="s">
        <v>322</v>
      </c>
      <c r="D198" s="11">
        <v>664495</v>
      </c>
      <c r="E198" s="8">
        <v>6</v>
      </c>
      <c r="F198" s="8" t="str" cm="1">
        <f t="array" ref="F198">(CONCATENATE(TEXT(MIN(IF('Base Avaya'!$E:$E='Operadores S2S'!$D235,'Base Avaya'!$AF:$AF)),"hh:mm")," - ",TEXT(MAX(IF('Base Avaya'!$E:$E='Operadores S2S'!$D235,'Base Avaya'!$AG:$AG)),"hh:mm")))</f>
        <v>00:00 - 00:00</v>
      </c>
      <c r="G198" s="8"/>
      <c r="H198" s="8" t="e">
        <f>VLOOKUP(C198,'[1]Nómina Agentes'!$D:$AU,44,0)</f>
        <v>#N/A</v>
      </c>
      <c r="I198" s="8" t="e">
        <f>VLOOKUP(C198,'[1]Nómina Agentes'!$D$4:$H$473,5,0)</f>
        <v>#N/A</v>
      </c>
    </row>
    <row r="199" spans="2:9" x14ac:dyDescent="0.25">
      <c r="B199" s="8" t="s">
        <v>40</v>
      </c>
      <c r="C199" s="11" t="s">
        <v>322</v>
      </c>
      <c r="D199" s="11">
        <v>664594</v>
      </c>
      <c r="E199" s="8">
        <v>3</v>
      </c>
      <c r="F199" s="8" t="str" cm="1">
        <f t="array" ref="F199">(CONCATENATE(TEXT(MIN(IF('Base Avaya'!$E:$E='Operadores S2S'!$D236,'Base Avaya'!$AF:$AF)),"hh:mm")," - ",TEXT(MAX(IF('Base Avaya'!$E:$E='Operadores S2S'!$D236,'Base Avaya'!$AG:$AG)),"hh:mm")))</f>
        <v>00:00 - 00:00</v>
      </c>
      <c r="G199" s="8"/>
      <c r="H199" s="8" t="e">
        <f>VLOOKUP(C199,'[1]Nómina Agentes'!$D:$AU,44,0)</f>
        <v>#N/A</v>
      </c>
      <c r="I199" s="8" t="e">
        <f>VLOOKUP(C199,'[1]Nómina Agentes'!$D$4:$H$473,5,0)</f>
        <v>#N/A</v>
      </c>
    </row>
    <row r="200" spans="2:9" x14ac:dyDescent="0.25">
      <c r="B200" s="8" t="s">
        <v>40</v>
      </c>
      <c r="C200" s="11" t="s">
        <v>322</v>
      </c>
      <c r="D200" s="11">
        <v>663807</v>
      </c>
      <c r="E200" s="8">
        <v>5</v>
      </c>
      <c r="F200" s="8" t="str" cm="1">
        <f t="array" ref="F200">(CONCATENATE(TEXT(MIN(IF('Base Avaya'!$E:$E='Operadores S2S'!$D237,'Base Avaya'!$AF:$AF)),"hh:mm")," - ",TEXT(MAX(IF('Base Avaya'!$E:$E='Operadores S2S'!$D237,'Base Avaya'!$AG:$AG)),"hh:mm")))</f>
        <v>00:00 - 00:00</v>
      </c>
      <c r="G200" s="8"/>
      <c r="H200" s="8" t="e">
        <f>VLOOKUP(C200,'[1]Nómina Agentes'!$D:$AU,44,0)</f>
        <v>#N/A</v>
      </c>
      <c r="I200" s="8" t="e">
        <f>VLOOKUP(C200,'[1]Nómina Agentes'!$D$4:$H$473,5,0)</f>
        <v>#N/A</v>
      </c>
    </row>
    <row r="201" spans="2:9" x14ac:dyDescent="0.25">
      <c r="B201" s="8" t="s">
        <v>40</v>
      </c>
      <c r="C201" s="11" t="s">
        <v>322</v>
      </c>
      <c r="D201" s="11">
        <v>665501</v>
      </c>
      <c r="E201" s="8">
        <v>11</v>
      </c>
      <c r="F201" s="8" t="str" cm="1">
        <f t="array" ref="F201">(CONCATENATE(TEXT(MIN(IF('Base Avaya'!$E:$E='Operadores S2S'!$D238,'Base Avaya'!$AF:$AF)),"hh:mm")," - ",TEXT(MAX(IF('Base Avaya'!$E:$E='Operadores S2S'!$D238,'Base Avaya'!$AG:$AG)),"hh:mm")))</f>
        <v>00:00 - 00:00</v>
      </c>
      <c r="G201" s="8"/>
      <c r="H201" s="8" t="e">
        <f>VLOOKUP(C201,'[1]Nómina Agentes'!$D:$AU,44,0)</f>
        <v>#N/A</v>
      </c>
      <c r="I201" s="8" t="e">
        <f>VLOOKUP(C201,'[1]Nómina Agentes'!$D$4:$H$473,5,0)</f>
        <v>#N/A</v>
      </c>
    </row>
    <row r="202" spans="2:9" x14ac:dyDescent="0.25">
      <c r="B202" s="8" t="s">
        <v>40</v>
      </c>
      <c r="C202" s="11" t="s">
        <v>322</v>
      </c>
      <c r="D202" s="11">
        <v>663510</v>
      </c>
      <c r="E202" s="8">
        <v>7</v>
      </c>
      <c r="F202" s="8" t="str" cm="1">
        <f t="array" ref="F202">(CONCATENATE(TEXT(MIN(IF('Base Avaya'!$E:$E='Operadores S2S'!$D239,'Base Avaya'!$AF:$AF)),"hh:mm")," - ",TEXT(MAX(IF('Base Avaya'!$E:$E='Operadores S2S'!$D239,'Base Avaya'!$AG:$AG)),"hh:mm")))</f>
        <v>00:00 - 00:00</v>
      </c>
      <c r="G202" s="8"/>
      <c r="H202" s="8" t="e">
        <f>VLOOKUP(C202,'[1]Nómina Agentes'!$D:$AU,44,0)</f>
        <v>#N/A</v>
      </c>
      <c r="I202" s="8" t="e">
        <f>VLOOKUP(C202,'[1]Nómina Agentes'!$D$4:$H$473,5,0)</f>
        <v>#N/A</v>
      </c>
    </row>
    <row r="203" spans="2:9" x14ac:dyDescent="0.25">
      <c r="B203" s="8" t="s">
        <v>40</v>
      </c>
      <c r="C203" s="11" t="s">
        <v>322</v>
      </c>
      <c r="D203" s="11">
        <v>663285</v>
      </c>
      <c r="E203" s="8">
        <v>5</v>
      </c>
      <c r="F203" s="8" t="str" cm="1">
        <f t="array" ref="F203">(CONCATENATE(TEXT(MIN(IF('Base Avaya'!$E:$E='Operadores S2S'!$D240,'Base Avaya'!$AF:$AF)),"hh:mm")," - ",TEXT(MAX(IF('Base Avaya'!$E:$E='Operadores S2S'!$D240,'Base Avaya'!$AG:$AG)),"hh:mm")))</f>
        <v>00:00 - 00:00</v>
      </c>
      <c r="G203" s="8"/>
      <c r="H203" s="8" t="e">
        <f>VLOOKUP(C203,'[1]Nómina Agentes'!$D:$AU,44,0)</f>
        <v>#N/A</v>
      </c>
      <c r="I203" s="8" t="e">
        <f>VLOOKUP(C203,'[1]Nómina Agentes'!$D$4:$H$473,5,0)</f>
        <v>#N/A</v>
      </c>
    </row>
    <row r="204" spans="2:9" x14ac:dyDescent="0.25">
      <c r="B204" s="8" t="s">
        <v>40</v>
      </c>
      <c r="C204" s="11" t="s">
        <v>322</v>
      </c>
      <c r="D204" s="11">
        <v>628540</v>
      </c>
      <c r="E204" s="8">
        <v>28</v>
      </c>
      <c r="F204" s="8" t="str" cm="1">
        <f t="array" ref="F204">(CONCATENATE(TEXT(MIN(IF('Base Avaya'!$E:$E='Operadores S2S'!$D241,'Base Avaya'!$AF:$AF)),"hh:mm")," - ",TEXT(MAX(IF('Base Avaya'!$E:$E='Operadores S2S'!$D241,'Base Avaya'!$AG:$AG)),"hh:mm")))</f>
        <v>00:00 - 00:00</v>
      </c>
      <c r="G204" s="8"/>
      <c r="H204" s="8" t="e">
        <f>VLOOKUP(C204,'[1]Nómina Agentes'!$D:$AU,44,0)</f>
        <v>#N/A</v>
      </c>
      <c r="I204" s="8" t="e">
        <f>VLOOKUP(C204,'[1]Nómina Agentes'!$D$4:$H$473,5,0)</f>
        <v>#N/A</v>
      </c>
    </row>
    <row r="205" spans="2:9" x14ac:dyDescent="0.25">
      <c r="B205" s="8" t="s">
        <v>40</v>
      </c>
      <c r="C205" s="11" t="s">
        <v>322</v>
      </c>
      <c r="D205" s="11">
        <v>616102</v>
      </c>
      <c r="E205" s="8">
        <v>7</v>
      </c>
      <c r="F205" s="8" t="str" cm="1">
        <f t="array" ref="F205">(CONCATENATE(TEXT(MIN(IF('Base Avaya'!$E:$E='Operadores S2S'!$D242,'Base Avaya'!$AF:$AF)),"hh:mm")," - ",TEXT(MAX(IF('Base Avaya'!$E:$E='Operadores S2S'!$D242,'Base Avaya'!$AG:$AG)),"hh:mm")))</f>
        <v>00:00 - 00:00</v>
      </c>
      <c r="G205" s="8"/>
      <c r="H205" s="8" t="e">
        <f>VLOOKUP(C205,'[1]Nómina Agentes'!$D:$AU,44,0)</f>
        <v>#N/A</v>
      </c>
      <c r="I205" s="8" t="e">
        <f>VLOOKUP(C205,'[1]Nómina Agentes'!$D$4:$H$473,5,0)</f>
        <v>#N/A</v>
      </c>
    </row>
    <row r="206" spans="2:9" x14ac:dyDescent="0.25">
      <c r="B206" s="8" t="s">
        <v>40</v>
      </c>
      <c r="C206" s="11" t="s">
        <v>322</v>
      </c>
      <c r="D206" s="11">
        <v>616528</v>
      </c>
      <c r="E206" s="8">
        <v>23</v>
      </c>
      <c r="F206" s="8" t="str" cm="1">
        <f t="array" ref="F206">(CONCATENATE(TEXT(MIN(IF('Base Avaya'!$E:$E='Operadores S2S'!$D243,'Base Avaya'!$AF:$AF)),"hh:mm")," - ",TEXT(MAX(IF('Base Avaya'!$E:$E='Operadores S2S'!$D243,'Base Avaya'!$AG:$AG)),"hh:mm")))</f>
        <v>00:00 - 00:00</v>
      </c>
      <c r="G206" s="8"/>
      <c r="H206" s="8" t="e">
        <f>VLOOKUP(C206,'[1]Nómina Agentes'!$D:$AU,44,0)</f>
        <v>#N/A</v>
      </c>
      <c r="I206" s="8" t="e">
        <f>VLOOKUP(C206,'[1]Nómina Agentes'!$D$4:$H$473,5,0)</f>
        <v>#N/A</v>
      </c>
    </row>
    <row r="207" spans="2:9" x14ac:dyDescent="0.25">
      <c r="B207" s="8" t="s">
        <v>40</v>
      </c>
      <c r="C207" s="11" t="s">
        <v>322</v>
      </c>
      <c r="D207" s="11">
        <v>628094</v>
      </c>
      <c r="E207" s="8">
        <v>15</v>
      </c>
      <c r="F207" s="8" t="str" cm="1">
        <f t="array" ref="F207">(CONCATENATE(TEXT(MIN(IF('Base Avaya'!$E:$E='Operadores S2S'!$D244,'Base Avaya'!$AF:$AF)),"hh:mm")," - ",TEXT(MAX(IF('Base Avaya'!$E:$E='Operadores S2S'!$D244,'Base Avaya'!$AG:$AG)),"hh:mm")))</f>
        <v>00:00 - 00:00</v>
      </c>
      <c r="G207" s="8"/>
      <c r="H207" s="8" t="e">
        <f>VLOOKUP(C207,'[1]Nómina Agentes'!$D:$AU,44,0)</f>
        <v>#N/A</v>
      </c>
      <c r="I207" s="8" t="e">
        <f>VLOOKUP(C207,'[1]Nómina Agentes'!$D$4:$H$473,5,0)</f>
        <v>#N/A</v>
      </c>
    </row>
    <row r="208" spans="2:9" x14ac:dyDescent="0.25">
      <c r="B208" s="8" t="s">
        <v>40</v>
      </c>
      <c r="C208" s="11" t="s">
        <v>322</v>
      </c>
      <c r="D208" s="11">
        <v>628107</v>
      </c>
      <c r="E208" s="8">
        <v>25</v>
      </c>
      <c r="F208" s="8" t="str" cm="1">
        <f t="array" ref="F208">(CONCATENATE(TEXT(MIN(IF('Base Avaya'!$E:$E='Operadores S2S'!$D245,'Base Avaya'!$AF:$AF)),"hh:mm")," - ",TEXT(MAX(IF('Base Avaya'!$E:$E='Operadores S2S'!$D245,'Base Avaya'!$AG:$AG)),"hh:mm")))</f>
        <v>00:00 - 00:00</v>
      </c>
      <c r="G208" s="8"/>
      <c r="H208" s="8" t="e">
        <f>VLOOKUP(C208,'[1]Nómina Agentes'!$D:$AU,44,0)</f>
        <v>#N/A</v>
      </c>
      <c r="I208" s="8" t="e">
        <f>VLOOKUP(C208,'[1]Nómina Agentes'!$D$4:$H$473,5,0)</f>
        <v>#N/A</v>
      </c>
    </row>
    <row r="209" spans="2:9" x14ac:dyDescent="0.25">
      <c r="B209" s="8" t="s">
        <v>40</v>
      </c>
      <c r="C209" s="11" t="s">
        <v>322</v>
      </c>
      <c r="D209" s="11">
        <v>628400</v>
      </c>
      <c r="E209" s="8">
        <v>5</v>
      </c>
      <c r="F209" s="8" t="str" cm="1">
        <f t="array" ref="F209">(CONCATENATE(TEXT(MIN(IF('Base Avaya'!$E:$E='Operadores S2S'!$D246,'Base Avaya'!$AF:$AF)),"hh:mm")," - ",TEXT(MAX(IF('Base Avaya'!$E:$E='Operadores S2S'!$D246,'Base Avaya'!$AG:$AG)),"hh:mm")))</f>
        <v>00:00 - 00:00</v>
      </c>
      <c r="G209" s="8"/>
      <c r="H209" s="8" t="e">
        <f>VLOOKUP(C209,'[1]Nómina Agentes'!$D:$AU,44,0)</f>
        <v>#N/A</v>
      </c>
      <c r="I209" s="8" t="e">
        <f>VLOOKUP(C209,'[1]Nómina Agentes'!$D$4:$H$473,5,0)</f>
        <v>#N/A</v>
      </c>
    </row>
    <row r="210" spans="2:9" x14ac:dyDescent="0.25">
      <c r="B210" s="8" t="s">
        <v>40</v>
      </c>
      <c r="C210" s="11" t="s">
        <v>322</v>
      </c>
      <c r="D210" s="11">
        <v>663591</v>
      </c>
      <c r="E210" s="8">
        <v>1</v>
      </c>
      <c r="F210" s="8" t="str" cm="1">
        <f t="array" ref="F210">(CONCATENATE(TEXT(MIN(IF('Base Avaya'!$E:$E='Operadores S2S'!$D247,'Base Avaya'!$AF:$AF)),"hh:mm")," - ",TEXT(MAX(IF('Base Avaya'!$E:$E='Operadores S2S'!$D247,'Base Avaya'!$AG:$AG)),"hh:mm")))</f>
        <v>00:00 - 00:00</v>
      </c>
      <c r="G210" s="8"/>
      <c r="H210" s="8" t="e">
        <f>VLOOKUP(C210,'[1]Nómina Agentes'!$D:$AU,44,0)</f>
        <v>#N/A</v>
      </c>
      <c r="I210" s="8" t="e">
        <f>VLOOKUP(C210,'[1]Nómina Agentes'!$D$4:$H$473,5,0)</f>
        <v>#N/A</v>
      </c>
    </row>
    <row r="211" spans="2:9" x14ac:dyDescent="0.25">
      <c r="B211" s="8" t="s">
        <v>40</v>
      </c>
      <c r="C211" s="11" t="s">
        <v>322</v>
      </c>
      <c r="D211" s="11">
        <v>69430</v>
      </c>
      <c r="E211" s="8">
        <v>17</v>
      </c>
      <c r="F211" s="8" t="str" cm="1">
        <f t="array" ref="F211">(CONCATENATE(TEXT(MIN(IF('Base Avaya'!$E:$E='Operadores S2S'!$D248,'Base Avaya'!$AF:$AF)),"hh:mm")," - ",TEXT(MAX(IF('Base Avaya'!$E:$E='Operadores S2S'!$D248,'Base Avaya'!$AG:$AG)),"hh:mm")))</f>
        <v>00:00 - 00:00</v>
      </c>
      <c r="G211" s="8"/>
      <c r="H211" s="8" t="e">
        <f>VLOOKUP(C211,'[1]Nómina Agentes'!$D:$AU,44,0)</f>
        <v>#N/A</v>
      </c>
      <c r="I211" s="8" t="e">
        <f>VLOOKUP(C211,'[1]Nómina Agentes'!$D$4:$H$473,5,0)</f>
        <v>#N/A</v>
      </c>
    </row>
    <row r="212" spans="2:9" x14ac:dyDescent="0.25">
      <c r="B212" s="8" t="s">
        <v>40</v>
      </c>
      <c r="C212" s="11" t="s">
        <v>322</v>
      </c>
      <c r="D212" s="11">
        <v>665626</v>
      </c>
      <c r="E212" s="8">
        <v>6</v>
      </c>
      <c r="F212" s="8" t="str" cm="1">
        <f t="array" ref="F212">(CONCATENATE(TEXT(MIN(IF('Base Avaya'!$E:$E='Operadores S2S'!$D249,'Base Avaya'!$AF:$AF)),"hh:mm")," - ",TEXT(MAX(IF('Base Avaya'!$E:$E='Operadores S2S'!$D249,'Base Avaya'!$AG:$AG)),"hh:mm")))</f>
        <v>00:00 - 00:00</v>
      </c>
      <c r="G212" s="8"/>
      <c r="H212" s="8" t="e">
        <f>VLOOKUP(C212,'[1]Nómina Agentes'!$D:$AU,44,0)</f>
        <v>#N/A</v>
      </c>
      <c r="I212" s="8" t="e">
        <f>VLOOKUP(C212,'[1]Nómina Agentes'!$D$4:$H$473,5,0)</f>
        <v>#N/A</v>
      </c>
    </row>
    <row r="213" spans="2:9" x14ac:dyDescent="0.25">
      <c r="B213" s="8" t="s">
        <v>40</v>
      </c>
      <c r="C213" s="11" t="s">
        <v>322</v>
      </c>
      <c r="D213" s="11">
        <v>616605</v>
      </c>
      <c r="E213" s="8">
        <v>33</v>
      </c>
      <c r="F213" s="8" t="str" cm="1">
        <f t="array" ref="F213">(CONCATENATE(TEXT(MIN(IF('Base Avaya'!$E:$E='Operadores S2S'!$D250,'Base Avaya'!$AF:$AF)),"hh:mm")," - ",TEXT(MAX(IF('Base Avaya'!$E:$E='Operadores S2S'!$D250,'Base Avaya'!$AG:$AG)),"hh:mm")))</f>
        <v>00:00 - 00:00</v>
      </c>
      <c r="G213" s="8"/>
      <c r="H213" s="8" t="e">
        <f>VLOOKUP(C213,'[1]Nómina Agentes'!$D:$AU,44,0)</f>
        <v>#N/A</v>
      </c>
      <c r="I213" s="8" t="e">
        <f>VLOOKUP(C213,'[1]Nómina Agentes'!$D$4:$H$473,5,0)</f>
        <v>#N/A</v>
      </c>
    </row>
    <row r="214" spans="2:9" x14ac:dyDescent="0.25">
      <c r="B214" s="8" t="s">
        <v>40</v>
      </c>
      <c r="C214" s="11" t="s">
        <v>322</v>
      </c>
      <c r="D214" s="11">
        <v>616602</v>
      </c>
      <c r="E214" s="8">
        <v>20</v>
      </c>
      <c r="F214" s="8" t="str" cm="1">
        <f t="array" ref="F214">(CONCATENATE(TEXT(MIN(IF('Base Avaya'!$E:$E='Operadores S2S'!$D251,'Base Avaya'!$AF:$AF)),"hh:mm")," - ",TEXT(MAX(IF('Base Avaya'!$E:$E='Operadores S2S'!$D251,'Base Avaya'!$AG:$AG)),"hh:mm")))</f>
        <v>00:00 - 00:00</v>
      </c>
      <c r="G214" s="8"/>
      <c r="H214" s="8" t="e">
        <f>VLOOKUP(C214,'[1]Nómina Agentes'!$D:$AU,44,0)</f>
        <v>#N/A</v>
      </c>
      <c r="I214" s="8" t="e">
        <f>VLOOKUP(C214,'[1]Nómina Agentes'!$D$4:$H$473,5,0)</f>
        <v>#N/A</v>
      </c>
    </row>
    <row r="215" spans="2:9" x14ac:dyDescent="0.25">
      <c r="B215" s="8" t="s">
        <v>40</v>
      </c>
      <c r="C215" s="11" t="s">
        <v>322</v>
      </c>
      <c r="D215" s="11">
        <v>628373</v>
      </c>
      <c r="E215" s="8">
        <v>13</v>
      </c>
      <c r="F215" s="8" t="str" cm="1">
        <f t="array" ref="F215">(CONCATENATE(TEXT(MIN(IF('Base Avaya'!$E:$E='Operadores S2S'!$D252,'Base Avaya'!$AF:$AF)),"hh:mm")," - ",TEXT(MAX(IF('Base Avaya'!$E:$E='Operadores S2S'!$D252,'Base Avaya'!$AG:$AG)),"hh:mm")))</f>
        <v>00:00 - 00:00</v>
      </c>
      <c r="G215" s="8"/>
      <c r="H215" s="8" t="e">
        <f>VLOOKUP(C215,'[1]Nómina Agentes'!$D:$AU,44,0)</f>
        <v>#N/A</v>
      </c>
      <c r="I215" s="8" t="e">
        <f>VLOOKUP(C215,'[1]Nómina Agentes'!$D$4:$H$473,5,0)</f>
        <v>#N/A</v>
      </c>
    </row>
    <row r="216" spans="2:9" x14ac:dyDescent="0.25">
      <c r="B216" s="8" t="s">
        <v>40</v>
      </c>
      <c r="C216" s="11" t="s">
        <v>322</v>
      </c>
      <c r="D216" s="11">
        <v>616517</v>
      </c>
      <c r="E216" s="8">
        <v>7</v>
      </c>
      <c r="F216" s="8" t="str" cm="1">
        <f t="array" ref="F216">(CONCATENATE(TEXT(MIN(IF('Base Avaya'!$E:$E='Operadores S2S'!$D253,'Base Avaya'!$AF:$AF)),"hh:mm")," - ",TEXT(MAX(IF('Base Avaya'!$E:$E='Operadores S2S'!$D253,'Base Avaya'!$AG:$AG)),"hh:mm")))</f>
        <v>00:00 - 00:00</v>
      </c>
      <c r="G216" s="8"/>
      <c r="H216" s="8" t="e">
        <f>VLOOKUP(C216,'[1]Nómina Agentes'!$D:$AU,44,0)</f>
        <v>#N/A</v>
      </c>
      <c r="I216" s="8" t="e">
        <f>VLOOKUP(C216,'[1]Nómina Agentes'!$D$4:$H$473,5,0)</f>
        <v>#N/A</v>
      </c>
    </row>
    <row r="217" spans="2:9" x14ac:dyDescent="0.25">
      <c r="B217" s="8" t="s">
        <v>40</v>
      </c>
      <c r="C217" s="11" t="s">
        <v>322</v>
      </c>
      <c r="D217" s="11">
        <v>628392</v>
      </c>
      <c r="E217" s="8">
        <v>8</v>
      </c>
      <c r="F217" s="8" t="str" cm="1">
        <f t="array" ref="F217">(CONCATENATE(TEXT(MIN(IF('Base Avaya'!$E:$E='Operadores S2S'!$D254,'Base Avaya'!$AF:$AF)),"hh:mm")," - ",TEXT(MAX(IF('Base Avaya'!$E:$E='Operadores S2S'!$D254,'Base Avaya'!$AG:$AG)),"hh:mm")))</f>
        <v>00:00 - 00:00</v>
      </c>
      <c r="G217" s="8"/>
      <c r="H217" s="8" t="e">
        <f>VLOOKUP(C217,'[1]Nómina Agentes'!$D:$AU,44,0)</f>
        <v>#N/A</v>
      </c>
      <c r="I217" s="8" t="e">
        <f>VLOOKUP(C217,'[1]Nómina Agentes'!$D$4:$H$473,5,0)</f>
        <v>#N/A</v>
      </c>
    </row>
    <row r="218" spans="2:9" x14ac:dyDescent="0.25">
      <c r="B218" s="8" t="s">
        <v>40</v>
      </c>
      <c r="C218" s="11" t="s">
        <v>322</v>
      </c>
      <c r="D218" s="11">
        <v>663283</v>
      </c>
      <c r="E218" s="8">
        <v>20</v>
      </c>
      <c r="F218" s="8" t="str" cm="1">
        <f t="array" ref="F218">(CONCATENATE(TEXT(MIN(IF('Base Avaya'!$E:$E='Operadores S2S'!$D255,'Base Avaya'!$AF:$AF)),"hh:mm")," - ",TEXT(MAX(IF('Base Avaya'!$E:$E='Operadores S2S'!$D255,'Base Avaya'!$AG:$AG)),"hh:mm")))</f>
        <v>00:00 - 00:00</v>
      </c>
      <c r="G218" s="8"/>
      <c r="H218" s="8" t="e">
        <f>VLOOKUP(C218,'[1]Nómina Agentes'!$D:$AU,44,0)</f>
        <v>#N/A</v>
      </c>
      <c r="I218" s="8" t="e">
        <f>VLOOKUP(C218,'[1]Nómina Agentes'!$D$4:$H$473,5,0)</f>
        <v>#N/A</v>
      </c>
    </row>
    <row r="219" spans="2:9" x14ac:dyDescent="0.25">
      <c r="B219" s="8" t="s">
        <v>40</v>
      </c>
      <c r="C219" s="11" t="s">
        <v>322</v>
      </c>
      <c r="D219" s="11">
        <v>628026</v>
      </c>
      <c r="E219" s="8">
        <v>4</v>
      </c>
      <c r="F219" s="8" t="str" cm="1">
        <f t="array" ref="F219">(CONCATENATE(TEXT(MIN(IF('Base Avaya'!$E:$E='Operadores S2S'!$D256,'Base Avaya'!$AF:$AF)),"hh:mm")," - ",TEXT(MAX(IF('Base Avaya'!$E:$E='Operadores S2S'!$D256,'Base Avaya'!$AG:$AG)),"hh:mm")))</f>
        <v>00:00 - 00:00</v>
      </c>
      <c r="G219" s="8"/>
      <c r="H219" s="8" t="e">
        <f>VLOOKUP(C219,'[1]Nómina Agentes'!$D:$AU,44,0)</f>
        <v>#N/A</v>
      </c>
      <c r="I219" s="8" t="e">
        <f>VLOOKUP(C219,'[1]Nómina Agentes'!$D$4:$H$473,5,0)</f>
        <v>#N/A</v>
      </c>
    </row>
    <row r="220" spans="2:9" x14ac:dyDescent="0.25">
      <c r="B220" s="8" t="s">
        <v>40</v>
      </c>
      <c r="C220" s="11" t="s">
        <v>322</v>
      </c>
      <c r="D220" s="11">
        <v>628496</v>
      </c>
      <c r="E220" s="8">
        <v>6</v>
      </c>
      <c r="F220" s="8" t="str" cm="1">
        <f t="array" ref="F220">(CONCATENATE(TEXT(MIN(IF('Base Avaya'!$E:$E='Operadores S2S'!$D257,'Base Avaya'!$AF:$AF)),"hh:mm")," - ",TEXT(MAX(IF('Base Avaya'!$E:$E='Operadores S2S'!$D257,'Base Avaya'!$AG:$AG)),"hh:mm")))</f>
        <v>00:00 - 00:00</v>
      </c>
      <c r="G220" s="8"/>
      <c r="H220" s="8" t="e">
        <f>VLOOKUP(C220,'[1]Nómina Agentes'!$D:$AU,44,0)</f>
        <v>#N/A</v>
      </c>
      <c r="I220" s="8" t="e">
        <f>VLOOKUP(C220,'[1]Nómina Agentes'!$D$4:$H$473,5,0)</f>
        <v>#N/A</v>
      </c>
    </row>
    <row r="221" spans="2:9" x14ac:dyDescent="0.25">
      <c r="B221" s="8" t="s">
        <v>40</v>
      </c>
      <c r="C221" s="11" t="s">
        <v>322</v>
      </c>
      <c r="D221" s="11">
        <v>625572</v>
      </c>
      <c r="E221" s="8">
        <v>24</v>
      </c>
      <c r="F221" s="8" t="str" cm="1">
        <f t="array" ref="F221">(CONCATENATE(TEXT(MIN(IF('Base Avaya'!$E:$E='Operadores S2S'!$D258,'Base Avaya'!$AF:$AF)),"hh:mm")," - ",TEXT(MAX(IF('Base Avaya'!$E:$E='Operadores S2S'!$D258,'Base Avaya'!$AG:$AG)),"hh:mm")))</f>
        <v>00:00 - 00:00</v>
      </c>
      <c r="G221" s="8"/>
      <c r="H221" s="8" t="e">
        <f>VLOOKUP(C221,'[1]Nómina Agentes'!$D:$AU,44,0)</f>
        <v>#N/A</v>
      </c>
      <c r="I221" s="8" t="e">
        <f>VLOOKUP(C221,'[1]Nómina Agentes'!$D$4:$H$473,5,0)</f>
        <v>#N/A</v>
      </c>
    </row>
    <row r="222" spans="2:9" x14ac:dyDescent="0.25">
      <c r="B222" s="8" t="s">
        <v>40</v>
      </c>
      <c r="C222" s="11" t="s">
        <v>322</v>
      </c>
      <c r="D222" s="11">
        <v>628262</v>
      </c>
      <c r="E222" s="8">
        <v>30</v>
      </c>
      <c r="F222" s="8" t="str" cm="1">
        <f t="array" ref="F222">(CONCATENATE(TEXT(MIN(IF('Base Avaya'!$E:$E='Operadores S2S'!$D259,'Base Avaya'!$AF:$AF)),"hh:mm")," - ",TEXT(MAX(IF('Base Avaya'!$E:$E='Operadores S2S'!$D259,'Base Avaya'!$AG:$AG)),"hh:mm")))</f>
        <v>00:00 - 00:00</v>
      </c>
      <c r="G222" s="8"/>
      <c r="H222" s="8" t="e">
        <f>VLOOKUP(C222,'[1]Nómina Agentes'!$D:$AU,44,0)</f>
        <v>#N/A</v>
      </c>
      <c r="I222" s="8" t="e">
        <f>VLOOKUP(C222,'[1]Nómina Agentes'!$D$4:$H$473,5,0)</f>
        <v>#N/A</v>
      </c>
    </row>
    <row r="223" spans="2:9" x14ac:dyDescent="0.25">
      <c r="B223" s="8" t="s">
        <v>40</v>
      </c>
      <c r="C223" s="11" t="s">
        <v>322</v>
      </c>
      <c r="D223" s="11">
        <v>628315</v>
      </c>
      <c r="E223" s="8">
        <v>17</v>
      </c>
      <c r="F223" s="8" t="str" cm="1">
        <f t="array" ref="F223">(CONCATENATE(TEXT(MIN(IF('Base Avaya'!$E:$E='Operadores S2S'!$D260,'Base Avaya'!$AF:$AF)),"hh:mm")," - ",TEXT(MAX(IF('Base Avaya'!$E:$E='Operadores S2S'!$D260,'Base Avaya'!$AG:$AG)),"hh:mm")))</f>
        <v>00:00 - 00:00</v>
      </c>
      <c r="G223" s="8"/>
      <c r="H223" s="8" t="e">
        <f>VLOOKUP(C223,'[1]Nómina Agentes'!$D:$AU,44,0)</f>
        <v>#N/A</v>
      </c>
      <c r="I223" s="8" t="e">
        <f>VLOOKUP(C223,'[1]Nómina Agentes'!$D$4:$H$473,5,0)</f>
        <v>#N/A</v>
      </c>
    </row>
    <row r="224" spans="2:9" x14ac:dyDescent="0.25">
      <c r="B224" s="8" t="s">
        <v>40</v>
      </c>
      <c r="C224" s="11" t="s">
        <v>322</v>
      </c>
      <c r="D224" s="11">
        <v>628458</v>
      </c>
      <c r="E224" s="8">
        <v>1</v>
      </c>
      <c r="F224" s="8" t="str" cm="1">
        <f t="array" ref="F224">(CONCATENATE(TEXT(MIN(IF('Base Avaya'!$E:$E='Operadores S2S'!$D261,'Base Avaya'!$AF:$AF)),"hh:mm")," - ",TEXT(MAX(IF('Base Avaya'!$E:$E='Operadores S2S'!$D261,'Base Avaya'!$AG:$AG)),"hh:mm")))</f>
        <v>00:00 - 00:00</v>
      </c>
      <c r="G224" s="8"/>
      <c r="H224" s="8" t="e">
        <f>VLOOKUP(C224,'[1]Nómina Agentes'!$D:$AU,44,0)</f>
        <v>#N/A</v>
      </c>
      <c r="I224" s="8" t="e">
        <f>VLOOKUP(C224,'[1]Nómina Agentes'!$D$4:$H$473,5,0)</f>
        <v>#N/A</v>
      </c>
    </row>
    <row r="225" spans="2:9" x14ac:dyDescent="0.25">
      <c r="B225" s="8" t="s">
        <v>40</v>
      </c>
      <c r="C225" s="11" t="s">
        <v>322</v>
      </c>
      <c r="D225" s="11">
        <v>628468</v>
      </c>
      <c r="E225" s="8">
        <v>1</v>
      </c>
      <c r="F225" s="8" t="str" cm="1">
        <f t="array" ref="F225">(CONCATENATE(TEXT(MIN(IF('Base Avaya'!$E:$E='Operadores S2S'!$D262,'Base Avaya'!$AF:$AF)),"hh:mm")," - ",TEXT(MAX(IF('Base Avaya'!$E:$E='Operadores S2S'!$D262,'Base Avaya'!$AG:$AG)),"hh:mm")))</f>
        <v>00:00 - 00:00</v>
      </c>
      <c r="G225" s="8"/>
      <c r="H225" s="8" t="e">
        <f>VLOOKUP(C225,'[1]Nómina Agentes'!$D:$AU,44,0)</f>
        <v>#N/A</v>
      </c>
      <c r="I225" s="8" t="e">
        <f>VLOOKUP(C225,'[1]Nómina Agentes'!$D$4:$H$473,5,0)</f>
        <v>#N/A</v>
      </c>
    </row>
    <row r="226" spans="2:9" x14ac:dyDescent="0.25">
      <c r="B226" s="8" t="s">
        <v>40</v>
      </c>
      <c r="C226" s="11" t="s">
        <v>322</v>
      </c>
      <c r="D226" s="11">
        <v>663385</v>
      </c>
      <c r="E226" s="8">
        <v>2</v>
      </c>
      <c r="F226" s="8" t="str" cm="1">
        <f t="array" ref="F226">(CONCATENATE(TEXT(MIN(IF('Base Avaya'!$E:$E='Operadores S2S'!$D263,'Base Avaya'!$AF:$AF)),"hh:mm")," - ",TEXT(MAX(IF('Base Avaya'!$E:$E='Operadores S2S'!$D263,'Base Avaya'!$AG:$AG)),"hh:mm")))</f>
        <v>00:00 - 00:00</v>
      </c>
      <c r="G226" s="8"/>
      <c r="H226" s="8" t="e">
        <f>VLOOKUP(C226,'[1]Nómina Agentes'!$D:$AU,44,0)</f>
        <v>#N/A</v>
      </c>
      <c r="I226" s="8" t="e">
        <f>VLOOKUP(C226,'[1]Nómina Agentes'!$D$4:$H$473,5,0)</f>
        <v>#N/A</v>
      </c>
    </row>
    <row r="227" spans="2:9" x14ac:dyDescent="0.25">
      <c r="B227" s="8" t="s">
        <v>40</v>
      </c>
      <c r="C227" s="11" t="s">
        <v>322</v>
      </c>
      <c r="D227" s="11">
        <v>664517</v>
      </c>
      <c r="E227" s="8">
        <v>9</v>
      </c>
      <c r="F227" s="8" t="str" cm="1">
        <f t="array" ref="F227">(CONCATENATE(TEXT(MIN(IF('Base Avaya'!$E:$E='Operadores S2S'!$D264,'Base Avaya'!$AF:$AF)),"hh:mm")," - ",TEXT(MAX(IF('Base Avaya'!$E:$E='Operadores S2S'!$D264,'Base Avaya'!$AG:$AG)),"hh:mm")))</f>
        <v>00:00 - 00:00</v>
      </c>
      <c r="G227" s="8"/>
      <c r="H227" s="8" t="e">
        <f>VLOOKUP(C227,'[1]Nómina Agentes'!$D:$AU,44,0)</f>
        <v>#N/A</v>
      </c>
      <c r="I227" s="8" t="e">
        <f>VLOOKUP(C227,'[1]Nómina Agentes'!$D$4:$H$473,5,0)</f>
        <v>#N/A</v>
      </c>
    </row>
    <row r="228" spans="2:9" x14ac:dyDescent="0.25">
      <c r="B228" s="8" t="s">
        <v>40</v>
      </c>
      <c r="C228" s="11" t="s">
        <v>141</v>
      </c>
      <c r="D228" s="11">
        <v>605694</v>
      </c>
      <c r="E228" s="8">
        <v>10</v>
      </c>
      <c r="F228" s="8" t="str" cm="1">
        <f t="array" ref="F228">(CONCATENATE(TEXT(MIN(IF('Base Avaya'!$E:$E='Operadores S2S'!$D265,'Base Avaya'!$AF:$AF)),"hh:mm")," - ",TEXT(MAX(IF('Base Avaya'!$E:$E='Operadores S2S'!$D265,'Base Avaya'!$AG:$AG)),"hh:mm")))</f>
        <v>00:00 - 00:00</v>
      </c>
      <c r="G228" s="8"/>
      <c r="H228" s="8" t="str">
        <f>VLOOKUP(C228,'[1]Nómina Agentes'!$D:$AU,44,0)</f>
        <v>VMAMOGIL</v>
      </c>
      <c r="I228" s="8" t="str">
        <f>VLOOKUP(C228,'[1]Nómina Agentes'!$D$4:$H$473,5,0)</f>
        <v>ROJAS, LUCAS</v>
      </c>
    </row>
    <row r="229" spans="2:9" x14ac:dyDescent="0.25">
      <c r="B229" s="8" t="s">
        <v>41</v>
      </c>
      <c r="C229" s="11" t="s">
        <v>41</v>
      </c>
      <c r="D229" s="11" t="s">
        <v>41</v>
      </c>
      <c r="E229" s="8"/>
      <c r="F229" s="8" t="str" cm="1">
        <f t="array" ref="F229">(CONCATENATE(TEXT(MIN(IF('Base Avaya'!$E:$E='Operadores S2S'!$D266,'Base Avaya'!$AF:$AF)),"hh:mm")," - ",TEXT(MAX(IF('Base Avaya'!$E:$E='Operadores S2S'!$D266,'Base Avaya'!$AG:$AG)),"hh:mm")))</f>
        <v>00:00 - 00:00</v>
      </c>
      <c r="G229" s="8"/>
      <c r="H229" s="8" t="e">
        <f>VLOOKUP(C229,'[1]Nómina Agentes'!$D:$AU,44,0)</f>
        <v>#N/A</v>
      </c>
      <c r="I229" s="8" t="e">
        <f>VLOOKUP(C229,'[1]Nómina Agentes'!$D$4:$H$473,5,0)</f>
        <v>#N/A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 Avaya</vt:lpstr>
      <vt:lpstr>Operadores S2S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MORLES, YOJANA</dc:creator>
  <cp:lastModifiedBy>Command-A2 (STAFF)</cp:lastModifiedBy>
  <dcterms:created xsi:type="dcterms:W3CDTF">2023-09-29T12:42:31Z</dcterms:created>
  <dcterms:modified xsi:type="dcterms:W3CDTF">2024-10-08T15:50:40Z</dcterms:modified>
</cp:coreProperties>
</file>