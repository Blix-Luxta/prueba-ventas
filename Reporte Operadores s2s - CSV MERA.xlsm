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0" activeTab="1" autoFilterDateGrouping="1"/>
  </bookViews>
  <sheets>
    <sheet name="Base Avaya" sheetId="1" state="visible" r:id="rId1"/>
    <sheet name="Operadores S2S" sheetId="2" state="visible" r:id="rId2"/>
  </sheets>
  <externalReferences>
    <externalReference r:id="rId4"/>
  </externalReferences>
  <definedNames>
    <definedName name="_xlnm._FilterDatabase" localSheetId="0" hidden="1">'Base Avaya'!$A$1:$AG$623</definedName>
  </definedNames>
  <calcPr calcId="191029" fullCalcOnLoad="1"/>
  <pivotCaches>
    <pivotCache cacheId="6" r:id="rId3"/>
  </pivotCaches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0"/>
      <sz val="22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pivotButton="0" quotePrefix="0" xfId="0"/>
    <xf numFmtId="14" fontId="0" fillId="0" borderId="0" pivotButton="0" quotePrefix="0" xfId="0"/>
    <xf numFmtId="20" fontId="0" fillId="0" borderId="0" pivotButton="0" quotePrefix="0" xfId="0"/>
    <xf numFmtId="0" fontId="0" fillId="3" borderId="0" pivotButton="0" quotePrefix="0" xfId="0"/>
    <xf numFmtId="0" fontId="0" fillId="4" borderId="0" pivotButton="0" quotePrefix="0" xfId="0"/>
    <xf numFmtId="20" fontId="0" fillId="3" borderId="0" applyAlignment="1" pivotButton="0" quotePrefix="0" xfId="0">
      <alignment horizontal="center"/>
    </xf>
    <xf numFmtId="0" fontId="0" fillId="2" borderId="0" pivotButton="0" quotePrefix="0" xfId="0"/>
    <xf numFmtId="0" fontId="1" fillId="2" borderId="0" applyAlignment="1" pivotButton="0" quotePrefix="0" xfId="0">
      <alignment vertical="center"/>
    </xf>
    <xf numFmtId="0" fontId="2" fillId="0" borderId="1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dxfs count="902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2" tint="-0.09997863704336681"/>
        </patternFill>
      </fill>
    </dxf>
    <dxf>
      <border>
        <left/>
        <right/>
        <top/>
        <bottom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  <sz val="10"/>
      </font>
      <fill>
        <patternFill patternType="solid">
          <fgColor indexed="64"/>
          <bgColor theme="3"/>
        </patternFill>
      </fill>
      <alignment horizontal="center" vertical="center"/>
    </dxf>
    <dxf>
      <font>
        <color theme="0"/>
        <sz val="10"/>
      </font>
      <fill>
        <patternFill patternType="solid">
          <fgColor indexed="64"/>
          <bgColor theme="3"/>
        </patternFill>
      </fill>
      <alignment horizontal="center" vertical="center"/>
    </dxf>
    <dxf>
      <font>
        <color theme="0"/>
        <sz val="10"/>
      </font>
      <fill>
        <patternFill patternType="solid">
          <fgColor indexed="64"/>
          <bgColor theme="3"/>
        </patternFill>
      </fill>
      <alignment horizontal="center" vertical="center"/>
    </dxf>
    <dxf>
      <font>
        <color theme="0"/>
        <sz val="10"/>
      </font>
      <fill>
        <patternFill patternType="solid">
          <fgColor indexed="64"/>
          <bgColor theme="3"/>
        </patternFill>
      </fill>
      <alignment horizontal="center" vertic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pivotCacheDefinition" Target="/xl/pivotCache/pivotCacheDefinition1.xml" Id="rId3" /><Relationship Type="http://schemas.openxmlformats.org/officeDocument/2006/relationships/externalLink" Target="/xl/externalLinks/externalLink1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file:///\\narnia\Command\Campa&#241;as\Visa\GESTI&#211;N%20CSV\N&#211;MINA%20CSV\2024\Octubre\10%20-%20N&#243;mina%20Mera%20CSV%20Octubre%202024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Nómina Agentes"/>
      <sheetName val="Nómina Staff"/>
      <sheetName val="Bajas Operadores en Capa"/>
      <sheetName val="Baja Operadores"/>
      <sheetName val="Omnia Nomina"/>
      <sheetName val="Omnia Payroll"/>
      <sheetName val="RA"/>
      <sheetName val="BASE SUPERS"/>
      <sheetName val="Hoja2"/>
      <sheetName val="Coordinador"/>
      <sheetName val="Nomina para ratio de nomina cli"/>
      <sheetName val="10 - Nómina Mera CSV Octubre 20"/>
    </sheetNames>
    <sheetDataSet>
      <sheetData sheetId="0">
        <row r="1">
          <cell r="J1" t="str">
            <v>N1</v>
          </cell>
          <cell r="K1"/>
          <cell r="L1"/>
          <cell r="M1" t="str">
            <v>N2</v>
          </cell>
          <cell r="N1"/>
          <cell r="O1" t="str">
            <v>N2 + COMMERCIAL CARDS</v>
          </cell>
          <cell r="P1"/>
          <cell r="Q1" t="str">
            <v>N3</v>
          </cell>
          <cell r="R1" t="str">
            <v>N1</v>
          </cell>
          <cell r="S1" t="str">
            <v>N3</v>
          </cell>
          <cell r="T1"/>
          <cell r="U1"/>
          <cell r="V1" t="str">
            <v>N3</v>
          </cell>
          <cell r="W1"/>
          <cell r="X1" t="str">
            <v>N3</v>
          </cell>
          <cell r="Y1"/>
          <cell r="Z1"/>
          <cell r="AA1"/>
          <cell r="AB1"/>
          <cell r="AC1"/>
          <cell r="AD1"/>
          <cell r="AE1"/>
          <cell r="AF1"/>
          <cell r="AG1" t="str">
            <v>DENUNCIAS</v>
          </cell>
          <cell r="AH1" t="str">
            <v>PMC</v>
          </cell>
          <cell r="AI1" t="str">
            <v>DENUNCIAS</v>
          </cell>
          <cell r="AJ1"/>
          <cell r="AK1" t="str">
            <v>CONSULTAS BANELCO</v>
          </cell>
          <cell r="AL1" t="str">
            <v>HD</v>
          </cell>
          <cell r="AM1" t="str">
            <v>GESTIONES SECUNDARIAS</v>
          </cell>
          <cell r="AN1"/>
          <cell r="AO1" t="str">
            <v>STS</v>
          </cell>
          <cell r="AP1" t="str">
            <v>STS</v>
          </cell>
        </row>
        <row r="2">
          <cell r="C2"/>
          <cell r="D2"/>
          <cell r="E2"/>
          <cell r="F2"/>
          <cell r="G2"/>
          <cell r="H2"/>
          <cell r="I2"/>
          <cell r="J2" t="str">
            <v>BANCOR/BSF</v>
          </cell>
          <cell r="K2" t="str">
            <v>NO PREMIUM</v>
          </cell>
          <cell r="L2"/>
          <cell r="M2"/>
          <cell r="N2"/>
          <cell r="O2" t="str">
            <v>COMMERCIAL CARDS</v>
          </cell>
          <cell r="P2"/>
          <cell r="Q2" t="str">
            <v>PREMIUM</v>
          </cell>
          <cell r="R2"/>
          <cell r="S2"/>
          <cell r="T2"/>
          <cell r="U2"/>
          <cell r="V2" t="str">
            <v>PTO A PTO SANTANDER</v>
          </cell>
          <cell r="W2"/>
          <cell r="X2" t="str">
            <v>AT. EJECUTIVOS VIP</v>
          </cell>
          <cell r="Y2"/>
          <cell r="Z2"/>
          <cell r="AA2"/>
          <cell r="AB2"/>
          <cell r="AC2"/>
          <cell r="AD2"/>
          <cell r="AE2"/>
          <cell r="AF2"/>
          <cell r="AG2" t="str">
            <v>TOKENIZACION</v>
          </cell>
          <cell r="AH2" t="str">
            <v>PAGO DE SERVICIOS</v>
          </cell>
          <cell r="AI2" t="str">
            <v>DENUNCIAS</v>
          </cell>
          <cell r="AJ2"/>
          <cell r="AK2" t="str">
            <v>CONSULTAS BANELCO</v>
          </cell>
          <cell r="AL2" t="str">
            <v>HD</v>
          </cell>
          <cell r="AM2" t="str">
            <v>GESTIONES SECUNDARIAS</v>
          </cell>
          <cell r="AN2"/>
          <cell r="AO2" t="str">
            <v>STS</v>
          </cell>
          <cell r="AP2" t="str">
            <v>STS</v>
          </cell>
        </row>
        <row r="3">
          <cell r="C3"/>
          <cell r="D3"/>
          <cell r="E3"/>
          <cell r="F3"/>
          <cell r="G3"/>
          <cell r="H3"/>
          <cell r="I3"/>
          <cell r="J3" t="str">
            <v>Master Classic/Gold</v>
          </cell>
          <cell r="K3" t="str">
            <v>Ingles</v>
          </cell>
          <cell r="L3" t="str">
            <v>Consultas TJ Credito</v>
          </cell>
          <cell r="M3" t="str">
            <v>Financiacion</v>
          </cell>
          <cell r="N3" t="str">
            <v>Debitos Automaticos</v>
          </cell>
          <cell r="O3" t="str">
            <v>Comm.Cards</v>
          </cell>
          <cell r="P3" t="str">
            <v>Regalo/Recargable</v>
          </cell>
          <cell r="Q3" t="str">
            <v>Upscale expertos</v>
          </cell>
          <cell r="R3" t="str">
            <v>Upscale</v>
          </cell>
          <cell r="S3" t="str">
            <v>Platinum Expertos</v>
          </cell>
          <cell r="T3" t="str">
            <v>Call Collect</v>
          </cell>
          <cell r="U3" t="str">
            <v>PPI</v>
          </cell>
          <cell r="V3" t="str">
            <v>Atencion Personal Socios</v>
          </cell>
          <cell r="W3" t="str">
            <v>Ref Santander</v>
          </cell>
          <cell r="X3" t="str">
            <v>At Ejecutivos Macro</v>
          </cell>
          <cell r="Y3" t="str">
            <v>At Ejecutivos Galicia</v>
          </cell>
          <cell r="Z3" t="str">
            <v>At Ejecutivos Santander</v>
          </cell>
          <cell r="AA3" t="str">
            <v>At Ejecutivos Bancor</v>
          </cell>
          <cell r="AB3" t="str">
            <v>At Ejecutivos HSBC</v>
          </cell>
          <cell r="AC3" t="str">
            <v>At.Ejecutivo BBVA</v>
          </cell>
          <cell r="AD3" t="str">
            <v>At.Ej Bco Industrial</v>
          </cell>
          <cell r="AE3" t="str">
            <v>At Ejecutivo Ciudad</v>
          </cell>
          <cell r="AF3" t="str">
            <v>At Ejecutivos Bica</v>
          </cell>
          <cell r="AG3" t="str">
            <v>Tokenizacion</v>
          </cell>
          <cell r="AH3" t="str">
            <v>Pagos de Servicios</v>
          </cell>
          <cell r="AI3" t="str">
            <v>Reclamos Banelco</v>
          </cell>
          <cell r="AJ3" t="str">
            <v>Denuncias</v>
          </cell>
          <cell r="AK3" t="str">
            <v>Consultas TJ Debito</v>
          </cell>
          <cell r="AL3" t="str">
            <v>HD ME Socios</v>
          </cell>
          <cell r="AM3" t="str">
            <v>GESTIONES SECUNDARIAS</v>
          </cell>
          <cell r="AN3" t="str">
            <v>Sale to Sale</v>
          </cell>
          <cell r="AO3" t="str">
            <v>NO PREMIUM S2S</v>
          </cell>
          <cell r="AP3" t="str">
            <v>PREMIUM S2S</v>
          </cell>
          <cell r="AQ3"/>
          <cell r="AR3"/>
          <cell r="AS3"/>
          <cell r="AT3"/>
          <cell r="AU3"/>
        </row>
        <row r="4">
          <cell r="C4" t="str">
            <v>ID</v>
          </cell>
          <cell r="D4" t="str">
            <v>Apellido y Nombre</v>
          </cell>
          <cell r="E4" t="str">
            <v>Horario</v>
          </cell>
          <cell r="F4" t="str">
            <v>Jornada</v>
          </cell>
          <cell r="G4" t="str">
            <v>Francos</v>
          </cell>
          <cell r="H4" t="str">
            <v>Coordinador</v>
          </cell>
          <cell r="I4" t="str">
            <v>Controller</v>
          </cell>
          <cell r="J4">
            <v>374</v>
          </cell>
          <cell r="K4">
            <v>17</v>
          </cell>
          <cell r="L4">
            <v>7</v>
          </cell>
          <cell r="M4">
            <v>157</v>
          </cell>
          <cell r="N4">
            <v>22</v>
          </cell>
          <cell r="O4">
            <v>2</v>
          </cell>
          <cell r="P4">
            <v>45</v>
          </cell>
          <cell r="Q4">
            <v>612</v>
          </cell>
          <cell r="R4">
            <v>206</v>
          </cell>
          <cell r="S4">
            <v>613</v>
          </cell>
          <cell r="T4">
            <v>27</v>
          </cell>
          <cell r="U4">
            <v>83</v>
          </cell>
          <cell r="V4">
            <v>38</v>
          </cell>
          <cell r="W4">
            <v>358</v>
          </cell>
          <cell r="X4">
            <v>834</v>
          </cell>
          <cell r="Y4">
            <v>836</v>
          </cell>
          <cell r="Z4">
            <v>837</v>
          </cell>
          <cell r="AA4">
            <v>838</v>
          </cell>
          <cell r="AB4">
            <v>839</v>
          </cell>
          <cell r="AC4">
            <v>494</v>
          </cell>
          <cell r="AD4">
            <v>293</v>
          </cell>
          <cell r="AE4">
            <v>473</v>
          </cell>
          <cell r="AF4">
            <v>614</v>
          </cell>
          <cell r="AG4">
            <v>98</v>
          </cell>
          <cell r="AH4">
            <v>1022</v>
          </cell>
          <cell r="AI4">
            <v>353</v>
          </cell>
          <cell r="AJ4">
            <v>13</v>
          </cell>
          <cell r="AK4">
            <v>1020</v>
          </cell>
          <cell r="AL4">
            <v>92</v>
          </cell>
          <cell r="AM4">
            <v>345</v>
          </cell>
          <cell r="AN4" t="str">
            <v>-</v>
          </cell>
          <cell r="AO4" t="str">
            <v>-</v>
          </cell>
          <cell r="AP4" t="str">
            <v>-</v>
          </cell>
          <cell r="AQ4" t="str">
            <v>Fecha Ingreso</v>
          </cell>
          <cell r="AR4" t="str">
            <v>Antigüedad</v>
          </cell>
          <cell r="AS4" t="str">
            <v>Fecha Ultima Capacitacion</v>
          </cell>
          <cell r="AT4" t="str">
            <v>Dias de Atencion desde ultima Capacitacion</v>
          </cell>
          <cell r="AU4" t="str">
            <v>Usuario Host</v>
          </cell>
        </row>
        <row r="5">
          <cell r="C5">
            <v>662499</v>
          </cell>
          <cell r="D5" t="str">
            <v>BALBASTRO ROCIO ANTONELA</v>
          </cell>
          <cell r="E5" t="str">
            <v>07:00 - 13:00</v>
          </cell>
          <cell r="F5" t="str">
            <v>MAÑANA</v>
          </cell>
          <cell r="G5" t="str">
            <v>SAB Y DOM</v>
          </cell>
          <cell r="H5" t="str">
            <v>VEGA, BRIAN NICOLAS</v>
          </cell>
          <cell r="I5" t="str">
            <v>Leandro Muñoz</v>
          </cell>
          <cell r="J5"/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  <cell r="Z5"/>
          <cell r="AA5"/>
          <cell r="AB5"/>
          <cell r="AC5"/>
          <cell r="AD5"/>
          <cell r="AE5"/>
          <cell r="AF5"/>
          <cell r="AG5"/>
          <cell r="AH5"/>
          <cell r="AI5"/>
          <cell r="AJ5"/>
          <cell r="AK5"/>
          <cell r="AL5"/>
          <cell r="AM5" t="str">
            <v>x</v>
          </cell>
          <cell r="AN5"/>
          <cell r="AO5"/>
          <cell r="AP5"/>
          <cell r="AQ5">
            <v>42816</v>
          </cell>
          <cell r="AR5">
            <v>2751</v>
          </cell>
          <cell r="AS5">
            <v>43657</v>
          </cell>
          <cell r="AT5">
            <v>1910</v>
          </cell>
          <cell r="AU5" t="str">
            <v>VMAROBAL</v>
          </cell>
        </row>
        <row r="6">
          <cell r="C6">
            <v>662287</v>
          </cell>
          <cell r="D6" t="str">
            <v>BUSTAMANTE YOLANDA EDITH</v>
          </cell>
          <cell r="E6" t="str">
            <v>09:00 - 15:00</v>
          </cell>
          <cell r="F6" t="str">
            <v>MAÑANA</v>
          </cell>
          <cell r="G6" t="str">
            <v>SAB Y DOM</v>
          </cell>
          <cell r="H6" t="str">
            <v>SORIA, ANA PAULA</v>
          </cell>
          <cell r="I6" t="str">
            <v>Romandetto Carlos</v>
          </cell>
          <cell r="J6"/>
          <cell r="K6"/>
          <cell r="L6"/>
          <cell r="M6"/>
          <cell r="N6"/>
          <cell r="O6"/>
          <cell r="P6"/>
          <cell r="Q6"/>
          <cell r="R6"/>
          <cell r="S6"/>
          <cell r="T6"/>
          <cell r="U6"/>
          <cell r="V6"/>
          <cell r="W6"/>
          <cell r="X6"/>
          <cell r="Y6"/>
          <cell r="Z6"/>
          <cell r="AA6"/>
          <cell r="AB6"/>
          <cell r="AC6"/>
          <cell r="AD6"/>
          <cell r="AE6"/>
          <cell r="AF6"/>
          <cell r="AG6"/>
          <cell r="AH6"/>
          <cell r="AI6" t="str">
            <v>x</v>
          </cell>
          <cell r="AJ6" t="str">
            <v>x</v>
          </cell>
          <cell r="AK6"/>
          <cell r="AL6"/>
          <cell r="AM6"/>
          <cell r="AN6"/>
          <cell r="AO6"/>
          <cell r="AP6"/>
          <cell r="AQ6">
            <v>43735</v>
          </cell>
          <cell r="AR6">
            <v>1832</v>
          </cell>
          <cell r="AS6">
            <v>43742</v>
          </cell>
          <cell r="AT6">
            <v>1825</v>
          </cell>
          <cell r="AU6" t="str">
            <v>VMAYOBUS</v>
          </cell>
        </row>
        <row r="7">
          <cell r="C7">
            <v>662596</v>
          </cell>
          <cell r="D7" t="str">
            <v>CABITU MALENA</v>
          </cell>
          <cell r="E7" t="str">
            <v>09:00 - 15:00</v>
          </cell>
          <cell r="F7" t="str">
            <v>MAÑANA</v>
          </cell>
          <cell r="G7" t="str">
            <v>SAB Y DOM</v>
          </cell>
          <cell r="H7" t="str">
            <v>VEGA, BRIAN NICOLAS</v>
          </cell>
          <cell r="I7" t="str">
            <v>Leandro Muñoz</v>
          </cell>
          <cell r="J7" t="str">
            <v>x</v>
          </cell>
          <cell r="K7"/>
          <cell r="L7" t="str">
            <v>x</v>
          </cell>
          <cell r="M7" t="str">
            <v>x</v>
          </cell>
          <cell r="N7" t="str">
            <v>x</v>
          </cell>
          <cell r="O7" t="str">
            <v>x</v>
          </cell>
          <cell r="P7" t="str">
            <v>x</v>
          </cell>
          <cell r="Q7"/>
          <cell r="R7" t="str">
            <v>x</v>
          </cell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 t="str">
            <v>x</v>
          </cell>
          <cell r="AO7" t="str">
            <v>x</v>
          </cell>
          <cell r="AP7"/>
          <cell r="AQ7">
            <v>42431</v>
          </cell>
          <cell r="AR7">
            <v>3136</v>
          </cell>
          <cell r="AS7">
            <v>44720</v>
          </cell>
          <cell r="AT7">
            <v>847</v>
          </cell>
          <cell r="AU7" t="str">
            <v>VMAMACAB</v>
          </cell>
        </row>
        <row r="8">
          <cell r="C8">
            <v>662182</v>
          </cell>
          <cell r="D8" t="str">
            <v>TARABINI CRISTINA</v>
          </cell>
          <cell r="E8" t="str">
            <v>06:00 - 12:00</v>
          </cell>
          <cell r="F8" t="str">
            <v>MAÑANA</v>
          </cell>
          <cell r="G8" t="str">
            <v>MAR Y DOM</v>
          </cell>
          <cell r="H8" t="str">
            <v>MOYANO, DAIANA SOLEDAD</v>
          </cell>
          <cell r="I8" t="str">
            <v>Romandetto Carlos</v>
          </cell>
          <cell r="J8" t="str">
            <v>x</v>
          </cell>
          <cell r="K8"/>
          <cell r="L8" t="str">
            <v>x</v>
          </cell>
          <cell r="M8" t="str">
            <v>x</v>
          </cell>
          <cell r="N8" t="str">
            <v>x</v>
          </cell>
          <cell r="O8"/>
          <cell r="P8"/>
          <cell r="Q8"/>
          <cell r="R8" t="str">
            <v>x</v>
          </cell>
          <cell r="S8"/>
          <cell r="T8"/>
          <cell r="U8"/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 t="str">
            <v>x</v>
          </cell>
          <cell r="AO8" t="str">
            <v>x</v>
          </cell>
          <cell r="AP8"/>
          <cell r="AQ8">
            <v>43049</v>
          </cell>
          <cell r="AR8">
            <v>2518</v>
          </cell>
          <cell r="AS8">
            <v>45526</v>
          </cell>
          <cell r="AT8">
            <v>41</v>
          </cell>
          <cell r="AU8" t="str">
            <v>VMACRTAR</v>
          </cell>
        </row>
        <row r="9">
          <cell r="C9">
            <v>661819</v>
          </cell>
          <cell r="D9" t="str">
            <v>CHAVEZ RODRIGO EMANUEL</v>
          </cell>
          <cell r="E9" t="str">
            <v>10:00 - 16:00</v>
          </cell>
          <cell r="F9" t="str">
            <v>MAÑANA</v>
          </cell>
          <cell r="G9" t="str">
            <v>MIE Y DOM</v>
          </cell>
          <cell r="H9" t="str">
            <v>LOUREIRO, FLORENCIA CANDELA</v>
          </cell>
          <cell r="I9" t="str">
            <v>Romandetto Carlos</v>
          </cell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 t="str">
            <v>x</v>
          </cell>
          <cell r="AJ9" t="str">
            <v>x</v>
          </cell>
          <cell r="AK9"/>
          <cell r="AL9"/>
          <cell r="AM9"/>
          <cell r="AN9"/>
          <cell r="AO9"/>
          <cell r="AP9"/>
          <cell r="AQ9">
            <v>42593</v>
          </cell>
          <cell r="AR9">
            <v>2974</v>
          </cell>
          <cell r="AS9">
            <v>42941</v>
          </cell>
          <cell r="AT9">
            <v>2626</v>
          </cell>
          <cell r="AU9" t="str">
            <v>VMARODCH</v>
          </cell>
        </row>
        <row r="10">
          <cell r="C10">
            <v>661915</v>
          </cell>
          <cell r="D10" t="str">
            <v>ENRIQUE NATALY SOL</v>
          </cell>
          <cell r="E10" t="str">
            <v>09:00 - 15:00</v>
          </cell>
          <cell r="F10" t="str">
            <v>MAÑANA</v>
          </cell>
          <cell r="G10" t="str">
            <v>SAB Y DOM</v>
          </cell>
          <cell r="H10" t="str">
            <v>VEGA, BRIAN NICOLAS</v>
          </cell>
          <cell r="I10" t="str">
            <v>Leandro Muñoz</v>
          </cell>
          <cell r="J10"/>
          <cell r="K10"/>
          <cell r="L10" t="str">
            <v>x</v>
          </cell>
          <cell r="M10" t="str">
            <v>x</v>
          </cell>
          <cell r="N10" t="str">
            <v>x</v>
          </cell>
          <cell r="O10" t="str">
            <v>x</v>
          </cell>
          <cell r="P10" t="str">
            <v>x</v>
          </cell>
          <cell r="Q10"/>
          <cell r="R10" t="str">
            <v>x</v>
          </cell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 t="str">
            <v>x</v>
          </cell>
          <cell r="AN10"/>
          <cell r="AO10"/>
          <cell r="AP10"/>
          <cell r="AQ10">
            <v>42571</v>
          </cell>
          <cell r="AR10">
            <v>2996</v>
          </cell>
          <cell r="AS10">
            <v>44690</v>
          </cell>
          <cell r="AT10">
            <v>877</v>
          </cell>
          <cell r="AU10" t="str">
            <v>VMANAENR</v>
          </cell>
        </row>
        <row r="11">
          <cell r="C11">
            <v>663554</v>
          </cell>
          <cell r="D11" t="str">
            <v>ESPOSITO PRIETO PALOMA NAHIR</v>
          </cell>
          <cell r="E11" t="str">
            <v>06:00 - 12:00</v>
          </cell>
          <cell r="F11" t="str">
            <v>MAÑANA</v>
          </cell>
          <cell r="G11" t="str">
            <v>MIE Y SAB</v>
          </cell>
          <cell r="H11" t="str">
            <v>MOYANO, DAIANA SOLEDAD</v>
          </cell>
          <cell r="I11" t="str">
            <v>Romandetto Carlos</v>
          </cell>
          <cell r="J11"/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 t="str">
            <v>x</v>
          </cell>
          <cell r="AJ11" t="str">
            <v>x</v>
          </cell>
          <cell r="AK11"/>
          <cell r="AL11"/>
          <cell r="AM11"/>
          <cell r="AN11"/>
          <cell r="AO11"/>
          <cell r="AP11"/>
          <cell r="AQ11">
            <v>43788</v>
          </cell>
          <cell r="AR11">
            <v>1779</v>
          </cell>
          <cell r="AS11">
            <v>43798</v>
          </cell>
          <cell r="AT11">
            <v>1769</v>
          </cell>
          <cell r="AU11" t="str">
            <v>VMAPAESP</v>
          </cell>
        </row>
        <row r="12">
          <cell r="C12">
            <v>662358</v>
          </cell>
          <cell r="D12" t="str">
            <v>GARCIA NADIA SOLEDAD</v>
          </cell>
          <cell r="E12" t="str">
            <v>11:00 - 17:00</v>
          </cell>
          <cell r="F12" t="str">
            <v>MAÑANA</v>
          </cell>
          <cell r="G12" t="str">
            <v>MAR Y DOM</v>
          </cell>
          <cell r="H12" t="str">
            <v>ROBLEDO, YESICA DANIELA</v>
          </cell>
          <cell r="I12" t="str">
            <v>Romandetto Carlos</v>
          </cell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 t="str">
            <v>x</v>
          </cell>
          <cell r="AJ12" t="str">
            <v>x</v>
          </cell>
          <cell r="AK12"/>
          <cell r="AL12"/>
          <cell r="AM12"/>
          <cell r="AN12"/>
          <cell r="AO12"/>
          <cell r="AP12"/>
          <cell r="AQ12">
            <v>43759</v>
          </cell>
          <cell r="AR12">
            <v>1808</v>
          </cell>
          <cell r="AS12">
            <v>43769</v>
          </cell>
          <cell r="AT12">
            <v>1798</v>
          </cell>
          <cell r="AU12" t="str">
            <v>VMAGANAD</v>
          </cell>
        </row>
        <row r="13">
          <cell r="C13">
            <v>662460</v>
          </cell>
          <cell r="D13" t="str">
            <v>GUERRA MAXIMILIANO</v>
          </cell>
          <cell r="E13" t="str">
            <v>09:00 - 15:00</v>
          </cell>
          <cell r="F13" t="str">
            <v>MAÑANA</v>
          </cell>
          <cell r="G13" t="str">
            <v>SAB Y DOM</v>
          </cell>
          <cell r="H13" t="str">
            <v>VEGA, BRIAN NICOLAS</v>
          </cell>
          <cell r="I13" t="str">
            <v>Leandro Muñoz</v>
          </cell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 t="str">
            <v>x</v>
          </cell>
          <cell r="AN13"/>
          <cell r="AO13"/>
          <cell r="AP13"/>
          <cell r="AQ13">
            <v>42396</v>
          </cell>
          <cell r="AR13">
            <v>3171</v>
          </cell>
          <cell r="AS13">
            <v>43550</v>
          </cell>
          <cell r="AT13">
            <v>2017</v>
          </cell>
          <cell r="AU13" t="str">
            <v>VMAMAGUE</v>
          </cell>
        </row>
        <row r="14">
          <cell r="C14">
            <v>661977</v>
          </cell>
          <cell r="D14" t="str">
            <v>LESCANO LUCIANA VANESA</v>
          </cell>
          <cell r="E14" t="str">
            <v>16:00 - 22:00</v>
          </cell>
          <cell r="F14" t="str">
            <v>TARDE</v>
          </cell>
          <cell r="G14" t="str">
            <v>SAB Y DOM</v>
          </cell>
          <cell r="H14" t="str">
            <v>YBARRA, LUCIA ALDANA</v>
          </cell>
          <cell r="I14" t="str">
            <v>Romandetto Carlos</v>
          </cell>
          <cell r="J14"/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 t="str">
            <v>x</v>
          </cell>
          <cell r="AJ14" t="str">
            <v>x</v>
          </cell>
          <cell r="AK14"/>
          <cell r="AL14"/>
          <cell r="AM14"/>
          <cell r="AN14"/>
          <cell r="AO14"/>
          <cell r="AP14"/>
          <cell r="AQ14">
            <v>42586</v>
          </cell>
          <cell r="AR14">
            <v>2981</v>
          </cell>
          <cell r="AS14">
            <v>42632</v>
          </cell>
          <cell r="AT14">
            <v>2935</v>
          </cell>
          <cell r="AU14" t="str">
            <v>VMALULES</v>
          </cell>
        </row>
        <row r="15">
          <cell r="C15">
            <v>661872</v>
          </cell>
          <cell r="D15" t="str">
            <v>PERALTA ACEVEDO KAREN JOHANNA</v>
          </cell>
          <cell r="E15" t="str">
            <v>06:00 - 12:00</v>
          </cell>
          <cell r="F15" t="str">
            <v>MAÑANA</v>
          </cell>
          <cell r="G15" t="str">
            <v>SAB Y DOM</v>
          </cell>
          <cell r="H15" t="str">
            <v>MOYANO, DAIANA SOLEDAD</v>
          </cell>
          <cell r="I15" t="str">
            <v>Romandetto Carlos</v>
          </cell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 t="str">
            <v>x</v>
          </cell>
          <cell r="AJ15" t="str">
            <v>x</v>
          </cell>
          <cell r="AK15"/>
          <cell r="AL15"/>
          <cell r="AM15"/>
          <cell r="AN15"/>
          <cell r="AO15"/>
          <cell r="AP15"/>
          <cell r="AQ15">
            <v>43049</v>
          </cell>
          <cell r="AR15">
            <v>2518</v>
          </cell>
          <cell r="AS15">
            <v>43823</v>
          </cell>
          <cell r="AT15">
            <v>1744</v>
          </cell>
          <cell r="AU15" t="str">
            <v>VMAKAPER</v>
          </cell>
        </row>
        <row r="16">
          <cell r="C16">
            <v>662238</v>
          </cell>
          <cell r="D16" t="str">
            <v>RETAMAL CAMILA NATALY</v>
          </cell>
          <cell r="E16" t="str">
            <v>10:00 - 16:00</v>
          </cell>
          <cell r="F16" t="str">
            <v>MAÑANA</v>
          </cell>
          <cell r="G16" t="str">
            <v>VIE Y SAB</v>
          </cell>
          <cell r="H16" t="str">
            <v>RUIZ, TOMAS EMANUEL</v>
          </cell>
          <cell r="I16" t="str">
            <v>Romandetto Carlos</v>
          </cell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 t="str">
            <v>x</v>
          </cell>
          <cell r="AJ16" t="str">
            <v>x</v>
          </cell>
          <cell r="AK16"/>
          <cell r="AL16"/>
          <cell r="AM16"/>
          <cell r="AN16"/>
          <cell r="AO16"/>
          <cell r="AP16"/>
          <cell r="AQ16">
            <v>43717</v>
          </cell>
          <cell r="AR16">
            <v>1850</v>
          </cell>
          <cell r="AS16">
            <v>44551</v>
          </cell>
          <cell r="AT16">
            <v>1016</v>
          </cell>
          <cell r="AU16" t="str">
            <v>VMACARET</v>
          </cell>
        </row>
        <row r="17">
          <cell r="C17">
            <v>661783</v>
          </cell>
          <cell r="D17" t="str">
            <v>SANDOVAL ANGELICA SALOME</v>
          </cell>
          <cell r="E17" t="str">
            <v>16:00 - 22:00</v>
          </cell>
          <cell r="F17" t="str">
            <v>TARDE</v>
          </cell>
          <cell r="G17" t="str">
            <v>VIE Y DOM</v>
          </cell>
          <cell r="H17" t="str">
            <v>PELOC, MARIA SOLEDAD</v>
          </cell>
          <cell r="I17" t="str">
            <v>Romandetto Carlos</v>
          </cell>
          <cell r="J17" t="str">
            <v>x</v>
          </cell>
          <cell r="K17"/>
          <cell r="L17" t="str">
            <v>x</v>
          </cell>
          <cell r="M17" t="str">
            <v>x</v>
          </cell>
          <cell r="N17" t="str">
            <v>x</v>
          </cell>
          <cell r="O17"/>
          <cell r="P17"/>
          <cell r="Q17"/>
          <cell r="R17" t="str">
            <v>x</v>
          </cell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 t="str">
            <v>x</v>
          </cell>
          <cell r="AO17" t="str">
            <v>x</v>
          </cell>
          <cell r="AP17"/>
          <cell r="AQ17">
            <v>43262</v>
          </cell>
          <cell r="AR17">
            <v>2305</v>
          </cell>
          <cell r="AS17">
            <v>45509</v>
          </cell>
          <cell r="AT17">
            <v>58</v>
          </cell>
          <cell r="AU17" t="str">
            <v>VMAANSAN</v>
          </cell>
        </row>
        <row r="18">
          <cell r="C18">
            <v>662620</v>
          </cell>
          <cell r="D18" t="str">
            <v>SANTILLAN YAMILA JAZMIN</v>
          </cell>
          <cell r="E18" t="str">
            <v>10:00 - 16:00</v>
          </cell>
          <cell r="F18" t="str">
            <v>MAÑANA</v>
          </cell>
          <cell r="G18" t="str">
            <v>JUE Y DOM</v>
          </cell>
          <cell r="H18" t="str">
            <v>ROBLEDO, YESICA DANIELA</v>
          </cell>
          <cell r="I18" t="str">
            <v>Romandetto Carlos</v>
          </cell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 t="str">
            <v>x</v>
          </cell>
          <cell r="AJ18" t="str">
            <v>x</v>
          </cell>
          <cell r="AK18"/>
          <cell r="AL18"/>
          <cell r="AM18"/>
          <cell r="AN18"/>
          <cell r="AO18"/>
          <cell r="AP18"/>
          <cell r="AQ18">
            <v>42440</v>
          </cell>
          <cell r="AR18">
            <v>3127</v>
          </cell>
          <cell r="AS18">
            <v>42716</v>
          </cell>
          <cell r="AT18">
            <v>2851</v>
          </cell>
          <cell r="AU18" t="str">
            <v>VMAYASAN</v>
          </cell>
        </row>
        <row r="19">
          <cell r="C19">
            <v>662816</v>
          </cell>
          <cell r="D19" t="str">
            <v>TARABINI GLORIA INES</v>
          </cell>
          <cell r="E19" t="str">
            <v>06:00 - 12:00</v>
          </cell>
          <cell r="F19" t="str">
            <v>MAÑANA</v>
          </cell>
          <cell r="G19" t="str">
            <v>JUE Y DOM</v>
          </cell>
          <cell r="H19" t="str">
            <v>MOYANO, DAIANA SOLEDAD</v>
          </cell>
          <cell r="I19" t="str">
            <v>Romandetto Carlos</v>
          </cell>
          <cell r="J19" t="str">
            <v>x</v>
          </cell>
          <cell r="K19"/>
          <cell r="L19" t="str">
            <v>x</v>
          </cell>
          <cell r="M19" t="str">
            <v>x</v>
          </cell>
          <cell r="N19" t="str">
            <v>x</v>
          </cell>
          <cell r="O19"/>
          <cell r="P19"/>
          <cell r="Q19"/>
          <cell r="R19" t="str">
            <v>x</v>
          </cell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 t="str">
            <v>x</v>
          </cell>
          <cell r="AO19" t="str">
            <v>x</v>
          </cell>
          <cell r="AP19"/>
          <cell r="AQ19">
            <v>43249</v>
          </cell>
          <cell r="AR19">
            <v>2318</v>
          </cell>
          <cell r="AS19">
            <v>45526</v>
          </cell>
          <cell r="AT19">
            <v>41</v>
          </cell>
          <cell r="AU19" t="str">
            <v>VMAGLTAR</v>
          </cell>
        </row>
        <row r="20">
          <cell r="C20">
            <v>665570</v>
          </cell>
          <cell r="D20" t="str">
            <v>ULIELDIN DANIELA ALEJANDRA</v>
          </cell>
          <cell r="E20" t="str">
            <v>09:00 - 15:00</v>
          </cell>
          <cell r="F20" t="str">
            <v>MAÑANA</v>
          </cell>
          <cell r="G20" t="str">
            <v>JUE Y SAB</v>
          </cell>
          <cell r="H20" t="str">
            <v>GROESMANN, MAYA JUDITH</v>
          </cell>
          <cell r="I20" t="str">
            <v>Romandetto Carlos</v>
          </cell>
          <cell r="J20" t="str">
            <v>x</v>
          </cell>
          <cell r="K20"/>
          <cell r="L20" t="str">
            <v>x</v>
          </cell>
          <cell r="M20" t="str">
            <v>x</v>
          </cell>
          <cell r="N20" t="str">
            <v>x</v>
          </cell>
          <cell r="O20"/>
          <cell r="P20"/>
          <cell r="Q20"/>
          <cell r="R20" t="str">
            <v>x</v>
          </cell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 t="str">
            <v>x</v>
          </cell>
          <cell r="AN20"/>
          <cell r="AO20"/>
          <cell r="AP20"/>
          <cell r="AQ20">
            <v>43129</v>
          </cell>
          <cell r="AR20">
            <v>2438</v>
          </cell>
          <cell r="AS20">
            <v>45509</v>
          </cell>
          <cell r="AT20">
            <v>58</v>
          </cell>
          <cell r="AU20" t="str">
            <v>VMADAULI</v>
          </cell>
        </row>
        <row r="21">
          <cell r="C21">
            <v>661748</v>
          </cell>
          <cell r="D21" t="str">
            <v>URTAZUN LUCIA ANAHI</v>
          </cell>
          <cell r="E21" t="str">
            <v>09:00 - 15:00</v>
          </cell>
          <cell r="F21" t="str">
            <v>MAÑANA</v>
          </cell>
          <cell r="G21" t="str">
            <v>SAB Y DOM</v>
          </cell>
          <cell r="H21" t="str">
            <v>VEGA, BRIAN NICOLAS</v>
          </cell>
          <cell r="I21" t="str">
            <v>Leandro Muñoz</v>
          </cell>
          <cell r="J21"/>
          <cell r="K21"/>
          <cell r="L21"/>
          <cell r="M21" t="str">
            <v>x</v>
          </cell>
          <cell r="N21"/>
          <cell r="O21"/>
          <cell r="P21"/>
          <cell r="Q21"/>
          <cell r="R21" t="str">
            <v>x</v>
          </cell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 t="str">
            <v>x</v>
          </cell>
          <cell r="AN21"/>
          <cell r="AO21"/>
          <cell r="AP21"/>
          <cell r="AQ21">
            <v>43213</v>
          </cell>
          <cell r="AR21">
            <v>2354</v>
          </cell>
          <cell r="AS21">
            <v>44720</v>
          </cell>
          <cell r="AT21">
            <v>847</v>
          </cell>
          <cell r="AU21" t="str">
            <v>VMALUURT</v>
          </cell>
        </row>
        <row r="22">
          <cell r="C22">
            <v>662112</v>
          </cell>
          <cell r="D22" t="str">
            <v>VELIZ NORBERTO DANIEL</v>
          </cell>
          <cell r="E22" t="str">
            <v>16:00 - 22:00</v>
          </cell>
          <cell r="F22" t="str">
            <v>TARDE</v>
          </cell>
          <cell r="G22" t="str">
            <v>SAB Y DOM</v>
          </cell>
          <cell r="H22" t="str">
            <v>PELOC, MARIA SOLEDAD</v>
          </cell>
          <cell r="I22" t="str">
            <v>Romandetto Carlos</v>
          </cell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 t="str">
            <v>x</v>
          </cell>
          <cell r="AJ22" t="str">
            <v>x</v>
          </cell>
          <cell r="AK22"/>
          <cell r="AL22"/>
          <cell r="AM22"/>
          <cell r="AN22"/>
          <cell r="AO22"/>
          <cell r="AP22"/>
          <cell r="AQ22">
            <v>42662</v>
          </cell>
          <cell r="AR22">
            <v>2905</v>
          </cell>
          <cell r="AS22">
            <v>42814</v>
          </cell>
          <cell r="AT22">
            <v>2753</v>
          </cell>
          <cell r="AU22" t="str">
            <v>VMANOVEL</v>
          </cell>
        </row>
        <row r="23">
          <cell r="C23">
            <v>605711</v>
          </cell>
          <cell r="D23" t="str">
            <v>FERREIRA AGUSTINA</v>
          </cell>
          <cell r="E23" t="str">
            <v>06:00 - 12:00</v>
          </cell>
          <cell r="F23" t="str">
            <v>MAÑANA</v>
          </cell>
          <cell r="G23" t="str">
            <v>JUE Y DOM</v>
          </cell>
          <cell r="H23" t="str">
            <v>MOYANO, DAIANA SOLEDAD</v>
          </cell>
          <cell r="I23" t="str">
            <v>Romandetto Carlos</v>
          </cell>
          <cell r="J23"/>
          <cell r="K23"/>
          <cell r="L23" t="str">
            <v>x</v>
          </cell>
          <cell r="M23" t="str">
            <v>x</v>
          </cell>
          <cell r="N23" t="str">
            <v>x</v>
          </cell>
          <cell r="O23" t="str">
            <v>x</v>
          </cell>
          <cell r="P23" t="str">
            <v>x</v>
          </cell>
          <cell r="Q23" t="str">
            <v>x</v>
          </cell>
          <cell r="R23" t="str">
            <v>x</v>
          </cell>
          <cell r="S23" t="str">
            <v>x</v>
          </cell>
          <cell r="T23" t="str">
            <v>x</v>
          </cell>
          <cell r="U23" t="str">
            <v>x</v>
          </cell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 t="str">
            <v>x</v>
          </cell>
          <cell r="AO23"/>
          <cell r="AP23" t="str">
            <v>x</v>
          </cell>
          <cell r="AQ23">
            <v>43843</v>
          </cell>
          <cell r="AR23">
            <v>1724</v>
          </cell>
          <cell r="AS23">
            <v>45070</v>
          </cell>
          <cell r="AT23">
            <v>497</v>
          </cell>
          <cell r="AU23" t="str">
            <v>vmaagfer</v>
          </cell>
        </row>
        <row r="24">
          <cell r="C24">
            <v>605542</v>
          </cell>
          <cell r="D24" t="str">
            <v>STRECK DANIELA MAILEN</v>
          </cell>
          <cell r="E24" t="str">
            <v>10:00 - 16:00</v>
          </cell>
          <cell r="F24" t="str">
            <v>MAÑANA</v>
          </cell>
          <cell r="G24" t="str">
            <v>SAB Y DOM</v>
          </cell>
          <cell r="H24" t="str">
            <v>ROBLEDO, YESICA DANIELA</v>
          </cell>
          <cell r="I24" t="str">
            <v>Romandetto Carlos</v>
          </cell>
          <cell r="J24"/>
          <cell r="K24"/>
          <cell r="L24" t="str">
            <v>x</v>
          </cell>
          <cell r="M24" t="str">
            <v>x</v>
          </cell>
          <cell r="N24" t="str">
            <v>x</v>
          </cell>
          <cell r="O24"/>
          <cell r="P24"/>
          <cell r="Q24"/>
          <cell r="R24" t="str">
            <v>x</v>
          </cell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>
            <v>44188</v>
          </cell>
          <cell r="AR24">
            <v>1379</v>
          </cell>
          <cell r="AS24">
            <v>45565</v>
          </cell>
          <cell r="AT24">
            <v>2</v>
          </cell>
          <cell r="AU24" t="str">
            <v>VMADASTR</v>
          </cell>
        </row>
        <row r="25">
          <cell r="C25">
            <v>605515</v>
          </cell>
          <cell r="D25" t="str">
            <v>SALVI VALENTIN ALEJANDRO</v>
          </cell>
          <cell r="E25" t="str">
            <v>09:00 - 15:00</v>
          </cell>
          <cell r="F25" t="str">
            <v>MAÑANA</v>
          </cell>
          <cell r="G25" t="str">
            <v>JUE Y SAB</v>
          </cell>
          <cell r="H25" t="str">
            <v>LOUREIRO, FLORENCIA CANDELA</v>
          </cell>
          <cell r="I25" t="str">
            <v>Romandetto Carlos</v>
          </cell>
          <cell r="J25"/>
          <cell r="K25"/>
          <cell r="L25" t="str">
            <v>x</v>
          </cell>
          <cell r="M25" t="str">
            <v>x</v>
          </cell>
          <cell r="N25" t="str">
            <v>x</v>
          </cell>
          <cell r="O25" t="str">
            <v>x</v>
          </cell>
          <cell r="P25" t="str">
            <v>x</v>
          </cell>
          <cell r="Q25" t="str">
            <v>x</v>
          </cell>
          <cell r="R25" t="str">
            <v>x</v>
          </cell>
          <cell r="S25" t="str">
            <v>x</v>
          </cell>
          <cell r="T25" t="str">
            <v>x</v>
          </cell>
          <cell r="U25" t="str">
            <v>x</v>
          </cell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 t="str">
            <v>x</v>
          </cell>
          <cell r="AO25"/>
          <cell r="AP25" t="str">
            <v>x</v>
          </cell>
          <cell r="AQ25">
            <v>44167</v>
          </cell>
          <cell r="AR25">
            <v>1400</v>
          </cell>
          <cell r="AS25">
            <v>45070</v>
          </cell>
          <cell r="AT25">
            <v>497</v>
          </cell>
          <cell r="AU25" t="str">
            <v>VMAVASAL</v>
          </cell>
        </row>
        <row r="26">
          <cell r="C26">
            <v>605722</v>
          </cell>
          <cell r="D26" t="str">
            <v>REVOLLO DAIANA DENISE</v>
          </cell>
          <cell r="E26" t="str">
            <v>09:00 - 15:00</v>
          </cell>
          <cell r="F26" t="str">
            <v>MAÑANA</v>
          </cell>
          <cell r="G26" t="str">
            <v>SAB Y DOM</v>
          </cell>
          <cell r="H26" t="str">
            <v>MOYANO, DAIANA SOLEDAD</v>
          </cell>
          <cell r="I26" t="str">
            <v>Romandetto Carlos</v>
          </cell>
          <cell r="J26" t="str">
            <v>x</v>
          </cell>
          <cell r="K26"/>
          <cell r="L26" t="str">
            <v>x</v>
          </cell>
          <cell r="M26" t="str">
            <v>x</v>
          </cell>
          <cell r="N26" t="str">
            <v>x</v>
          </cell>
          <cell r="O26"/>
          <cell r="P26"/>
          <cell r="Q26"/>
          <cell r="R26" t="str">
            <v>x</v>
          </cell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 t="str">
            <v>x</v>
          </cell>
          <cell r="AO26" t="str">
            <v>x</v>
          </cell>
          <cell r="AP26"/>
          <cell r="AQ26">
            <v>44207</v>
          </cell>
          <cell r="AR26">
            <v>1360</v>
          </cell>
          <cell r="AS26">
            <v>45443</v>
          </cell>
          <cell r="AT26">
            <v>124</v>
          </cell>
          <cell r="AU26" t="str">
            <v>VMADAREV</v>
          </cell>
        </row>
        <row r="27">
          <cell r="C27">
            <v>605704</v>
          </cell>
          <cell r="D27" t="str">
            <v>RODRIGUEZ NANCY NATALI</v>
          </cell>
          <cell r="E27" t="str">
            <v>09:00 - 15:00</v>
          </cell>
          <cell r="F27" t="str">
            <v>MAÑANA</v>
          </cell>
          <cell r="G27" t="str">
            <v>SAB Y DOM</v>
          </cell>
          <cell r="H27" t="str">
            <v>LOUREIRO, FLORENCIA CANDELA</v>
          </cell>
          <cell r="I27" t="str">
            <v>Romandetto Carlos</v>
          </cell>
          <cell r="J27" t="str">
            <v>x</v>
          </cell>
          <cell r="K27"/>
          <cell r="L27" t="str">
            <v>x</v>
          </cell>
          <cell r="M27" t="str">
            <v>x</v>
          </cell>
          <cell r="N27" t="str">
            <v>x</v>
          </cell>
          <cell r="O27"/>
          <cell r="P27"/>
          <cell r="Q27"/>
          <cell r="R27" t="str">
            <v>x</v>
          </cell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 t="str">
            <v>x</v>
          </cell>
          <cell r="AN27" t="str">
            <v>x</v>
          </cell>
          <cell r="AO27" t="str">
            <v>x</v>
          </cell>
          <cell r="AP27"/>
          <cell r="AQ27">
            <v>44207</v>
          </cell>
          <cell r="AR27">
            <v>1360</v>
          </cell>
          <cell r="AS27">
            <v>45495</v>
          </cell>
          <cell r="AT27">
            <v>72</v>
          </cell>
          <cell r="AU27" t="str">
            <v>VMANAROD</v>
          </cell>
        </row>
        <row r="28">
          <cell r="C28">
            <v>665678</v>
          </cell>
          <cell r="D28" t="str">
            <v>GOMEZ ROCIO BELEN</v>
          </cell>
          <cell r="E28" t="str">
            <v>06:00 - 12:00</v>
          </cell>
          <cell r="F28" t="str">
            <v>MAÑANA</v>
          </cell>
          <cell r="G28" t="str">
            <v>SAB Y DOM</v>
          </cell>
          <cell r="H28" t="str">
            <v>MOYANO, DAIANA SOLEDAD</v>
          </cell>
          <cell r="I28" t="str">
            <v>Romandetto Carlos</v>
          </cell>
          <cell r="J28"/>
          <cell r="K28"/>
          <cell r="L28" t="str">
            <v>x</v>
          </cell>
          <cell r="M28" t="str">
            <v>x</v>
          </cell>
          <cell r="N28" t="str">
            <v>x</v>
          </cell>
          <cell r="O28" t="str">
            <v>x</v>
          </cell>
          <cell r="P28" t="str">
            <v>x</v>
          </cell>
          <cell r="Q28" t="str">
            <v>x</v>
          </cell>
          <cell r="R28" t="str">
            <v>x</v>
          </cell>
          <cell r="S28" t="str">
            <v>x</v>
          </cell>
          <cell r="T28" t="str">
            <v>x</v>
          </cell>
          <cell r="U28" t="str">
            <v>x</v>
          </cell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 t="str">
            <v>x</v>
          </cell>
          <cell r="AO28"/>
          <cell r="AP28" t="str">
            <v>x</v>
          </cell>
          <cell r="AQ28">
            <v>44207</v>
          </cell>
          <cell r="AR28">
            <v>1360</v>
          </cell>
          <cell r="AS28">
            <v>45070</v>
          </cell>
          <cell r="AT28">
            <v>497</v>
          </cell>
          <cell r="AU28" t="str">
            <v>VMAROGOM</v>
          </cell>
        </row>
        <row r="29">
          <cell r="C29">
            <v>663078</v>
          </cell>
          <cell r="D29" t="str">
            <v>SOSA LUCIA NAIARA</v>
          </cell>
          <cell r="E29" t="str">
            <v>06:00 - 12:00</v>
          </cell>
          <cell r="F29" t="str">
            <v>MAÑANA</v>
          </cell>
          <cell r="G29" t="str">
            <v>SAB Y DOM</v>
          </cell>
          <cell r="H29" t="str">
            <v>GROESMANN, MAYA JUDITH</v>
          </cell>
          <cell r="I29" t="str">
            <v>Romandetto Carlos</v>
          </cell>
          <cell r="J29"/>
          <cell r="K29"/>
          <cell r="L29" t="str">
            <v>x</v>
          </cell>
          <cell r="M29" t="str">
            <v>x</v>
          </cell>
          <cell r="N29" t="str">
            <v>x</v>
          </cell>
          <cell r="O29" t="str">
            <v>x</v>
          </cell>
          <cell r="P29"/>
          <cell r="Q29"/>
          <cell r="R29" t="str">
            <v>x</v>
          </cell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 t="str">
            <v>x</v>
          </cell>
          <cell r="AO29" t="str">
            <v>x</v>
          </cell>
          <cell r="AP29"/>
          <cell r="AQ29">
            <v>44207</v>
          </cell>
          <cell r="AR29">
            <v>1360</v>
          </cell>
          <cell r="AS29">
            <v>45034</v>
          </cell>
          <cell r="AT29">
            <v>533</v>
          </cell>
          <cell r="AU29" t="str">
            <v>VMALUSOS</v>
          </cell>
        </row>
        <row r="30">
          <cell r="C30">
            <v>605532</v>
          </cell>
          <cell r="D30" t="str">
            <v>PANDOLFELLI FLORENCIA</v>
          </cell>
          <cell r="E30" t="str">
            <v>09:00 - 15:00</v>
          </cell>
          <cell r="F30" t="str">
            <v>MAÑANA</v>
          </cell>
          <cell r="G30" t="str">
            <v>SAB Y DOM</v>
          </cell>
          <cell r="H30" t="str">
            <v>RUIZ, TOMAS EMANUEL</v>
          </cell>
          <cell r="I30" t="str">
            <v>Romandetto Carlos</v>
          </cell>
          <cell r="J30" t="str">
            <v>x</v>
          </cell>
          <cell r="K30"/>
          <cell r="L30" t="str">
            <v>x</v>
          </cell>
          <cell r="M30" t="str">
            <v>x</v>
          </cell>
          <cell r="N30" t="str">
            <v>x</v>
          </cell>
          <cell r="O30"/>
          <cell r="P30"/>
          <cell r="Q30"/>
          <cell r="R30" t="str">
            <v>x</v>
          </cell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 t="str">
            <v>x</v>
          </cell>
          <cell r="AO30" t="str">
            <v>x</v>
          </cell>
          <cell r="AP30"/>
          <cell r="AQ30">
            <v>44452</v>
          </cell>
          <cell r="AR30">
            <v>1115</v>
          </cell>
          <cell r="AS30">
            <v>45495</v>
          </cell>
          <cell r="AT30">
            <v>72</v>
          </cell>
          <cell r="AU30" t="str">
            <v>VMAFLPAN</v>
          </cell>
        </row>
        <row r="31">
          <cell r="C31">
            <v>605503</v>
          </cell>
          <cell r="D31" t="str">
            <v>RUSSO ROCIO BELEN</v>
          </cell>
          <cell r="E31" t="str">
            <v>10:00 - 16:00</v>
          </cell>
          <cell r="F31" t="str">
            <v>MAÑANA</v>
          </cell>
          <cell r="G31" t="str">
            <v>SAB Y DOM</v>
          </cell>
          <cell r="H31" t="str">
            <v>ROBLEDO, YESICA DANIELA</v>
          </cell>
          <cell r="I31" t="str">
            <v>Romandetto Carlos</v>
          </cell>
          <cell r="J31" t="str">
            <v>x</v>
          </cell>
          <cell r="K31"/>
          <cell r="L31" t="str">
            <v>x</v>
          </cell>
          <cell r="M31" t="str">
            <v>x</v>
          </cell>
          <cell r="N31" t="str">
            <v>x</v>
          </cell>
          <cell r="O31"/>
          <cell r="P31"/>
          <cell r="Q31"/>
          <cell r="R31" t="str">
            <v>x</v>
          </cell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 t="str">
            <v>x</v>
          </cell>
          <cell r="AO31" t="str">
            <v>x</v>
          </cell>
          <cell r="AP31"/>
          <cell r="AQ31">
            <v>44452</v>
          </cell>
          <cell r="AR31">
            <v>1115</v>
          </cell>
          <cell r="AS31">
            <v>45495</v>
          </cell>
          <cell r="AT31">
            <v>72</v>
          </cell>
          <cell r="AU31" t="str">
            <v>VMARORUS</v>
          </cell>
        </row>
        <row r="32">
          <cell r="C32">
            <v>609919</v>
          </cell>
          <cell r="D32" t="str">
            <v>CARDOSO LUDMILA PAMELA</v>
          </cell>
          <cell r="E32" t="str">
            <v>08:00 - 14:00</v>
          </cell>
          <cell r="F32" t="str">
            <v>MAÑANA</v>
          </cell>
          <cell r="G32" t="str">
            <v>SAB Y DOM</v>
          </cell>
          <cell r="H32" t="str">
            <v>RUIZ, TOMAS EMANUEL</v>
          </cell>
          <cell r="I32" t="str">
            <v>Romandetto Carlos</v>
          </cell>
          <cell r="J32"/>
          <cell r="K32"/>
          <cell r="L32" t="str">
            <v>x</v>
          </cell>
          <cell r="M32" t="str">
            <v>x</v>
          </cell>
          <cell r="N32" t="str">
            <v>x</v>
          </cell>
          <cell r="O32"/>
          <cell r="P32"/>
          <cell r="Q32" t="str">
            <v>x</v>
          </cell>
          <cell r="R32" t="str">
            <v>x</v>
          </cell>
          <cell r="S32" t="str">
            <v>x</v>
          </cell>
          <cell r="T32" t="str">
            <v>x</v>
          </cell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 t="str">
            <v>x</v>
          </cell>
          <cell r="AO32"/>
          <cell r="AP32" t="str">
            <v>x</v>
          </cell>
          <cell r="AQ32">
            <v>44505</v>
          </cell>
          <cell r="AR32">
            <v>1062</v>
          </cell>
          <cell r="AS32">
            <v>45322</v>
          </cell>
          <cell r="AT32">
            <v>245</v>
          </cell>
          <cell r="AU32" t="str">
            <v>VMALUCAR</v>
          </cell>
        </row>
        <row r="33">
          <cell r="C33">
            <v>609727</v>
          </cell>
          <cell r="D33" t="str">
            <v>ZALAZAR BRAIAN EDGARDO</v>
          </cell>
          <cell r="E33" t="str">
            <v>09:00 - 15:00</v>
          </cell>
          <cell r="F33" t="str">
            <v>MAÑANA</v>
          </cell>
          <cell r="G33" t="str">
            <v>JUE Y SAB</v>
          </cell>
          <cell r="H33" t="str">
            <v>ROBLEDO, LEANDRO JAVIER</v>
          </cell>
          <cell r="I33" t="str">
            <v>Romandetto Carlos</v>
          </cell>
          <cell r="J33"/>
          <cell r="K33"/>
          <cell r="L33" t="str">
            <v>x</v>
          </cell>
          <cell r="M33" t="str">
            <v>x</v>
          </cell>
          <cell r="N33" t="str">
            <v>x</v>
          </cell>
          <cell r="O33" t="str">
            <v>x</v>
          </cell>
          <cell r="P33" t="str">
            <v>x</v>
          </cell>
          <cell r="Q33" t="str">
            <v>x</v>
          </cell>
          <cell r="R33" t="str">
            <v>x</v>
          </cell>
          <cell r="S33" t="str">
            <v>x</v>
          </cell>
          <cell r="T33" t="str">
            <v>x</v>
          </cell>
          <cell r="U33" t="str">
            <v>x</v>
          </cell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 t="str">
            <v>x</v>
          </cell>
          <cell r="AO33"/>
          <cell r="AP33" t="str">
            <v>x</v>
          </cell>
          <cell r="AQ33">
            <v>44505</v>
          </cell>
          <cell r="AR33">
            <v>1062</v>
          </cell>
          <cell r="AS33">
            <v>45070</v>
          </cell>
          <cell r="AT33">
            <v>497</v>
          </cell>
          <cell r="AU33" t="str">
            <v>VMABRZAL</v>
          </cell>
        </row>
        <row r="34">
          <cell r="C34">
            <v>609708</v>
          </cell>
          <cell r="D34" t="str">
            <v>CASCO NAHUEL MARTIN</v>
          </cell>
          <cell r="E34" t="str">
            <v>09:00 - 15:00</v>
          </cell>
          <cell r="F34" t="str">
            <v>MAÑANA</v>
          </cell>
          <cell r="G34" t="str">
            <v>VIE Y DOM</v>
          </cell>
          <cell r="H34" t="str">
            <v>VILLALBA, VICTORIA</v>
          </cell>
          <cell r="I34" t="str">
            <v>Romandetto Carlos</v>
          </cell>
          <cell r="J34" t="str">
            <v>x</v>
          </cell>
          <cell r="K34"/>
          <cell r="L34" t="str">
            <v>x</v>
          </cell>
          <cell r="M34" t="str">
            <v>x</v>
          </cell>
          <cell r="N34" t="str">
            <v>x</v>
          </cell>
          <cell r="O34"/>
          <cell r="P34"/>
          <cell r="Q34"/>
          <cell r="R34" t="str">
            <v>x</v>
          </cell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 t="str">
            <v>x</v>
          </cell>
          <cell r="AO34" t="str">
            <v>x</v>
          </cell>
          <cell r="AP34"/>
          <cell r="AQ34">
            <v>44505</v>
          </cell>
          <cell r="AR34">
            <v>1062</v>
          </cell>
          <cell r="AS34">
            <v>45471</v>
          </cell>
          <cell r="AT34">
            <v>96</v>
          </cell>
          <cell r="AU34" t="str">
            <v>VMANACAS</v>
          </cell>
        </row>
        <row r="35">
          <cell r="C35">
            <v>665612</v>
          </cell>
          <cell r="D35" t="str">
            <v>GOMEZ MICAELA AYLEN</v>
          </cell>
          <cell r="E35" t="str">
            <v>10:00 - 16:00</v>
          </cell>
          <cell r="F35" t="str">
            <v>MAÑANA</v>
          </cell>
          <cell r="G35" t="str">
            <v>SAB Y DOM</v>
          </cell>
          <cell r="H35" t="str">
            <v>GROESMANN, MAYA JUDITH</v>
          </cell>
          <cell r="I35" t="str">
            <v>Romandetto Carlos</v>
          </cell>
          <cell r="J35"/>
          <cell r="K35"/>
          <cell r="L35" t="str">
            <v>x</v>
          </cell>
          <cell r="M35" t="str">
            <v>x</v>
          </cell>
          <cell r="N35" t="str">
            <v>x</v>
          </cell>
          <cell r="O35"/>
          <cell r="P35"/>
          <cell r="Q35" t="str">
            <v>x</v>
          </cell>
          <cell r="R35" t="str">
            <v>x</v>
          </cell>
          <cell r="S35" t="str">
            <v>x</v>
          </cell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 t="str">
            <v>x</v>
          </cell>
          <cell r="AO35"/>
          <cell r="AP35" t="str">
            <v>x</v>
          </cell>
          <cell r="AQ35">
            <v>44505</v>
          </cell>
          <cell r="AR35">
            <v>1062</v>
          </cell>
          <cell r="AS35">
            <v>45338</v>
          </cell>
          <cell r="AT35">
            <v>229</v>
          </cell>
          <cell r="AU35" t="str">
            <v>VMAMIGOM</v>
          </cell>
        </row>
        <row r="36">
          <cell r="C36">
            <v>605778</v>
          </cell>
          <cell r="D36" t="str">
            <v>NOGUEIRA CELESTE AYLEN</v>
          </cell>
          <cell r="E36" t="str">
            <v>06:00 - 12:00</v>
          </cell>
          <cell r="F36" t="str">
            <v>MAÑANA</v>
          </cell>
          <cell r="G36" t="str">
            <v>MAR Y SAB</v>
          </cell>
          <cell r="H36" t="str">
            <v>MOYANO, DAIANA SOLEDAD</v>
          </cell>
          <cell r="I36" t="str">
            <v>Romandetto Carlos</v>
          </cell>
          <cell r="J36"/>
          <cell r="K36"/>
          <cell r="L36" t="str">
            <v>x</v>
          </cell>
          <cell r="M36" t="str">
            <v>x</v>
          </cell>
          <cell r="N36" t="str">
            <v>x</v>
          </cell>
          <cell r="O36" t="str">
            <v>x</v>
          </cell>
          <cell r="P36" t="str">
            <v>x</v>
          </cell>
          <cell r="Q36" t="str">
            <v>x</v>
          </cell>
          <cell r="R36" t="str">
            <v>x</v>
          </cell>
          <cell r="S36" t="str">
            <v>x</v>
          </cell>
          <cell r="T36" t="str">
            <v>x</v>
          </cell>
          <cell r="U36" t="str">
            <v>x</v>
          </cell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 t="str">
            <v>x</v>
          </cell>
          <cell r="AO36"/>
          <cell r="AP36" t="str">
            <v>x</v>
          </cell>
          <cell r="AQ36">
            <v>44533</v>
          </cell>
          <cell r="AR36">
            <v>1034</v>
          </cell>
          <cell r="AS36">
            <v>45070</v>
          </cell>
          <cell r="AT36">
            <v>497</v>
          </cell>
          <cell r="AU36" t="str">
            <v>VMACENOG</v>
          </cell>
        </row>
        <row r="37">
          <cell r="C37">
            <v>665673</v>
          </cell>
          <cell r="D37" t="str">
            <v>AMUNDARREY JOAQUIN LEONEL</v>
          </cell>
          <cell r="E37" t="str">
            <v>09:00 - 15:00</v>
          </cell>
          <cell r="F37" t="str">
            <v>MAÑANA</v>
          </cell>
          <cell r="G37" t="str">
            <v>SAB Y DOM</v>
          </cell>
          <cell r="H37" t="str">
            <v>ROBLEDO, YESICA DANIELA</v>
          </cell>
          <cell r="I37" t="str">
            <v>Romandetto Carlos</v>
          </cell>
          <cell r="J37" t="str">
            <v>x</v>
          </cell>
          <cell r="K37"/>
          <cell r="L37" t="str">
            <v>x</v>
          </cell>
          <cell r="M37" t="str">
            <v>x</v>
          </cell>
          <cell r="N37" t="str">
            <v>x</v>
          </cell>
          <cell r="O37"/>
          <cell r="P37"/>
          <cell r="Q37"/>
          <cell r="R37" t="str">
            <v>x</v>
          </cell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 t="str">
            <v>x</v>
          </cell>
          <cell r="AO37" t="str">
            <v>x</v>
          </cell>
          <cell r="AP37"/>
          <cell r="AQ37">
            <v>44594</v>
          </cell>
          <cell r="AR37">
            <v>973</v>
          </cell>
          <cell r="AS37">
            <v>45443</v>
          </cell>
          <cell r="AT37">
            <v>124</v>
          </cell>
          <cell r="AU37" t="str">
            <v>VMAJOAMU</v>
          </cell>
        </row>
        <row r="38">
          <cell r="C38">
            <v>605731</v>
          </cell>
          <cell r="D38" t="str">
            <v>AVALOS NATALIA</v>
          </cell>
          <cell r="E38" t="str">
            <v>09:00 - 15:00</v>
          </cell>
          <cell r="F38" t="str">
            <v>MAÑANA</v>
          </cell>
          <cell r="G38" t="str">
            <v>SAB Y DOM</v>
          </cell>
          <cell r="H38" t="str">
            <v>LOUREIRO, FLORENCIA CANDELA</v>
          </cell>
          <cell r="I38" t="str">
            <v>Romandetto Carlos</v>
          </cell>
          <cell r="J38"/>
          <cell r="K38"/>
          <cell r="L38" t="str">
            <v>x</v>
          </cell>
          <cell r="M38"/>
          <cell r="N38"/>
          <cell r="O38"/>
          <cell r="P38"/>
          <cell r="Q38"/>
          <cell r="R38" t="str">
            <v>x</v>
          </cell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>
            <v>42614</v>
          </cell>
          <cell r="AR38">
            <v>2953</v>
          </cell>
          <cell r="AS38">
            <v>44991</v>
          </cell>
          <cell r="AT38">
            <v>576</v>
          </cell>
          <cell r="AU38" t="str">
            <v>VMANAAVA</v>
          </cell>
        </row>
        <row r="39">
          <cell r="C39">
            <v>605784</v>
          </cell>
          <cell r="D39" t="str">
            <v>SIMORELLI MARIA BELEN</v>
          </cell>
          <cell r="E39" t="str">
            <v>09:00 - 15:00</v>
          </cell>
          <cell r="F39" t="str">
            <v>MAÑANA</v>
          </cell>
          <cell r="G39" t="str">
            <v>SAB Y DOM</v>
          </cell>
          <cell r="H39" t="str">
            <v>ROBLEDO, LEANDRO JAVIER</v>
          </cell>
          <cell r="I39" t="str">
            <v>Romandetto Carlos</v>
          </cell>
          <cell r="J39" t="str">
            <v>x</v>
          </cell>
          <cell r="K39"/>
          <cell r="L39" t="str">
            <v>x</v>
          </cell>
          <cell r="M39" t="str">
            <v>x</v>
          </cell>
          <cell r="N39" t="str">
            <v>x</v>
          </cell>
          <cell r="O39"/>
          <cell r="P39"/>
          <cell r="Q39"/>
          <cell r="R39" t="str">
            <v>x</v>
          </cell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 t="str">
            <v>x</v>
          </cell>
          <cell r="AP39"/>
          <cell r="AQ39">
            <v>44317</v>
          </cell>
          <cell r="AR39">
            <v>1250</v>
          </cell>
          <cell r="AS39">
            <v>45526</v>
          </cell>
          <cell r="AT39">
            <v>41</v>
          </cell>
          <cell r="AU39" t="str">
            <v>VMAMASIM</v>
          </cell>
        </row>
        <row r="40">
          <cell r="C40">
            <v>605811</v>
          </cell>
          <cell r="D40" t="str">
            <v>ESPINDOLA ROMERO MELODY BELEN</v>
          </cell>
          <cell r="E40" t="str">
            <v>09:00 - 15:00</v>
          </cell>
          <cell r="F40" t="str">
            <v>MAÑANA</v>
          </cell>
          <cell r="G40" t="str">
            <v>JUE Y DOM</v>
          </cell>
          <cell r="H40" t="str">
            <v>RUIZ, TOMAS EMANUEL</v>
          </cell>
          <cell r="I40" t="str">
            <v>Romandetto Carlos</v>
          </cell>
          <cell r="J40"/>
          <cell r="K40"/>
          <cell r="L40" t="str">
            <v>x</v>
          </cell>
          <cell r="M40" t="str">
            <v>x</v>
          </cell>
          <cell r="N40" t="str">
            <v>x</v>
          </cell>
          <cell r="O40"/>
          <cell r="P40"/>
          <cell r="Q40" t="str">
            <v>x</v>
          </cell>
          <cell r="R40" t="str">
            <v>x</v>
          </cell>
          <cell r="S40" t="str">
            <v>x</v>
          </cell>
          <cell r="T40" t="str">
            <v>x</v>
          </cell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 t="str">
            <v>x</v>
          </cell>
          <cell r="AO40"/>
          <cell r="AP40" t="str">
            <v>x</v>
          </cell>
          <cell r="AQ40">
            <v>44627</v>
          </cell>
          <cell r="AR40">
            <v>940</v>
          </cell>
          <cell r="AS40">
            <v>45322</v>
          </cell>
          <cell r="AT40">
            <v>245</v>
          </cell>
          <cell r="AU40" t="str">
            <v>VMAMEESP</v>
          </cell>
        </row>
        <row r="41">
          <cell r="C41">
            <v>605813</v>
          </cell>
          <cell r="D41" t="str">
            <v>CASIVA XIMENA MILAGROS</v>
          </cell>
          <cell r="E41" t="str">
            <v>09:00 - 15:00</v>
          </cell>
          <cell r="F41" t="str">
            <v>MAÑANA</v>
          </cell>
          <cell r="G41" t="str">
            <v>SAB Y DOM</v>
          </cell>
          <cell r="H41" t="str">
            <v>ROBLEDO, YESICA DANIELA</v>
          </cell>
          <cell r="I41" t="str">
            <v>Romandetto Carlos</v>
          </cell>
          <cell r="J41" t="str">
            <v>x</v>
          </cell>
          <cell r="K41"/>
          <cell r="L41" t="str">
            <v>x</v>
          </cell>
          <cell r="M41" t="str">
            <v>x</v>
          </cell>
          <cell r="N41" t="str">
            <v>x</v>
          </cell>
          <cell r="O41"/>
          <cell r="P41"/>
          <cell r="Q41" t="str">
            <v>x</v>
          </cell>
          <cell r="R41" t="str">
            <v>x</v>
          </cell>
          <cell r="S41" t="str">
            <v>x</v>
          </cell>
          <cell r="T41" t="str">
            <v>x</v>
          </cell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 t="str">
            <v>x</v>
          </cell>
          <cell r="AO41"/>
          <cell r="AP41" t="str">
            <v>x</v>
          </cell>
          <cell r="AQ41">
            <v>44580</v>
          </cell>
          <cell r="AR41">
            <v>987</v>
          </cell>
          <cell r="AS41">
            <v>45478</v>
          </cell>
          <cell r="AT41">
            <v>89</v>
          </cell>
          <cell r="AU41" t="str">
            <v>VMAXICAS</v>
          </cell>
        </row>
        <row r="42">
          <cell r="C42">
            <v>605859</v>
          </cell>
          <cell r="D42" t="str">
            <v>GALEANO CHAMORRO IVAN FRANCO</v>
          </cell>
          <cell r="E42" t="str">
            <v>09:00 - 15:00</v>
          </cell>
          <cell r="F42" t="str">
            <v>MAÑANA</v>
          </cell>
          <cell r="G42" t="str">
            <v>SAB Y DOM</v>
          </cell>
          <cell r="H42" t="str">
            <v>VEGA, BRIAN NICOLAS</v>
          </cell>
          <cell r="I42" t="str">
            <v>Leandro Muñoz</v>
          </cell>
          <cell r="J42"/>
          <cell r="K42"/>
          <cell r="L42" t="str">
            <v>x</v>
          </cell>
          <cell r="M42" t="str">
            <v>x</v>
          </cell>
          <cell r="N42" t="str">
            <v>x</v>
          </cell>
          <cell r="O42"/>
          <cell r="P42"/>
          <cell r="Q42"/>
          <cell r="R42" t="str">
            <v>x</v>
          </cell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 t="str">
            <v>x</v>
          </cell>
          <cell r="AN42"/>
          <cell r="AO42"/>
          <cell r="AP42"/>
          <cell r="AQ42">
            <v>44622</v>
          </cell>
          <cell r="AR42">
            <v>945</v>
          </cell>
          <cell r="AS42">
            <v>45350</v>
          </cell>
          <cell r="AT42">
            <v>217</v>
          </cell>
          <cell r="AU42" t="str">
            <v>VMAIVGAL</v>
          </cell>
        </row>
        <row r="43">
          <cell r="C43">
            <v>605881</v>
          </cell>
          <cell r="D43" t="str">
            <v>GONZALEZ RODRIGO ALEJANDRO</v>
          </cell>
          <cell r="E43" t="str">
            <v>11:00 - 17:00</v>
          </cell>
          <cell r="F43" t="str">
            <v>MAÑANA</v>
          </cell>
          <cell r="G43" t="str">
            <v>MIE Y SAB</v>
          </cell>
          <cell r="H43" t="str">
            <v>VILLALBA, VICTORIA</v>
          </cell>
          <cell r="I43" t="str">
            <v>Romandetto Carlos</v>
          </cell>
          <cell r="J43" t="str">
            <v>x</v>
          </cell>
          <cell r="K43"/>
          <cell r="L43" t="str">
            <v>x</v>
          </cell>
          <cell r="M43" t="str">
            <v>x</v>
          </cell>
          <cell r="N43" t="str">
            <v>x</v>
          </cell>
          <cell r="O43"/>
          <cell r="P43"/>
          <cell r="Q43"/>
          <cell r="R43" t="str">
            <v>x</v>
          </cell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 t="str">
            <v>x</v>
          </cell>
          <cell r="AO43" t="str">
            <v>x</v>
          </cell>
          <cell r="AP43"/>
          <cell r="AQ43">
            <v>44622</v>
          </cell>
          <cell r="AR43">
            <v>945</v>
          </cell>
          <cell r="AS43">
            <v>45443</v>
          </cell>
          <cell r="AT43">
            <v>124</v>
          </cell>
          <cell r="AU43" t="str">
            <v>VMARODGO</v>
          </cell>
        </row>
        <row r="44">
          <cell r="C44">
            <v>605866</v>
          </cell>
          <cell r="D44" t="str">
            <v>LEIVA BRENDA MARINA</v>
          </cell>
          <cell r="E44" t="str">
            <v>06:00 - 12:00</v>
          </cell>
          <cell r="F44" t="str">
            <v>MAÑANA</v>
          </cell>
          <cell r="G44" t="str">
            <v>SAB Y DOM</v>
          </cell>
          <cell r="H44" t="str">
            <v>SORIA, ANA PAULA</v>
          </cell>
          <cell r="I44" t="str">
            <v>Romandetto Carlos</v>
          </cell>
          <cell r="J44" t="str">
            <v>x</v>
          </cell>
          <cell r="K44"/>
          <cell r="L44" t="str">
            <v>x</v>
          </cell>
          <cell r="M44" t="str">
            <v>x</v>
          </cell>
          <cell r="N44" t="str">
            <v>x</v>
          </cell>
          <cell r="O44"/>
          <cell r="P44"/>
          <cell r="Q44"/>
          <cell r="R44" t="str">
            <v>x</v>
          </cell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 t="str">
            <v>x</v>
          </cell>
          <cell r="AO44" t="str">
            <v>x</v>
          </cell>
          <cell r="AP44"/>
          <cell r="AQ44">
            <v>44622</v>
          </cell>
          <cell r="AR44">
            <v>945</v>
          </cell>
          <cell r="AS44">
            <v>45471</v>
          </cell>
          <cell r="AT44">
            <v>96</v>
          </cell>
          <cell r="AU44" t="str">
            <v>VMABRLEI</v>
          </cell>
        </row>
        <row r="45">
          <cell r="C45">
            <v>605949</v>
          </cell>
          <cell r="D45" t="str">
            <v>TOLOSA MAGALI KIARA</v>
          </cell>
          <cell r="E45" t="str">
            <v>08:00 - 14:00</v>
          </cell>
          <cell r="F45" t="str">
            <v>MAÑANA</v>
          </cell>
          <cell r="G45" t="str">
            <v>LUN Y SAB</v>
          </cell>
          <cell r="H45" t="str">
            <v>MOYANO, DAIANA SOLEDAD</v>
          </cell>
          <cell r="I45" t="str">
            <v>Romandetto Carlos</v>
          </cell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 t="str">
            <v>x</v>
          </cell>
          <cell r="AJ45" t="str">
            <v>x</v>
          </cell>
          <cell r="AK45"/>
          <cell r="AL45"/>
          <cell r="AM45"/>
          <cell r="AN45"/>
          <cell r="AO45"/>
          <cell r="AP45"/>
          <cell r="AQ45">
            <v>44718</v>
          </cell>
          <cell r="AR45">
            <v>849</v>
          </cell>
          <cell r="AS45">
            <v>44671</v>
          </cell>
          <cell r="AT45">
            <v>896</v>
          </cell>
          <cell r="AU45" t="str">
            <v>VMAMATOL</v>
          </cell>
        </row>
        <row r="46">
          <cell r="C46">
            <v>605939</v>
          </cell>
          <cell r="D46" t="str">
            <v>LEUZE AGUSTINA BELEN</v>
          </cell>
          <cell r="E46" t="str">
            <v>15:00 - 21:00</v>
          </cell>
          <cell r="F46" t="str">
            <v>TARDE</v>
          </cell>
          <cell r="G46" t="str">
            <v>MIE Y DOM</v>
          </cell>
          <cell r="H46" t="str">
            <v>ONETTO, MARIA DE LOS MILAGROS</v>
          </cell>
          <cell r="I46" t="str">
            <v>Romandetto Carlos</v>
          </cell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 t="str">
            <v>x</v>
          </cell>
          <cell r="AJ46" t="str">
            <v>x</v>
          </cell>
          <cell r="AK46"/>
          <cell r="AL46"/>
          <cell r="AM46"/>
          <cell r="AN46"/>
          <cell r="AO46"/>
          <cell r="AP46"/>
          <cell r="AQ46">
            <v>44658</v>
          </cell>
          <cell r="AR46">
            <v>909</v>
          </cell>
          <cell r="AS46">
            <v>44671</v>
          </cell>
          <cell r="AT46">
            <v>896</v>
          </cell>
          <cell r="AU46" t="str">
            <v>VMAAGLEU</v>
          </cell>
        </row>
        <row r="47">
          <cell r="C47">
            <v>605876</v>
          </cell>
          <cell r="D47" t="str">
            <v>GAETANI LUCILA CATALINA</v>
          </cell>
          <cell r="E47" t="str">
            <v>11:00 - 17:00</v>
          </cell>
          <cell r="F47" t="str">
            <v>MAÑANA</v>
          </cell>
          <cell r="G47" t="str">
            <v>JUE Y SAB</v>
          </cell>
          <cell r="H47" t="str">
            <v>SORIA, ANA PAULA</v>
          </cell>
          <cell r="I47" t="str">
            <v>Romandetto Carlos</v>
          </cell>
          <cell r="J47" t="str">
            <v>x</v>
          </cell>
          <cell r="K47"/>
          <cell r="L47" t="str">
            <v>x</v>
          </cell>
          <cell r="M47" t="str">
            <v>x</v>
          </cell>
          <cell r="N47" t="str">
            <v>x</v>
          </cell>
          <cell r="O47"/>
          <cell r="P47"/>
          <cell r="Q47"/>
          <cell r="R47" t="str">
            <v>x</v>
          </cell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 t="str">
            <v>x</v>
          </cell>
          <cell r="AO47" t="str">
            <v>x</v>
          </cell>
          <cell r="AP47"/>
          <cell r="AQ47">
            <v>44651</v>
          </cell>
          <cell r="AR47">
            <v>916</v>
          </cell>
          <cell r="AS47">
            <v>45443</v>
          </cell>
          <cell r="AT47">
            <v>124</v>
          </cell>
          <cell r="AU47" t="str">
            <v>VMALUGAE</v>
          </cell>
        </row>
        <row r="48">
          <cell r="C48">
            <v>605858</v>
          </cell>
          <cell r="D48" t="str">
            <v>LLANOS SILVINA ALEJANDRA</v>
          </cell>
          <cell r="E48" t="str">
            <v>09:00 - 15:00</v>
          </cell>
          <cell r="F48" t="str">
            <v>MAÑANA</v>
          </cell>
          <cell r="G48" t="str">
            <v>SAB Y DOM</v>
          </cell>
          <cell r="H48" t="str">
            <v>Supervisor Capacitación, BU No Fijo</v>
          </cell>
          <cell r="I48" t="str">
            <v>-</v>
          </cell>
          <cell r="J48"/>
          <cell r="K48"/>
          <cell r="L48" t="str">
            <v>x</v>
          </cell>
          <cell r="M48" t="str">
            <v>x</v>
          </cell>
          <cell r="N48" t="str">
            <v>x</v>
          </cell>
          <cell r="O48"/>
          <cell r="P48"/>
          <cell r="Q48"/>
          <cell r="R48" t="str">
            <v>x</v>
          </cell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 t="str">
            <v>x</v>
          </cell>
          <cell r="AO48" t="str">
            <v>x</v>
          </cell>
          <cell r="AP48"/>
          <cell r="AQ48">
            <v>44651</v>
          </cell>
          <cell r="AR48">
            <v>916</v>
          </cell>
          <cell r="AS48">
            <v>45132</v>
          </cell>
          <cell r="AT48">
            <v>435</v>
          </cell>
          <cell r="AU48" t="str">
            <v>VMASILLA</v>
          </cell>
        </row>
        <row r="49">
          <cell r="C49">
            <v>605837</v>
          </cell>
          <cell r="D49" t="str">
            <v>ROMAN BARRIENTOS JUAN EDUARDO</v>
          </cell>
          <cell r="E49" t="str">
            <v>09:00 - 15:00</v>
          </cell>
          <cell r="F49" t="str">
            <v>MAÑANA</v>
          </cell>
          <cell r="G49" t="str">
            <v>JUE Y DOM</v>
          </cell>
          <cell r="H49" t="str">
            <v>ROBLEDO, YESICA DANIELA</v>
          </cell>
          <cell r="I49" t="str">
            <v>Romandetto Carlos</v>
          </cell>
          <cell r="J49" t="str">
            <v>x</v>
          </cell>
          <cell r="K49"/>
          <cell r="L49" t="str">
            <v>x</v>
          </cell>
          <cell r="M49" t="str">
            <v>x</v>
          </cell>
          <cell r="N49" t="str">
            <v>x</v>
          </cell>
          <cell r="O49"/>
          <cell r="P49"/>
          <cell r="Q49"/>
          <cell r="R49" t="str">
            <v>x</v>
          </cell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 t="str">
            <v>x</v>
          </cell>
          <cell r="AO49" t="str">
            <v>x</v>
          </cell>
          <cell r="AP49"/>
          <cell r="AQ49">
            <v>44651</v>
          </cell>
          <cell r="AR49">
            <v>916</v>
          </cell>
          <cell r="AS49">
            <v>45443</v>
          </cell>
          <cell r="AT49">
            <v>124</v>
          </cell>
          <cell r="AU49" t="str">
            <v>VMAJUBAR</v>
          </cell>
        </row>
        <row r="50">
          <cell r="C50">
            <v>605760</v>
          </cell>
          <cell r="D50" t="str">
            <v>CUELLAR JOEL ADRIAN</v>
          </cell>
          <cell r="E50" t="str">
            <v>09:00 - 15:00</v>
          </cell>
          <cell r="F50" t="str">
            <v>MAÑANA</v>
          </cell>
          <cell r="G50" t="str">
            <v>SAB Y DOM</v>
          </cell>
          <cell r="H50" t="str">
            <v>LOUREIRO, FLORENCIA CANDELA</v>
          </cell>
          <cell r="I50" t="str">
            <v>Romandetto Carlos</v>
          </cell>
          <cell r="J50" t="str">
            <v>x</v>
          </cell>
          <cell r="K50"/>
          <cell r="L50" t="str">
            <v>x</v>
          </cell>
          <cell r="M50"/>
          <cell r="N50"/>
          <cell r="O50"/>
          <cell r="P50"/>
          <cell r="Q50" t="str">
            <v>x</v>
          </cell>
          <cell r="R50" t="str">
            <v>x</v>
          </cell>
          <cell r="S50" t="str">
            <v>x</v>
          </cell>
          <cell r="T50" t="str">
            <v>x</v>
          </cell>
          <cell r="U50" t="str">
            <v>x</v>
          </cell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 t="str">
            <v>x</v>
          </cell>
          <cell r="AO50"/>
          <cell r="AP50" t="str">
            <v>x</v>
          </cell>
          <cell r="AQ50">
            <v>44651</v>
          </cell>
          <cell r="AR50">
            <v>916</v>
          </cell>
          <cell r="AS50">
            <v>45279</v>
          </cell>
          <cell r="AT50">
            <v>288</v>
          </cell>
          <cell r="AU50" t="str">
            <v>VMAJOCUE</v>
          </cell>
        </row>
        <row r="51">
          <cell r="C51">
            <v>605912</v>
          </cell>
          <cell r="D51" t="str">
            <v>SOSA LUCIA CELESTE</v>
          </cell>
          <cell r="E51" t="str">
            <v>09:00 - 15:00</v>
          </cell>
          <cell r="F51" t="str">
            <v>MAÑANA</v>
          </cell>
          <cell r="G51" t="str">
            <v>SAB Y DOM</v>
          </cell>
          <cell r="H51" t="str">
            <v>LOUREIRO, FLORENCIA CANDELA</v>
          </cell>
          <cell r="I51" t="str">
            <v>Romandetto Carlos</v>
          </cell>
          <cell r="J51" t="str">
            <v>x</v>
          </cell>
          <cell r="K51"/>
          <cell r="L51" t="str">
            <v>x</v>
          </cell>
          <cell r="M51"/>
          <cell r="N51"/>
          <cell r="O51"/>
          <cell r="P51"/>
          <cell r="Q51" t="str">
            <v>x</v>
          </cell>
          <cell r="R51" t="str">
            <v>x</v>
          </cell>
          <cell r="S51" t="str">
            <v>x</v>
          </cell>
          <cell r="T51" t="str">
            <v>x</v>
          </cell>
          <cell r="U51" t="str">
            <v>x</v>
          </cell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 t="str">
            <v>x</v>
          </cell>
          <cell r="AO51"/>
          <cell r="AP51" t="str">
            <v>x</v>
          </cell>
          <cell r="AQ51">
            <v>44658</v>
          </cell>
          <cell r="AR51">
            <v>909</v>
          </cell>
          <cell r="AS51">
            <v>45279</v>
          </cell>
          <cell r="AT51">
            <v>288</v>
          </cell>
          <cell r="AU51" t="str">
            <v>VMASOLUC</v>
          </cell>
        </row>
        <row r="52">
          <cell r="C52">
            <v>605924</v>
          </cell>
          <cell r="D52" t="str">
            <v>BENITEZ CAMILA MILAGROS</v>
          </cell>
          <cell r="E52" t="str">
            <v>09:00 - 15:00</v>
          </cell>
          <cell r="F52" t="str">
            <v>MAÑANA</v>
          </cell>
          <cell r="G52" t="str">
            <v>SAB Y DOM</v>
          </cell>
          <cell r="H52" t="str">
            <v>MOYANO, DAIANA SOLEDAD</v>
          </cell>
          <cell r="I52" t="str">
            <v>Romandetto Carlos</v>
          </cell>
          <cell r="J52" t="str">
            <v>x</v>
          </cell>
          <cell r="K52"/>
          <cell r="L52" t="str">
            <v>x</v>
          </cell>
          <cell r="M52" t="str">
            <v>x</v>
          </cell>
          <cell r="N52" t="str">
            <v>x</v>
          </cell>
          <cell r="O52"/>
          <cell r="P52"/>
          <cell r="Q52"/>
          <cell r="R52" t="str">
            <v>x</v>
          </cell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>
            <v>44658</v>
          </cell>
          <cell r="AR52">
            <v>909</v>
          </cell>
          <cell r="AS52">
            <v>45509</v>
          </cell>
          <cell r="AT52">
            <v>58</v>
          </cell>
          <cell r="AU52" t="str">
            <v>VMACABEN</v>
          </cell>
        </row>
        <row r="53">
          <cell r="C53">
            <v>605934</v>
          </cell>
          <cell r="D53" t="str">
            <v>FLEITAS JUAN GABRIEL</v>
          </cell>
          <cell r="E53" t="str">
            <v>09:00 - 15:00</v>
          </cell>
          <cell r="F53" t="str">
            <v>MAÑANA</v>
          </cell>
          <cell r="G53" t="str">
            <v>LUN Y VIE</v>
          </cell>
          <cell r="H53" t="str">
            <v>SORIA, ANA PAULA</v>
          </cell>
          <cell r="I53" t="str">
            <v>Romandetto Carlos</v>
          </cell>
          <cell r="J53" t="str">
            <v>x</v>
          </cell>
          <cell r="K53"/>
          <cell r="L53" t="str">
            <v>x</v>
          </cell>
          <cell r="M53" t="str">
            <v>x</v>
          </cell>
          <cell r="N53" t="str">
            <v>x</v>
          </cell>
          <cell r="O53"/>
          <cell r="P53"/>
          <cell r="Q53"/>
          <cell r="R53" t="str">
            <v>x</v>
          </cell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 t="str">
            <v>x</v>
          </cell>
          <cell r="AJ53" t="str">
            <v>x</v>
          </cell>
          <cell r="AK53"/>
          <cell r="AL53"/>
          <cell r="AM53"/>
          <cell r="AN53"/>
          <cell r="AO53"/>
          <cell r="AP53"/>
          <cell r="AQ53">
            <v>44718</v>
          </cell>
          <cell r="AR53">
            <v>849</v>
          </cell>
          <cell r="AS53">
            <v>45509</v>
          </cell>
          <cell r="AT53">
            <v>58</v>
          </cell>
          <cell r="AU53" t="str">
            <v>VMAJUFLE</v>
          </cell>
        </row>
        <row r="54">
          <cell r="C54">
            <v>605938</v>
          </cell>
          <cell r="D54" t="str">
            <v>AGUILAR CAMPOS MACARENA NOEMI</v>
          </cell>
          <cell r="E54" t="str">
            <v>09:00 - 15:00</v>
          </cell>
          <cell r="F54" t="str">
            <v>MAÑANA</v>
          </cell>
          <cell r="G54" t="str">
            <v>JUE Y DOM</v>
          </cell>
          <cell r="H54" t="str">
            <v>SORIA, ANA PAULA</v>
          </cell>
          <cell r="I54" t="str">
            <v>Romandetto Carlos</v>
          </cell>
          <cell r="J54" t="str">
            <v>x</v>
          </cell>
          <cell r="K54"/>
          <cell r="L54" t="str">
            <v>x</v>
          </cell>
          <cell r="M54" t="str">
            <v>x</v>
          </cell>
          <cell r="N54" t="str">
            <v>x</v>
          </cell>
          <cell r="O54"/>
          <cell r="P54"/>
          <cell r="Q54"/>
          <cell r="R54" t="str">
            <v>x</v>
          </cell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 t="str">
            <v>x</v>
          </cell>
          <cell r="AJ54" t="str">
            <v>x</v>
          </cell>
          <cell r="AK54"/>
          <cell r="AL54"/>
          <cell r="AM54"/>
          <cell r="AN54"/>
          <cell r="AO54"/>
          <cell r="AP54"/>
          <cell r="AQ54">
            <v>44718</v>
          </cell>
          <cell r="AR54">
            <v>849</v>
          </cell>
          <cell r="AS54">
            <v>45509</v>
          </cell>
          <cell r="AT54">
            <v>58</v>
          </cell>
          <cell r="AU54" t="str">
            <v>VMAAGMAC</v>
          </cell>
        </row>
        <row r="55">
          <cell r="C55">
            <v>605963</v>
          </cell>
          <cell r="D55" t="str">
            <v>GOMEZ LEANDRO AGUSTIN</v>
          </cell>
          <cell r="E55" t="str">
            <v>09:00 - 15:00</v>
          </cell>
          <cell r="F55" t="str">
            <v>MAÑANA</v>
          </cell>
          <cell r="G55" t="str">
            <v>SAB Y DOM</v>
          </cell>
          <cell r="H55" t="str">
            <v>SORIA, ANA PAULA</v>
          </cell>
          <cell r="I55" t="str">
            <v>Romandetto Carlos</v>
          </cell>
          <cell r="J55" t="str">
            <v>x</v>
          </cell>
          <cell r="K55"/>
          <cell r="L55" t="str">
            <v>x</v>
          </cell>
          <cell r="M55" t="str">
            <v>x</v>
          </cell>
          <cell r="N55" t="str">
            <v>x</v>
          </cell>
          <cell r="O55"/>
          <cell r="P55"/>
          <cell r="Q55"/>
          <cell r="R55" t="str">
            <v>x</v>
          </cell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 t="str">
            <v>x</v>
          </cell>
          <cell r="AO55" t="str">
            <v>x</v>
          </cell>
          <cell r="AP55"/>
          <cell r="AQ55">
            <v>44658</v>
          </cell>
          <cell r="AR55">
            <v>909</v>
          </cell>
          <cell r="AS55">
            <v>45443</v>
          </cell>
          <cell r="AT55">
            <v>124</v>
          </cell>
          <cell r="AU55" t="str">
            <v>VMALEAGO</v>
          </cell>
        </row>
        <row r="56">
          <cell r="C56">
            <v>605968</v>
          </cell>
          <cell r="D56" t="str">
            <v>ASCONA MILENA AGUSTINA</v>
          </cell>
          <cell r="E56" t="str">
            <v>11:00 - 16:00</v>
          </cell>
          <cell r="F56" t="str">
            <v>MAÑANA</v>
          </cell>
          <cell r="G56" t="str">
            <v>SAB Y DOM</v>
          </cell>
          <cell r="H56" t="str">
            <v>ONETTO, MARIA DE LOS MILAGROS</v>
          </cell>
          <cell r="I56" t="str">
            <v>Romandetto Carlos</v>
          </cell>
          <cell r="J56"/>
          <cell r="K56"/>
          <cell r="L56" t="str">
            <v>x</v>
          </cell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 t="str">
            <v>x</v>
          </cell>
          <cell r="AJ56" t="str">
            <v>x</v>
          </cell>
          <cell r="AK56"/>
          <cell r="AL56"/>
          <cell r="AM56"/>
          <cell r="AN56"/>
          <cell r="AO56"/>
          <cell r="AP56"/>
          <cell r="AQ56">
            <v>44658</v>
          </cell>
          <cell r="AR56">
            <v>909</v>
          </cell>
          <cell r="AS56">
            <v>44768</v>
          </cell>
          <cell r="AT56">
            <v>799</v>
          </cell>
          <cell r="AU56" t="str">
            <v>VMAMIASC</v>
          </cell>
        </row>
        <row r="57">
          <cell r="C57">
            <v>605794</v>
          </cell>
          <cell r="D57" t="str">
            <v>VAZQUEZ ROSSI SOFIA ANAHI</v>
          </cell>
          <cell r="E57" t="str">
            <v>15:00 - 21:00</v>
          </cell>
          <cell r="F57" t="str">
            <v>TARDE</v>
          </cell>
          <cell r="G57" t="str">
            <v>VIE Y DOM</v>
          </cell>
          <cell r="H57" t="str">
            <v>GOMEZ, SASHA</v>
          </cell>
          <cell r="I57" t="str">
            <v>Romandetto Carlos</v>
          </cell>
          <cell r="J57"/>
          <cell r="K57"/>
          <cell r="L57" t="str">
            <v>x</v>
          </cell>
          <cell r="M57"/>
          <cell r="N57"/>
          <cell r="O57"/>
          <cell r="P57"/>
          <cell r="Q57" t="str">
            <v>x</v>
          </cell>
          <cell r="R57" t="str">
            <v>x</v>
          </cell>
          <cell r="S57" t="str">
            <v>x</v>
          </cell>
          <cell r="T57" t="str">
            <v>x</v>
          </cell>
          <cell r="U57" t="str">
            <v>x</v>
          </cell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 t="str">
            <v>x</v>
          </cell>
          <cell r="AO57"/>
          <cell r="AP57" t="str">
            <v>x</v>
          </cell>
          <cell r="AQ57">
            <v>44687</v>
          </cell>
          <cell r="AR57">
            <v>880</v>
          </cell>
          <cell r="AS57">
            <v>45279</v>
          </cell>
          <cell r="AT57">
            <v>288</v>
          </cell>
          <cell r="AU57" t="str">
            <v>VMASOVAZ</v>
          </cell>
        </row>
        <row r="58">
          <cell r="C58">
            <v>605882</v>
          </cell>
          <cell r="D58" t="str">
            <v>ESPINOZA CIELO</v>
          </cell>
          <cell r="E58" t="str">
            <v>18:00 - 00:00</v>
          </cell>
          <cell r="F58" t="str">
            <v>NOCHE</v>
          </cell>
          <cell r="G58" t="str">
            <v>SAB Y DOM</v>
          </cell>
          <cell r="H58" t="str">
            <v>PELOC, MARIA SOLEDAD</v>
          </cell>
          <cell r="I58" t="str">
            <v>Romandetto Carlos</v>
          </cell>
          <cell r="J58" t="str">
            <v>x</v>
          </cell>
          <cell r="K58"/>
          <cell r="L58" t="str">
            <v>x</v>
          </cell>
          <cell r="M58" t="str">
            <v>x</v>
          </cell>
          <cell r="N58" t="str">
            <v>x</v>
          </cell>
          <cell r="O58"/>
          <cell r="P58"/>
          <cell r="Q58"/>
          <cell r="R58" t="str">
            <v>x</v>
          </cell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 t="str">
            <v>x</v>
          </cell>
          <cell r="AO58" t="str">
            <v>x</v>
          </cell>
          <cell r="AP58"/>
          <cell r="AQ58">
            <v>44687</v>
          </cell>
          <cell r="AR58">
            <v>880</v>
          </cell>
          <cell r="AS58">
            <v>45471</v>
          </cell>
          <cell r="AT58">
            <v>96</v>
          </cell>
          <cell r="AU58" t="str">
            <v>VMACIESP</v>
          </cell>
        </row>
        <row r="59">
          <cell r="C59">
            <v>605911</v>
          </cell>
          <cell r="D59" t="str">
            <v>INFANTE ENZO</v>
          </cell>
          <cell r="E59" t="str">
            <v>15:00 - 21:00</v>
          </cell>
          <cell r="F59" t="str">
            <v>TARDE</v>
          </cell>
          <cell r="G59" t="str">
            <v>SAB Y DOM</v>
          </cell>
          <cell r="H59" t="str">
            <v>GOMEZ, AYLEN MILAGROS</v>
          </cell>
          <cell r="I59" t="str">
            <v>Romandetto Carlos</v>
          </cell>
          <cell r="J59"/>
          <cell r="K59"/>
          <cell r="L59" t="str">
            <v>x</v>
          </cell>
          <cell r="M59"/>
          <cell r="N59"/>
          <cell r="O59"/>
          <cell r="P59"/>
          <cell r="Q59" t="str">
            <v>x</v>
          </cell>
          <cell r="R59" t="str">
            <v>x</v>
          </cell>
          <cell r="S59" t="str">
            <v>x</v>
          </cell>
          <cell r="T59" t="str">
            <v>x</v>
          </cell>
          <cell r="U59" t="str">
            <v>x</v>
          </cell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 t="str">
            <v>x</v>
          </cell>
          <cell r="AO59"/>
          <cell r="AP59" t="str">
            <v>x</v>
          </cell>
          <cell r="AQ59">
            <v>44687</v>
          </cell>
          <cell r="AR59">
            <v>880</v>
          </cell>
          <cell r="AS59">
            <v>45279</v>
          </cell>
          <cell r="AT59">
            <v>288</v>
          </cell>
          <cell r="AU59" t="str">
            <v>VMAENINF</v>
          </cell>
        </row>
        <row r="60">
          <cell r="C60">
            <v>606014</v>
          </cell>
          <cell r="D60" t="str">
            <v>MANSILLA ARREGUI MICAELA ZAIDA</v>
          </cell>
          <cell r="E60" t="str">
            <v>12:00 - 18:00</v>
          </cell>
          <cell r="F60" t="str">
            <v>TARDE</v>
          </cell>
          <cell r="G60" t="str">
            <v>MIE Y DOM</v>
          </cell>
          <cell r="H60" t="str">
            <v>SORIA, ANA PAULA</v>
          </cell>
          <cell r="I60" t="str">
            <v>Romandetto Carlos</v>
          </cell>
          <cell r="J60" t="str">
            <v>x</v>
          </cell>
          <cell r="K60"/>
          <cell r="L60" t="str">
            <v>x</v>
          </cell>
          <cell r="M60" t="str">
            <v>x</v>
          </cell>
          <cell r="N60" t="str">
            <v>x</v>
          </cell>
          <cell r="O60"/>
          <cell r="P60"/>
          <cell r="Q60"/>
          <cell r="R60" t="str">
            <v>x</v>
          </cell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>
            <v>44704</v>
          </cell>
          <cell r="AR60">
            <v>863</v>
          </cell>
          <cell r="AS60">
            <v>45495</v>
          </cell>
          <cell r="AT60">
            <v>72</v>
          </cell>
          <cell r="AU60" t="str">
            <v>VMAZAMAN</v>
          </cell>
        </row>
        <row r="61">
          <cell r="C61">
            <v>605969</v>
          </cell>
          <cell r="D61" t="str">
            <v>DEMARCO FIDEL</v>
          </cell>
          <cell r="E61" t="str">
            <v>09:00 - 15:00</v>
          </cell>
          <cell r="F61" t="str">
            <v>MAÑANA</v>
          </cell>
          <cell r="G61" t="str">
            <v>SAB Y DOM</v>
          </cell>
          <cell r="H61" t="str">
            <v>VILLALBA, VICTORIA</v>
          </cell>
          <cell r="I61" t="str">
            <v>Romandetto Carlos</v>
          </cell>
          <cell r="J61" t="str">
            <v>x</v>
          </cell>
          <cell r="K61"/>
          <cell r="L61" t="str">
            <v>x</v>
          </cell>
          <cell r="M61"/>
          <cell r="N61"/>
          <cell r="O61"/>
          <cell r="P61"/>
          <cell r="Q61" t="str">
            <v>x</v>
          </cell>
          <cell r="R61" t="str">
            <v>x</v>
          </cell>
          <cell r="S61" t="str">
            <v>x</v>
          </cell>
          <cell r="T61" t="str">
            <v>x</v>
          </cell>
          <cell r="U61" t="str">
            <v>x</v>
          </cell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 t="str">
            <v>x</v>
          </cell>
          <cell r="AO61"/>
          <cell r="AP61" t="str">
            <v>x</v>
          </cell>
          <cell r="AQ61">
            <v>44658</v>
          </cell>
          <cell r="AR61">
            <v>909</v>
          </cell>
          <cell r="AS61">
            <v>45279</v>
          </cell>
          <cell r="AT61">
            <v>288</v>
          </cell>
          <cell r="AU61" t="str">
            <v>VMAFIDEM</v>
          </cell>
        </row>
        <row r="62">
          <cell r="C62">
            <v>605986</v>
          </cell>
          <cell r="D62" t="str">
            <v>BENITEZ LOURDES ROCIO</v>
          </cell>
          <cell r="E62" t="str">
            <v>16:00 - 22:00</v>
          </cell>
          <cell r="F62" t="str">
            <v>TARDE</v>
          </cell>
          <cell r="G62" t="str">
            <v>SAB Y DOM</v>
          </cell>
          <cell r="H62" t="str">
            <v>YBARRA, LUCIA ALDANA</v>
          </cell>
          <cell r="I62" t="str">
            <v>Romandetto Carlos</v>
          </cell>
          <cell r="J62"/>
          <cell r="K62"/>
          <cell r="L62" t="str">
            <v>x</v>
          </cell>
          <cell r="M62"/>
          <cell r="N62"/>
          <cell r="O62"/>
          <cell r="P62"/>
          <cell r="Q62" t="str">
            <v>x</v>
          </cell>
          <cell r="R62" t="str">
            <v>x</v>
          </cell>
          <cell r="S62" t="str">
            <v>x</v>
          </cell>
          <cell r="T62" t="str">
            <v>x</v>
          </cell>
          <cell r="U62" t="str">
            <v>x</v>
          </cell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 t="str">
            <v>x</v>
          </cell>
          <cell r="AO62"/>
          <cell r="AP62" t="str">
            <v>x</v>
          </cell>
          <cell r="AQ62">
            <v>44704</v>
          </cell>
          <cell r="AR62">
            <v>863</v>
          </cell>
          <cell r="AS62">
            <v>45279</v>
          </cell>
          <cell r="AT62">
            <v>288</v>
          </cell>
          <cell r="AU62" t="str">
            <v>VMALOBEN</v>
          </cell>
        </row>
        <row r="63">
          <cell r="C63">
            <v>605982</v>
          </cell>
          <cell r="D63" t="str">
            <v>WETZEL IGNACIO EZEQUIEL</v>
          </cell>
          <cell r="E63" t="str">
            <v>10:00 - 16:00</v>
          </cell>
          <cell r="F63" t="str">
            <v>MAÑANA</v>
          </cell>
          <cell r="G63" t="str">
            <v>LUN Y DOM</v>
          </cell>
          <cell r="H63" t="str">
            <v>VILLALBA, VICTORIA</v>
          </cell>
          <cell r="I63" t="str">
            <v>Romandetto Carlos</v>
          </cell>
          <cell r="J63" t="str">
            <v>x</v>
          </cell>
          <cell r="K63"/>
          <cell r="L63" t="str">
            <v>x</v>
          </cell>
          <cell r="M63" t="str">
            <v>x</v>
          </cell>
          <cell r="N63" t="str">
            <v>x</v>
          </cell>
          <cell r="O63"/>
          <cell r="P63"/>
          <cell r="Q63"/>
          <cell r="R63" t="str">
            <v>x</v>
          </cell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 t="str">
            <v>x</v>
          </cell>
          <cell r="AO63" t="str">
            <v>x</v>
          </cell>
          <cell r="AP63"/>
          <cell r="AQ63">
            <v>44704</v>
          </cell>
          <cell r="AR63">
            <v>863</v>
          </cell>
          <cell r="AS63">
            <v>45495</v>
          </cell>
          <cell r="AT63">
            <v>72</v>
          </cell>
          <cell r="AU63" t="str">
            <v>VMAIGWET</v>
          </cell>
        </row>
        <row r="64">
          <cell r="C64">
            <v>605990</v>
          </cell>
          <cell r="D64" t="str">
            <v>FALCON NAYLA</v>
          </cell>
          <cell r="E64" t="str">
            <v>06:00 - 12:00</v>
          </cell>
          <cell r="F64" t="str">
            <v>MAÑANA</v>
          </cell>
          <cell r="G64" t="str">
            <v>SAB Y DOM</v>
          </cell>
          <cell r="H64" t="str">
            <v>MOYANO, DAIANA SOLEDAD</v>
          </cell>
          <cell r="I64" t="str">
            <v>Romandetto Carlos</v>
          </cell>
          <cell r="J64" t="str">
            <v>x</v>
          </cell>
          <cell r="K64"/>
          <cell r="L64" t="str">
            <v>x</v>
          </cell>
          <cell r="M64" t="str">
            <v>x</v>
          </cell>
          <cell r="N64" t="str">
            <v>x</v>
          </cell>
          <cell r="O64"/>
          <cell r="P64"/>
          <cell r="Q64"/>
          <cell r="R64" t="str">
            <v>x</v>
          </cell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 t="str">
            <v>x</v>
          </cell>
          <cell r="AO64" t="str">
            <v>x</v>
          </cell>
          <cell r="AP64"/>
          <cell r="AQ64">
            <v>44704</v>
          </cell>
          <cell r="AR64">
            <v>863</v>
          </cell>
          <cell r="AS64">
            <v>45443</v>
          </cell>
          <cell r="AT64">
            <v>124</v>
          </cell>
          <cell r="AU64" t="str">
            <v>VMANAFAL</v>
          </cell>
        </row>
        <row r="65">
          <cell r="C65">
            <v>606031</v>
          </cell>
          <cell r="D65" t="str">
            <v>CEJAS MAYRA</v>
          </cell>
          <cell r="E65" t="str">
            <v>15:00 - 21:00</v>
          </cell>
          <cell r="F65" t="str">
            <v>TARDE</v>
          </cell>
          <cell r="G65" t="str">
            <v>VIE Y DOM</v>
          </cell>
          <cell r="H65" t="str">
            <v>GOMEZ, SASHA</v>
          </cell>
          <cell r="I65" t="str">
            <v>Romandetto Carlos</v>
          </cell>
          <cell r="J65"/>
          <cell r="K65"/>
          <cell r="L65" t="str">
            <v>x</v>
          </cell>
          <cell r="M65" t="str">
            <v>x</v>
          </cell>
          <cell r="N65" t="str">
            <v>x</v>
          </cell>
          <cell r="O65"/>
          <cell r="P65"/>
          <cell r="Q65"/>
          <cell r="R65" t="str">
            <v>x</v>
          </cell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 t="str">
            <v>x</v>
          </cell>
          <cell r="AO65" t="str">
            <v>x</v>
          </cell>
          <cell r="AP65"/>
          <cell r="AQ65">
            <v>44722</v>
          </cell>
          <cell r="AR65">
            <v>845</v>
          </cell>
          <cell r="AS65">
            <v>45350</v>
          </cell>
          <cell r="AT65">
            <v>217</v>
          </cell>
          <cell r="AU65" t="str">
            <v>VMAMACEJ</v>
          </cell>
        </row>
        <row r="66">
          <cell r="C66">
            <v>606035</v>
          </cell>
          <cell r="D66" t="str">
            <v>LENTINI MELANIE NOEMI</v>
          </cell>
          <cell r="E66" t="str">
            <v>15:00 - 21:00</v>
          </cell>
          <cell r="F66" t="str">
            <v>TARDE</v>
          </cell>
          <cell r="G66" t="str">
            <v>SAB Y DOM</v>
          </cell>
          <cell r="H66" t="str">
            <v>GOMEZ, SASHA</v>
          </cell>
          <cell r="I66" t="str">
            <v>Romandetto Carlos</v>
          </cell>
          <cell r="J66" t="str">
            <v>x</v>
          </cell>
          <cell r="K66"/>
          <cell r="L66" t="str">
            <v>x</v>
          </cell>
          <cell r="M66" t="str">
            <v>x</v>
          </cell>
          <cell r="N66" t="str">
            <v>x</v>
          </cell>
          <cell r="O66"/>
          <cell r="P66"/>
          <cell r="Q66" t="str">
            <v>x</v>
          </cell>
          <cell r="R66" t="str">
            <v>x</v>
          </cell>
          <cell r="S66" t="str">
            <v>x</v>
          </cell>
          <cell r="T66" t="str">
            <v>x</v>
          </cell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 t="str">
            <v>x</v>
          </cell>
          <cell r="AO66"/>
          <cell r="AP66" t="str">
            <v>x</v>
          </cell>
          <cell r="AQ66">
            <v>44722</v>
          </cell>
          <cell r="AR66">
            <v>845</v>
          </cell>
          <cell r="AS66">
            <v>45478</v>
          </cell>
          <cell r="AT66">
            <v>89</v>
          </cell>
          <cell r="AU66" t="str">
            <v>VMAMELEN</v>
          </cell>
        </row>
        <row r="67">
          <cell r="C67">
            <v>606019</v>
          </cell>
          <cell r="D67" t="str">
            <v>VERGARA TAMARA</v>
          </cell>
          <cell r="E67" t="str">
            <v>09:00 - 15:00</v>
          </cell>
          <cell r="F67" t="str">
            <v>MAÑANA</v>
          </cell>
          <cell r="G67" t="str">
            <v>JUE Y DOM</v>
          </cell>
          <cell r="H67" t="str">
            <v>LOUREIRO, FLORENCIA CANDELA</v>
          </cell>
          <cell r="I67" t="str">
            <v>Romandetto Carlos</v>
          </cell>
          <cell r="J67"/>
          <cell r="K67"/>
          <cell r="L67" t="str">
            <v>x</v>
          </cell>
          <cell r="M67" t="str">
            <v>x</v>
          </cell>
          <cell r="N67" t="str">
            <v>x</v>
          </cell>
          <cell r="O67"/>
          <cell r="P67"/>
          <cell r="Q67" t="str">
            <v>x</v>
          </cell>
          <cell r="R67" t="str">
            <v>x</v>
          </cell>
          <cell r="S67" t="str">
            <v>x</v>
          </cell>
          <cell r="T67" t="str">
            <v>x</v>
          </cell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 t="str">
            <v>x</v>
          </cell>
          <cell r="AO67"/>
          <cell r="AP67" t="str">
            <v>x</v>
          </cell>
          <cell r="AQ67">
            <v>44722</v>
          </cell>
          <cell r="AR67">
            <v>845</v>
          </cell>
          <cell r="AS67">
            <v>45322</v>
          </cell>
          <cell r="AT67">
            <v>245</v>
          </cell>
          <cell r="AU67" t="str">
            <v>VMATAVER</v>
          </cell>
        </row>
        <row r="68">
          <cell r="C68">
            <v>606040</v>
          </cell>
          <cell r="D68" t="str">
            <v>SANCHEZ YAMILA</v>
          </cell>
          <cell r="E68" t="str">
            <v>09:00 - 15:00</v>
          </cell>
          <cell r="F68" t="str">
            <v>MAÑANA</v>
          </cell>
          <cell r="G68" t="str">
            <v>MAR Y SAB</v>
          </cell>
          <cell r="H68" t="str">
            <v>RUIZ, TOMAS EMANUEL</v>
          </cell>
          <cell r="I68" t="str">
            <v>Romandetto Carlos</v>
          </cell>
          <cell r="J68" t="str">
            <v>x</v>
          </cell>
          <cell r="K68"/>
          <cell r="L68" t="str">
            <v>x</v>
          </cell>
          <cell r="M68" t="str">
            <v>x</v>
          </cell>
          <cell r="N68" t="str">
            <v>x</v>
          </cell>
          <cell r="O68"/>
          <cell r="P68"/>
          <cell r="Q68"/>
          <cell r="R68" t="str">
            <v>x</v>
          </cell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 t="str">
            <v>x</v>
          </cell>
          <cell r="AO68" t="str">
            <v>x</v>
          </cell>
          <cell r="AP68"/>
          <cell r="AQ68">
            <v>44722</v>
          </cell>
          <cell r="AR68">
            <v>845</v>
          </cell>
          <cell r="AS68">
            <v>45471</v>
          </cell>
          <cell r="AT68">
            <v>96</v>
          </cell>
          <cell r="AU68" t="str">
            <v>VMASAYAM</v>
          </cell>
        </row>
        <row r="69">
          <cell r="C69">
            <v>606011</v>
          </cell>
          <cell r="D69" t="str">
            <v>VIZGARRA SORIA NAHUEL FACUNDO</v>
          </cell>
          <cell r="E69" t="str">
            <v>08:00 - 14:00</v>
          </cell>
          <cell r="F69" t="str">
            <v>MAÑANA</v>
          </cell>
          <cell r="G69" t="str">
            <v>SAB Y DOM</v>
          </cell>
          <cell r="H69" t="str">
            <v>LOUREIRO, FLORENCIA CANDELA</v>
          </cell>
          <cell r="I69" t="str">
            <v>Romandetto Carlos</v>
          </cell>
          <cell r="J69" t="str">
            <v>x</v>
          </cell>
          <cell r="K69"/>
          <cell r="L69" t="str">
            <v>x</v>
          </cell>
          <cell r="M69" t="str">
            <v>x</v>
          </cell>
          <cell r="N69" t="str">
            <v>x</v>
          </cell>
          <cell r="O69"/>
          <cell r="P69"/>
          <cell r="Q69"/>
          <cell r="R69" t="str">
            <v>x</v>
          </cell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 t="str">
            <v>x</v>
          </cell>
          <cell r="AN69"/>
          <cell r="AO69"/>
          <cell r="AP69"/>
          <cell r="AQ69">
            <v>44783</v>
          </cell>
          <cell r="AR69">
            <v>784</v>
          </cell>
          <cell r="AS69">
            <v>45509</v>
          </cell>
          <cell r="AT69">
            <v>58</v>
          </cell>
          <cell r="AU69" t="str">
            <v>VMANAVIZ</v>
          </cell>
        </row>
        <row r="70">
          <cell r="C70">
            <v>605957</v>
          </cell>
          <cell r="D70" t="str">
            <v>VARGAS CAROLINA MELANY</v>
          </cell>
          <cell r="E70" t="str">
            <v>09:00 - 15:00</v>
          </cell>
          <cell r="F70" t="str">
            <v>MAÑANA</v>
          </cell>
          <cell r="G70" t="str">
            <v>VIE Y DOM</v>
          </cell>
          <cell r="H70" t="str">
            <v>GROESMANN, MAYA JUDITH</v>
          </cell>
          <cell r="I70" t="str">
            <v>Romandetto Carlos</v>
          </cell>
          <cell r="J70"/>
          <cell r="K70"/>
          <cell r="L70" t="str">
            <v>x</v>
          </cell>
          <cell r="M70" t="str">
            <v>x</v>
          </cell>
          <cell r="N70" t="str">
            <v>x</v>
          </cell>
          <cell r="O70"/>
          <cell r="P70"/>
          <cell r="Q70" t="str">
            <v>x</v>
          </cell>
          <cell r="R70" t="str">
            <v>x</v>
          </cell>
          <cell r="S70" t="str">
            <v>x</v>
          </cell>
          <cell r="T70" t="str">
            <v>x</v>
          </cell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 t="str">
            <v>x</v>
          </cell>
          <cell r="AO70"/>
          <cell r="AP70" t="str">
            <v>x</v>
          </cell>
          <cell r="AQ70">
            <v>44783</v>
          </cell>
          <cell r="AR70">
            <v>784</v>
          </cell>
          <cell r="AS70">
            <v>45322</v>
          </cell>
          <cell r="AT70">
            <v>245</v>
          </cell>
          <cell r="AU70" t="str">
            <v>VMACAVAR</v>
          </cell>
        </row>
        <row r="71">
          <cell r="C71">
            <v>605995</v>
          </cell>
          <cell r="D71" t="str">
            <v>GONZALEZ LOURDES BELEN</v>
          </cell>
          <cell r="E71" t="str">
            <v>09:00 - 15:00</v>
          </cell>
          <cell r="F71" t="str">
            <v>MAÑANA</v>
          </cell>
          <cell r="G71" t="str">
            <v>SAB Y DOM</v>
          </cell>
          <cell r="H71" t="str">
            <v>VEGA, BRIAN NICOLAS</v>
          </cell>
          <cell r="I71" t="str">
            <v>Leandro Muñoz</v>
          </cell>
          <cell r="J71"/>
          <cell r="K71"/>
          <cell r="L71" t="str">
            <v>x</v>
          </cell>
          <cell r="M71" t="str">
            <v>x</v>
          </cell>
          <cell r="N71" t="str">
            <v>x</v>
          </cell>
          <cell r="O71"/>
          <cell r="P71"/>
          <cell r="Q71"/>
          <cell r="R71" t="str">
            <v>x</v>
          </cell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 t="str">
            <v>x</v>
          </cell>
          <cell r="AN71"/>
          <cell r="AO71"/>
          <cell r="AP71"/>
          <cell r="AQ71">
            <v>44783</v>
          </cell>
          <cell r="AR71">
            <v>784</v>
          </cell>
          <cell r="AS71">
            <v>45350</v>
          </cell>
          <cell r="AT71">
            <v>217</v>
          </cell>
          <cell r="AU71" t="str">
            <v>VMALOGON</v>
          </cell>
        </row>
        <row r="72">
          <cell r="C72">
            <v>606057</v>
          </cell>
          <cell r="D72" t="str">
            <v>ASCONA IARA MAGALI</v>
          </cell>
          <cell r="E72" t="str">
            <v>11:00 - 17:00</v>
          </cell>
          <cell r="F72" t="str">
            <v>MAÑANA</v>
          </cell>
          <cell r="G72" t="str">
            <v>SAB Y DOM</v>
          </cell>
          <cell r="H72" t="str">
            <v>GOMEZ, AYLEN MILAGROS</v>
          </cell>
          <cell r="I72" t="str">
            <v>Romandetto Carlos</v>
          </cell>
          <cell r="J72" t="str">
            <v>x</v>
          </cell>
          <cell r="K72"/>
          <cell r="L72" t="str">
            <v>x</v>
          </cell>
          <cell r="M72" t="str">
            <v>x</v>
          </cell>
          <cell r="N72" t="str">
            <v>x</v>
          </cell>
          <cell r="O72"/>
          <cell r="P72"/>
          <cell r="Q72"/>
          <cell r="R72" t="str">
            <v>x</v>
          </cell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 t="str">
            <v>x</v>
          </cell>
          <cell r="AJ72"/>
          <cell r="AK72"/>
          <cell r="AL72"/>
          <cell r="AM72"/>
          <cell r="AN72"/>
          <cell r="AO72"/>
          <cell r="AP72"/>
          <cell r="AQ72">
            <v>44778</v>
          </cell>
          <cell r="AR72">
            <v>789</v>
          </cell>
          <cell r="AS72">
            <v>45509</v>
          </cell>
          <cell r="AT72">
            <v>58</v>
          </cell>
          <cell r="AU72" t="str">
            <v>VMAIAASC</v>
          </cell>
        </row>
        <row r="73">
          <cell r="C73">
            <v>605996</v>
          </cell>
          <cell r="D73" t="str">
            <v>AGUINAGA GOMEZ MARIA MAGALI</v>
          </cell>
          <cell r="E73" t="str">
            <v>06:00 - 12:00</v>
          </cell>
          <cell r="F73" t="str">
            <v>MAÑANA</v>
          </cell>
          <cell r="G73" t="str">
            <v>SAB Y DOM</v>
          </cell>
          <cell r="H73" t="str">
            <v>MOYANO, DAIANA SOLEDAD</v>
          </cell>
          <cell r="I73" t="str">
            <v>Romandetto Carlos</v>
          </cell>
          <cell r="J73"/>
          <cell r="K73"/>
          <cell r="L73" t="str">
            <v>x</v>
          </cell>
          <cell r="M73" t="str">
            <v>x</v>
          </cell>
          <cell r="N73" t="str">
            <v>x</v>
          </cell>
          <cell r="O73"/>
          <cell r="P73"/>
          <cell r="Q73"/>
          <cell r="R73" t="str">
            <v>x</v>
          </cell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 t="str">
            <v>x</v>
          </cell>
          <cell r="AO73" t="str">
            <v>x</v>
          </cell>
          <cell r="AP73"/>
          <cell r="AQ73">
            <v>44896</v>
          </cell>
          <cell r="AR73">
            <v>671</v>
          </cell>
          <cell r="AS73">
            <v>45350</v>
          </cell>
          <cell r="AT73">
            <v>217</v>
          </cell>
          <cell r="AU73" t="str">
            <v>VMAMARAG</v>
          </cell>
        </row>
        <row r="74">
          <cell r="C74">
            <v>606039</v>
          </cell>
          <cell r="D74" t="str">
            <v>GOMEZ ENCISO MONICA</v>
          </cell>
          <cell r="E74" t="str">
            <v>15:00 - 21:00</v>
          </cell>
          <cell r="F74" t="str">
            <v>TARDE</v>
          </cell>
          <cell r="G74" t="str">
            <v>VIE Y DOM</v>
          </cell>
          <cell r="H74" t="str">
            <v>GOMEZ, SASHA</v>
          </cell>
          <cell r="I74" t="str">
            <v>Romandetto Carlos</v>
          </cell>
          <cell r="J74"/>
          <cell r="K74"/>
          <cell r="L74" t="str">
            <v>x</v>
          </cell>
          <cell r="M74"/>
          <cell r="N74"/>
          <cell r="O74"/>
          <cell r="P74"/>
          <cell r="Q74" t="str">
            <v>x</v>
          </cell>
          <cell r="R74" t="str">
            <v>x</v>
          </cell>
          <cell r="S74" t="str">
            <v>x</v>
          </cell>
          <cell r="T74" t="str">
            <v>x</v>
          </cell>
          <cell r="U74" t="str">
            <v>x</v>
          </cell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 t="str">
            <v>x</v>
          </cell>
          <cell r="AO74"/>
          <cell r="AP74" t="str">
            <v>x</v>
          </cell>
          <cell r="AQ74">
            <v>44896</v>
          </cell>
          <cell r="AR74">
            <v>671</v>
          </cell>
          <cell r="AS74">
            <v>45279</v>
          </cell>
          <cell r="AT74">
            <v>288</v>
          </cell>
          <cell r="AU74" t="str">
            <v>VMAMOGOM</v>
          </cell>
        </row>
        <row r="75">
          <cell r="C75">
            <v>606053</v>
          </cell>
          <cell r="D75" t="str">
            <v>SANCHEZ FLORENCIA ARIADNA</v>
          </cell>
          <cell r="E75" t="str">
            <v>15:00 - 21:00</v>
          </cell>
          <cell r="F75" t="str">
            <v>TARDE</v>
          </cell>
          <cell r="G75" t="str">
            <v>SAB Y DOM</v>
          </cell>
          <cell r="H75" t="str">
            <v>GOMEZ, SASHA</v>
          </cell>
          <cell r="I75" t="str">
            <v>Romandetto Carlos</v>
          </cell>
          <cell r="J75"/>
          <cell r="K75"/>
          <cell r="L75" t="str">
            <v>x</v>
          </cell>
          <cell r="M75" t="str">
            <v>x</v>
          </cell>
          <cell r="N75" t="str">
            <v>x</v>
          </cell>
          <cell r="O75"/>
          <cell r="P75"/>
          <cell r="Q75" t="str">
            <v>x</v>
          </cell>
          <cell r="R75" t="str">
            <v>x</v>
          </cell>
          <cell r="S75" t="str">
            <v>x</v>
          </cell>
          <cell r="T75" t="str">
            <v>x</v>
          </cell>
          <cell r="U75" t="str">
            <v>x</v>
          </cell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 t="str">
            <v>x</v>
          </cell>
          <cell r="AO75"/>
          <cell r="AP75" t="str">
            <v>x</v>
          </cell>
          <cell r="AQ75">
            <v>44778</v>
          </cell>
          <cell r="AR75">
            <v>789</v>
          </cell>
          <cell r="AS75">
            <v>45210</v>
          </cell>
          <cell r="AT75">
            <v>357</v>
          </cell>
          <cell r="AU75" t="str">
            <v>VMAFLSAN</v>
          </cell>
        </row>
        <row r="76">
          <cell r="C76">
            <v>606046</v>
          </cell>
          <cell r="D76" t="str">
            <v>LOPEZ CANDELA YAZMIN</v>
          </cell>
          <cell r="E76" t="str">
            <v>09:00 - 15:00</v>
          </cell>
          <cell r="F76" t="str">
            <v>MAÑANA</v>
          </cell>
          <cell r="G76" t="str">
            <v>SAB Y DOM</v>
          </cell>
          <cell r="H76" t="str">
            <v>Supervisor Capacitación, BU No Fijo</v>
          </cell>
          <cell r="I76" t="str">
            <v>-</v>
          </cell>
          <cell r="J76"/>
          <cell r="K76"/>
          <cell r="L76" t="str">
            <v>x</v>
          </cell>
          <cell r="M76" t="str">
            <v>x</v>
          </cell>
          <cell r="N76" t="str">
            <v>x</v>
          </cell>
          <cell r="O76"/>
          <cell r="P76"/>
          <cell r="Q76" t="str">
            <v>x</v>
          </cell>
          <cell r="R76" t="str">
            <v>x</v>
          </cell>
          <cell r="S76" t="str">
            <v>x</v>
          </cell>
          <cell r="T76" t="str">
            <v>x</v>
          </cell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 t="str">
            <v>x</v>
          </cell>
          <cell r="AO76"/>
          <cell r="AP76" t="str">
            <v>x</v>
          </cell>
          <cell r="AQ76">
            <v>44896</v>
          </cell>
          <cell r="AR76">
            <v>671</v>
          </cell>
          <cell r="AS76">
            <v>45329</v>
          </cell>
          <cell r="AT76">
            <v>238</v>
          </cell>
          <cell r="AU76" t="str">
            <v>VMACALOP</v>
          </cell>
        </row>
        <row r="77">
          <cell r="C77">
            <v>606070</v>
          </cell>
          <cell r="D77" t="str">
            <v>LOPEZ VICTORIA ABRIL</v>
          </cell>
          <cell r="E77" t="str">
            <v>09:00 - 15:00</v>
          </cell>
          <cell r="F77" t="str">
            <v>MAÑANA</v>
          </cell>
          <cell r="G77" t="str">
            <v>SAB Y DOM</v>
          </cell>
          <cell r="H77" t="str">
            <v>GROESMANN, MAYA JUDITH</v>
          </cell>
          <cell r="I77" t="str">
            <v>Romandetto Carlos</v>
          </cell>
          <cell r="J77" t="str">
            <v>x</v>
          </cell>
          <cell r="K77"/>
          <cell r="L77" t="str">
            <v>x</v>
          </cell>
          <cell r="M77" t="str">
            <v>x</v>
          </cell>
          <cell r="N77" t="str">
            <v>x</v>
          </cell>
          <cell r="O77"/>
          <cell r="P77"/>
          <cell r="Q77"/>
          <cell r="R77" t="str">
            <v>x</v>
          </cell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 t="str">
            <v>x</v>
          </cell>
          <cell r="AO77" t="str">
            <v>x</v>
          </cell>
          <cell r="AP77"/>
          <cell r="AQ77">
            <v>44811</v>
          </cell>
          <cell r="AR77">
            <v>756</v>
          </cell>
          <cell r="AS77">
            <v>45443</v>
          </cell>
          <cell r="AT77">
            <v>124</v>
          </cell>
          <cell r="AU77" t="str">
            <v>VMAVILOP</v>
          </cell>
        </row>
        <row r="78">
          <cell r="C78">
            <v>606109</v>
          </cell>
          <cell r="D78" t="str">
            <v>SARAVIA CAROLINA</v>
          </cell>
          <cell r="E78" t="str">
            <v>09:00 - 15:00</v>
          </cell>
          <cell r="F78" t="str">
            <v>MAÑANA</v>
          </cell>
          <cell r="G78" t="str">
            <v>MAR Y DOM</v>
          </cell>
          <cell r="H78" t="str">
            <v>VILLALBA, VICTORIA</v>
          </cell>
          <cell r="I78" t="str">
            <v>Romandetto Carlos</v>
          </cell>
          <cell r="J78" t="str">
            <v>x</v>
          </cell>
          <cell r="K78"/>
          <cell r="L78" t="str">
            <v>x</v>
          </cell>
          <cell r="M78" t="str">
            <v>x</v>
          </cell>
          <cell r="N78" t="str">
            <v>x</v>
          </cell>
          <cell r="O78"/>
          <cell r="P78"/>
          <cell r="Q78"/>
          <cell r="R78" t="str">
            <v>x</v>
          </cell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 t="str">
            <v>x</v>
          </cell>
          <cell r="AO78" t="str">
            <v>x</v>
          </cell>
          <cell r="AP78"/>
          <cell r="AQ78">
            <v>44811</v>
          </cell>
          <cell r="AR78">
            <v>756</v>
          </cell>
          <cell r="AS78">
            <v>45495</v>
          </cell>
          <cell r="AT78">
            <v>72</v>
          </cell>
          <cell r="AU78" t="str">
            <v>VMACASAR</v>
          </cell>
        </row>
        <row r="79">
          <cell r="C79">
            <v>605550</v>
          </cell>
          <cell r="D79" t="str">
            <v>GONZALEZ ALDANA AYELEN</v>
          </cell>
          <cell r="E79" t="str">
            <v>09:00 - 15:00</v>
          </cell>
          <cell r="F79" t="str">
            <v>MAÑANA</v>
          </cell>
          <cell r="G79" t="str">
            <v>JUE Y SAB</v>
          </cell>
          <cell r="H79" t="str">
            <v>ROBLEDO, YESICA DANIELA</v>
          </cell>
          <cell r="I79" t="str">
            <v>Romandetto Carlos</v>
          </cell>
          <cell r="J79" t="str">
            <v>x</v>
          </cell>
          <cell r="K79"/>
          <cell r="L79" t="str">
            <v>x</v>
          </cell>
          <cell r="M79" t="str">
            <v>x</v>
          </cell>
          <cell r="N79" t="str">
            <v>x</v>
          </cell>
          <cell r="O79"/>
          <cell r="P79"/>
          <cell r="Q79"/>
          <cell r="R79" t="str">
            <v>x</v>
          </cell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 t="str">
            <v>x</v>
          </cell>
          <cell r="AK79"/>
          <cell r="AL79"/>
          <cell r="AM79"/>
          <cell r="AN79"/>
          <cell r="AO79"/>
          <cell r="AP79"/>
          <cell r="AQ79">
            <v>44811</v>
          </cell>
          <cell r="AR79">
            <v>756</v>
          </cell>
          <cell r="AS79">
            <v>45509</v>
          </cell>
          <cell r="AT79">
            <v>58</v>
          </cell>
          <cell r="AU79" t="str">
            <v>VMAALGON</v>
          </cell>
        </row>
        <row r="80">
          <cell r="C80">
            <v>606066</v>
          </cell>
          <cell r="D80" t="str">
            <v>PANIAGUA CARLA NOEMI</v>
          </cell>
          <cell r="E80" t="str">
            <v>08:00 - 14:00</v>
          </cell>
          <cell r="F80" t="str">
            <v>MAÑANA</v>
          </cell>
          <cell r="G80" t="str">
            <v>MIE Y DOM</v>
          </cell>
          <cell r="H80" t="str">
            <v>ROBLEDO, YESICA DANIELA</v>
          </cell>
          <cell r="I80" t="str">
            <v>Romandetto Carlos</v>
          </cell>
          <cell r="J80" t="str">
            <v>x</v>
          </cell>
          <cell r="K80"/>
          <cell r="L80" t="str">
            <v>x</v>
          </cell>
          <cell r="M80"/>
          <cell r="N80"/>
          <cell r="O80"/>
          <cell r="P80"/>
          <cell r="Q80" t="str">
            <v>x</v>
          </cell>
          <cell r="R80" t="str">
            <v>x</v>
          </cell>
          <cell r="S80" t="str">
            <v>x</v>
          </cell>
          <cell r="T80" t="str">
            <v>x</v>
          </cell>
          <cell r="U80" t="str">
            <v>x</v>
          </cell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 t="str">
            <v>x</v>
          </cell>
          <cell r="AO80"/>
          <cell r="AP80" t="str">
            <v>x</v>
          </cell>
          <cell r="AQ80">
            <v>44833</v>
          </cell>
          <cell r="AR80">
            <v>734</v>
          </cell>
          <cell r="AS80">
            <v>45279</v>
          </cell>
          <cell r="AT80">
            <v>288</v>
          </cell>
          <cell r="AU80" t="str">
            <v>VMACAPAN</v>
          </cell>
        </row>
        <row r="81">
          <cell r="C81">
            <v>606075</v>
          </cell>
          <cell r="D81" t="str">
            <v>CORPUS BARRIOS CANDELA GIOVANNA</v>
          </cell>
          <cell r="E81" t="str">
            <v>09:00 - 15:00</v>
          </cell>
          <cell r="F81" t="str">
            <v>MAÑANA</v>
          </cell>
          <cell r="G81" t="str">
            <v>JUE Y DOM</v>
          </cell>
          <cell r="H81" t="str">
            <v>GROESMANN, MAYA JUDITH</v>
          </cell>
          <cell r="I81" t="str">
            <v>Romandetto Carlos</v>
          </cell>
          <cell r="J81"/>
          <cell r="K81"/>
          <cell r="L81" t="str">
            <v>x</v>
          </cell>
          <cell r="M81" t="str">
            <v>x</v>
          </cell>
          <cell r="N81" t="str">
            <v>x</v>
          </cell>
          <cell r="O81"/>
          <cell r="P81"/>
          <cell r="Q81"/>
          <cell r="R81" t="str">
            <v>x</v>
          </cell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 t="str">
            <v>x</v>
          </cell>
          <cell r="AO81" t="str">
            <v>x</v>
          </cell>
          <cell r="AP81"/>
          <cell r="AQ81">
            <v>44928</v>
          </cell>
          <cell r="AR81">
            <v>639</v>
          </cell>
          <cell r="AS81">
            <v>44840</v>
          </cell>
          <cell r="AT81">
            <v>727</v>
          </cell>
          <cell r="AU81" t="str">
            <v>VMACACOR</v>
          </cell>
        </row>
        <row r="82">
          <cell r="C82">
            <v>606085</v>
          </cell>
          <cell r="D82" t="str">
            <v>CARDILLO MARIANELLA BIANCA</v>
          </cell>
          <cell r="E82" t="str">
            <v>07:00 - 13:00</v>
          </cell>
          <cell r="F82" t="str">
            <v>MAÑANA</v>
          </cell>
          <cell r="G82" t="str">
            <v>MIE Y SAB</v>
          </cell>
          <cell r="H82" t="str">
            <v>MOYANO, DAIANA SOLEDAD</v>
          </cell>
          <cell r="I82" t="str">
            <v>Romandetto Carlos</v>
          </cell>
          <cell r="J82" t="str">
            <v>x</v>
          </cell>
          <cell r="K82"/>
          <cell r="L82" t="str">
            <v>x</v>
          </cell>
          <cell r="M82"/>
          <cell r="N82"/>
          <cell r="O82"/>
          <cell r="P82"/>
          <cell r="Q82" t="str">
            <v>x</v>
          </cell>
          <cell r="R82" t="str">
            <v>x</v>
          </cell>
          <cell r="S82" t="str">
            <v>x</v>
          </cell>
          <cell r="T82" t="str">
            <v>x</v>
          </cell>
          <cell r="U82" t="str">
            <v>x</v>
          </cell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 t="str">
            <v>x</v>
          </cell>
          <cell r="AO82"/>
          <cell r="AP82" t="str">
            <v>x</v>
          </cell>
          <cell r="AQ82">
            <v>44833</v>
          </cell>
          <cell r="AR82">
            <v>734</v>
          </cell>
          <cell r="AS82">
            <v>45279</v>
          </cell>
          <cell r="AT82">
            <v>288</v>
          </cell>
          <cell r="AU82" t="str">
            <v>VMACAMAR</v>
          </cell>
        </row>
        <row r="83">
          <cell r="C83">
            <v>606123</v>
          </cell>
          <cell r="D83" t="str">
            <v>MENGUEZ LUKA PATRICIO</v>
          </cell>
          <cell r="E83" t="str">
            <v>11:00 - 17:00</v>
          </cell>
          <cell r="F83" t="str">
            <v>MAÑANA</v>
          </cell>
          <cell r="G83" t="str">
            <v>SAB Y DOM</v>
          </cell>
          <cell r="H83" t="str">
            <v>LOUREIRO, FLORENCIA CANDELA</v>
          </cell>
          <cell r="I83" t="str">
            <v>Romandetto Carlos</v>
          </cell>
          <cell r="J83" t="str">
            <v>x</v>
          </cell>
          <cell r="K83"/>
          <cell r="L83" t="str">
            <v>x</v>
          </cell>
          <cell r="M83"/>
          <cell r="N83"/>
          <cell r="O83"/>
          <cell r="P83"/>
          <cell r="Q83" t="str">
            <v>x</v>
          </cell>
          <cell r="R83" t="str">
            <v>x</v>
          </cell>
          <cell r="S83" t="str">
            <v>x</v>
          </cell>
          <cell r="T83" t="str">
            <v>x</v>
          </cell>
          <cell r="U83" t="str">
            <v>x</v>
          </cell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 t="str">
            <v>x</v>
          </cell>
          <cell r="AO83"/>
          <cell r="AP83" t="str">
            <v>x</v>
          </cell>
          <cell r="AQ83">
            <v>44833</v>
          </cell>
          <cell r="AR83">
            <v>734</v>
          </cell>
          <cell r="AS83">
            <v>45279</v>
          </cell>
          <cell r="AT83">
            <v>288</v>
          </cell>
          <cell r="AU83" t="str">
            <v>VMALUMEN</v>
          </cell>
        </row>
        <row r="84">
          <cell r="C84">
            <v>606130</v>
          </cell>
          <cell r="D84" t="str">
            <v>GOLDMAN DAMARIS ELIZABETH</v>
          </cell>
          <cell r="E84" t="str">
            <v>13:00 - 19:00</v>
          </cell>
          <cell r="F84" t="str">
            <v>TARDE</v>
          </cell>
          <cell r="G84" t="str">
            <v>VIE Y DOM</v>
          </cell>
          <cell r="H84" t="str">
            <v>GOMEZ, AYLEN MILAGROS</v>
          </cell>
          <cell r="I84" t="str">
            <v>Romandetto Carlos</v>
          </cell>
          <cell r="J84" t="str">
            <v>x</v>
          </cell>
          <cell r="K84"/>
          <cell r="L84" t="str">
            <v>x</v>
          </cell>
          <cell r="M84" t="str">
            <v>x</v>
          </cell>
          <cell r="N84" t="str">
            <v>x</v>
          </cell>
          <cell r="O84"/>
          <cell r="P84"/>
          <cell r="Q84"/>
          <cell r="R84" t="str">
            <v>x</v>
          </cell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 t="str">
            <v>x</v>
          </cell>
          <cell r="AJ84"/>
          <cell r="AK84"/>
          <cell r="AL84"/>
          <cell r="AM84"/>
          <cell r="AN84"/>
          <cell r="AO84"/>
          <cell r="AP84"/>
          <cell r="AQ84">
            <v>44833</v>
          </cell>
          <cell r="AR84">
            <v>734</v>
          </cell>
          <cell r="AS84">
            <v>45509</v>
          </cell>
          <cell r="AT84">
            <v>58</v>
          </cell>
          <cell r="AU84" t="str">
            <v>VMADAGOL</v>
          </cell>
        </row>
        <row r="85">
          <cell r="C85">
            <v>606135</v>
          </cell>
          <cell r="D85" t="str">
            <v>GONZA DIEGO MAXIMILIANO</v>
          </cell>
          <cell r="E85" t="str">
            <v>14:00 - 20:00</v>
          </cell>
          <cell r="F85" t="str">
            <v>TARDE</v>
          </cell>
          <cell r="G85" t="str">
            <v>LUN Y SAB</v>
          </cell>
          <cell r="H85" t="str">
            <v>ONETTO, MARIA DE LOS MILAGROS</v>
          </cell>
          <cell r="I85" t="str">
            <v>Romandetto Carlos</v>
          </cell>
          <cell r="J85" t="str">
            <v>x</v>
          </cell>
          <cell r="K85"/>
          <cell r="L85" t="str">
            <v>x</v>
          </cell>
          <cell r="M85" t="str">
            <v>x</v>
          </cell>
          <cell r="N85" t="str">
            <v>x</v>
          </cell>
          <cell r="O85"/>
          <cell r="P85"/>
          <cell r="Q85"/>
          <cell r="R85" t="str">
            <v>x</v>
          </cell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 t="str">
            <v>x</v>
          </cell>
          <cell r="AO85" t="str">
            <v>x</v>
          </cell>
          <cell r="AP85"/>
          <cell r="AQ85">
            <v>44833</v>
          </cell>
          <cell r="AR85">
            <v>734</v>
          </cell>
          <cell r="AS85">
            <v>45443</v>
          </cell>
          <cell r="AT85">
            <v>124</v>
          </cell>
          <cell r="AU85" t="str">
            <v>VMADIGON</v>
          </cell>
        </row>
        <row r="86">
          <cell r="C86">
            <v>605591</v>
          </cell>
          <cell r="D86" t="str">
            <v>BERTUCCI AGOSTINA</v>
          </cell>
          <cell r="E86" t="str">
            <v>10:00 - 16:00</v>
          </cell>
          <cell r="F86" t="str">
            <v>MAÑANA</v>
          </cell>
          <cell r="G86" t="str">
            <v>SAB Y DOM</v>
          </cell>
          <cell r="H86" t="str">
            <v>ROBLEDO, YESICA DANIELA</v>
          </cell>
          <cell r="I86" t="str">
            <v>Romandetto Carlos</v>
          </cell>
          <cell r="J86" t="str">
            <v>x</v>
          </cell>
          <cell r="K86"/>
          <cell r="L86" t="str">
            <v>x</v>
          </cell>
          <cell r="M86" t="str">
            <v>x</v>
          </cell>
          <cell r="N86" t="str">
            <v>x</v>
          </cell>
          <cell r="O86"/>
          <cell r="P86"/>
          <cell r="Q86"/>
          <cell r="R86" t="str">
            <v>x</v>
          </cell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 t="str">
            <v>x</v>
          </cell>
          <cell r="AO86" t="str">
            <v>x</v>
          </cell>
          <cell r="AP86"/>
          <cell r="AQ86">
            <v>44861</v>
          </cell>
          <cell r="AR86">
            <v>706</v>
          </cell>
          <cell r="AS86">
            <v>45471</v>
          </cell>
          <cell r="AT86">
            <v>96</v>
          </cell>
          <cell r="AU86" t="str">
            <v>vmaagber</v>
          </cell>
        </row>
        <row r="87">
          <cell r="C87">
            <v>606076</v>
          </cell>
          <cell r="D87" t="str">
            <v>MARTINEZ DIANA ELIZABETH</v>
          </cell>
          <cell r="E87" t="str">
            <v>09:00 - 15:00</v>
          </cell>
          <cell r="F87" t="str">
            <v>MAÑANA</v>
          </cell>
          <cell r="G87" t="str">
            <v>SAB Y DOM</v>
          </cell>
          <cell r="H87" t="str">
            <v>VEGA, BRIAN NICOLAS</v>
          </cell>
          <cell r="I87" t="str">
            <v>Leandro Muñoz</v>
          </cell>
          <cell r="J87"/>
          <cell r="K87"/>
          <cell r="L87" t="str">
            <v>x</v>
          </cell>
          <cell r="M87" t="str">
            <v>x</v>
          </cell>
          <cell r="N87" t="str">
            <v>x</v>
          </cell>
          <cell r="O87"/>
          <cell r="P87"/>
          <cell r="Q87" t="str">
            <v>x</v>
          </cell>
          <cell r="R87" t="str">
            <v>x</v>
          </cell>
          <cell r="S87" t="str">
            <v>x</v>
          </cell>
          <cell r="T87" t="str">
            <v>x</v>
          </cell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 t="str">
            <v>x</v>
          </cell>
          <cell r="AN87" t="str">
            <v>x</v>
          </cell>
          <cell r="AO87"/>
          <cell r="AP87" t="str">
            <v>x</v>
          </cell>
          <cell r="AQ87">
            <v>44833</v>
          </cell>
          <cell r="AR87">
            <v>734</v>
          </cell>
          <cell r="AS87">
            <v>45322</v>
          </cell>
          <cell r="AT87">
            <v>245</v>
          </cell>
          <cell r="AU87" t="str">
            <v>VMADIAMA</v>
          </cell>
        </row>
        <row r="88">
          <cell r="C88">
            <v>605597</v>
          </cell>
          <cell r="D88" t="str">
            <v>LOPEZ FRANCO NICOLAS</v>
          </cell>
          <cell r="E88" t="str">
            <v>14:00 - 20:00</v>
          </cell>
          <cell r="F88" t="str">
            <v>TARDE</v>
          </cell>
          <cell r="G88" t="str">
            <v>VIE Y SAB</v>
          </cell>
          <cell r="H88" t="str">
            <v>GOMEZ, AYLEN MILAGROS</v>
          </cell>
          <cell r="I88" t="str">
            <v>Romandetto Carlos</v>
          </cell>
          <cell r="J88" t="str">
            <v>x</v>
          </cell>
          <cell r="K88"/>
          <cell r="L88" t="str">
            <v>x</v>
          </cell>
          <cell r="M88" t="str">
            <v>x</v>
          </cell>
          <cell r="N88" t="str">
            <v>x</v>
          </cell>
          <cell r="O88"/>
          <cell r="P88"/>
          <cell r="Q88"/>
          <cell r="R88" t="str">
            <v>x</v>
          </cell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 t="str">
            <v>x</v>
          </cell>
          <cell r="AO88" t="str">
            <v>x</v>
          </cell>
          <cell r="AP88"/>
          <cell r="AQ88">
            <v>44861</v>
          </cell>
          <cell r="AR88">
            <v>706</v>
          </cell>
          <cell r="AS88">
            <v>45443</v>
          </cell>
          <cell r="AT88">
            <v>124</v>
          </cell>
          <cell r="AU88" t="str">
            <v>vmafrlop</v>
          </cell>
        </row>
        <row r="89">
          <cell r="C89">
            <v>606088</v>
          </cell>
          <cell r="D89" t="str">
            <v>PEDRAZA PATRICIO ELIAS</v>
          </cell>
          <cell r="E89" t="str">
            <v>15:00 - 21:00</v>
          </cell>
          <cell r="F89" t="str">
            <v>TARDE</v>
          </cell>
          <cell r="G89" t="str">
            <v>SAB Y DOM</v>
          </cell>
          <cell r="H89" t="str">
            <v>ONETTO, MARIA DE LOS MILAGROS</v>
          </cell>
          <cell r="I89" t="str">
            <v>Romandetto Carlos</v>
          </cell>
          <cell r="J89" t="str">
            <v>x</v>
          </cell>
          <cell r="K89"/>
          <cell r="L89" t="str">
            <v>x</v>
          </cell>
          <cell r="M89" t="str">
            <v>x</v>
          </cell>
          <cell r="N89" t="str">
            <v>x</v>
          </cell>
          <cell r="O89"/>
          <cell r="P89"/>
          <cell r="Q89"/>
          <cell r="R89" t="str">
            <v>x</v>
          </cell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 t="str">
            <v>x</v>
          </cell>
          <cell r="AO89" t="str">
            <v>x</v>
          </cell>
          <cell r="AP89"/>
          <cell r="AQ89">
            <v>44861</v>
          </cell>
          <cell r="AR89">
            <v>706</v>
          </cell>
          <cell r="AS89">
            <v>45443</v>
          </cell>
          <cell r="AT89">
            <v>124</v>
          </cell>
          <cell r="AU89" t="str">
            <v>VMAPAPED</v>
          </cell>
        </row>
        <row r="90">
          <cell r="C90">
            <v>606140</v>
          </cell>
          <cell r="D90" t="str">
            <v>LANCHI NOELIA</v>
          </cell>
          <cell r="E90" t="str">
            <v>16:00 - 22:00</v>
          </cell>
          <cell r="F90" t="str">
            <v>TARDE</v>
          </cell>
          <cell r="G90" t="str">
            <v>SAB Y DOM</v>
          </cell>
          <cell r="H90" t="str">
            <v>PELOC, MARIA SOLEDAD</v>
          </cell>
          <cell r="I90" t="str">
            <v>Romandetto Carlos</v>
          </cell>
          <cell r="J90"/>
          <cell r="K90"/>
          <cell r="L90" t="str">
            <v>x</v>
          </cell>
          <cell r="M90" t="str">
            <v>x</v>
          </cell>
          <cell r="N90" t="str">
            <v>x</v>
          </cell>
          <cell r="O90"/>
          <cell r="P90"/>
          <cell r="Q90"/>
          <cell r="R90" t="str">
            <v>x</v>
          </cell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>
            <v>44869</v>
          </cell>
          <cell r="AR90">
            <v>698</v>
          </cell>
          <cell r="AS90">
            <v>45565</v>
          </cell>
          <cell r="AT90">
            <v>2</v>
          </cell>
          <cell r="AU90" t="str">
            <v>VMANOLAN</v>
          </cell>
        </row>
        <row r="91">
          <cell r="C91">
            <v>606137</v>
          </cell>
          <cell r="D91" t="str">
            <v>ROJAS RICARDO ARIEL</v>
          </cell>
          <cell r="E91" t="str">
            <v>15:00 - 21:00</v>
          </cell>
          <cell r="F91" t="str">
            <v>TARDE</v>
          </cell>
          <cell r="G91" t="str">
            <v>SAB Y DOM</v>
          </cell>
          <cell r="H91" t="str">
            <v>ONETTO, MARIA DE LOS MILAGROS</v>
          </cell>
          <cell r="I91" t="str">
            <v>Romandetto Carlos</v>
          </cell>
          <cell r="J91" t="str">
            <v>x</v>
          </cell>
          <cell r="K91"/>
          <cell r="L91" t="str">
            <v>x</v>
          </cell>
          <cell r="M91" t="str">
            <v>x</v>
          </cell>
          <cell r="N91" t="str">
            <v>x</v>
          </cell>
          <cell r="O91"/>
          <cell r="P91"/>
          <cell r="Q91"/>
          <cell r="R91" t="str">
            <v>x</v>
          </cell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 t="str">
            <v>x</v>
          </cell>
          <cell r="AO91" t="str">
            <v>x</v>
          </cell>
          <cell r="AP91"/>
          <cell r="AQ91">
            <v>44869</v>
          </cell>
          <cell r="AR91">
            <v>698</v>
          </cell>
          <cell r="AS91">
            <v>45443</v>
          </cell>
          <cell r="AT91">
            <v>124</v>
          </cell>
          <cell r="AU91" t="str">
            <v>VMARIROJ</v>
          </cell>
        </row>
        <row r="92">
          <cell r="C92">
            <v>606064</v>
          </cell>
          <cell r="D92" t="str">
            <v>JARA KAREN</v>
          </cell>
          <cell r="E92" t="str">
            <v>09:00 - 15:00</v>
          </cell>
          <cell r="F92" t="str">
            <v>MAÑANA</v>
          </cell>
          <cell r="G92" t="str">
            <v>SAB Y DOM</v>
          </cell>
          <cell r="H92" t="str">
            <v>SORIA, ANA PAULA</v>
          </cell>
          <cell r="I92" t="str">
            <v>Romandetto Carlos</v>
          </cell>
          <cell r="J92"/>
          <cell r="K92"/>
          <cell r="L92" t="str">
            <v>x</v>
          </cell>
          <cell r="M92" t="str">
            <v>x</v>
          </cell>
          <cell r="N92" t="str">
            <v>x</v>
          </cell>
          <cell r="O92"/>
          <cell r="P92"/>
          <cell r="Q92"/>
          <cell r="R92" t="str">
            <v>x</v>
          </cell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 t="str">
            <v>x</v>
          </cell>
          <cell r="AO92" t="str">
            <v>x</v>
          </cell>
          <cell r="AP92"/>
          <cell r="AQ92">
            <v>44894</v>
          </cell>
          <cell r="AR92">
            <v>673</v>
          </cell>
          <cell r="AS92">
            <v>45113</v>
          </cell>
          <cell r="AT92">
            <v>454</v>
          </cell>
          <cell r="AU92" t="str">
            <v>VMAKAJAR</v>
          </cell>
        </row>
        <row r="93">
          <cell r="C93">
            <v>606063</v>
          </cell>
          <cell r="D93" t="str">
            <v>DOMINGUEZ LAUTARO IVAN</v>
          </cell>
          <cell r="E93" t="str">
            <v>15:00 - 21:00</v>
          </cell>
          <cell r="F93" t="str">
            <v>TARDE</v>
          </cell>
          <cell r="G93" t="str">
            <v>SAB Y DOM</v>
          </cell>
          <cell r="H93" t="str">
            <v>PELOC, MARIA SOLEDAD</v>
          </cell>
          <cell r="I93" t="str">
            <v>Romandetto Carlos</v>
          </cell>
          <cell r="J93" t="str">
            <v>x</v>
          </cell>
          <cell r="K93"/>
          <cell r="L93" t="str">
            <v>x</v>
          </cell>
          <cell r="M93" t="str">
            <v>x</v>
          </cell>
          <cell r="N93" t="str">
            <v>x</v>
          </cell>
          <cell r="O93"/>
          <cell r="P93"/>
          <cell r="Q93"/>
          <cell r="R93" t="str">
            <v>x</v>
          </cell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 t="str">
            <v>x</v>
          </cell>
          <cell r="AO93" t="str">
            <v>x</v>
          </cell>
          <cell r="AP93"/>
          <cell r="AQ93">
            <v>44861</v>
          </cell>
          <cell r="AR93">
            <v>706</v>
          </cell>
          <cell r="AS93">
            <v>45443</v>
          </cell>
          <cell r="AT93">
            <v>124</v>
          </cell>
          <cell r="AU93" t="str">
            <v>VMALADOM</v>
          </cell>
        </row>
        <row r="94">
          <cell r="C94">
            <v>605691</v>
          </cell>
          <cell r="D94" t="str">
            <v>MOLINA THALIA</v>
          </cell>
          <cell r="E94" t="str">
            <v>18:00 - 00:00</v>
          </cell>
          <cell r="F94" t="str">
            <v>NOCHE</v>
          </cell>
          <cell r="G94" t="str">
            <v>SAB Y DOM</v>
          </cell>
          <cell r="H94" t="str">
            <v>PELOC, MARIA SOLEDAD</v>
          </cell>
          <cell r="I94" t="str">
            <v>Romandetto Carlos</v>
          </cell>
          <cell r="J94" t="str">
            <v>x</v>
          </cell>
          <cell r="K94"/>
          <cell r="L94" t="str">
            <v>x</v>
          </cell>
          <cell r="M94" t="str">
            <v>x</v>
          </cell>
          <cell r="N94" t="str">
            <v>x</v>
          </cell>
          <cell r="O94"/>
          <cell r="P94"/>
          <cell r="Q94"/>
          <cell r="R94" t="str">
            <v>x</v>
          </cell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 t="str">
            <v>x</v>
          </cell>
          <cell r="AO94" t="str">
            <v>x</v>
          </cell>
          <cell r="AP94"/>
          <cell r="AQ94">
            <v>44894</v>
          </cell>
          <cell r="AR94">
            <v>673</v>
          </cell>
          <cell r="AS94">
            <v>45471</v>
          </cell>
          <cell r="AT94">
            <v>96</v>
          </cell>
          <cell r="AU94" t="str">
            <v>VMATHMOL</v>
          </cell>
        </row>
        <row r="95">
          <cell r="C95">
            <v>605696</v>
          </cell>
          <cell r="D95" t="str">
            <v>MARTINEZ IGNACIO</v>
          </cell>
          <cell r="E95" t="str">
            <v>09:00 - 15:00</v>
          </cell>
          <cell r="F95" t="str">
            <v>MAÑANA</v>
          </cell>
          <cell r="G95" t="str">
            <v>MIE Y SAB</v>
          </cell>
          <cell r="H95" t="str">
            <v>VILLALBA, VICTORIA</v>
          </cell>
          <cell r="I95" t="str">
            <v>Romandetto Carlos</v>
          </cell>
          <cell r="J95"/>
          <cell r="K95"/>
          <cell r="L95" t="str">
            <v>x</v>
          </cell>
          <cell r="M95"/>
          <cell r="N95"/>
          <cell r="O95"/>
          <cell r="P95"/>
          <cell r="Q95" t="str">
            <v>x</v>
          </cell>
          <cell r="R95" t="str">
            <v>x</v>
          </cell>
          <cell r="S95" t="str">
            <v>x</v>
          </cell>
          <cell r="T95" t="str">
            <v>x</v>
          </cell>
          <cell r="U95" t="str">
            <v>x</v>
          </cell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 t="str">
            <v>x</v>
          </cell>
          <cell r="AO95"/>
          <cell r="AP95" t="str">
            <v>x</v>
          </cell>
          <cell r="AQ95">
            <v>44894</v>
          </cell>
          <cell r="AR95">
            <v>673</v>
          </cell>
          <cell r="AS95">
            <v>45279</v>
          </cell>
          <cell r="AT95">
            <v>288</v>
          </cell>
          <cell r="AU95" t="str">
            <v>VMAIGMAR</v>
          </cell>
        </row>
        <row r="96">
          <cell r="C96">
            <v>605698</v>
          </cell>
          <cell r="D96" t="str">
            <v>SOLIS MELINA ALEJANDRA</v>
          </cell>
          <cell r="E96" t="str">
            <v>16:00 - 22:00</v>
          </cell>
          <cell r="F96" t="str">
            <v>TARDE</v>
          </cell>
          <cell r="G96" t="str">
            <v>SAB Y DOM</v>
          </cell>
          <cell r="H96" t="str">
            <v>PELOC, MARIA SOLEDAD</v>
          </cell>
          <cell r="I96" t="str">
            <v>Romandetto Carlos</v>
          </cell>
          <cell r="J96" t="str">
            <v>x</v>
          </cell>
          <cell r="K96"/>
          <cell r="L96" t="str">
            <v>x</v>
          </cell>
          <cell r="M96" t="str">
            <v>x</v>
          </cell>
          <cell r="N96" t="str">
            <v>x</v>
          </cell>
          <cell r="O96"/>
          <cell r="P96"/>
          <cell r="Q96"/>
          <cell r="R96" t="str">
            <v>x</v>
          </cell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 t="str">
            <v>x</v>
          </cell>
          <cell r="AO96" t="str">
            <v>x</v>
          </cell>
          <cell r="AP96"/>
          <cell r="AQ96">
            <v>44894</v>
          </cell>
          <cell r="AR96">
            <v>673</v>
          </cell>
          <cell r="AS96">
            <v>45471</v>
          </cell>
          <cell r="AT96">
            <v>96</v>
          </cell>
          <cell r="AU96" t="str">
            <v>VMAMELSO</v>
          </cell>
        </row>
        <row r="97">
          <cell r="C97">
            <v>605546</v>
          </cell>
          <cell r="D97" t="str">
            <v>ABALO MATIAS</v>
          </cell>
          <cell r="E97" t="str">
            <v>09:00 - 15:00</v>
          </cell>
          <cell r="F97" t="str">
            <v>MAÑANA</v>
          </cell>
          <cell r="G97" t="str">
            <v>SAB Y DOM</v>
          </cell>
          <cell r="H97" t="str">
            <v>SORIA, ANA PAULA</v>
          </cell>
          <cell r="I97" t="str">
            <v>Romandetto Carlos</v>
          </cell>
          <cell r="J97"/>
          <cell r="K97"/>
          <cell r="L97" t="str">
            <v>x</v>
          </cell>
          <cell r="M97" t="str">
            <v>x</v>
          </cell>
          <cell r="N97" t="str">
            <v>x</v>
          </cell>
          <cell r="O97"/>
          <cell r="P97"/>
          <cell r="Q97" t="str">
            <v>x</v>
          </cell>
          <cell r="R97" t="str">
            <v>x</v>
          </cell>
          <cell r="S97" t="str">
            <v>x</v>
          </cell>
          <cell r="T97" t="str">
            <v>x</v>
          </cell>
          <cell r="U97" t="str">
            <v>x</v>
          </cell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 t="str">
            <v>x</v>
          </cell>
          <cell r="AO97"/>
          <cell r="AP97" t="str">
            <v>x</v>
          </cell>
          <cell r="AQ97">
            <v>44894</v>
          </cell>
          <cell r="AR97">
            <v>673</v>
          </cell>
          <cell r="AS97">
            <v>45210</v>
          </cell>
          <cell r="AT97">
            <v>357</v>
          </cell>
          <cell r="AU97" t="str">
            <v>VMAMAABA</v>
          </cell>
        </row>
        <row r="98">
          <cell r="C98">
            <v>605545</v>
          </cell>
          <cell r="D98" t="str">
            <v>VALENZUELA MELINA GISELLE</v>
          </cell>
          <cell r="E98" t="str">
            <v>15:00 - 21:00</v>
          </cell>
          <cell r="F98" t="str">
            <v>TARDE</v>
          </cell>
          <cell r="G98" t="str">
            <v>SAB Y DOM</v>
          </cell>
          <cell r="H98" t="str">
            <v>GOMEZ, SASHA</v>
          </cell>
          <cell r="I98" t="str">
            <v>Romandetto Carlos</v>
          </cell>
          <cell r="J98"/>
          <cell r="K98"/>
          <cell r="L98" t="str">
            <v>x</v>
          </cell>
          <cell r="M98" t="str">
            <v>x</v>
          </cell>
          <cell r="N98" t="str">
            <v>x</v>
          </cell>
          <cell r="O98"/>
          <cell r="P98"/>
          <cell r="Q98" t="str">
            <v>x</v>
          </cell>
          <cell r="R98" t="str">
            <v>x</v>
          </cell>
          <cell r="S98" t="str">
            <v>x</v>
          </cell>
          <cell r="T98" t="str">
            <v>x</v>
          </cell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 t="str">
            <v>x</v>
          </cell>
          <cell r="AO98"/>
          <cell r="AP98" t="str">
            <v>x</v>
          </cell>
          <cell r="AQ98">
            <v>44894</v>
          </cell>
          <cell r="AR98">
            <v>673</v>
          </cell>
          <cell r="AS98">
            <v>45322</v>
          </cell>
          <cell r="AT98">
            <v>245</v>
          </cell>
          <cell r="AU98" t="str">
            <v>VMAMEVAL</v>
          </cell>
        </row>
        <row r="99">
          <cell r="C99">
            <v>605702</v>
          </cell>
          <cell r="D99" t="str">
            <v>GUTIERREZ YAEL</v>
          </cell>
          <cell r="E99" t="str">
            <v>15:00 - 21:00</v>
          </cell>
          <cell r="F99" t="str">
            <v>TARDE</v>
          </cell>
          <cell r="G99" t="str">
            <v>SAB Y DOM</v>
          </cell>
          <cell r="H99" t="str">
            <v>GOMEZ, AYLEN MILAGROS</v>
          </cell>
          <cell r="I99" t="str">
            <v>Romandetto Carlos</v>
          </cell>
          <cell r="J99"/>
          <cell r="K99"/>
          <cell r="L99" t="str">
            <v>x</v>
          </cell>
          <cell r="M99" t="str">
            <v>x</v>
          </cell>
          <cell r="N99" t="str">
            <v>x</v>
          </cell>
          <cell r="O99"/>
          <cell r="P99"/>
          <cell r="Q99"/>
          <cell r="R99" t="str">
            <v>x</v>
          </cell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 t="str">
            <v>x</v>
          </cell>
          <cell r="AO99" t="str">
            <v>x</v>
          </cell>
          <cell r="AP99"/>
          <cell r="AQ99">
            <v>44928</v>
          </cell>
          <cell r="AR99">
            <v>639</v>
          </cell>
          <cell r="AS99">
            <v>45113</v>
          </cell>
          <cell r="AT99">
            <v>454</v>
          </cell>
          <cell r="AU99" t="str">
            <v>VMAYAGUT</v>
          </cell>
        </row>
        <row r="100">
          <cell r="C100">
            <v>606186</v>
          </cell>
          <cell r="D100" t="str">
            <v>CORONEL GIULIANA MILAGROS</v>
          </cell>
          <cell r="E100" t="str">
            <v>09:00 - 15:00</v>
          </cell>
          <cell r="F100" t="str">
            <v>MAÑANA</v>
          </cell>
          <cell r="G100" t="str">
            <v>SAB Y DOM</v>
          </cell>
          <cell r="H100" t="str">
            <v>GROESMANN, MAYA JUDITH</v>
          </cell>
          <cell r="I100" t="str">
            <v>Romandetto Carlos</v>
          </cell>
          <cell r="J100" t="str">
            <v>x</v>
          </cell>
          <cell r="K100"/>
          <cell r="L100" t="str">
            <v>x</v>
          </cell>
          <cell r="M100" t="str">
            <v>x</v>
          </cell>
          <cell r="N100" t="str">
            <v>x</v>
          </cell>
          <cell r="O100"/>
          <cell r="P100"/>
          <cell r="Q100"/>
          <cell r="R100" t="str">
            <v>x</v>
          </cell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 t="str">
            <v>x</v>
          </cell>
          <cell r="AK100"/>
          <cell r="AL100"/>
          <cell r="AM100"/>
          <cell r="AN100"/>
          <cell r="AO100"/>
          <cell r="AP100"/>
          <cell r="AQ100">
            <v>44928</v>
          </cell>
          <cell r="AR100">
            <v>639</v>
          </cell>
          <cell r="AS100">
            <v>45509</v>
          </cell>
          <cell r="AT100">
            <v>58</v>
          </cell>
          <cell r="AU100" t="str">
            <v>VMAGICOR</v>
          </cell>
        </row>
        <row r="101">
          <cell r="C101">
            <v>606115</v>
          </cell>
          <cell r="D101" t="str">
            <v>DELIA NAHOMI AURELIANO</v>
          </cell>
          <cell r="E101" t="str">
            <v>12:00 - 18:00</v>
          </cell>
          <cell r="F101" t="str">
            <v>TARDE</v>
          </cell>
          <cell r="G101" t="str">
            <v>MIE Y DOM</v>
          </cell>
          <cell r="H101" t="str">
            <v>GROESMANN, MAYA JUDITH</v>
          </cell>
          <cell r="I101" t="str">
            <v>Romandetto Carlos</v>
          </cell>
          <cell r="J101"/>
          <cell r="K101"/>
          <cell r="L101" t="str">
            <v>x</v>
          </cell>
          <cell r="M101" t="str">
            <v>x</v>
          </cell>
          <cell r="N101" t="str">
            <v>x</v>
          </cell>
          <cell r="O101"/>
          <cell r="P101"/>
          <cell r="Q101"/>
          <cell r="R101" t="str">
            <v>x</v>
          </cell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 t="str">
            <v>x</v>
          </cell>
          <cell r="AO101" t="str">
            <v>x</v>
          </cell>
          <cell r="AP101"/>
          <cell r="AQ101">
            <v>44928</v>
          </cell>
          <cell r="AR101">
            <v>639</v>
          </cell>
          <cell r="AS101">
            <v>45113</v>
          </cell>
          <cell r="AT101">
            <v>454</v>
          </cell>
          <cell r="AU101" t="str">
            <v>VMADEAUR</v>
          </cell>
        </row>
        <row r="102">
          <cell r="C102">
            <v>605827</v>
          </cell>
          <cell r="D102" t="str">
            <v>QUINTEROS LUCIANA MARIBEL</v>
          </cell>
          <cell r="E102" t="str">
            <v>15:00 - 21:00</v>
          </cell>
          <cell r="F102" t="str">
            <v>TARDE</v>
          </cell>
          <cell r="G102" t="str">
            <v>LUN Y DOM</v>
          </cell>
          <cell r="H102" t="str">
            <v>ONETTO, MARIA DE LOS MILAGROS</v>
          </cell>
          <cell r="I102" t="str">
            <v>Romandetto Carlos</v>
          </cell>
          <cell r="J102" t="str">
            <v>x</v>
          </cell>
          <cell r="K102"/>
          <cell r="L102" t="str">
            <v>x</v>
          </cell>
          <cell r="M102" t="str">
            <v>x</v>
          </cell>
          <cell r="N102" t="str">
            <v>x</v>
          </cell>
          <cell r="O102"/>
          <cell r="P102"/>
          <cell r="Q102"/>
          <cell r="R102" t="str">
            <v>x</v>
          </cell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 t="str">
            <v>x</v>
          </cell>
          <cell r="AO102" t="str">
            <v>x</v>
          </cell>
          <cell r="AP102"/>
          <cell r="AQ102">
            <v>44928</v>
          </cell>
          <cell r="AR102">
            <v>639</v>
          </cell>
          <cell r="AS102">
            <v>45443</v>
          </cell>
          <cell r="AT102">
            <v>124</v>
          </cell>
          <cell r="AU102" t="str">
            <v>VMALUCQU</v>
          </cell>
        </row>
        <row r="103">
          <cell r="C103">
            <v>605958</v>
          </cell>
          <cell r="D103" t="str">
            <v>CEPELOVICH EVELYN MARIEL</v>
          </cell>
          <cell r="E103" t="str">
            <v>09:00 - 15:00</v>
          </cell>
          <cell r="F103" t="str">
            <v>MAÑANA</v>
          </cell>
          <cell r="G103" t="str">
            <v>SAB Y DOM</v>
          </cell>
          <cell r="H103" t="str">
            <v>RUIZ, TOMAS EMANUEL</v>
          </cell>
          <cell r="I103" t="str">
            <v>Romandetto Carlos</v>
          </cell>
          <cell r="J103" t="str">
            <v>x</v>
          </cell>
          <cell r="K103"/>
          <cell r="L103" t="str">
            <v>x</v>
          </cell>
          <cell r="M103" t="str">
            <v>x</v>
          </cell>
          <cell r="N103" t="str">
            <v>x</v>
          </cell>
          <cell r="O103"/>
          <cell r="P103"/>
          <cell r="Q103"/>
          <cell r="R103" t="str">
            <v>x</v>
          </cell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 t="str">
            <v>x</v>
          </cell>
          <cell r="AO103" t="str">
            <v>x</v>
          </cell>
          <cell r="AP103"/>
          <cell r="AQ103">
            <v>44928</v>
          </cell>
          <cell r="AR103">
            <v>639</v>
          </cell>
          <cell r="AS103">
            <v>45471</v>
          </cell>
          <cell r="AT103">
            <v>96</v>
          </cell>
          <cell r="AU103" t="str">
            <v>VMAMACEP</v>
          </cell>
        </row>
        <row r="104">
          <cell r="C104">
            <v>606026</v>
          </cell>
          <cell r="D104" t="str">
            <v>OLIVARES MIRIAM DANIELA</v>
          </cell>
          <cell r="E104" t="str">
            <v>15:00 - 21:00</v>
          </cell>
          <cell r="F104" t="str">
            <v>TARDE</v>
          </cell>
          <cell r="G104" t="str">
            <v>MAR Y DOM</v>
          </cell>
          <cell r="H104" t="str">
            <v>GOMEZ, SASHA</v>
          </cell>
          <cell r="I104" t="str">
            <v>Romandetto Carlos</v>
          </cell>
          <cell r="J104"/>
          <cell r="K104"/>
          <cell r="L104" t="str">
            <v>x</v>
          </cell>
          <cell r="M104"/>
          <cell r="N104"/>
          <cell r="O104"/>
          <cell r="P104"/>
          <cell r="Q104" t="str">
            <v>x</v>
          </cell>
          <cell r="R104" t="str">
            <v>x</v>
          </cell>
          <cell r="S104" t="str">
            <v>x</v>
          </cell>
          <cell r="T104" t="str">
            <v>x</v>
          </cell>
          <cell r="U104" t="str">
            <v>x</v>
          </cell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 t="str">
            <v>x</v>
          </cell>
          <cell r="AO104"/>
          <cell r="AP104" t="str">
            <v>x</v>
          </cell>
          <cell r="AQ104">
            <v>44928</v>
          </cell>
          <cell r="AR104">
            <v>639</v>
          </cell>
          <cell r="AS104">
            <v>45279</v>
          </cell>
          <cell r="AT104">
            <v>288</v>
          </cell>
          <cell r="AU104" t="str">
            <v>VMAMIOLI</v>
          </cell>
        </row>
        <row r="105">
          <cell r="C105">
            <v>606104</v>
          </cell>
          <cell r="D105" t="str">
            <v>BENITEZ MICAELA AGUSTINA</v>
          </cell>
          <cell r="E105" t="str">
            <v>11:00 - 17:00</v>
          </cell>
          <cell r="F105" t="str">
            <v>MAÑANA</v>
          </cell>
          <cell r="G105" t="str">
            <v>MIE Y SAB</v>
          </cell>
          <cell r="H105" t="str">
            <v>GOMEZ, AYLEN MILAGROS</v>
          </cell>
          <cell r="I105" t="str">
            <v>Romandetto Carlos</v>
          </cell>
          <cell r="J105" t="str">
            <v>x</v>
          </cell>
          <cell r="K105"/>
          <cell r="L105" t="str">
            <v>x</v>
          </cell>
          <cell r="M105" t="str">
            <v>x</v>
          </cell>
          <cell r="N105" t="str">
            <v>x</v>
          </cell>
          <cell r="O105"/>
          <cell r="P105"/>
          <cell r="Q105"/>
          <cell r="R105" t="str">
            <v>x</v>
          </cell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 t="str">
            <v>x</v>
          </cell>
          <cell r="AK105"/>
          <cell r="AL105"/>
          <cell r="AM105"/>
          <cell r="AN105"/>
          <cell r="AO105"/>
          <cell r="AP105"/>
          <cell r="AQ105">
            <v>44928</v>
          </cell>
          <cell r="AR105">
            <v>639</v>
          </cell>
          <cell r="AS105">
            <v>45509</v>
          </cell>
          <cell r="AT105">
            <v>58</v>
          </cell>
          <cell r="AU105" t="str">
            <v>VMAMIBEN</v>
          </cell>
        </row>
        <row r="106">
          <cell r="C106">
            <v>606163</v>
          </cell>
          <cell r="D106" t="str">
            <v>FRANCO MICAELA AYLEN</v>
          </cell>
          <cell r="E106" t="str">
            <v>15:00 - 21:00</v>
          </cell>
          <cell r="F106" t="str">
            <v>TARDE</v>
          </cell>
          <cell r="G106" t="str">
            <v>VIE Y SAB</v>
          </cell>
          <cell r="H106" t="str">
            <v>ONETTO, MARIA DE LOS MILAGROS</v>
          </cell>
          <cell r="I106" t="str">
            <v>Romandetto Carlos</v>
          </cell>
          <cell r="J106"/>
          <cell r="K106"/>
          <cell r="L106" t="str">
            <v>x</v>
          </cell>
          <cell r="M106" t="str">
            <v>x</v>
          </cell>
          <cell r="N106" t="str">
            <v>x</v>
          </cell>
          <cell r="O106"/>
          <cell r="P106"/>
          <cell r="Q106" t="str">
            <v>x</v>
          </cell>
          <cell r="R106" t="str">
            <v>x</v>
          </cell>
          <cell r="S106" t="str">
            <v>x</v>
          </cell>
          <cell r="T106" t="str">
            <v>x</v>
          </cell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 t="str">
            <v>x</v>
          </cell>
          <cell r="AO106"/>
          <cell r="AP106" t="str">
            <v>x</v>
          </cell>
          <cell r="AQ106">
            <v>44928</v>
          </cell>
          <cell r="AR106">
            <v>639</v>
          </cell>
          <cell r="AS106">
            <v>45478</v>
          </cell>
          <cell r="AT106">
            <v>89</v>
          </cell>
          <cell r="AU106" t="str">
            <v>VMAMIFRA</v>
          </cell>
        </row>
        <row r="107">
          <cell r="C107">
            <v>606116</v>
          </cell>
          <cell r="D107" t="str">
            <v>TORRENTE GABRIEL NICOLAS</v>
          </cell>
          <cell r="E107" t="str">
            <v>15:00 - 21:00</v>
          </cell>
          <cell r="F107" t="str">
            <v>TARDE</v>
          </cell>
          <cell r="G107" t="str">
            <v>SAB Y DOM</v>
          </cell>
          <cell r="H107" t="str">
            <v>ROJAS, LUCAS</v>
          </cell>
          <cell r="I107" t="str">
            <v>Romandetto Carlos</v>
          </cell>
          <cell r="J107" t="str">
            <v>x</v>
          </cell>
          <cell r="K107"/>
          <cell r="L107" t="str">
            <v>x</v>
          </cell>
          <cell r="M107" t="str">
            <v>x</v>
          </cell>
          <cell r="N107" t="str">
            <v>x</v>
          </cell>
          <cell r="O107"/>
          <cell r="P107"/>
          <cell r="Q107" t="str">
            <v>x</v>
          </cell>
          <cell r="R107" t="str">
            <v>x</v>
          </cell>
          <cell r="S107" t="str">
            <v>x</v>
          </cell>
          <cell r="T107" t="str">
            <v>x</v>
          </cell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  <cell r="AH107"/>
          <cell r="AI107"/>
          <cell r="AJ107"/>
          <cell r="AK107"/>
          <cell r="AL107"/>
          <cell r="AM107"/>
          <cell r="AN107" t="str">
            <v>x</v>
          </cell>
          <cell r="AO107" t="str">
            <v>x</v>
          </cell>
          <cell r="AP107"/>
          <cell r="AQ107">
            <v>44928</v>
          </cell>
          <cell r="AR107">
            <v>639</v>
          </cell>
          <cell r="AS107">
            <v>45562</v>
          </cell>
          <cell r="AT107">
            <v>5</v>
          </cell>
          <cell r="AU107" t="str">
            <v>VMAGATOR</v>
          </cell>
        </row>
        <row r="108">
          <cell r="C108">
            <v>606125</v>
          </cell>
          <cell r="D108" t="str">
            <v>BENITEZ MELANIE</v>
          </cell>
          <cell r="E108" t="str">
            <v>15:00 - 21:00</v>
          </cell>
          <cell r="F108" t="str">
            <v>TARDE</v>
          </cell>
          <cell r="G108" t="str">
            <v>MIE Y SAB</v>
          </cell>
          <cell r="H108" t="str">
            <v>PELOC, MARIA SOLEDAD</v>
          </cell>
          <cell r="I108" t="str">
            <v>Romandetto Carlos</v>
          </cell>
          <cell r="J108" t="str">
            <v>x</v>
          </cell>
          <cell r="K108"/>
          <cell r="L108" t="str">
            <v>x</v>
          </cell>
          <cell r="M108" t="str">
            <v>x</v>
          </cell>
          <cell r="N108" t="str">
            <v>x</v>
          </cell>
          <cell r="O108"/>
          <cell r="P108"/>
          <cell r="Q108"/>
          <cell r="R108" t="str">
            <v>x</v>
          </cell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 t="str">
            <v>x</v>
          </cell>
          <cell r="AO108" t="str">
            <v>x</v>
          </cell>
          <cell r="AP108"/>
          <cell r="AQ108">
            <v>44928</v>
          </cell>
          <cell r="AR108">
            <v>639</v>
          </cell>
          <cell r="AS108">
            <v>45443</v>
          </cell>
          <cell r="AT108">
            <v>124</v>
          </cell>
          <cell r="AU108" t="str">
            <v>VMAMELBE</v>
          </cell>
        </row>
        <row r="109">
          <cell r="C109">
            <v>606139</v>
          </cell>
          <cell r="D109" t="str">
            <v>RAMOS HERNAN</v>
          </cell>
          <cell r="E109" t="str">
            <v>17:00 - 23:00</v>
          </cell>
          <cell r="F109" t="str">
            <v>NOCHE</v>
          </cell>
          <cell r="G109" t="str">
            <v>SAB Y DOM</v>
          </cell>
          <cell r="H109" t="str">
            <v>PELOC, MARIA SOLEDAD</v>
          </cell>
          <cell r="I109" t="str">
            <v>Romandetto Carlos</v>
          </cell>
          <cell r="J109" t="str">
            <v>x</v>
          </cell>
          <cell r="K109"/>
          <cell r="L109" t="str">
            <v>x</v>
          </cell>
          <cell r="M109" t="str">
            <v>x</v>
          </cell>
          <cell r="N109" t="str">
            <v>x</v>
          </cell>
          <cell r="O109"/>
          <cell r="P109"/>
          <cell r="Q109"/>
          <cell r="R109" t="str">
            <v>x</v>
          </cell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 t="str">
            <v>x</v>
          </cell>
          <cell r="AO109" t="str">
            <v>x</v>
          </cell>
          <cell r="AP109"/>
          <cell r="AQ109">
            <v>44928</v>
          </cell>
          <cell r="AR109">
            <v>639</v>
          </cell>
          <cell r="AS109">
            <v>45443</v>
          </cell>
          <cell r="AT109">
            <v>124</v>
          </cell>
          <cell r="AU109" t="str">
            <v>VMAHERAM</v>
          </cell>
        </row>
        <row r="110">
          <cell r="C110">
            <v>606141</v>
          </cell>
          <cell r="D110" t="str">
            <v>NAVARRETE JULIANA EDIT</v>
          </cell>
          <cell r="E110" t="str">
            <v>09:00 - 15:00</v>
          </cell>
          <cell r="F110" t="str">
            <v>MAÑANA</v>
          </cell>
          <cell r="G110" t="str">
            <v>MIE Y DOM</v>
          </cell>
          <cell r="H110" t="str">
            <v>SORIA, ANA PAULA</v>
          </cell>
          <cell r="I110" t="str">
            <v>Romandetto Carlos</v>
          </cell>
          <cell r="J110" t="str">
            <v>x</v>
          </cell>
          <cell r="K110"/>
          <cell r="L110" t="str">
            <v>x</v>
          </cell>
          <cell r="M110" t="str">
            <v>x</v>
          </cell>
          <cell r="N110" t="str">
            <v>x</v>
          </cell>
          <cell r="O110"/>
          <cell r="P110"/>
          <cell r="Q110"/>
          <cell r="R110" t="str">
            <v>x</v>
          </cell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 t="str">
            <v>x</v>
          </cell>
          <cell r="AO110" t="str">
            <v>x</v>
          </cell>
          <cell r="AP110"/>
          <cell r="AQ110">
            <v>44901</v>
          </cell>
          <cell r="AR110">
            <v>666</v>
          </cell>
          <cell r="AS110">
            <v>45443</v>
          </cell>
          <cell r="AT110">
            <v>124</v>
          </cell>
          <cell r="AU110" t="str">
            <v>VMAJUNAV</v>
          </cell>
        </row>
        <row r="111">
          <cell r="C111">
            <v>606165</v>
          </cell>
          <cell r="D111" t="str">
            <v>PERALTA FRANCO</v>
          </cell>
          <cell r="E111" t="str">
            <v>17:00 - 23:00</v>
          </cell>
          <cell r="F111" t="str">
            <v>NOCHE</v>
          </cell>
          <cell r="G111" t="str">
            <v>MAR Y SAB</v>
          </cell>
          <cell r="H111" t="str">
            <v>PELOC, MARIA SOLEDAD</v>
          </cell>
          <cell r="I111" t="str">
            <v>Romandetto Carlos</v>
          </cell>
          <cell r="J111" t="str">
            <v>x</v>
          </cell>
          <cell r="K111"/>
          <cell r="L111" t="str">
            <v>x</v>
          </cell>
          <cell r="M111" t="str">
            <v>x</v>
          </cell>
          <cell r="N111" t="str">
            <v>x</v>
          </cell>
          <cell r="O111"/>
          <cell r="P111"/>
          <cell r="Q111"/>
          <cell r="R111" t="str">
            <v>x</v>
          </cell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 t="str">
            <v>x</v>
          </cell>
          <cell r="AK111"/>
          <cell r="AL111"/>
          <cell r="AM111"/>
          <cell r="AN111"/>
          <cell r="AO111"/>
          <cell r="AP111"/>
          <cell r="AQ111">
            <v>44928</v>
          </cell>
          <cell r="AR111">
            <v>639</v>
          </cell>
          <cell r="AS111">
            <v>45509</v>
          </cell>
          <cell r="AT111">
            <v>58</v>
          </cell>
          <cell r="AU111" t="str">
            <v>VMAFRPER</v>
          </cell>
        </row>
        <row r="112">
          <cell r="C112">
            <v>605580</v>
          </cell>
          <cell r="D112" t="str">
            <v>FERREYRA TOMAS AGUSTIN</v>
          </cell>
          <cell r="E112" t="str">
            <v>12:00 - 18:00</v>
          </cell>
          <cell r="F112" t="str">
            <v>TARDE</v>
          </cell>
          <cell r="G112" t="str">
            <v>LUN Y DOM</v>
          </cell>
          <cell r="H112" t="str">
            <v>GROESMANN, MAYA JUDITH</v>
          </cell>
          <cell r="I112" t="str">
            <v>Romandetto Carlos</v>
          </cell>
          <cell r="J112"/>
          <cell r="K112"/>
          <cell r="L112" t="str">
            <v>x</v>
          </cell>
          <cell r="M112" t="str">
            <v>x</v>
          </cell>
          <cell r="N112" t="str">
            <v>x</v>
          </cell>
          <cell r="O112"/>
          <cell r="P112"/>
          <cell r="Q112" t="str">
            <v>x</v>
          </cell>
          <cell r="R112" t="str">
            <v>x</v>
          </cell>
          <cell r="S112" t="str">
            <v>x</v>
          </cell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 t="str">
            <v>x</v>
          </cell>
          <cell r="AO112"/>
          <cell r="AP112" t="str">
            <v>x</v>
          </cell>
          <cell r="AQ112">
            <v>44952</v>
          </cell>
          <cell r="AR112">
            <v>615</v>
          </cell>
          <cell r="AS112">
            <v>45338</v>
          </cell>
          <cell r="AT112">
            <v>229</v>
          </cell>
          <cell r="AU112" t="str">
            <v>VMATOFER</v>
          </cell>
        </row>
        <row r="113">
          <cell r="C113">
            <v>606138</v>
          </cell>
          <cell r="D113" t="str">
            <v>BORQUEZ NAZARENO</v>
          </cell>
          <cell r="E113" t="str">
            <v>09:00 - 15:00</v>
          </cell>
          <cell r="F113" t="str">
            <v>MAÑANA</v>
          </cell>
          <cell r="G113" t="str">
            <v>VIE Y SAB</v>
          </cell>
          <cell r="H113" t="str">
            <v>MOYANO, DAIANA SOLEDAD</v>
          </cell>
          <cell r="I113" t="str">
            <v>Romandetto Carlos</v>
          </cell>
          <cell r="J113" t="str">
            <v>x</v>
          </cell>
          <cell r="K113"/>
          <cell r="L113" t="str">
            <v>x</v>
          </cell>
          <cell r="M113" t="str">
            <v>x</v>
          </cell>
          <cell r="N113" t="str">
            <v>x</v>
          </cell>
          <cell r="O113"/>
          <cell r="P113"/>
          <cell r="Q113"/>
          <cell r="R113" t="str">
            <v>x</v>
          </cell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 t="str">
            <v>x</v>
          </cell>
          <cell r="AO113" t="str">
            <v>x</v>
          </cell>
          <cell r="AP113"/>
          <cell r="AQ113">
            <v>44952</v>
          </cell>
          <cell r="AR113">
            <v>615</v>
          </cell>
          <cell r="AS113">
            <v>45471</v>
          </cell>
          <cell r="AT113">
            <v>96</v>
          </cell>
          <cell r="AU113" t="str">
            <v>VMANASOS</v>
          </cell>
        </row>
        <row r="114">
          <cell r="C114">
            <v>605826</v>
          </cell>
          <cell r="D114" t="str">
            <v>GONZALEZ CANDELA</v>
          </cell>
          <cell r="E114" t="str">
            <v>09:00 - 15:00</v>
          </cell>
          <cell r="F114" t="str">
            <v>MAÑANA</v>
          </cell>
          <cell r="G114" t="str">
            <v>LUN Y SAB</v>
          </cell>
          <cell r="H114" t="str">
            <v>GROESMANN, MAYA JUDITH</v>
          </cell>
          <cell r="I114" t="str">
            <v>Romandetto Carlos</v>
          </cell>
          <cell r="J114" t="str">
            <v>x</v>
          </cell>
          <cell r="K114"/>
          <cell r="L114" t="str">
            <v>x</v>
          </cell>
          <cell r="M114"/>
          <cell r="N114"/>
          <cell r="O114"/>
          <cell r="P114"/>
          <cell r="Q114" t="str">
            <v>x</v>
          </cell>
          <cell r="R114" t="str">
            <v>x</v>
          </cell>
          <cell r="S114" t="str">
            <v>x</v>
          </cell>
          <cell r="T114" t="str">
            <v>x</v>
          </cell>
          <cell r="U114" t="str">
            <v>x</v>
          </cell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 t="str">
            <v>x</v>
          </cell>
          <cell r="AO114"/>
          <cell r="AP114" t="str">
            <v>x</v>
          </cell>
          <cell r="AQ114">
            <v>44952</v>
          </cell>
          <cell r="AR114">
            <v>615</v>
          </cell>
          <cell r="AS114">
            <v>45279</v>
          </cell>
          <cell r="AT114">
            <v>288</v>
          </cell>
          <cell r="AU114" t="str">
            <v>VMACAGON</v>
          </cell>
        </row>
        <row r="115">
          <cell r="C115">
            <v>606142</v>
          </cell>
          <cell r="D115" t="str">
            <v>MARAZ AYELEN JACQUELINE</v>
          </cell>
          <cell r="E115" t="str">
            <v>09:00 - 15:00</v>
          </cell>
          <cell r="F115" t="str">
            <v>MAÑANA</v>
          </cell>
          <cell r="G115" t="str">
            <v>SAB Y DOM</v>
          </cell>
          <cell r="H115" t="str">
            <v>SORIA, ANA PAULA</v>
          </cell>
          <cell r="I115" t="str">
            <v>Romandetto Carlos</v>
          </cell>
          <cell r="J115" t="str">
            <v>x</v>
          </cell>
          <cell r="K115"/>
          <cell r="L115" t="str">
            <v>x</v>
          </cell>
          <cell r="M115"/>
          <cell r="N115"/>
          <cell r="O115"/>
          <cell r="P115"/>
          <cell r="Q115" t="str">
            <v>x</v>
          </cell>
          <cell r="R115" t="str">
            <v>x</v>
          </cell>
          <cell r="S115" t="str">
            <v>x</v>
          </cell>
          <cell r="T115" t="str">
            <v>x</v>
          </cell>
          <cell r="U115" t="str">
            <v>x</v>
          </cell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 t="str">
            <v>x</v>
          </cell>
          <cell r="AO115"/>
          <cell r="AP115" t="str">
            <v>x</v>
          </cell>
          <cell r="AQ115">
            <v>44952</v>
          </cell>
          <cell r="AR115">
            <v>615</v>
          </cell>
          <cell r="AS115">
            <v>45279</v>
          </cell>
          <cell r="AT115">
            <v>288</v>
          </cell>
          <cell r="AU115" t="str">
            <v>VMAAYMAR</v>
          </cell>
        </row>
        <row r="116">
          <cell r="C116">
            <v>606049</v>
          </cell>
          <cell r="D116" t="str">
            <v>NAVARRO BRUNO OCTAVIO</v>
          </cell>
          <cell r="E116" t="str">
            <v>09:00 - 15:00</v>
          </cell>
          <cell r="F116" t="str">
            <v>MAÑANA</v>
          </cell>
          <cell r="G116" t="str">
            <v>SAB Y DOM</v>
          </cell>
          <cell r="H116" t="str">
            <v>SORIA, ANA PAULA</v>
          </cell>
          <cell r="I116" t="str">
            <v>Romandetto Carlos</v>
          </cell>
          <cell r="J116"/>
          <cell r="K116"/>
          <cell r="L116" t="str">
            <v>x</v>
          </cell>
          <cell r="M116" t="str">
            <v>x</v>
          </cell>
          <cell r="N116" t="str">
            <v>x</v>
          </cell>
          <cell r="O116"/>
          <cell r="P116"/>
          <cell r="Q116" t="str">
            <v>x</v>
          </cell>
          <cell r="R116" t="str">
            <v>x</v>
          </cell>
          <cell r="S116" t="str">
            <v>x</v>
          </cell>
          <cell r="T116" t="str">
            <v>x</v>
          </cell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 t="str">
            <v>x</v>
          </cell>
          <cell r="AO116"/>
          <cell r="AP116" t="str">
            <v>x</v>
          </cell>
          <cell r="AQ116">
            <v>44952</v>
          </cell>
          <cell r="AR116">
            <v>615</v>
          </cell>
          <cell r="AS116">
            <v>45329</v>
          </cell>
          <cell r="AT116">
            <v>238</v>
          </cell>
          <cell r="AU116" t="str">
            <v>VMABRNAV</v>
          </cell>
        </row>
        <row r="117">
          <cell r="C117">
            <v>605592</v>
          </cell>
          <cell r="D117" t="str">
            <v>FERNANDEZ PAULA DENISSE</v>
          </cell>
          <cell r="E117" t="str">
            <v>15:00 - 21:00</v>
          </cell>
          <cell r="F117" t="str">
            <v>TARDE</v>
          </cell>
          <cell r="G117" t="str">
            <v>JUE Y DOM</v>
          </cell>
          <cell r="H117" t="str">
            <v>GOMEZ, AYLEN MILAGROS</v>
          </cell>
          <cell r="I117" t="str">
            <v>Romandetto Carlos</v>
          </cell>
          <cell r="J117" t="str">
            <v>x</v>
          </cell>
          <cell r="K117"/>
          <cell r="L117" t="str">
            <v>x</v>
          </cell>
          <cell r="M117" t="str">
            <v>x</v>
          </cell>
          <cell r="N117" t="str">
            <v>x</v>
          </cell>
          <cell r="O117"/>
          <cell r="P117"/>
          <cell r="Q117"/>
          <cell r="R117" t="str">
            <v>x</v>
          </cell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 t="str">
            <v>x</v>
          </cell>
          <cell r="AO117" t="str">
            <v>x</v>
          </cell>
          <cell r="AP117"/>
          <cell r="AQ117">
            <v>44952</v>
          </cell>
          <cell r="AR117">
            <v>615</v>
          </cell>
          <cell r="AS117">
            <v>45471</v>
          </cell>
          <cell r="AT117">
            <v>96</v>
          </cell>
          <cell r="AU117" t="str">
            <v>VMAPAFER</v>
          </cell>
        </row>
        <row r="118">
          <cell r="C118">
            <v>606099</v>
          </cell>
          <cell r="D118" t="str">
            <v>MIRANDA NOELIA</v>
          </cell>
          <cell r="E118" t="str">
            <v>06:00 - 12:00</v>
          </cell>
          <cell r="F118" t="str">
            <v>MAÑANA</v>
          </cell>
          <cell r="G118" t="str">
            <v>SAB Y DOM</v>
          </cell>
          <cell r="H118" t="str">
            <v>MOYANO, DAIANA SOLEDAD</v>
          </cell>
          <cell r="I118" t="str">
            <v>Romandetto Carlos</v>
          </cell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 t="str">
            <v>x</v>
          </cell>
          <cell r="AJ118" t="str">
            <v>x</v>
          </cell>
          <cell r="AK118"/>
          <cell r="AL118"/>
          <cell r="AM118"/>
          <cell r="AN118"/>
          <cell r="AO118"/>
          <cell r="AP118"/>
          <cell r="AQ118">
            <v>45110</v>
          </cell>
          <cell r="AR118">
            <v>457</v>
          </cell>
          <cell r="AS118">
            <v>45001</v>
          </cell>
          <cell r="AT118">
            <v>566</v>
          </cell>
          <cell r="AU118" t="str">
            <v>VMANOMIR</v>
          </cell>
        </row>
        <row r="119">
          <cell r="C119">
            <v>606148</v>
          </cell>
          <cell r="D119" t="str">
            <v>VERA MILENA CARLA</v>
          </cell>
          <cell r="E119" t="str">
            <v>18:00 - 00:00</v>
          </cell>
          <cell r="F119" t="str">
            <v>NOCHE</v>
          </cell>
          <cell r="G119" t="str">
            <v>JUE Y DOM</v>
          </cell>
          <cell r="H119" t="str">
            <v>PELOC, MARIA SOLEDAD</v>
          </cell>
          <cell r="I119" t="str">
            <v>Romandetto Carlos</v>
          </cell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 t="str">
            <v>x</v>
          </cell>
          <cell r="AJ119" t="str">
            <v>x</v>
          </cell>
          <cell r="AK119"/>
          <cell r="AL119"/>
          <cell r="AM119"/>
          <cell r="AN119"/>
          <cell r="AO119"/>
          <cell r="AP119"/>
          <cell r="AQ119">
            <v>44986</v>
          </cell>
          <cell r="AR119">
            <v>581</v>
          </cell>
          <cell r="AS119">
            <v>45001</v>
          </cell>
          <cell r="AT119">
            <v>566</v>
          </cell>
          <cell r="AU119" t="str">
            <v>VMAMIVER</v>
          </cell>
        </row>
        <row r="120">
          <cell r="C120">
            <v>606149</v>
          </cell>
          <cell r="D120" t="str">
            <v>MARTINEZ SOFIA</v>
          </cell>
          <cell r="E120" t="str">
            <v>18:00 - 00:00</v>
          </cell>
          <cell r="F120" t="str">
            <v>NOCHE</v>
          </cell>
          <cell r="G120" t="str">
            <v>MIE Y DOM</v>
          </cell>
          <cell r="H120" t="str">
            <v>PELOC, MARIA SOLEDAD</v>
          </cell>
          <cell r="I120" t="str">
            <v>Romandetto Carlos</v>
          </cell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 t="str">
            <v>x</v>
          </cell>
          <cell r="AJ120" t="str">
            <v>x</v>
          </cell>
          <cell r="AK120"/>
          <cell r="AL120"/>
          <cell r="AM120"/>
          <cell r="AN120"/>
          <cell r="AO120"/>
          <cell r="AP120"/>
          <cell r="AQ120">
            <v>44986</v>
          </cell>
          <cell r="AR120">
            <v>581</v>
          </cell>
          <cell r="AS120">
            <v>45001</v>
          </cell>
          <cell r="AT120">
            <v>566</v>
          </cell>
          <cell r="AU120" t="str">
            <v>VMASOMAR</v>
          </cell>
        </row>
        <row r="121">
          <cell r="C121">
            <v>606150</v>
          </cell>
          <cell r="D121" t="str">
            <v>QUIROGA CAMILA</v>
          </cell>
          <cell r="E121" t="str">
            <v>09:00 - 15:00</v>
          </cell>
          <cell r="F121" t="str">
            <v>MAÑANA</v>
          </cell>
          <cell r="G121" t="str">
            <v>SAB Y DOM</v>
          </cell>
          <cell r="H121" t="str">
            <v>RUIZ, TOMAS EMANUEL</v>
          </cell>
          <cell r="I121" t="str">
            <v>Romandetto Carlos</v>
          </cell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 t="str">
            <v>x</v>
          </cell>
          <cell r="AJ121" t="str">
            <v>x</v>
          </cell>
          <cell r="AK121"/>
          <cell r="AL121"/>
          <cell r="AM121"/>
          <cell r="AN121"/>
          <cell r="AO121"/>
          <cell r="AP121"/>
          <cell r="AQ121">
            <v>44986</v>
          </cell>
          <cell r="AR121">
            <v>581</v>
          </cell>
          <cell r="AS121">
            <v>45001</v>
          </cell>
          <cell r="AT121">
            <v>566</v>
          </cell>
          <cell r="AU121" t="str">
            <v>VMACAQUI</v>
          </cell>
        </row>
        <row r="122">
          <cell r="C122">
            <v>606179</v>
          </cell>
          <cell r="D122" t="str">
            <v>ORTEGA DYLAN BENJAMIN</v>
          </cell>
          <cell r="E122" t="str">
            <v>15:00 - 21:00</v>
          </cell>
          <cell r="F122" t="str">
            <v>TARDE</v>
          </cell>
          <cell r="G122" t="str">
            <v>MAR Y DOM</v>
          </cell>
          <cell r="H122" t="str">
            <v>YBARRA, LUCIA ALDANA</v>
          </cell>
          <cell r="I122" t="str">
            <v>Romandetto Carlos</v>
          </cell>
          <cell r="J122"/>
          <cell r="K122"/>
          <cell r="L122"/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 t="str">
            <v>x</v>
          </cell>
          <cell r="AJ122" t="str">
            <v>x</v>
          </cell>
          <cell r="AK122"/>
          <cell r="AL122"/>
          <cell r="AM122"/>
          <cell r="AN122"/>
          <cell r="AO122"/>
          <cell r="AP122"/>
          <cell r="AQ122">
            <v>44986</v>
          </cell>
          <cell r="AR122">
            <v>581</v>
          </cell>
          <cell r="AS122">
            <v>45001</v>
          </cell>
          <cell r="AT122">
            <v>566</v>
          </cell>
          <cell r="AU122" t="str">
            <v>VMADYORT</v>
          </cell>
        </row>
        <row r="123">
          <cell r="C123">
            <v>606216</v>
          </cell>
          <cell r="D123" t="str">
            <v>GOMEZ BRUNO NAHUEL</v>
          </cell>
          <cell r="E123" t="str">
            <v>15:00 - 21:00</v>
          </cell>
          <cell r="F123" t="str">
            <v>TARDE</v>
          </cell>
          <cell r="G123" t="str">
            <v>SAB Y DOM</v>
          </cell>
          <cell r="H123" t="str">
            <v>ONETTO, MARIA DE LOS MILAGROS</v>
          </cell>
          <cell r="I123" t="str">
            <v>Romandetto Carlos</v>
          </cell>
          <cell r="J123" t="str">
            <v>x</v>
          </cell>
          <cell r="K123"/>
          <cell r="L123" t="str">
            <v>x</v>
          </cell>
          <cell r="M123" t="str">
            <v>x</v>
          </cell>
          <cell r="N123" t="str">
            <v>x</v>
          </cell>
          <cell r="O123"/>
          <cell r="P123"/>
          <cell r="Q123"/>
          <cell r="R123" t="str">
            <v>x</v>
          </cell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 t="str">
            <v>x</v>
          </cell>
          <cell r="AO123" t="str">
            <v>x</v>
          </cell>
          <cell r="AP123"/>
          <cell r="AQ123">
            <v>44991</v>
          </cell>
          <cell r="AR123">
            <v>576</v>
          </cell>
          <cell r="AS123">
            <v>45443</v>
          </cell>
          <cell r="AT123">
            <v>124</v>
          </cell>
          <cell r="AU123" t="str">
            <v>VMABRGOM</v>
          </cell>
        </row>
        <row r="124">
          <cell r="C124">
            <v>606234</v>
          </cell>
          <cell r="D124" t="str">
            <v>GIMENEZ ANGEL DANIEL</v>
          </cell>
          <cell r="E124" t="str">
            <v>09:00 - 15:00</v>
          </cell>
          <cell r="F124" t="str">
            <v>MAÑANA</v>
          </cell>
          <cell r="G124" t="str">
            <v>SAB Y DOM</v>
          </cell>
          <cell r="H124" t="str">
            <v>VEGA, BRIAN NICOLAS</v>
          </cell>
          <cell r="I124" t="str">
            <v>Leandro Muñoz</v>
          </cell>
          <cell r="J124"/>
          <cell r="K124"/>
          <cell r="L124" t="str">
            <v>x</v>
          </cell>
          <cell r="M124" t="str">
            <v>x</v>
          </cell>
          <cell r="N124" t="str">
            <v>x</v>
          </cell>
          <cell r="O124"/>
          <cell r="P124"/>
          <cell r="Q124"/>
          <cell r="R124" t="str">
            <v>x</v>
          </cell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 t="str">
            <v>x</v>
          </cell>
          <cell r="AN124" t="str">
            <v>x</v>
          </cell>
          <cell r="AO124" t="str">
            <v>x</v>
          </cell>
          <cell r="AP124"/>
          <cell r="AQ124">
            <v>44986</v>
          </cell>
          <cell r="AR124">
            <v>581</v>
          </cell>
          <cell r="AS124">
            <v>45350</v>
          </cell>
          <cell r="AT124">
            <v>217</v>
          </cell>
          <cell r="AU124" t="str">
            <v>VMAANGIM</v>
          </cell>
        </row>
        <row r="125">
          <cell r="C125">
            <v>606225</v>
          </cell>
          <cell r="D125" t="str">
            <v>TORANZO MILAGROS</v>
          </cell>
          <cell r="E125" t="str">
            <v>17:00 - 23:00</v>
          </cell>
          <cell r="F125" t="str">
            <v>NOCHE</v>
          </cell>
          <cell r="G125" t="str">
            <v>SAB Y DOM</v>
          </cell>
          <cell r="H125" t="str">
            <v>PELOC, MARIA SOLEDAD</v>
          </cell>
          <cell r="I125" t="str">
            <v>Romandetto Carlos</v>
          </cell>
          <cell r="J125"/>
          <cell r="K125"/>
          <cell r="L125" t="str">
            <v>x</v>
          </cell>
          <cell r="M125" t="str">
            <v>x</v>
          </cell>
          <cell r="N125" t="str">
            <v>x</v>
          </cell>
          <cell r="O125"/>
          <cell r="P125"/>
          <cell r="Q125"/>
          <cell r="R125" t="str">
            <v>x</v>
          </cell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 t="str">
            <v>x</v>
          </cell>
          <cell r="AO125" t="str">
            <v>x</v>
          </cell>
          <cell r="AP125"/>
          <cell r="AQ125">
            <v>44991</v>
          </cell>
          <cell r="AR125">
            <v>576</v>
          </cell>
          <cell r="AS125">
            <v>45471</v>
          </cell>
          <cell r="AT125">
            <v>96</v>
          </cell>
          <cell r="AU125" t="str">
            <v>VMAMILTO</v>
          </cell>
        </row>
        <row r="126">
          <cell r="C126">
            <v>606204</v>
          </cell>
          <cell r="D126" t="str">
            <v>CARRO AILEN ZOE</v>
          </cell>
          <cell r="E126" t="str">
            <v>10:00 - 16:00</v>
          </cell>
          <cell r="F126" t="str">
            <v>MAÑANA</v>
          </cell>
          <cell r="G126" t="str">
            <v>VIE Y DOM</v>
          </cell>
          <cell r="H126" t="str">
            <v>MOYANO, DAIANA SOLEDAD</v>
          </cell>
          <cell r="I126" t="str">
            <v>Romandetto Carlos</v>
          </cell>
          <cell r="J126" t="str">
            <v>x</v>
          </cell>
          <cell r="K126"/>
          <cell r="L126" t="str">
            <v>x</v>
          </cell>
          <cell r="M126"/>
          <cell r="N126"/>
          <cell r="O126"/>
          <cell r="P126"/>
          <cell r="Q126" t="str">
            <v>x</v>
          </cell>
          <cell r="R126" t="str">
            <v>x</v>
          </cell>
          <cell r="S126" t="str">
            <v>x</v>
          </cell>
          <cell r="T126" t="str">
            <v>x</v>
          </cell>
          <cell r="U126" t="str">
            <v>x</v>
          </cell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 t="str">
            <v>x</v>
          </cell>
          <cell r="AO126"/>
          <cell r="AP126" t="str">
            <v>x</v>
          </cell>
          <cell r="AQ126">
            <v>44987</v>
          </cell>
          <cell r="AR126">
            <v>580</v>
          </cell>
          <cell r="AS126">
            <v>45279</v>
          </cell>
          <cell r="AT126">
            <v>288</v>
          </cell>
          <cell r="AU126" t="str">
            <v>VMAAICAR</v>
          </cell>
        </row>
        <row r="127">
          <cell r="C127">
            <v>606167</v>
          </cell>
          <cell r="D127" t="str">
            <v>BENITEZ JOANA SOLEDAD</v>
          </cell>
          <cell r="E127" t="str">
            <v>09:00 - 15:00</v>
          </cell>
          <cell r="F127" t="str">
            <v>MAÑANA</v>
          </cell>
          <cell r="G127" t="str">
            <v>SAB Y DOM</v>
          </cell>
          <cell r="H127" t="str">
            <v>RUIZ, TOMAS EMANUEL</v>
          </cell>
          <cell r="I127" t="str">
            <v>Romandetto Carlos</v>
          </cell>
          <cell r="J127" t="str">
            <v>x</v>
          </cell>
          <cell r="K127"/>
          <cell r="L127" t="str">
            <v>x</v>
          </cell>
          <cell r="M127" t="str">
            <v>x</v>
          </cell>
          <cell r="N127" t="str">
            <v>x</v>
          </cell>
          <cell r="O127"/>
          <cell r="P127"/>
          <cell r="Q127"/>
          <cell r="R127" t="str">
            <v>x</v>
          </cell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 t="str">
            <v>x</v>
          </cell>
          <cell r="AO127" t="str">
            <v>x</v>
          </cell>
          <cell r="AP127"/>
          <cell r="AQ127">
            <v>44987</v>
          </cell>
          <cell r="AR127">
            <v>580</v>
          </cell>
          <cell r="AS127">
            <v>45443</v>
          </cell>
          <cell r="AT127">
            <v>124</v>
          </cell>
          <cell r="AU127" t="str">
            <v>VMAJOBEN</v>
          </cell>
        </row>
        <row r="128">
          <cell r="C128">
            <v>606219</v>
          </cell>
          <cell r="D128" t="str">
            <v>MAIZ CAMILA</v>
          </cell>
          <cell r="E128" t="str">
            <v>15:00 - 21:00</v>
          </cell>
          <cell r="F128" t="str">
            <v>TARDE</v>
          </cell>
          <cell r="G128" t="str">
            <v>SAB Y DOM</v>
          </cell>
          <cell r="H128" t="str">
            <v>ONETTO, MARIA DE LOS MILAGROS</v>
          </cell>
          <cell r="I128" t="str">
            <v>Romandetto Carlos</v>
          </cell>
          <cell r="J128"/>
          <cell r="K128"/>
          <cell r="L128" t="str">
            <v>x</v>
          </cell>
          <cell r="M128"/>
          <cell r="N128"/>
          <cell r="O128"/>
          <cell r="P128"/>
          <cell r="Q128" t="str">
            <v>x</v>
          </cell>
          <cell r="R128" t="str">
            <v>x</v>
          </cell>
          <cell r="S128" t="str">
            <v>x</v>
          </cell>
          <cell r="T128" t="str">
            <v>x</v>
          </cell>
          <cell r="U128" t="str">
            <v>x</v>
          </cell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 t="str">
            <v>x</v>
          </cell>
          <cell r="AO128"/>
          <cell r="AP128" t="str">
            <v>x</v>
          </cell>
          <cell r="AQ128">
            <v>44991</v>
          </cell>
          <cell r="AR128">
            <v>576</v>
          </cell>
          <cell r="AS128">
            <v>45279</v>
          </cell>
          <cell r="AT128">
            <v>288</v>
          </cell>
          <cell r="AU128" t="str">
            <v>VMACAMAI</v>
          </cell>
        </row>
        <row r="129">
          <cell r="C129">
            <v>606214</v>
          </cell>
          <cell r="D129" t="str">
            <v>ENRRIQUE ARIADNA FELISA</v>
          </cell>
          <cell r="E129" t="str">
            <v>15:00 - 21:00</v>
          </cell>
          <cell r="F129" t="str">
            <v>TARDE</v>
          </cell>
          <cell r="G129" t="str">
            <v>SAB Y DOM</v>
          </cell>
          <cell r="H129" t="str">
            <v>YBARRA, LUCIA ALDANA</v>
          </cell>
          <cell r="I129" t="str">
            <v>Romandetto Carlos</v>
          </cell>
          <cell r="J129" t="str">
            <v>x</v>
          </cell>
          <cell r="K129"/>
          <cell r="L129" t="str">
            <v>x</v>
          </cell>
          <cell r="M129" t="str">
            <v>x</v>
          </cell>
          <cell r="N129" t="str">
            <v>x</v>
          </cell>
          <cell r="O129"/>
          <cell r="P129"/>
          <cell r="Q129"/>
          <cell r="R129" t="str">
            <v>x</v>
          </cell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 t="str">
            <v>x</v>
          </cell>
          <cell r="AO129" t="str">
            <v>x</v>
          </cell>
          <cell r="AP129"/>
          <cell r="AQ129">
            <v>44991</v>
          </cell>
          <cell r="AR129">
            <v>576</v>
          </cell>
          <cell r="AS129">
            <v>45443</v>
          </cell>
          <cell r="AT129">
            <v>124</v>
          </cell>
          <cell r="AU129" t="str">
            <v>VMAARENR</v>
          </cell>
        </row>
        <row r="130">
          <cell r="C130">
            <v>606233</v>
          </cell>
          <cell r="D130" t="str">
            <v>VIQUE JUAN MANUEL</v>
          </cell>
          <cell r="E130" t="str">
            <v>09:00 - 15:00</v>
          </cell>
          <cell r="F130" t="str">
            <v>MAÑANA</v>
          </cell>
          <cell r="G130" t="str">
            <v>SAB Y DOM</v>
          </cell>
          <cell r="H130" t="str">
            <v>VILLALBA, VICTORIA</v>
          </cell>
          <cell r="I130" t="str">
            <v>Romandetto Carlos</v>
          </cell>
          <cell r="J130" t="str">
            <v>x</v>
          </cell>
          <cell r="K130"/>
          <cell r="L130" t="str">
            <v>x</v>
          </cell>
          <cell r="M130" t="str">
            <v>x</v>
          </cell>
          <cell r="N130" t="str">
            <v>x</v>
          </cell>
          <cell r="O130"/>
          <cell r="P130"/>
          <cell r="Q130"/>
          <cell r="R130" t="str">
            <v>x</v>
          </cell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 t="str">
            <v>x</v>
          </cell>
          <cell r="AO130" t="str">
            <v>x</v>
          </cell>
          <cell r="AP130"/>
          <cell r="AQ130">
            <v>44986</v>
          </cell>
          <cell r="AR130">
            <v>581</v>
          </cell>
          <cell r="AS130">
            <v>45471</v>
          </cell>
          <cell r="AT130">
            <v>96</v>
          </cell>
          <cell r="AU130" t="str">
            <v>VMAJUVIQ</v>
          </cell>
        </row>
        <row r="131">
          <cell r="C131">
            <v>605643</v>
          </cell>
          <cell r="D131" t="str">
            <v>SOTO JESUS AGUSTIN</v>
          </cell>
          <cell r="E131" t="str">
            <v>09:00 - 15:00</v>
          </cell>
          <cell r="F131" t="str">
            <v>MAÑANA</v>
          </cell>
          <cell r="G131" t="str">
            <v>SAB Y DOM</v>
          </cell>
          <cell r="H131" t="str">
            <v>ROBLEDO, YESICA DANIELA</v>
          </cell>
          <cell r="I131" t="str">
            <v>Romandetto Carlos</v>
          </cell>
          <cell r="J131"/>
          <cell r="K131"/>
          <cell r="L131" t="str">
            <v>x</v>
          </cell>
          <cell r="M131" t="str">
            <v>x</v>
          </cell>
          <cell r="N131" t="str">
            <v>x</v>
          </cell>
          <cell r="O131"/>
          <cell r="P131"/>
          <cell r="Q131"/>
          <cell r="R131" t="str">
            <v>x</v>
          </cell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 t="str">
            <v>x</v>
          </cell>
          <cell r="AO131" t="str">
            <v>x</v>
          </cell>
          <cell r="AP131"/>
          <cell r="AQ131">
            <v>45110</v>
          </cell>
          <cell r="AR131">
            <v>457</v>
          </cell>
          <cell r="AS131">
            <v>45350</v>
          </cell>
          <cell r="AT131">
            <v>217</v>
          </cell>
          <cell r="AU131" t="str">
            <v>VMAJESOT</v>
          </cell>
        </row>
        <row r="132">
          <cell r="C132">
            <v>606237</v>
          </cell>
          <cell r="D132" t="str">
            <v>ARAGON AGUSTINA</v>
          </cell>
          <cell r="E132" t="str">
            <v>09:00 - 15:00</v>
          </cell>
          <cell r="F132" t="str">
            <v>MAÑANA</v>
          </cell>
          <cell r="G132" t="str">
            <v>JUE Y DOM</v>
          </cell>
          <cell r="H132" t="str">
            <v>LOUREIRO, FLORENCIA CANDELA</v>
          </cell>
          <cell r="I132" t="str">
            <v>Romandetto Carlos</v>
          </cell>
          <cell r="J132" t="str">
            <v>x</v>
          </cell>
          <cell r="K132"/>
          <cell r="L132" t="str">
            <v>x</v>
          </cell>
          <cell r="M132" t="str">
            <v>x</v>
          </cell>
          <cell r="N132" t="str">
            <v>x</v>
          </cell>
          <cell r="O132"/>
          <cell r="P132"/>
          <cell r="Q132"/>
          <cell r="R132" t="str">
            <v>x</v>
          </cell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 t="str">
            <v>x</v>
          </cell>
          <cell r="AN132"/>
          <cell r="AO132" t="str">
            <v>x</v>
          </cell>
          <cell r="AP132"/>
          <cell r="AQ132">
            <v>44986</v>
          </cell>
          <cell r="AR132">
            <v>581</v>
          </cell>
          <cell r="AS132">
            <v>45526</v>
          </cell>
          <cell r="AT132">
            <v>41</v>
          </cell>
          <cell r="AU132" t="str">
            <v>VMAAGARA</v>
          </cell>
        </row>
        <row r="133">
          <cell r="C133">
            <v>606267</v>
          </cell>
          <cell r="D133" t="str">
            <v>FERREYRA CANDELA JAEL</v>
          </cell>
          <cell r="E133" t="str">
            <v>06:00 - 12:00</v>
          </cell>
          <cell r="F133" t="str">
            <v>MAÑANA</v>
          </cell>
          <cell r="G133" t="str">
            <v>SAB Y DOM</v>
          </cell>
          <cell r="H133" t="str">
            <v>RUIZ, TOMAS EMANUEL</v>
          </cell>
          <cell r="I133" t="str">
            <v>Romandetto Carlos</v>
          </cell>
          <cell r="J133"/>
          <cell r="K133"/>
          <cell r="L133" t="str">
            <v>x</v>
          </cell>
          <cell r="M133" t="str">
            <v>x</v>
          </cell>
          <cell r="N133" t="str">
            <v>x</v>
          </cell>
          <cell r="O133"/>
          <cell r="P133"/>
          <cell r="Q133"/>
          <cell r="R133" t="str">
            <v>x</v>
          </cell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 t="str">
            <v>x</v>
          </cell>
          <cell r="AO133" t="str">
            <v>x</v>
          </cell>
          <cell r="AP133"/>
          <cell r="AQ133">
            <v>45139</v>
          </cell>
          <cell r="AR133">
            <v>428</v>
          </cell>
          <cell r="AS133">
            <v>45350</v>
          </cell>
          <cell r="AT133">
            <v>217</v>
          </cell>
          <cell r="AU133" t="str">
            <v>VMACAFER</v>
          </cell>
        </row>
        <row r="134">
          <cell r="C134">
            <v>606239</v>
          </cell>
          <cell r="D134" t="str">
            <v>TORRES LUNA</v>
          </cell>
          <cell r="E134" t="str">
            <v>09:00 - 15:00</v>
          </cell>
          <cell r="F134" t="str">
            <v>MAÑANA</v>
          </cell>
          <cell r="G134" t="str">
            <v>SAB Y DOM</v>
          </cell>
          <cell r="H134" t="str">
            <v>RUIZ, TOMAS EMANUEL</v>
          </cell>
          <cell r="I134" t="str">
            <v>Romandetto Carlos</v>
          </cell>
          <cell r="J134"/>
          <cell r="K134"/>
          <cell r="L134" t="str">
            <v>x</v>
          </cell>
          <cell r="M134" t="str">
            <v>x</v>
          </cell>
          <cell r="N134" t="str">
            <v>x</v>
          </cell>
          <cell r="O134"/>
          <cell r="P134"/>
          <cell r="Q134"/>
          <cell r="R134" t="str">
            <v>x</v>
          </cell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 t="str">
            <v>x</v>
          </cell>
          <cell r="AO134" t="str">
            <v>x</v>
          </cell>
          <cell r="AP134"/>
          <cell r="AQ134">
            <v>45014</v>
          </cell>
          <cell r="AR134">
            <v>553</v>
          </cell>
          <cell r="AS134">
            <v>45350</v>
          </cell>
          <cell r="AT134">
            <v>217</v>
          </cell>
          <cell r="AU134" t="str">
            <v>VMALUTOR</v>
          </cell>
        </row>
        <row r="135">
          <cell r="C135">
            <v>605648</v>
          </cell>
          <cell r="D135" t="str">
            <v>HILARION MALENA BELEN</v>
          </cell>
          <cell r="E135" t="str">
            <v>09:00 - 15:00</v>
          </cell>
          <cell r="F135" t="str">
            <v>MAÑANA</v>
          </cell>
          <cell r="G135" t="str">
            <v>SAB Y DOM</v>
          </cell>
          <cell r="H135" t="str">
            <v>ROBLEDO, YESICA DANIELA</v>
          </cell>
          <cell r="I135" t="str">
            <v>Romandetto Carlos</v>
          </cell>
          <cell r="J135" t="str">
            <v>x</v>
          </cell>
          <cell r="K135"/>
          <cell r="L135" t="str">
            <v>x</v>
          </cell>
          <cell r="M135"/>
          <cell r="N135"/>
          <cell r="O135"/>
          <cell r="P135"/>
          <cell r="Q135" t="str">
            <v>x</v>
          </cell>
          <cell r="R135" t="str">
            <v>x</v>
          </cell>
          <cell r="S135" t="str">
            <v>x</v>
          </cell>
          <cell r="T135" t="str">
            <v>x</v>
          </cell>
          <cell r="U135" t="str">
            <v>x</v>
          </cell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 t="str">
            <v>x</v>
          </cell>
          <cell r="AO135"/>
          <cell r="AP135" t="str">
            <v>x</v>
          </cell>
          <cell r="AQ135">
            <v>45014</v>
          </cell>
          <cell r="AR135">
            <v>553</v>
          </cell>
          <cell r="AS135">
            <v>45279</v>
          </cell>
          <cell r="AT135">
            <v>288</v>
          </cell>
          <cell r="AU135" t="str">
            <v>VMAMAHIL</v>
          </cell>
        </row>
        <row r="136">
          <cell r="C136">
            <v>605654</v>
          </cell>
          <cell r="D136" t="str">
            <v>RUIZ ELIANA</v>
          </cell>
          <cell r="E136" t="str">
            <v>15:00 - 20:00</v>
          </cell>
          <cell r="F136" t="str">
            <v>TARDE</v>
          </cell>
          <cell r="G136" t="str">
            <v>SAB Y DOM</v>
          </cell>
          <cell r="H136" t="str">
            <v>GOMEZ, AYLEN MILAGROS</v>
          </cell>
          <cell r="I136" t="str">
            <v>Romandetto Carlos</v>
          </cell>
          <cell r="J136" t="str">
            <v>x</v>
          </cell>
          <cell r="K136"/>
          <cell r="L136" t="str">
            <v>x</v>
          </cell>
          <cell r="M136" t="str">
            <v>x</v>
          </cell>
          <cell r="N136" t="str">
            <v>x</v>
          </cell>
          <cell r="O136"/>
          <cell r="P136"/>
          <cell r="Q136"/>
          <cell r="R136" t="str">
            <v>x</v>
          </cell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>
            <v>45014</v>
          </cell>
          <cell r="AR136">
            <v>553</v>
          </cell>
          <cell r="AS136">
            <v>45044</v>
          </cell>
          <cell r="AT136">
            <v>523</v>
          </cell>
          <cell r="AU136" t="str">
            <v>VMAELRUI</v>
          </cell>
        </row>
        <row r="137">
          <cell r="C137">
            <v>605660</v>
          </cell>
          <cell r="D137" t="str">
            <v>GARRETTO MILAGROS BELEN</v>
          </cell>
          <cell r="E137" t="str">
            <v>06:00 - 12:00</v>
          </cell>
          <cell r="F137" t="str">
            <v>MAÑANA</v>
          </cell>
          <cell r="G137" t="str">
            <v>VIE Y SAB</v>
          </cell>
          <cell r="H137" t="str">
            <v>MOYANO, DAIANA SOLEDAD</v>
          </cell>
          <cell r="I137" t="str">
            <v>Romandetto Carlos</v>
          </cell>
          <cell r="J137" t="str">
            <v>x</v>
          </cell>
          <cell r="K137"/>
          <cell r="L137" t="str">
            <v>x</v>
          </cell>
          <cell r="M137"/>
          <cell r="N137"/>
          <cell r="O137"/>
          <cell r="P137"/>
          <cell r="Q137" t="str">
            <v>x</v>
          </cell>
          <cell r="R137" t="str">
            <v>x</v>
          </cell>
          <cell r="S137" t="str">
            <v>x</v>
          </cell>
          <cell r="T137" t="str">
            <v>x</v>
          </cell>
          <cell r="U137" t="str">
            <v>x</v>
          </cell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 t="str">
            <v>x</v>
          </cell>
          <cell r="AO137"/>
          <cell r="AP137" t="str">
            <v>x</v>
          </cell>
          <cell r="AQ137">
            <v>45014</v>
          </cell>
          <cell r="AR137">
            <v>553</v>
          </cell>
          <cell r="AS137">
            <v>45279</v>
          </cell>
          <cell r="AT137">
            <v>288</v>
          </cell>
          <cell r="AU137" t="str">
            <v>VMAMIGAR</v>
          </cell>
        </row>
        <row r="138">
          <cell r="C138">
            <v>605666</v>
          </cell>
          <cell r="D138" t="str">
            <v>BRIZUELA CELESTE</v>
          </cell>
          <cell r="E138" t="str">
            <v>09:00 - 15:00</v>
          </cell>
          <cell r="F138" t="str">
            <v>MAÑANA</v>
          </cell>
          <cell r="G138" t="str">
            <v>SAB Y DOM</v>
          </cell>
          <cell r="H138" t="str">
            <v>VILLALBA, VICTORIA</v>
          </cell>
          <cell r="I138" t="str">
            <v>Romandetto Carlos</v>
          </cell>
          <cell r="J138" t="str">
            <v>x</v>
          </cell>
          <cell r="K138"/>
          <cell r="L138" t="str">
            <v>x</v>
          </cell>
          <cell r="M138" t="str">
            <v>x</v>
          </cell>
          <cell r="N138" t="str">
            <v>x</v>
          </cell>
          <cell r="O138"/>
          <cell r="P138"/>
          <cell r="Q138"/>
          <cell r="R138" t="str">
            <v>x</v>
          </cell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 t="str">
            <v>x</v>
          </cell>
          <cell r="AO138" t="str">
            <v>x</v>
          </cell>
          <cell r="AP138"/>
          <cell r="AQ138">
            <v>45014</v>
          </cell>
          <cell r="AR138">
            <v>553</v>
          </cell>
          <cell r="AS138">
            <v>45443</v>
          </cell>
          <cell r="AT138">
            <v>124</v>
          </cell>
          <cell r="AU138" t="str">
            <v>VMACEBRI</v>
          </cell>
        </row>
        <row r="139">
          <cell r="C139">
            <v>606286</v>
          </cell>
          <cell r="D139" t="str">
            <v>ROMITO AGOSTINA BELEN</v>
          </cell>
          <cell r="E139" t="str">
            <v>15:00 - 21:00</v>
          </cell>
          <cell r="F139" t="str">
            <v>TARDE</v>
          </cell>
          <cell r="G139" t="str">
            <v>SAB Y DOM</v>
          </cell>
          <cell r="H139" t="str">
            <v>ONETTO, MARIA DE LOS MILAGROS</v>
          </cell>
          <cell r="I139" t="str">
            <v>Romandetto Carlos</v>
          </cell>
          <cell r="J139" t="str">
            <v>x</v>
          </cell>
          <cell r="K139"/>
          <cell r="L139" t="str">
            <v>x</v>
          </cell>
          <cell r="M139" t="str">
            <v>x</v>
          </cell>
          <cell r="N139" t="str">
            <v>x</v>
          </cell>
          <cell r="O139"/>
          <cell r="P139"/>
          <cell r="Q139"/>
          <cell r="R139" t="str">
            <v>x</v>
          </cell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 t="str">
            <v>x</v>
          </cell>
          <cell r="AO139" t="str">
            <v>x</v>
          </cell>
          <cell r="AP139"/>
          <cell r="AQ139">
            <v>45043</v>
          </cell>
          <cell r="AR139">
            <v>524</v>
          </cell>
          <cell r="AS139">
            <v>45471</v>
          </cell>
          <cell r="AT139">
            <v>96</v>
          </cell>
          <cell r="AU139" t="str">
            <v>VMAAGROM</v>
          </cell>
        </row>
        <row r="140">
          <cell r="C140">
            <v>606288</v>
          </cell>
          <cell r="D140" t="str">
            <v>OJEDA MAYRA ALEJANDRA</v>
          </cell>
          <cell r="E140" t="str">
            <v>18:00 - 00:00</v>
          </cell>
          <cell r="F140" t="str">
            <v>NOCHE</v>
          </cell>
          <cell r="G140" t="str">
            <v>VIE Y DOM</v>
          </cell>
          <cell r="H140" t="str">
            <v>GOMEZ, SASHA</v>
          </cell>
          <cell r="I140" t="str">
            <v>Romandetto Carlos</v>
          </cell>
          <cell r="J140"/>
          <cell r="K140"/>
          <cell r="L140" t="str">
            <v>x</v>
          </cell>
          <cell r="M140"/>
          <cell r="N140"/>
          <cell r="O140"/>
          <cell r="P140"/>
          <cell r="Q140" t="str">
            <v>x</v>
          </cell>
          <cell r="R140" t="str">
            <v>x</v>
          </cell>
          <cell r="S140" t="str">
            <v>x</v>
          </cell>
          <cell r="T140" t="str">
            <v>x</v>
          </cell>
          <cell r="U140" t="str">
            <v>x</v>
          </cell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 t="str">
            <v>x</v>
          </cell>
          <cell r="AO140"/>
          <cell r="AP140" t="str">
            <v>x</v>
          </cell>
          <cell r="AQ140">
            <v>45043</v>
          </cell>
          <cell r="AR140">
            <v>524</v>
          </cell>
          <cell r="AS140">
            <v>45279</v>
          </cell>
          <cell r="AT140">
            <v>288</v>
          </cell>
          <cell r="AU140" t="str">
            <v>VMAMAYOJ</v>
          </cell>
        </row>
        <row r="141">
          <cell r="C141">
            <v>606285</v>
          </cell>
          <cell r="D141" t="str">
            <v>PAEZ LUCAS ENZO GREGORIO</v>
          </cell>
          <cell r="E141" t="str">
            <v>15:00 - 21:00</v>
          </cell>
          <cell r="F141" t="str">
            <v>TARDE</v>
          </cell>
          <cell r="G141" t="str">
            <v>MAR Y DOM</v>
          </cell>
          <cell r="H141" t="str">
            <v>ONETTO, MARIA DE LOS MILAGROS</v>
          </cell>
          <cell r="I141" t="str">
            <v>Romandetto Carlos</v>
          </cell>
          <cell r="J141"/>
          <cell r="K141"/>
          <cell r="L141" t="str">
            <v>x</v>
          </cell>
          <cell r="M141"/>
          <cell r="N141"/>
          <cell r="O141"/>
          <cell r="P141"/>
          <cell r="Q141" t="str">
            <v>x</v>
          </cell>
          <cell r="R141" t="str">
            <v>x</v>
          </cell>
          <cell r="S141" t="str">
            <v>x</v>
          </cell>
          <cell r="T141" t="str">
            <v>x</v>
          </cell>
          <cell r="U141" t="str">
            <v>x</v>
          </cell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 t="str">
            <v>x</v>
          </cell>
          <cell r="AO141"/>
          <cell r="AP141" t="str">
            <v>x</v>
          </cell>
          <cell r="AQ141">
            <v>45043</v>
          </cell>
          <cell r="AR141">
            <v>524</v>
          </cell>
          <cell r="AS141">
            <v>45279</v>
          </cell>
          <cell r="AT141">
            <v>288</v>
          </cell>
          <cell r="AU141" t="str">
            <v>VMALUPAE</v>
          </cell>
        </row>
        <row r="142">
          <cell r="C142">
            <v>605768</v>
          </cell>
          <cell r="D142" t="str">
            <v>FRIAS BRENDA ANTONELA</v>
          </cell>
          <cell r="E142" t="str">
            <v>09:00 - 15:00</v>
          </cell>
          <cell r="F142" t="str">
            <v>MAÑANA</v>
          </cell>
          <cell r="G142" t="str">
            <v>SAB Y DOM</v>
          </cell>
          <cell r="H142" t="str">
            <v>VILLALBA, MAITEN</v>
          </cell>
          <cell r="I142" t="str">
            <v>Romandetto Carlos</v>
          </cell>
          <cell r="J142"/>
          <cell r="K142"/>
          <cell r="L142" t="str">
            <v>x</v>
          </cell>
          <cell r="M142" t="str">
            <v>x</v>
          </cell>
          <cell r="N142" t="str">
            <v>x</v>
          </cell>
          <cell r="O142"/>
          <cell r="P142"/>
          <cell r="Q142"/>
          <cell r="R142" t="str">
            <v>x</v>
          </cell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 t="str">
            <v>x</v>
          </cell>
          <cell r="AO142" t="str">
            <v>x</v>
          </cell>
          <cell r="AP142"/>
          <cell r="AQ142">
            <v>45077</v>
          </cell>
          <cell r="AR142">
            <v>490</v>
          </cell>
          <cell r="AS142">
            <v>45124</v>
          </cell>
          <cell r="AT142">
            <v>443</v>
          </cell>
          <cell r="AU142" t="str">
            <v>VMABRFRI</v>
          </cell>
        </row>
        <row r="143">
          <cell r="C143">
            <v>605769</v>
          </cell>
          <cell r="D143" t="str">
            <v>SOSA VALENTINA</v>
          </cell>
          <cell r="E143" t="str">
            <v>09:00 - 15:00</v>
          </cell>
          <cell r="F143" t="str">
            <v>MAÑANA</v>
          </cell>
          <cell r="G143" t="str">
            <v>SAB Y DOM</v>
          </cell>
          <cell r="H143" t="str">
            <v>ROBLEDO, LEANDRO JAVIER</v>
          </cell>
          <cell r="I143" t="str">
            <v>Romandetto Carlos</v>
          </cell>
          <cell r="J143"/>
          <cell r="K143"/>
          <cell r="L143" t="str">
            <v>x</v>
          </cell>
          <cell r="M143" t="str">
            <v>x</v>
          </cell>
          <cell r="N143" t="str">
            <v>x</v>
          </cell>
          <cell r="O143"/>
          <cell r="P143"/>
          <cell r="Q143" t="str">
            <v>x</v>
          </cell>
          <cell r="R143" t="str">
            <v>x</v>
          </cell>
          <cell r="S143" t="str">
            <v>x</v>
          </cell>
          <cell r="T143" t="str">
            <v>x</v>
          </cell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 t="str">
            <v>x</v>
          </cell>
          <cell r="AO143"/>
          <cell r="AP143" t="str">
            <v>x</v>
          </cell>
          <cell r="AQ143">
            <v>45077</v>
          </cell>
          <cell r="AR143">
            <v>490</v>
          </cell>
          <cell r="AS143">
            <v>45320</v>
          </cell>
          <cell r="AT143">
            <v>247</v>
          </cell>
          <cell r="AU143" t="str">
            <v>VMAVASOS</v>
          </cell>
        </row>
        <row r="144">
          <cell r="C144">
            <v>606202</v>
          </cell>
          <cell r="D144" t="str">
            <v>ALANIS LUCIANO AGUSTIN</v>
          </cell>
          <cell r="E144" t="str">
            <v>07:00 - 13:00</v>
          </cell>
          <cell r="F144" t="str">
            <v>MAÑANA</v>
          </cell>
          <cell r="G144" t="str">
            <v>MAR Y DOM</v>
          </cell>
          <cell r="H144" t="str">
            <v>ROBLEDO, LEANDRO JAVIER</v>
          </cell>
          <cell r="I144" t="str">
            <v>Romandetto Carlos</v>
          </cell>
          <cell r="J144"/>
          <cell r="K144"/>
          <cell r="L144" t="str">
            <v>x</v>
          </cell>
          <cell r="M144" t="str">
            <v>x</v>
          </cell>
          <cell r="N144" t="str">
            <v>x</v>
          </cell>
          <cell r="O144"/>
          <cell r="P144"/>
          <cell r="Q144" t="str">
            <v>x</v>
          </cell>
          <cell r="R144" t="str">
            <v>x</v>
          </cell>
          <cell r="S144" t="str">
            <v>x</v>
          </cell>
          <cell r="T144" t="str">
            <v>x</v>
          </cell>
          <cell r="U144"/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 t="str">
            <v>x</v>
          </cell>
          <cell r="AO144"/>
          <cell r="AP144" t="str">
            <v>x</v>
          </cell>
          <cell r="AQ144">
            <v>45077</v>
          </cell>
          <cell r="AR144">
            <v>490</v>
          </cell>
          <cell r="AS144">
            <v>45320</v>
          </cell>
          <cell r="AT144">
            <v>247</v>
          </cell>
          <cell r="AU144" t="str">
            <v>VMAAGALA</v>
          </cell>
        </row>
        <row r="145">
          <cell r="C145">
            <v>606241</v>
          </cell>
          <cell r="D145" t="str">
            <v>MACIEL AGUSTINA</v>
          </cell>
          <cell r="E145" t="str">
            <v>14:00 - 20:00</v>
          </cell>
          <cell r="F145" t="str">
            <v>TARDE</v>
          </cell>
          <cell r="G145" t="str">
            <v>VIE Y DOM</v>
          </cell>
          <cell r="H145" t="str">
            <v>GARZON, ROCIO BELEN</v>
          </cell>
          <cell r="I145" t="str">
            <v>Romandetto Carlos</v>
          </cell>
          <cell r="J145"/>
          <cell r="K145"/>
          <cell r="L145" t="str">
            <v>x</v>
          </cell>
          <cell r="M145" t="str">
            <v>x</v>
          </cell>
          <cell r="N145" t="str">
            <v>x</v>
          </cell>
          <cell r="O145" t="str">
            <v>x</v>
          </cell>
          <cell r="P145"/>
          <cell r="Q145"/>
          <cell r="R145" t="str">
            <v>x</v>
          </cell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 t="str">
            <v>x</v>
          </cell>
          <cell r="AO145" t="str">
            <v>x</v>
          </cell>
          <cell r="AP145"/>
          <cell r="AQ145">
            <v>45077</v>
          </cell>
          <cell r="AR145">
            <v>490</v>
          </cell>
          <cell r="AS145">
            <v>45456</v>
          </cell>
          <cell r="AT145">
            <v>111</v>
          </cell>
          <cell r="AU145" t="str">
            <v>VMAAGUMA</v>
          </cell>
        </row>
        <row r="146">
          <cell r="C146">
            <v>605511</v>
          </cell>
          <cell r="D146" t="str">
            <v>MENDOZA NATALIA ELIZABETH</v>
          </cell>
          <cell r="E146" t="str">
            <v>08:00 - 14:00</v>
          </cell>
          <cell r="F146" t="str">
            <v>MAÑANA</v>
          </cell>
          <cell r="G146" t="str">
            <v>SAB Y DOM</v>
          </cell>
          <cell r="H146" t="str">
            <v>VILLALBA, VICTORIA</v>
          </cell>
          <cell r="I146" t="str">
            <v>Romandetto Carlos</v>
          </cell>
          <cell r="J146"/>
          <cell r="K146"/>
          <cell r="L146" t="str">
            <v>x</v>
          </cell>
          <cell r="M146" t="str">
            <v>x</v>
          </cell>
          <cell r="N146" t="str">
            <v>x</v>
          </cell>
          <cell r="O146"/>
          <cell r="P146"/>
          <cell r="Q146"/>
          <cell r="R146" t="str">
            <v>x</v>
          </cell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 t="str">
            <v>x</v>
          </cell>
          <cell r="AO146" t="str">
            <v>x</v>
          </cell>
          <cell r="AP146"/>
          <cell r="AQ146">
            <v>45098</v>
          </cell>
          <cell r="AR146">
            <v>469</v>
          </cell>
          <cell r="AS146">
            <v>45139</v>
          </cell>
          <cell r="AT146">
            <v>428</v>
          </cell>
          <cell r="AU146" t="str">
            <v>VMANAMEN</v>
          </cell>
        </row>
        <row r="147">
          <cell r="C147">
            <v>605520</v>
          </cell>
          <cell r="D147" t="str">
            <v>SEGUI CAMILA JACQUELINE</v>
          </cell>
          <cell r="E147" t="str">
            <v>09:00 - 15:00</v>
          </cell>
          <cell r="F147" t="str">
            <v>MAÑANA</v>
          </cell>
          <cell r="G147" t="str">
            <v>SAB Y DOM</v>
          </cell>
          <cell r="H147" t="str">
            <v>VEGA, BRIAN NICOLAS</v>
          </cell>
          <cell r="I147" t="str">
            <v>Leandro Muñoz</v>
          </cell>
          <cell r="J147"/>
          <cell r="K147"/>
          <cell r="L147" t="str">
            <v>x</v>
          </cell>
          <cell r="M147" t="str">
            <v>x</v>
          </cell>
          <cell r="N147" t="str">
            <v>x</v>
          </cell>
          <cell r="O147"/>
          <cell r="P147"/>
          <cell r="Q147" t="str">
            <v>x</v>
          </cell>
          <cell r="R147" t="str">
            <v>x</v>
          </cell>
          <cell r="S147" t="str">
            <v>x</v>
          </cell>
          <cell r="T147" t="str">
            <v>x</v>
          </cell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 t="str">
            <v>x</v>
          </cell>
          <cell r="AN147" t="str">
            <v>x</v>
          </cell>
          <cell r="AO147"/>
          <cell r="AP147" t="str">
            <v>x</v>
          </cell>
          <cell r="AQ147">
            <v>45098</v>
          </cell>
          <cell r="AR147">
            <v>469</v>
          </cell>
          <cell r="AS147">
            <v>45322</v>
          </cell>
          <cell r="AT147">
            <v>245</v>
          </cell>
          <cell r="AU147" t="str">
            <v>VMACASEG</v>
          </cell>
        </row>
        <row r="148">
          <cell r="C148">
            <v>605632</v>
          </cell>
          <cell r="D148" t="str">
            <v>MANFREDI RUTH MELINA</v>
          </cell>
          <cell r="E148" t="str">
            <v>15:00 - 21:00</v>
          </cell>
          <cell r="F148" t="str">
            <v>TARDE</v>
          </cell>
          <cell r="G148" t="str">
            <v>SAB Y DOM</v>
          </cell>
          <cell r="H148" t="str">
            <v>GOMEZ, SASHA</v>
          </cell>
          <cell r="I148" t="str">
            <v>Romandetto Carlos</v>
          </cell>
          <cell r="J148"/>
          <cell r="K148"/>
          <cell r="L148" t="str">
            <v>x</v>
          </cell>
          <cell r="M148" t="str">
            <v>x</v>
          </cell>
          <cell r="N148" t="str">
            <v>x</v>
          </cell>
          <cell r="O148"/>
          <cell r="P148"/>
          <cell r="Q148" t="str">
            <v>x</v>
          </cell>
          <cell r="R148" t="str">
            <v>x</v>
          </cell>
          <cell r="S148" t="str">
            <v>x</v>
          </cell>
          <cell r="T148" t="str">
            <v>x</v>
          </cell>
          <cell r="U148" t="str">
            <v>x</v>
          </cell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 t="str">
            <v>x</v>
          </cell>
          <cell r="AO148"/>
          <cell r="AP148" t="str">
            <v>x</v>
          </cell>
          <cell r="AQ148">
            <v>45098</v>
          </cell>
          <cell r="AR148">
            <v>469</v>
          </cell>
          <cell r="AS148">
            <v>45210</v>
          </cell>
          <cell r="AT148">
            <v>357</v>
          </cell>
          <cell r="AU148" t="str">
            <v>VMAMEMAN</v>
          </cell>
        </row>
        <row r="149">
          <cell r="C149">
            <v>605530</v>
          </cell>
          <cell r="D149" t="str">
            <v>RUIZ ALEX IVAN</v>
          </cell>
          <cell r="E149" t="str">
            <v>10:00 - 16:00</v>
          </cell>
          <cell r="F149" t="str">
            <v>MAÑANA</v>
          </cell>
          <cell r="G149" t="str">
            <v>SAB Y DOM</v>
          </cell>
          <cell r="H149" t="str">
            <v>GROESMANN, MAYA JUDITH</v>
          </cell>
          <cell r="I149" t="str">
            <v>Romandetto Carlos</v>
          </cell>
          <cell r="J149"/>
          <cell r="K149"/>
          <cell r="L149" t="str">
            <v>x</v>
          </cell>
          <cell r="M149" t="str">
            <v>x</v>
          </cell>
          <cell r="N149" t="str">
            <v>x</v>
          </cell>
          <cell r="O149"/>
          <cell r="P149"/>
          <cell r="Q149" t="str">
            <v>x</v>
          </cell>
          <cell r="R149" t="str">
            <v>x</v>
          </cell>
          <cell r="S149" t="str">
            <v>x</v>
          </cell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 t="str">
            <v>x</v>
          </cell>
          <cell r="AO149"/>
          <cell r="AP149" t="str">
            <v>x</v>
          </cell>
          <cell r="AQ149">
            <v>45098</v>
          </cell>
          <cell r="AR149">
            <v>469</v>
          </cell>
          <cell r="AS149">
            <v>45338</v>
          </cell>
          <cell r="AT149">
            <v>229</v>
          </cell>
          <cell r="AU149" t="str">
            <v>VMAALRUI</v>
          </cell>
        </row>
        <row r="150">
          <cell r="C150">
            <v>605589</v>
          </cell>
          <cell r="D150" t="str">
            <v>CASTILLO MICAELA TATIANA</v>
          </cell>
          <cell r="E150" t="str">
            <v>15:00 - 21:00</v>
          </cell>
          <cell r="F150" t="str">
            <v>TARDE</v>
          </cell>
          <cell r="G150" t="str">
            <v>SAB Y DOM</v>
          </cell>
          <cell r="H150" t="str">
            <v>GOMEZ, SASHA</v>
          </cell>
          <cell r="I150" t="str">
            <v>Romandetto Carlos</v>
          </cell>
          <cell r="J150"/>
          <cell r="K150"/>
          <cell r="L150" t="str">
            <v>x</v>
          </cell>
          <cell r="M150" t="str">
            <v>x</v>
          </cell>
          <cell r="N150" t="str">
            <v>x</v>
          </cell>
          <cell r="O150"/>
          <cell r="P150"/>
          <cell r="Q150" t="str">
            <v>x</v>
          </cell>
          <cell r="R150" t="str">
            <v>x</v>
          </cell>
          <cell r="S150" t="str">
            <v>x</v>
          </cell>
          <cell r="T150" t="str">
            <v>x</v>
          </cell>
          <cell r="U150"/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 t="str">
            <v>x</v>
          </cell>
          <cell r="AO150"/>
          <cell r="AP150" t="str">
            <v>x</v>
          </cell>
          <cell r="AQ150">
            <v>45098</v>
          </cell>
          <cell r="AR150">
            <v>469</v>
          </cell>
          <cell r="AS150">
            <v>45322</v>
          </cell>
          <cell r="AT150">
            <v>245</v>
          </cell>
          <cell r="AU150" t="str">
            <v>VMAMICCA</v>
          </cell>
        </row>
        <row r="151">
          <cell r="C151">
            <v>605610</v>
          </cell>
          <cell r="D151" t="str">
            <v>REGUEIRO MARTINA ESTEFANIA</v>
          </cell>
          <cell r="E151" t="str">
            <v>10:00 - 16:00</v>
          </cell>
          <cell r="F151" t="str">
            <v>MAÑANA</v>
          </cell>
          <cell r="G151" t="str">
            <v>SAB Y DOM</v>
          </cell>
          <cell r="H151" t="str">
            <v>SORIA, ANA PAULA</v>
          </cell>
          <cell r="I151" t="str">
            <v>Romandetto Carlos</v>
          </cell>
          <cell r="J151"/>
          <cell r="K151"/>
          <cell r="L151" t="str">
            <v>x</v>
          </cell>
          <cell r="M151" t="str">
            <v>x</v>
          </cell>
          <cell r="N151" t="str">
            <v>x</v>
          </cell>
          <cell r="O151"/>
          <cell r="P151"/>
          <cell r="Q151" t="str">
            <v>x</v>
          </cell>
          <cell r="R151" t="str">
            <v>x</v>
          </cell>
          <cell r="S151" t="str">
            <v>x</v>
          </cell>
          <cell r="T151" t="str">
            <v>x</v>
          </cell>
          <cell r="U151" t="str">
            <v>x</v>
          </cell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 t="str">
            <v>x</v>
          </cell>
          <cell r="AO151"/>
          <cell r="AP151" t="str">
            <v>x</v>
          </cell>
          <cell r="AQ151">
            <v>45098</v>
          </cell>
          <cell r="AR151">
            <v>469</v>
          </cell>
          <cell r="AS151">
            <v>45210</v>
          </cell>
          <cell r="AT151">
            <v>357</v>
          </cell>
          <cell r="AU151" t="str">
            <v>VMAMAREG</v>
          </cell>
        </row>
        <row r="152">
          <cell r="C152">
            <v>605513</v>
          </cell>
          <cell r="D152" t="str">
            <v>MAIDANA MENDOZA MALENA MELISA</v>
          </cell>
          <cell r="E152" t="str">
            <v>14:00 - 20:00</v>
          </cell>
          <cell r="F152" t="str">
            <v>TARDE</v>
          </cell>
          <cell r="G152" t="str">
            <v>SAB Y DOM</v>
          </cell>
          <cell r="H152" t="str">
            <v>YBARRA, LUCIA ALDANA</v>
          </cell>
          <cell r="I152" t="str">
            <v>Romandetto Carlos</v>
          </cell>
          <cell r="J152"/>
          <cell r="K152"/>
          <cell r="L152" t="str">
            <v>x</v>
          </cell>
          <cell r="M152" t="str">
            <v>x</v>
          </cell>
          <cell r="N152" t="str">
            <v>x</v>
          </cell>
          <cell r="O152"/>
          <cell r="P152"/>
          <cell r="Q152" t="str">
            <v>x</v>
          </cell>
          <cell r="R152" t="str">
            <v>x</v>
          </cell>
          <cell r="S152" t="str">
            <v>x</v>
          </cell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 t="str">
            <v>x</v>
          </cell>
          <cell r="AO152"/>
          <cell r="AP152" t="str">
            <v>x</v>
          </cell>
          <cell r="AQ152">
            <v>45131</v>
          </cell>
          <cell r="AR152">
            <v>436</v>
          </cell>
          <cell r="AS152">
            <v>45338</v>
          </cell>
          <cell r="AT152">
            <v>229</v>
          </cell>
          <cell r="AU152" t="str">
            <v>VMAMAMAI</v>
          </cell>
        </row>
        <row r="153">
          <cell r="C153">
            <v>605612</v>
          </cell>
          <cell r="D153" t="str">
            <v>SOTOS LA IACONA ENZO SANTINO</v>
          </cell>
          <cell r="E153" t="str">
            <v>15:00 - 21:00</v>
          </cell>
          <cell r="F153" t="str">
            <v>TARDE</v>
          </cell>
          <cell r="G153" t="str">
            <v>SAB Y DOM</v>
          </cell>
          <cell r="H153" t="str">
            <v>GOMEZ, SASHA</v>
          </cell>
          <cell r="I153" t="str">
            <v>Romandetto Carlos</v>
          </cell>
          <cell r="J153"/>
          <cell r="K153"/>
          <cell r="L153" t="str">
            <v>x</v>
          </cell>
          <cell r="M153" t="str">
            <v>x</v>
          </cell>
          <cell r="N153" t="str">
            <v>x</v>
          </cell>
          <cell r="O153"/>
          <cell r="P153"/>
          <cell r="Q153" t="str">
            <v>x</v>
          </cell>
          <cell r="R153" t="str">
            <v>x</v>
          </cell>
          <cell r="S153" t="str">
            <v>x</v>
          </cell>
          <cell r="T153" t="str">
            <v>x</v>
          </cell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 t="str">
            <v>x</v>
          </cell>
          <cell r="AO153"/>
          <cell r="AP153" t="str">
            <v>x</v>
          </cell>
          <cell r="AQ153">
            <v>45131</v>
          </cell>
          <cell r="AR153">
            <v>436</v>
          </cell>
          <cell r="AS153">
            <v>45322</v>
          </cell>
          <cell r="AT153">
            <v>245</v>
          </cell>
          <cell r="AU153" t="str">
            <v>VMAENSOT</v>
          </cell>
        </row>
        <row r="154">
          <cell r="C154">
            <v>605615</v>
          </cell>
          <cell r="D154" t="str">
            <v>FARFAN BELEN ROXANA</v>
          </cell>
          <cell r="E154" t="str">
            <v>14:00 - 20:00</v>
          </cell>
          <cell r="F154" t="str">
            <v>TARDE</v>
          </cell>
          <cell r="G154" t="str">
            <v>SAB Y DOM</v>
          </cell>
          <cell r="H154" t="str">
            <v>GOMEZ, AYLEN MILAGROS</v>
          </cell>
          <cell r="I154" t="str">
            <v>Romandetto Carlos</v>
          </cell>
          <cell r="J154"/>
          <cell r="K154"/>
          <cell r="L154" t="str">
            <v>x</v>
          </cell>
          <cell r="M154" t="str">
            <v>x</v>
          </cell>
          <cell r="N154" t="str">
            <v>x</v>
          </cell>
          <cell r="O154"/>
          <cell r="P154"/>
          <cell r="Q154" t="str">
            <v>x</v>
          </cell>
          <cell r="R154" t="str">
            <v>x</v>
          </cell>
          <cell r="S154" t="str">
            <v>x</v>
          </cell>
          <cell r="T154" t="str">
            <v>x</v>
          </cell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 t="str">
            <v>x</v>
          </cell>
          <cell r="AO154"/>
          <cell r="AP154" t="str">
            <v>x</v>
          </cell>
          <cell r="AQ154">
            <v>45131</v>
          </cell>
          <cell r="AR154">
            <v>436</v>
          </cell>
          <cell r="AS154">
            <v>45322</v>
          </cell>
          <cell r="AT154">
            <v>245</v>
          </cell>
          <cell r="AU154" t="str">
            <v>VMABEFAR</v>
          </cell>
        </row>
        <row r="155">
          <cell r="C155">
            <v>605617</v>
          </cell>
          <cell r="D155" t="str">
            <v>DE VUONO FACUNDO SANTIAGO</v>
          </cell>
          <cell r="E155" t="str">
            <v>15:00 - 21:00</v>
          </cell>
          <cell r="F155" t="str">
            <v>TARDE</v>
          </cell>
          <cell r="G155" t="str">
            <v>VIE Y SAB</v>
          </cell>
          <cell r="H155" t="str">
            <v>GOMEZ, SASHA</v>
          </cell>
          <cell r="I155" t="str">
            <v>Romandetto Carlos</v>
          </cell>
          <cell r="J155"/>
          <cell r="K155"/>
          <cell r="L155" t="str">
            <v>x</v>
          </cell>
          <cell r="M155" t="str">
            <v>x</v>
          </cell>
          <cell r="N155" t="str">
            <v>x</v>
          </cell>
          <cell r="O155"/>
          <cell r="P155"/>
          <cell r="Q155" t="str">
            <v>x</v>
          </cell>
          <cell r="R155" t="str">
            <v>x</v>
          </cell>
          <cell r="S155" t="str">
            <v>x</v>
          </cell>
          <cell r="T155" t="str">
            <v>x</v>
          </cell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 t="str">
            <v>x</v>
          </cell>
          <cell r="AO155"/>
          <cell r="AP155" t="str">
            <v>x</v>
          </cell>
          <cell r="AQ155">
            <v>45131</v>
          </cell>
          <cell r="AR155">
            <v>436</v>
          </cell>
          <cell r="AS155">
            <v>45322</v>
          </cell>
          <cell r="AT155">
            <v>245</v>
          </cell>
          <cell r="AU155" t="str">
            <v>VMAFACDE</v>
          </cell>
        </row>
        <row r="156">
          <cell r="C156">
            <v>605638</v>
          </cell>
          <cell r="D156" t="str">
            <v>LUTTER IARA CATARINA INES</v>
          </cell>
          <cell r="E156" t="str">
            <v>15:00 - 21:00</v>
          </cell>
          <cell r="F156" t="str">
            <v>TARDE</v>
          </cell>
          <cell r="G156" t="str">
            <v>SAB Y DOM</v>
          </cell>
          <cell r="H156" t="str">
            <v>ONETTO, MARIA DE LOS MILAGROS</v>
          </cell>
          <cell r="I156" t="str">
            <v>Romandetto Carlos</v>
          </cell>
          <cell r="J156"/>
          <cell r="K156"/>
          <cell r="L156" t="str">
            <v>x</v>
          </cell>
          <cell r="M156" t="str">
            <v>x</v>
          </cell>
          <cell r="N156" t="str">
            <v>x</v>
          </cell>
          <cell r="O156"/>
          <cell r="P156"/>
          <cell r="Q156"/>
          <cell r="R156" t="str">
            <v>x</v>
          </cell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 t="str">
            <v>x</v>
          </cell>
          <cell r="AJ156" t="str">
            <v>x</v>
          </cell>
          <cell r="AK156"/>
          <cell r="AL156"/>
          <cell r="AM156"/>
          <cell r="AN156" t="str">
            <v>x</v>
          </cell>
          <cell r="AO156" t="str">
            <v>x</v>
          </cell>
          <cell r="AP156"/>
          <cell r="AQ156">
            <v>45131</v>
          </cell>
          <cell r="AR156">
            <v>436</v>
          </cell>
          <cell r="AS156">
            <v>45224</v>
          </cell>
          <cell r="AT156">
            <v>343</v>
          </cell>
          <cell r="AU156" t="str">
            <v>VMAIALUT</v>
          </cell>
        </row>
        <row r="157">
          <cell r="C157">
            <v>605652</v>
          </cell>
          <cell r="D157" t="str">
            <v>RESTELLI MAIRA ALEJANDRA</v>
          </cell>
          <cell r="E157" t="str">
            <v>18:00 - 00:00</v>
          </cell>
          <cell r="F157" t="str">
            <v>NOCHE</v>
          </cell>
          <cell r="G157" t="str">
            <v>LUN Y SAB</v>
          </cell>
          <cell r="H157" t="str">
            <v>YBARRA, LUCIA ALDANA</v>
          </cell>
          <cell r="I157" t="str">
            <v>Romandetto Carlos</v>
          </cell>
          <cell r="J157"/>
          <cell r="K157"/>
          <cell r="L157" t="str">
            <v>x</v>
          </cell>
          <cell r="M157" t="str">
            <v>x</v>
          </cell>
          <cell r="N157" t="str">
            <v>x</v>
          </cell>
          <cell r="O157"/>
          <cell r="P157"/>
          <cell r="Q157"/>
          <cell r="R157" t="str">
            <v>x</v>
          </cell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 t="str">
            <v>x</v>
          </cell>
          <cell r="AJ157" t="str">
            <v>x</v>
          </cell>
          <cell r="AK157"/>
          <cell r="AL157"/>
          <cell r="AM157"/>
          <cell r="AN157" t="str">
            <v>x</v>
          </cell>
          <cell r="AO157" t="str">
            <v>x</v>
          </cell>
          <cell r="AP157"/>
          <cell r="AQ157">
            <v>45131</v>
          </cell>
          <cell r="AR157">
            <v>436</v>
          </cell>
          <cell r="AS157">
            <v>45224</v>
          </cell>
          <cell r="AT157">
            <v>343</v>
          </cell>
          <cell r="AU157" t="str">
            <v>VMAMARES</v>
          </cell>
        </row>
        <row r="158">
          <cell r="C158">
            <v>606320</v>
          </cell>
          <cell r="D158" t="str">
            <v>RAMOS LASTRA PABLO</v>
          </cell>
          <cell r="E158" t="str">
            <v>08:00 - 14:00</v>
          </cell>
          <cell r="F158" t="str">
            <v>MAÑANA</v>
          </cell>
          <cell r="G158" t="str">
            <v>SAB Y DOM</v>
          </cell>
          <cell r="H158" t="str">
            <v>GOYECHEA, AGUSTINA LOURDES</v>
          </cell>
          <cell r="I158" t="str">
            <v>Romandetto Carlos</v>
          </cell>
          <cell r="J158"/>
          <cell r="K158"/>
          <cell r="L158" t="str">
            <v>x</v>
          </cell>
          <cell r="M158" t="str">
            <v>x</v>
          </cell>
          <cell r="N158" t="str">
            <v>x</v>
          </cell>
          <cell r="O158"/>
          <cell r="P158"/>
          <cell r="Q158"/>
          <cell r="R158" t="str">
            <v>x</v>
          </cell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 t="str">
            <v>x</v>
          </cell>
          <cell r="AO158" t="str">
            <v>x</v>
          </cell>
          <cell r="AP158"/>
          <cell r="AQ158">
            <v>45132</v>
          </cell>
          <cell r="AR158">
            <v>435</v>
          </cell>
          <cell r="AS158">
            <v>45163</v>
          </cell>
          <cell r="AT158">
            <v>404</v>
          </cell>
          <cell r="AU158" t="str">
            <v>VMAPABRA</v>
          </cell>
        </row>
        <row r="159">
          <cell r="C159">
            <v>606321</v>
          </cell>
          <cell r="D159" t="str">
            <v>FERNANDEZ KAREN SOFIA</v>
          </cell>
          <cell r="E159" t="str">
            <v>08:00 - 14:00</v>
          </cell>
          <cell r="F159" t="str">
            <v>MAÑANA</v>
          </cell>
          <cell r="G159" t="str">
            <v>MIE Y SAB</v>
          </cell>
          <cell r="H159" t="str">
            <v>GOYECHEA, AGUSTINA LOURDES</v>
          </cell>
          <cell r="I159" t="str">
            <v>Romandetto Carlos</v>
          </cell>
          <cell r="J159"/>
          <cell r="K159"/>
          <cell r="L159" t="str">
            <v>x</v>
          </cell>
          <cell r="M159" t="str">
            <v>x</v>
          </cell>
          <cell r="N159" t="str">
            <v>x</v>
          </cell>
          <cell r="O159"/>
          <cell r="P159"/>
          <cell r="Q159" t="str">
            <v>x</v>
          </cell>
          <cell r="R159" t="str">
            <v>x</v>
          </cell>
          <cell r="S159" t="str">
            <v>x</v>
          </cell>
          <cell r="T159" t="str">
            <v>x</v>
          </cell>
          <cell r="U159"/>
          <cell r="V159"/>
          <cell r="W159"/>
          <cell r="X159"/>
          <cell r="Y159"/>
          <cell r="Z159"/>
          <cell r="AA159"/>
          <cell r="AB159"/>
          <cell r="AC159"/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 t="str">
            <v>x</v>
          </cell>
          <cell r="AO159"/>
          <cell r="AP159" t="str">
            <v>x</v>
          </cell>
          <cell r="AQ159">
            <v>45132</v>
          </cell>
          <cell r="AR159">
            <v>435</v>
          </cell>
          <cell r="AS159">
            <v>45320</v>
          </cell>
          <cell r="AT159">
            <v>247</v>
          </cell>
          <cell r="AU159" t="str">
            <v>VMAKARFE</v>
          </cell>
        </row>
        <row r="160">
          <cell r="C160">
            <v>605672</v>
          </cell>
          <cell r="D160" t="str">
            <v>FERNANDEZ HELENA</v>
          </cell>
          <cell r="E160" t="str">
            <v>08:00 - 14:00</v>
          </cell>
          <cell r="F160" t="str">
            <v>MAÑANA</v>
          </cell>
          <cell r="G160" t="str">
            <v>SAB Y DOM</v>
          </cell>
          <cell r="H160" t="str">
            <v>GOYECHEA, AGUSTINA LOURDES</v>
          </cell>
          <cell r="I160" t="str">
            <v>Romandetto Carlos</v>
          </cell>
          <cell r="J160"/>
          <cell r="K160"/>
          <cell r="L160" t="str">
            <v>x</v>
          </cell>
          <cell r="M160" t="str">
            <v>x</v>
          </cell>
          <cell r="N160" t="str">
            <v>x</v>
          </cell>
          <cell r="O160"/>
          <cell r="P160"/>
          <cell r="Q160" t="str">
            <v>x</v>
          </cell>
          <cell r="R160" t="str">
            <v>x</v>
          </cell>
          <cell r="S160" t="str">
            <v>x</v>
          </cell>
          <cell r="T160" t="str">
            <v>x</v>
          </cell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 t="str">
            <v>x</v>
          </cell>
          <cell r="AO160"/>
          <cell r="AP160" t="str">
            <v>x</v>
          </cell>
          <cell r="AQ160">
            <v>45132</v>
          </cell>
          <cell r="AR160">
            <v>435</v>
          </cell>
          <cell r="AS160">
            <v>45320</v>
          </cell>
          <cell r="AT160">
            <v>247</v>
          </cell>
          <cell r="AU160" t="str">
            <v>VMAHEFER</v>
          </cell>
        </row>
        <row r="161">
          <cell r="C161">
            <v>605681</v>
          </cell>
          <cell r="D161" t="str">
            <v>MACALELLO ROCIO MICAELA</v>
          </cell>
          <cell r="E161" t="str">
            <v>09:00 - 15:00</v>
          </cell>
          <cell r="F161" t="str">
            <v>MAÑANA</v>
          </cell>
          <cell r="G161" t="str">
            <v>SAB Y DOM</v>
          </cell>
          <cell r="H161" t="str">
            <v>ROBLEDO, LEANDRO JAVIER</v>
          </cell>
          <cell r="I161" t="str">
            <v>Romandetto Carlos</v>
          </cell>
          <cell r="J161"/>
          <cell r="K161"/>
          <cell r="L161" t="str">
            <v>x</v>
          </cell>
          <cell r="M161" t="str">
            <v>x</v>
          </cell>
          <cell r="N161" t="str">
            <v>x</v>
          </cell>
          <cell r="O161"/>
          <cell r="P161"/>
          <cell r="Q161" t="str">
            <v>x</v>
          </cell>
          <cell r="R161" t="str">
            <v>x</v>
          </cell>
          <cell r="S161" t="str">
            <v>x</v>
          </cell>
          <cell r="T161" t="str">
            <v>x</v>
          </cell>
          <cell r="U161"/>
          <cell r="V161"/>
          <cell r="W161"/>
          <cell r="X161"/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 t="str">
            <v>x</v>
          </cell>
          <cell r="AO161"/>
          <cell r="AP161" t="str">
            <v>x</v>
          </cell>
          <cell r="AQ161">
            <v>45132</v>
          </cell>
          <cell r="AR161">
            <v>435</v>
          </cell>
          <cell r="AS161">
            <v>45320</v>
          </cell>
          <cell r="AT161">
            <v>247</v>
          </cell>
          <cell r="AU161" t="str">
            <v>VMAROMAC</v>
          </cell>
        </row>
        <row r="162">
          <cell r="C162">
            <v>605665</v>
          </cell>
          <cell r="D162" t="str">
            <v>BARRIOS CACERES BRISA DANIELA</v>
          </cell>
          <cell r="E162" t="str">
            <v>08:00 - 14:00</v>
          </cell>
          <cell r="F162" t="str">
            <v>MAÑANA</v>
          </cell>
          <cell r="G162" t="str">
            <v>JUE Y SAB</v>
          </cell>
          <cell r="H162" t="str">
            <v>GOYECHEA, AGUSTINA LOURDES</v>
          </cell>
          <cell r="I162" t="str">
            <v>Romandetto Carlos</v>
          </cell>
          <cell r="J162"/>
          <cell r="K162"/>
          <cell r="L162" t="str">
            <v>x</v>
          </cell>
          <cell r="M162" t="str">
            <v>x</v>
          </cell>
          <cell r="N162" t="str">
            <v>x</v>
          </cell>
          <cell r="O162"/>
          <cell r="P162"/>
          <cell r="Q162" t="str">
            <v>x</v>
          </cell>
          <cell r="R162" t="str">
            <v>x</v>
          </cell>
          <cell r="S162" t="str">
            <v>x</v>
          </cell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 t="str">
            <v>x</v>
          </cell>
          <cell r="AO162"/>
          <cell r="AP162" t="str">
            <v>x</v>
          </cell>
          <cell r="AQ162">
            <v>45125</v>
          </cell>
          <cell r="AR162">
            <v>442</v>
          </cell>
          <cell r="AS162">
            <v>45338</v>
          </cell>
          <cell r="AT162">
            <v>229</v>
          </cell>
          <cell r="AU162" t="str">
            <v>VMABRBAR</v>
          </cell>
        </row>
        <row r="163">
          <cell r="C163">
            <v>605668</v>
          </cell>
          <cell r="D163" t="str">
            <v>LEMOS MARIA DE LOS ANGELES</v>
          </cell>
          <cell r="E163" t="str">
            <v>12:00 - 18:00</v>
          </cell>
          <cell r="F163" t="str">
            <v>TARDE</v>
          </cell>
          <cell r="G163" t="str">
            <v>SAB Y DOM</v>
          </cell>
          <cell r="H163" t="str">
            <v>GOYECHEA, AGUSTINA LOURDES</v>
          </cell>
          <cell r="I163" t="str">
            <v>Romandetto Carlos</v>
          </cell>
          <cell r="J163"/>
          <cell r="K163"/>
          <cell r="L163" t="str">
            <v>x</v>
          </cell>
          <cell r="M163" t="str">
            <v>x</v>
          </cell>
          <cell r="N163" t="str">
            <v>x</v>
          </cell>
          <cell r="O163"/>
          <cell r="P163"/>
          <cell r="Q163"/>
          <cell r="R163" t="str">
            <v>x</v>
          </cell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 t="str">
            <v>x</v>
          </cell>
          <cell r="AO163" t="str">
            <v>x</v>
          </cell>
          <cell r="AP163"/>
          <cell r="AQ163">
            <v>45125</v>
          </cell>
          <cell r="AR163">
            <v>442</v>
          </cell>
          <cell r="AS163">
            <v>45169</v>
          </cell>
          <cell r="AT163">
            <v>398</v>
          </cell>
          <cell r="AU163" t="str">
            <v>VMAMALEM</v>
          </cell>
        </row>
        <row r="164">
          <cell r="C164">
            <v>605669</v>
          </cell>
          <cell r="D164" t="str">
            <v>MAKOWSKI CAÑETE MILAGROS</v>
          </cell>
          <cell r="E164" t="str">
            <v>09:00 - 15:00</v>
          </cell>
          <cell r="F164" t="str">
            <v>MAÑANA</v>
          </cell>
          <cell r="G164" t="str">
            <v>SAB Y DOM</v>
          </cell>
          <cell r="H164" t="str">
            <v>ROBLEDO, LEANDRO JAVIER</v>
          </cell>
          <cell r="I164" t="str">
            <v>Romandetto Carlos</v>
          </cell>
          <cell r="J164"/>
          <cell r="K164"/>
          <cell r="L164" t="str">
            <v>x</v>
          </cell>
          <cell r="M164" t="str">
            <v>x</v>
          </cell>
          <cell r="N164" t="str">
            <v>x</v>
          </cell>
          <cell r="O164"/>
          <cell r="P164"/>
          <cell r="Q164" t="str">
            <v>x</v>
          </cell>
          <cell r="R164" t="str">
            <v>x</v>
          </cell>
          <cell r="S164" t="str">
            <v>x</v>
          </cell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 t="str">
            <v>x</v>
          </cell>
          <cell r="AO164"/>
          <cell r="AP164" t="str">
            <v>x</v>
          </cell>
          <cell r="AQ164">
            <v>45125</v>
          </cell>
          <cell r="AR164">
            <v>442</v>
          </cell>
          <cell r="AS164">
            <v>45338</v>
          </cell>
          <cell r="AT164">
            <v>229</v>
          </cell>
          <cell r="AU164" t="str">
            <v>VMAMIMAK</v>
          </cell>
        </row>
        <row r="165">
          <cell r="C165">
            <v>605670</v>
          </cell>
          <cell r="D165" t="str">
            <v>MUÑOZ NOELIA</v>
          </cell>
          <cell r="E165" t="str">
            <v>09:00 - 15:00</v>
          </cell>
          <cell r="F165" t="str">
            <v>MAÑANA</v>
          </cell>
          <cell r="G165" t="str">
            <v>MIE Y DOM</v>
          </cell>
          <cell r="H165" t="str">
            <v>ROBLEDO, LEANDRO JAVIER</v>
          </cell>
          <cell r="I165" t="str">
            <v>Romandetto Carlos</v>
          </cell>
          <cell r="J165"/>
          <cell r="K165"/>
          <cell r="L165" t="str">
            <v>x</v>
          </cell>
          <cell r="M165" t="str">
            <v>x</v>
          </cell>
          <cell r="N165" t="str">
            <v>x</v>
          </cell>
          <cell r="O165"/>
          <cell r="P165"/>
          <cell r="Q165" t="str">
            <v>x</v>
          </cell>
          <cell r="R165" t="str">
            <v>x</v>
          </cell>
          <cell r="S165" t="str">
            <v>x</v>
          </cell>
          <cell r="T165" t="str">
            <v>x</v>
          </cell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 t="str">
            <v>x</v>
          </cell>
          <cell r="AO165"/>
          <cell r="AP165" t="str">
            <v>x</v>
          </cell>
          <cell r="AQ165">
            <v>45125</v>
          </cell>
          <cell r="AR165">
            <v>442</v>
          </cell>
          <cell r="AS165">
            <v>45320</v>
          </cell>
          <cell r="AT165">
            <v>247</v>
          </cell>
          <cell r="AU165" t="str">
            <v>VMANOMUN</v>
          </cell>
        </row>
        <row r="166">
          <cell r="C166">
            <v>605694</v>
          </cell>
          <cell r="D166" t="str">
            <v>GILLES MORENA</v>
          </cell>
          <cell r="E166" t="str">
            <v>14:00 - 20:00</v>
          </cell>
          <cell r="F166" t="str">
            <v>TARDE</v>
          </cell>
          <cell r="G166" t="str">
            <v>SAB Y DOM</v>
          </cell>
          <cell r="H166" t="str">
            <v>ROJAS, LUCAS</v>
          </cell>
          <cell r="I166" t="str">
            <v>Romandetto Carlos</v>
          </cell>
          <cell r="J166"/>
          <cell r="K166"/>
          <cell r="L166" t="str">
            <v>x</v>
          </cell>
          <cell r="M166" t="str">
            <v>x</v>
          </cell>
          <cell r="N166" t="str">
            <v>x</v>
          </cell>
          <cell r="O166"/>
          <cell r="P166"/>
          <cell r="Q166" t="str">
            <v>x</v>
          </cell>
          <cell r="R166" t="str">
            <v>x</v>
          </cell>
          <cell r="S166" t="str">
            <v>x</v>
          </cell>
          <cell r="T166" t="str">
            <v>x</v>
          </cell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 t="str">
            <v>x</v>
          </cell>
          <cell r="AO166"/>
          <cell r="AP166" t="str">
            <v>x</v>
          </cell>
          <cell r="AQ166">
            <v>45125</v>
          </cell>
          <cell r="AR166">
            <v>442</v>
          </cell>
          <cell r="AS166">
            <v>45320</v>
          </cell>
          <cell r="AT166">
            <v>247</v>
          </cell>
          <cell r="AU166" t="str">
            <v>VMAMOGIL</v>
          </cell>
        </row>
        <row r="167">
          <cell r="C167">
            <v>605762</v>
          </cell>
          <cell r="D167" t="str">
            <v>VALDEZ GAMARRA NAHUEL</v>
          </cell>
          <cell r="E167" t="str">
            <v>16:00 - 22:00</v>
          </cell>
          <cell r="F167" t="str">
            <v>TARDE</v>
          </cell>
          <cell r="G167" t="str">
            <v>MIE Y DOM</v>
          </cell>
          <cell r="H167" t="str">
            <v>MIR, TOMAS MAURICIO</v>
          </cell>
          <cell r="I167" t="str">
            <v>Romandetto Carlos</v>
          </cell>
          <cell r="J167"/>
          <cell r="K167"/>
          <cell r="L167" t="str">
            <v>x</v>
          </cell>
          <cell r="M167" t="str">
            <v>x</v>
          </cell>
          <cell r="N167" t="str">
            <v>x</v>
          </cell>
          <cell r="O167"/>
          <cell r="P167"/>
          <cell r="Q167"/>
          <cell r="R167" t="str">
            <v>x</v>
          </cell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 t="str">
            <v>x</v>
          </cell>
          <cell r="AO167" t="str">
            <v>x</v>
          </cell>
          <cell r="AP167"/>
          <cell r="AQ167">
            <v>45125</v>
          </cell>
          <cell r="AR167">
            <v>442</v>
          </cell>
          <cell r="AS167">
            <v>45169</v>
          </cell>
          <cell r="AT167">
            <v>398</v>
          </cell>
          <cell r="AU167" t="str">
            <v>VMANAVAL</v>
          </cell>
        </row>
        <row r="168">
          <cell r="C168">
            <v>605763</v>
          </cell>
          <cell r="D168" t="str">
            <v>FRAGA NICOLAS</v>
          </cell>
          <cell r="E168" t="str">
            <v>14:00 - 20:00</v>
          </cell>
          <cell r="F168" t="str">
            <v>TARDE</v>
          </cell>
          <cell r="G168" t="str">
            <v>SAB Y DOM</v>
          </cell>
          <cell r="H168" t="str">
            <v>ROJAS, LUCAS</v>
          </cell>
          <cell r="I168" t="str">
            <v>Romandetto Carlos</v>
          </cell>
          <cell r="J168"/>
          <cell r="K168"/>
          <cell r="L168" t="str">
            <v>x</v>
          </cell>
          <cell r="M168" t="str">
            <v>x</v>
          </cell>
          <cell r="N168" t="str">
            <v>x</v>
          </cell>
          <cell r="O168"/>
          <cell r="P168"/>
          <cell r="Q168" t="str">
            <v>x</v>
          </cell>
          <cell r="R168" t="str">
            <v>x</v>
          </cell>
          <cell r="S168" t="str">
            <v>x</v>
          </cell>
          <cell r="T168" t="str">
            <v>x</v>
          </cell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 t="str">
            <v>x</v>
          </cell>
          <cell r="AO168"/>
          <cell r="AP168" t="str">
            <v>x</v>
          </cell>
          <cell r="AQ168">
            <v>45125</v>
          </cell>
          <cell r="AR168">
            <v>442</v>
          </cell>
          <cell r="AS168">
            <v>45320</v>
          </cell>
          <cell r="AT168">
            <v>247</v>
          </cell>
          <cell r="AU168" t="str">
            <v>VMANIFRA</v>
          </cell>
        </row>
        <row r="169">
          <cell r="C169">
            <v>605818</v>
          </cell>
          <cell r="D169" t="str">
            <v>DUCHANDU ROMINA</v>
          </cell>
          <cell r="E169" t="str">
            <v>16:00 - 22:00</v>
          </cell>
          <cell r="F169" t="str">
            <v>TARDE</v>
          </cell>
          <cell r="G169" t="str">
            <v>MIE Y DOM</v>
          </cell>
          <cell r="H169" t="str">
            <v>GARZON, ROCIO BELEN</v>
          </cell>
          <cell r="I169" t="str">
            <v>Romandetto Carlos</v>
          </cell>
          <cell r="J169"/>
          <cell r="K169"/>
          <cell r="L169" t="str">
            <v>x</v>
          </cell>
          <cell r="M169" t="str">
            <v>x</v>
          </cell>
          <cell r="N169" t="str">
            <v>x</v>
          </cell>
          <cell r="O169"/>
          <cell r="P169"/>
          <cell r="Q169" t="str">
            <v>x</v>
          </cell>
          <cell r="R169" t="str">
            <v>x</v>
          </cell>
          <cell r="S169" t="str">
            <v>x</v>
          </cell>
          <cell r="T169" t="str">
            <v>x</v>
          </cell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 t="str">
            <v>x</v>
          </cell>
          <cell r="AO169"/>
          <cell r="AP169" t="str">
            <v>x</v>
          </cell>
          <cell r="AQ169">
            <v>45125</v>
          </cell>
          <cell r="AR169">
            <v>442</v>
          </cell>
          <cell r="AS169">
            <v>45320</v>
          </cell>
          <cell r="AT169">
            <v>247</v>
          </cell>
          <cell r="AU169" t="str">
            <v>VMARODUC</v>
          </cell>
        </row>
        <row r="170">
          <cell r="C170">
            <v>606278</v>
          </cell>
          <cell r="D170" t="str">
            <v>MEJIAS ARO YUDALY</v>
          </cell>
          <cell r="E170" t="str">
            <v>08:00 - 14:00</v>
          </cell>
          <cell r="F170" t="str">
            <v>MAÑANA</v>
          </cell>
          <cell r="G170" t="str">
            <v>VIE Y DOM</v>
          </cell>
          <cell r="H170" t="str">
            <v>GOYECHEA, AGUSTINA LOURDES</v>
          </cell>
          <cell r="I170" t="str">
            <v>Romandetto Carlos</v>
          </cell>
          <cell r="J170"/>
          <cell r="K170"/>
          <cell r="L170" t="str">
            <v>x</v>
          </cell>
          <cell r="M170" t="str">
            <v>x</v>
          </cell>
          <cell r="N170" t="str">
            <v>x</v>
          </cell>
          <cell r="O170"/>
          <cell r="P170"/>
          <cell r="Q170" t="str">
            <v>x</v>
          </cell>
          <cell r="R170" t="str">
            <v>x</v>
          </cell>
          <cell r="S170" t="str">
            <v>x</v>
          </cell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 t="str">
            <v>x</v>
          </cell>
          <cell r="AO170"/>
          <cell r="AP170" t="str">
            <v>x</v>
          </cell>
          <cell r="AQ170">
            <v>45154</v>
          </cell>
          <cell r="AR170">
            <v>413</v>
          </cell>
          <cell r="AS170">
            <v>45338</v>
          </cell>
          <cell r="AT170">
            <v>229</v>
          </cell>
          <cell r="AU170" t="str">
            <v>VMAYUMEJ</v>
          </cell>
        </row>
        <row r="171">
          <cell r="C171">
            <v>606287</v>
          </cell>
          <cell r="D171" t="str">
            <v>ARIAS FRANCO</v>
          </cell>
          <cell r="E171" t="str">
            <v>08:00 - 14:00</v>
          </cell>
          <cell r="F171" t="str">
            <v>MAÑANA</v>
          </cell>
          <cell r="G171" t="str">
            <v>SAB Y DOM</v>
          </cell>
          <cell r="H171" t="str">
            <v>GOYECHEA, AGUSTINA LOURDES</v>
          </cell>
          <cell r="I171" t="str">
            <v>Romandetto Carlos</v>
          </cell>
          <cell r="J171"/>
          <cell r="K171"/>
          <cell r="L171" t="str">
            <v>x</v>
          </cell>
          <cell r="M171" t="str">
            <v>x</v>
          </cell>
          <cell r="N171" t="str">
            <v>x</v>
          </cell>
          <cell r="O171"/>
          <cell r="P171"/>
          <cell r="Q171" t="str">
            <v>x</v>
          </cell>
          <cell r="R171" t="str">
            <v>x</v>
          </cell>
          <cell r="S171" t="str">
            <v>x</v>
          </cell>
          <cell r="T171" t="str">
            <v>x</v>
          </cell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 t="str">
            <v>x</v>
          </cell>
          <cell r="AO171"/>
          <cell r="AP171" t="str">
            <v>x</v>
          </cell>
          <cell r="AQ171">
            <v>45154</v>
          </cell>
          <cell r="AR171">
            <v>413</v>
          </cell>
          <cell r="AS171">
            <v>45394</v>
          </cell>
          <cell r="AT171">
            <v>173</v>
          </cell>
          <cell r="AU171" t="str">
            <v>VMAFRAAR</v>
          </cell>
        </row>
        <row r="172">
          <cell r="C172">
            <v>606296</v>
          </cell>
          <cell r="D172" t="str">
            <v>PALACIOS MAURA</v>
          </cell>
          <cell r="E172" t="str">
            <v>10:00 - 16:00</v>
          </cell>
          <cell r="F172" t="str">
            <v>MAÑANA</v>
          </cell>
          <cell r="G172" t="str">
            <v>JUE Y SAB</v>
          </cell>
          <cell r="H172" t="str">
            <v>ROBLEDO, LEANDRO JAVIER</v>
          </cell>
          <cell r="I172" t="str">
            <v>Romandetto Carlos</v>
          </cell>
          <cell r="J172"/>
          <cell r="K172"/>
          <cell r="L172" t="str">
            <v>x</v>
          </cell>
          <cell r="M172" t="str">
            <v>x</v>
          </cell>
          <cell r="N172" t="str">
            <v>x</v>
          </cell>
          <cell r="O172"/>
          <cell r="P172"/>
          <cell r="Q172" t="str">
            <v>x</v>
          </cell>
          <cell r="R172" t="str">
            <v>x</v>
          </cell>
          <cell r="S172" t="str">
            <v>x</v>
          </cell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 t="str">
            <v>x</v>
          </cell>
          <cell r="AO172"/>
          <cell r="AP172" t="str">
            <v>x</v>
          </cell>
          <cell r="AQ172">
            <v>45154</v>
          </cell>
          <cell r="AR172">
            <v>413</v>
          </cell>
          <cell r="AS172">
            <v>45338</v>
          </cell>
          <cell r="AT172">
            <v>229</v>
          </cell>
          <cell r="AU172" t="str">
            <v>VMAMAUPA</v>
          </cell>
        </row>
        <row r="173">
          <cell r="C173">
            <v>606300</v>
          </cell>
          <cell r="D173" t="str">
            <v>GONZALEZ GONZALO</v>
          </cell>
          <cell r="E173" t="str">
            <v>06:00 - 12:00</v>
          </cell>
          <cell r="F173" t="str">
            <v>MAÑANA</v>
          </cell>
          <cell r="G173" t="str">
            <v>SAB Y DOM</v>
          </cell>
          <cell r="H173" t="str">
            <v>VILLALBA, MAITEN</v>
          </cell>
          <cell r="I173" t="str">
            <v>Romandetto Carlos</v>
          </cell>
          <cell r="J173"/>
          <cell r="K173"/>
          <cell r="L173" t="str">
            <v>x</v>
          </cell>
          <cell r="M173" t="str">
            <v>x</v>
          </cell>
          <cell r="N173" t="str">
            <v>x</v>
          </cell>
          <cell r="O173"/>
          <cell r="P173"/>
          <cell r="Q173" t="str">
            <v>x</v>
          </cell>
          <cell r="R173" t="str">
            <v>x</v>
          </cell>
          <cell r="S173" t="str">
            <v>x</v>
          </cell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 t="str">
            <v>x</v>
          </cell>
          <cell r="AO173"/>
          <cell r="AP173" t="str">
            <v>x</v>
          </cell>
          <cell r="AQ173">
            <v>45154</v>
          </cell>
          <cell r="AR173">
            <v>413</v>
          </cell>
          <cell r="AS173">
            <v>45338</v>
          </cell>
          <cell r="AT173">
            <v>229</v>
          </cell>
          <cell r="AU173" t="str">
            <v>VMAGOGON</v>
          </cell>
        </row>
        <row r="174">
          <cell r="C174">
            <v>606349</v>
          </cell>
          <cell r="D174" t="str">
            <v>ROMERO FRANCO</v>
          </cell>
          <cell r="E174" t="str">
            <v>08:00 - 14:00</v>
          </cell>
          <cell r="F174" t="str">
            <v>MAÑANA</v>
          </cell>
          <cell r="G174" t="str">
            <v>VIE Y DOM</v>
          </cell>
          <cell r="H174" t="str">
            <v>VILLALBA, MAITEN</v>
          </cell>
          <cell r="I174" t="str">
            <v>Romandetto Carlos</v>
          </cell>
          <cell r="J174"/>
          <cell r="K174"/>
          <cell r="L174" t="str">
            <v>x</v>
          </cell>
          <cell r="M174" t="str">
            <v>x</v>
          </cell>
          <cell r="N174" t="str">
            <v>x</v>
          </cell>
          <cell r="O174"/>
          <cell r="P174"/>
          <cell r="Q174" t="str">
            <v>x</v>
          </cell>
          <cell r="R174" t="str">
            <v>x</v>
          </cell>
          <cell r="S174" t="str">
            <v>x</v>
          </cell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 t="str">
            <v>x</v>
          </cell>
          <cell r="AO174"/>
          <cell r="AP174" t="str">
            <v>x</v>
          </cell>
          <cell r="AQ174">
            <v>45154</v>
          </cell>
          <cell r="AR174">
            <v>413</v>
          </cell>
          <cell r="AS174">
            <v>45338</v>
          </cell>
          <cell r="AT174">
            <v>229</v>
          </cell>
          <cell r="AU174" t="str">
            <v>VMAFRROM</v>
          </cell>
        </row>
        <row r="175">
          <cell r="C175">
            <v>606306</v>
          </cell>
          <cell r="D175" t="str">
            <v>MOSQUEIRA HERNAN FEDERICO</v>
          </cell>
          <cell r="E175" t="str">
            <v>11:00 - 17:00</v>
          </cell>
          <cell r="F175" t="str">
            <v>MAÑANA</v>
          </cell>
          <cell r="G175" t="str">
            <v>SAB Y DOM</v>
          </cell>
          <cell r="H175" t="str">
            <v>DIAZ, PAULA</v>
          </cell>
          <cell r="I175" t="str">
            <v>Romandetto Carlos</v>
          </cell>
          <cell r="J175"/>
          <cell r="K175"/>
          <cell r="L175" t="str">
            <v>x</v>
          </cell>
          <cell r="M175" t="str">
            <v>x</v>
          </cell>
          <cell r="N175" t="str">
            <v>x</v>
          </cell>
          <cell r="O175"/>
          <cell r="P175"/>
          <cell r="Q175"/>
          <cell r="R175" t="str">
            <v>x</v>
          </cell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 t="str">
            <v>x</v>
          </cell>
          <cell r="AO175" t="str">
            <v>x</v>
          </cell>
          <cell r="AP175"/>
          <cell r="AQ175">
            <v>45154</v>
          </cell>
          <cell r="AR175">
            <v>413</v>
          </cell>
          <cell r="AS175">
            <v>45198</v>
          </cell>
          <cell r="AT175">
            <v>369</v>
          </cell>
          <cell r="AU175" t="str">
            <v>VMAFEMOS</v>
          </cell>
        </row>
        <row r="176">
          <cell r="C176">
            <v>606309</v>
          </cell>
          <cell r="D176" t="str">
            <v>DONZELLI ANGELICA</v>
          </cell>
          <cell r="E176" t="str">
            <v>15:00 - 21:00</v>
          </cell>
          <cell r="F176" t="str">
            <v>TARDE</v>
          </cell>
          <cell r="G176" t="str">
            <v>SAB Y DOM</v>
          </cell>
          <cell r="H176" t="str">
            <v>ROBLEDO, LEANDRO JAVIER</v>
          </cell>
          <cell r="I176" t="str">
            <v>Romandetto Carlos</v>
          </cell>
          <cell r="J176"/>
          <cell r="K176"/>
          <cell r="L176" t="str">
            <v>x</v>
          </cell>
          <cell r="M176" t="str">
            <v>x</v>
          </cell>
          <cell r="N176" t="str">
            <v>x</v>
          </cell>
          <cell r="O176"/>
          <cell r="P176"/>
          <cell r="Q176" t="str">
            <v>x</v>
          </cell>
          <cell r="R176" t="str">
            <v>x</v>
          </cell>
          <cell r="S176" t="str">
            <v>x</v>
          </cell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 t="str">
            <v>x</v>
          </cell>
          <cell r="AO176"/>
          <cell r="AP176" t="str">
            <v>x</v>
          </cell>
          <cell r="AQ176">
            <v>45154</v>
          </cell>
          <cell r="AR176">
            <v>413</v>
          </cell>
          <cell r="AS176">
            <v>45338</v>
          </cell>
          <cell r="AT176">
            <v>229</v>
          </cell>
          <cell r="AU176" t="str">
            <v>VMAANDON</v>
          </cell>
        </row>
        <row r="177">
          <cell r="C177">
            <v>606315</v>
          </cell>
          <cell r="D177" t="str">
            <v>MAMANI EVELIN ARAZELY</v>
          </cell>
          <cell r="E177" t="str">
            <v>09:00 - 15:00</v>
          </cell>
          <cell r="F177" t="str">
            <v>MAÑANA</v>
          </cell>
          <cell r="G177" t="str">
            <v>MIE Y SAB</v>
          </cell>
          <cell r="H177" t="str">
            <v>VILLALBA, MAITEN</v>
          </cell>
          <cell r="I177" t="str">
            <v>Romandetto Carlos</v>
          </cell>
          <cell r="J177"/>
          <cell r="K177"/>
          <cell r="L177" t="str">
            <v>x</v>
          </cell>
          <cell r="M177" t="str">
            <v>x</v>
          </cell>
          <cell r="N177" t="str">
            <v>x</v>
          </cell>
          <cell r="O177"/>
          <cell r="P177"/>
          <cell r="Q177" t="str">
            <v>x</v>
          </cell>
          <cell r="R177" t="str">
            <v>x</v>
          </cell>
          <cell r="S177" t="str">
            <v>x</v>
          </cell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 t="str">
            <v>x</v>
          </cell>
          <cell r="AO177"/>
          <cell r="AP177" t="str">
            <v>x</v>
          </cell>
          <cell r="AQ177">
            <v>45154</v>
          </cell>
          <cell r="AR177">
            <v>413</v>
          </cell>
          <cell r="AS177">
            <v>45338</v>
          </cell>
          <cell r="AT177">
            <v>229</v>
          </cell>
          <cell r="AU177" t="str">
            <v>VMAEVMAM</v>
          </cell>
        </row>
        <row r="178">
          <cell r="C178">
            <v>606317</v>
          </cell>
          <cell r="D178" t="str">
            <v>ROJAS MATIAS</v>
          </cell>
          <cell r="E178" t="str">
            <v>09:00 - 15:00</v>
          </cell>
          <cell r="F178" t="str">
            <v>MAÑANA</v>
          </cell>
          <cell r="G178" t="str">
            <v>SAB Y DOM</v>
          </cell>
          <cell r="H178" t="str">
            <v>ROBLEDO, LEANDRO JAVIER</v>
          </cell>
          <cell r="I178" t="str">
            <v>Romandetto Carlos</v>
          </cell>
          <cell r="J178"/>
          <cell r="K178"/>
          <cell r="L178" t="str">
            <v>x</v>
          </cell>
          <cell r="M178" t="str">
            <v>x</v>
          </cell>
          <cell r="N178" t="str">
            <v>x</v>
          </cell>
          <cell r="O178"/>
          <cell r="P178"/>
          <cell r="Q178"/>
          <cell r="R178" t="str">
            <v>x</v>
          </cell>
          <cell r="S178"/>
          <cell r="T178"/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 t="str">
            <v>x</v>
          </cell>
          <cell r="AO178" t="str">
            <v>x</v>
          </cell>
          <cell r="AP178"/>
          <cell r="AQ178">
            <v>45154</v>
          </cell>
          <cell r="AR178">
            <v>413</v>
          </cell>
          <cell r="AS178">
            <v>45198</v>
          </cell>
          <cell r="AT178">
            <v>369</v>
          </cell>
          <cell r="AU178" t="str">
            <v>VMASEROJ</v>
          </cell>
        </row>
        <row r="179">
          <cell r="C179">
            <v>606054</v>
          </cell>
          <cell r="D179" t="str">
            <v>ROJAS ROCIO LUMILA</v>
          </cell>
          <cell r="E179" t="str">
            <v>08:00 - 14:00</v>
          </cell>
          <cell r="F179" t="str">
            <v>MAÑANA</v>
          </cell>
          <cell r="G179" t="str">
            <v>SAB Y DOM</v>
          </cell>
          <cell r="H179" t="str">
            <v>VILLALBA, MAITEN</v>
          </cell>
          <cell r="I179" t="str">
            <v>Romandetto Carlos</v>
          </cell>
          <cell r="J179"/>
          <cell r="K179"/>
          <cell r="L179" t="str">
            <v>x</v>
          </cell>
          <cell r="M179" t="str">
            <v>x</v>
          </cell>
          <cell r="N179" t="str">
            <v>x</v>
          </cell>
          <cell r="O179"/>
          <cell r="P179"/>
          <cell r="Q179" t="str">
            <v>x</v>
          </cell>
          <cell r="R179" t="str">
            <v>x</v>
          </cell>
          <cell r="S179" t="str">
            <v>x</v>
          </cell>
          <cell r="T179" t="str">
            <v>x</v>
          </cell>
          <cell r="U179"/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 t="str">
            <v>x</v>
          </cell>
          <cell r="AO179"/>
          <cell r="AP179" t="str">
            <v>x</v>
          </cell>
          <cell r="AQ179">
            <v>45154</v>
          </cell>
          <cell r="AR179">
            <v>413</v>
          </cell>
          <cell r="AS179">
            <v>45324</v>
          </cell>
          <cell r="AT179">
            <v>243</v>
          </cell>
          <cell r="AU179" t="str">
            <v>VMAROROJ</v>
          </cell>
        </row>
        <row r="180">
          <cell r="C180">
            <v>605642</v>
          </cell>
          <cell r="D180" t="str">
            <v>LEITO DOMINGUEZ JONATHAN</v>
          </cell>
          <cell r="E180" t="str">
            <v>09:00 - 15:00</v>
          </cell>
          <cell r="F180" t="str">
            <v>MAÑANA</v>
          </cell>
          <cell r="G180" t="str">
            <v>JUE Y SAB</v>
          </cell>
          <cell r="H180" t="str">
            <v>VILLALBA, MAITEN</v>
          </cell>
          <cell r="I180" t="str">
            <v>Romandetto Carlos</v>
          </cell>
          <cell r="J180"/>
          <cell r="K180"/>
          <cell r="L180" t="str">
            <v>x</v>
          </cell>
          <cell r="M180" t="str">
            <v>x</v>
          </cell>
          <cell r="N180" t="str">
            <v>x</v>
          </cell>
          <cell r="O180"/>
          <cell r="P180"/>
          <cell r="Q180" t="str">
            <v>x</v>
          </cell>
          <cell r="R180" t="str">
            <v>x</v>
          </cell>
          <cell r="S180" t="str">
            <v>x</v>
          </cell>
          <cell r="T180"/>
          <cell r="U180"/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/>
          <cell r="AI180"/>
          <cell r="AJ180"/>
          <cell r="AK180"/>
          <cell r="AL180"/>
          <cell r="AM180"/>
          <cell r="AN180" t="str">
            <v>x</v>
          </cell>
          <cell r="AO180"/>
          <cell r="AP180" t="str">
            <v>x</v>
          </cell>
          <cell r="AQ180">
            <v>45154</v>
          </cell>
          <cell r="AR180">
            <v>413</v>
          </cell>
          <cell r="AS180">
            <v>45338</v>
          </cell>
          <cell r="AT180">
            <v>229</v>
          </cell>
          <cell r="AU180" t="str">
            <v>VMAJOLEI</v>
          </cell>
        </row>
        <row r="181">
          <cell r="C181">
            <v>606058</v>
          </cell>
          <cell r="D181" t="str">
            <v>PEREZ LOURDES</v>
          </cell>
          <cell r="E181" t="str">
            <v>16:00 - 22:00</v>
          </cell>
          <cell r="F181" t="str">
            <v>TARDE</v>
          </cell>
          <cell r="G181" t="str">
            <v>SAB Y DOM</v>
          </cell>
          <cell r="H181" t="str">
            <v>MIR, TOMAS MAURICIO</v>
          </cell>
          <cell r="I181" t="str">
            <v>Romandetto Carlos</v>
          </cell>
          <cell r="J181"/>
          <cell r="K181"/>
          <cell r="L181" t="str">
            <v>x</v>
          </cell>
          <cell r="M181" t="str">
            <v>x</v>
          </cell>
          <cell r="N181" t="str">
            <v>x</v>
          </cell>
          <cell r="O181"/>
          <cell r="P181"/>
          <cell r="Q181" t="str">
            <v>x</v>
          </cell>
          <cell r="R181" t="str">
            <v>x</v>
          </cell>
          <cell r="S181" t="str">
            <v>x</v>
          </cell>
          <cell r="T181" t="str">
            <v>x</v>
          </cell>
          <cell r="U181"/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/>
          <cell r="AG181"/>
          <cell r="AH181"/>
          <cell r="AI181"/>
          <cell r="AJ181"/>
          <cell r="AK181"/>
          <cell r="AL181"/>
          <cell r="AM181"/>
          <cell r="AN181" t="str">
            <v>x</v>
          </cell>
          <cell r="AO181"/>
          <cell r="AP181" t="str">
            <v>x</v>
          </cell>
          <cell r="AQ181">
            <v>45154</v>
          </cell>
          <cell r="AR181">
            <v>413</v>
          </cell>
          <cell r="AS181">
            <v>45324</v>
          </cell>
          <cell r="AT181">
            <v>243</v>
          </cell>
          <cell r="AU181" t="str">
            <v>VMALOPER</v>
          </cell>
        </row>
        <row r="182">
          <cell r="C182">
            <v>606210</v>
          </cell>
          <cell r="D182" t="str">
            <v>CANTEROS JOHANNA ANAHI</v>
          </cell>
          <cell r="E182" t="str">
            <v>16:00 - 22:00</v>
          </cell>
          <cell r="F182" t="str">
            <v>TARDE</v>
          </cell>
          <cell r="G182" t="str">
            <v>SAB Y DOM</v>
          </cell>
          <cell r="H182" t="str">
            <v>MIR, TOMAS MAURICIO</v>
          </cell>
          <cell r="I182" t="str">
            <v>Romandetto Carlos</v>
          </cell>
          <cell r="J182"/>
          <cell r="K182"/>
          <cell r="L182" t="str">
            <v>x</v>
          </cell>
          <cell r="M182" t="str">
            <v>x</v>
          </cell>
          <cell r="N182" t="str">
            <v>x</v>
          </cell>
          <cell r="O182"/>
          <cell r="P182"/>
          <cell r="Q182"/>
          <cell r="R182" t="str">
            <v>x</v>
          </cell>
          <cell r="S182"/>
          <cell r="T182"/>
          <cell r="U182"/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 t="str">
            <v>x</v>
          </cell>
          <cell r="AO182" t="str">
            <v>x</v>
          </cell>
          <cell r="AP182"/>
          <cell r="AQ182">
            <v>45154</v>
          </cell>
          <cell r="AR182">
            <v>413</v>
          </cell>
          <cell r="AS182">
            <v>45198</v>
          </cell>
          <cell r="AT182">
            <v>369</v>
          </cell>
          <cell r="AU182" t="str">
            <v>VMAJOCAN</v>
          </cell>
        </row>
        <row r="183">
          <cell r="C183">
            <v>606262</v>
          </cell>
          <cell r="D183" t="str">
            <v>COSTANTINI ANDRES IVAN</v>
          </cell>
          <cell r="E183" t="str">
            <v>14:00 - 20:00</v>
          </cell>
          <cell r="F183" t="str">
            <v>TARDE</v>
          </cell>
          <cell r="G183" t="str">
            <v>JUE Y DOM</v>
          </cell>
          <cell r="H183" t="str">
            <v>GOMEZ, SASHA</v>
          </cell>
          <cell r="I183" t="str">
            <v>Romandetto Carlos</v>
          </cell>
          <cell r="J183"/>
          <cell r="K183"/>
          <cell r="L183" t="str">
            <v>x</v>
          </cell>
          <cell r="M183" t="str">
            <v>x</v>
          </cell>
          <cell r="N183" t="str">
            <v>x</v>
          </cell>
          <cell r="O183" t="str">
            <v>x</v>
          </cell>
          <cell r="P183"/>
          <cell r="Q183"/>
          <cell r="R183" t="str">
            <v>x</v>
          </cell>
          <cell r="S183"/>
          <cell r="T183"/>
          <cell r="U183"/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 t="str">
            <v>x</v>
          </cell>
          <cell r="AO183" t="str">
            <v>x</v>
          </cell>
          <cell r="AP183"/>
          <cell r="AQ183">
            <v>45154</v>
          </cell>
          <cell r="AR183">
            <v>413</v>
          </cell>
          <cell r="AS183">
            <v>45373</v>
          </cell>
          <cell r="AT183">
            <v>194</v>
          </cell>
          <cell r="AU183" t="str">
            <v>VMAANCOS</v>
          </cell>
        </row>
        <row r="184">
          <cell r="C184">
            <v>606264</v>
          </cell>
          <cell r="D184" t="str">
            <v>ACOSTA SEBASTIAN</v>
          </cell>
          <cell r="E184" t="str">
            <v>14:00 - 20:00</v>
          </cell>
          <cell r="F184" t="str">
            <v>TARDE</v>
          </cell>
          <cell r="G184" t="str">
            <v>SAB Y DOM</v>
          </cell>
          <cell r="H184" t="str">
            <v>ROJAS, LUCAS</v>
          </cell>
          <cell r="I184" t="str">
            <v>Romandetto Carlos</v>
          </cell>
          <cell r="J184"/>
          <cell r="K184"/>
          <cell r="L184" t="str">
            <v>x</v>
          </cell>
          <cell r="M184" t="str">
            <v>x</v>
          </cell>
          <cell r="N184" t="str">
            <v>x</v>
          </cell>
          <cell r="O184"/>
          <cell r="P184"/>
          <cell r="Q184"/>
          <cell r="R184" t="str">
            <v>x</v>
          </cell>
          <cell r="S184"/>
          <cell r="T184"/>
          <cell r="U184"/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 t="str">
            <v>x</v>
          </cell>
          <cell r="AO184" t="str">
            <v>x</v>
          </cell>
          <cell r="AP184"/>
          <cell r="AQ184">
            <v>45154</v>
          </cell>
          <cell r="AR184">
            <v>413</v>
          </cell>
          <cell r="AS184">
            <v>45198</v>
          </cell>
          <cell r="AT184">
            <v>369</v>
          </cell>
          <cell r="AU184" t="str">
            <v>VMASEACO</v>
          </cell>
        </row>
        <row r="185">
          <cell r="C185">
            <v>606346</v>
          </cell>
          <cell r="D185" t="str">
            <v>ESCOBAL EMILCE GISSELLE</v>
          </cell>
          <cell r="E185" t="str">
            <v>18:00 - 00:00</v>
          </cell>
          <cell r="F185" t="str">
            <v>NOCHE</v>
          </cell>
          <cell r="G185" t="str">
            <v>LUN Y SAB</v>
          </cell>
          <cell r="H185" t="str">
            <v>MIR, TOMAS MAURICIO</v>
          </cell>
          <cell r="I185" t="str">
            <v>Romandetto Carlos</v>
          </cell>
          <cell r="J185"/>
          <cell r="K185"/>
          <cell r="L185" t="str">
            <v>x</v>
          </cell>
          <cell r="M185" t="str">
            <v>x</v>
          </cell>
          <cell r="N185" t="str">
            <v>x</v>
          </cell>
          <cell r="O185" t="str">
            <v>x</v>
          </cell>
          <cell r="P185"/>
          <cell r="Q185"/>
          <cell r="R185" t="str">
            <v>x</v>
          </cell>
          <cell r="S185"/>
          <cell r="T185"/>
          <cell r="U185"/>
          <cell r="V185"/>
          <cell r="W185"/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/>
          <cell r="AO185"/>
          <cell r="AP185"/>
          <cell r="AQ185">
            <v>45154</v>
          </cell>
          <cell r="AR185">
            <v>413</v>
          </cell>
          <cell r="AS185">
            <v>45373</v>
          </cell>
          <cell r="AT185">
            <v>194</v>
          </cell>
          <cell r="AU185" t="str">
            <v>VMAEMESC</v>
          </cell>
        </row>
        <row r="186">
          <cell r="C186">
            <v>606338</v>
          </cell>
          <cell r="D186" t="str">
            <v>GONZALEZ CRISTIAN ALBERTO</v>
          </cell>
          <cell r="E186" t="str">
            <v>18:00 - 00:00</v>
          </cell>
          <cell r="F186" t="str">
            <v>NOCHE</v>
          </cell>
          <cell r="G186" t="str">
            <v>LUN Y DOM</v>
          </cell>
          <cell r="H186" t="str">
            <v>ROJAS, LUCAS</v>
          </cell>
          <cell r="I186" t="str">
            <v>Romandetto Carlos</v>
          </cell>
          <cell r="J186"/>
          <cell r="K186"/>
          <cell r="L186" t="str">
            <v>x</v>
          </cell>
          <cell r="M186" t="str">
            <v>x</v>
          </cell>
          <cell r="N186" t="str">
            <v>x</v>
          </cell>
          <cell r="O186"/>
          <cell r="P186"/>
          <cell r="Q186" t="str">
            <v>x</v>
          </cell>
          <cell r="R186" t="str">
            <v>x</v>
          </cell>
          <cell r="S186" t="str">
            <v>x</v>
          </cell>
          <cell r="T186" t="str">
            <v>x</v>
          </cell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 t="str">
            <v>x</v>
          </cell>
          <cell r="AO186"/>
          <cell r="AP186" t="str">
            <v>x</v>
          </cell>
          <cell r="AQ186">
            <v>45154</v>
          </cell>
          <cell r="AR186">
            <v>413</v>
          </cell>
          <cell r="AS186">
            <v>45397</v>
          </cell>
          <cell r="AT186">
            <v>170</v>
          </cell>
          <cell r="AU186" t="str">
            <v>VMACRGON</v>
          </cell>
        </row>
        <row r="187">
          <cell r="C187">
            <v>606348</v>
          </cell>
          <cell r="D187" t="str">
            <v>ABALOS HEREDIA DAIANA BELEN</v>
          </cell>
          <cell r="E187" t="str">
            <v>15:00 - 21:00</v>
          </cell>
          <cell r="F187" t="str">
            <v>TARDE</v>
          </cell>
          <cell r="G187" t="str">
            <v>MAR Y SAB</v>
          </cell>
          <cell r="H187" t="str">
            <v>ROJAS, LUCAS</v>
          </cell>
          <cell r="I187" t="str">
            <v>Romandetto Carlos</v>
          </cell>
          <cell r="J187"/>
          <cell r="K187"/>
          <cell r="L187" t="str">
            <v>x</v>
          </cell>
          <cell r="M187" t="str">
            <v>x</v>
          </cell>
          <cell r="N187" t="str">
            <v>x</v>
          </cell>
          <cell r="O187"/>
          <cell r="P187"/>
          <cell r="Q187" t="str">
            <v>x</v>
          </cell>
          <cell r="R187" t="str">
            <v>x</v>
          </cell>
          <cell r="S187" t="str">
            <v>x</v>
          </cell>
          <cell r="T187" t="str">
            <v>x</v>
          </cell>
          <cell r="U187"/>
          <cell r="V187"/>
          <cell r="W187"/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 t="str">
            <v>x</v>
          </cell>
          <cell r="AO187"/>
          <cell r="AP187" t="str">
            <v>x</v>
          </cell>
          <cell r="AQ187">
            <v>45154</v>
          </cell>
          <cell r="AR187">
            <v>413</v>
          </cell>
          <cell r="AS187">
            <v>45324</v>
          </cell>
          <cell r="AT187">
            <v>243</v>
          </cell>
          <cell r="AU187" t="str">
            <v>VMADAABA</v>
          </cell>
        </row>
        <row r="188">
          <cell r="C188">
            <v>605692</v>
          </cell>
          <cell r="D188" t="str">
            <v>LATORRE CANDELA</v>
          </cell>
          <cell r="E188" t="str">
            <v>08:00 - 14:00</v>
          </cell>
          <cell r="F188" t="str">
            <v>MAÑANA</v>
          </cell>
          <cell r="G188" t="str">
            <v>SAB Y DOM</v>
          </cell>
          <cell r="H188" t="str">
            <v>RUIZ, TOMAS EMANUEL</v>
          </cell>
          <cell r="I188" t="str">
            <v>Romandetto Carlos</v>
          </cell>
          <cell r="J188"/>
          <cell r="K188"/>
          <cell r="L188" t="str">
            <v>x</v>
          </cell>
          <cell r="M188" t="str">
            <v>x</v>
          </cell>
          <cell r="N188" t="str">
            <v>x</v>
          </cell>
          <cell r="O188"/>
          <cell r="P188"/>
          <cell r="Q188"/>
          <cell r="R188" t="str">
            <v>x</v>
          </cell>
          <cell r="S188"/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 t="str">
            <v>x</v>
          </cell>
          <cell r="AO188" t="str">
            <v>x</v>
          </cell>
          <cell r="AP188"/>
          <cell r="AQ188">
            <v>45166</v>
          </cell>
          <cell r="AR188">
            <v>401</v>
          </cell>
          <cell r="AS188">
            <v>45198</v>
          </cell>
          <cell r="AT188">
            <v>369</v>
          </cell>
          <cell r="AU188" t="str">
            <v>VMACALAT</v>
          </cell>
        </row>
        <row r="189">
          <cell r="C189">
            <v>606326</v>
          </cell>
          <cell r="D189" t="str">
            <v>SORMANI LUANA AILIN</v>
          </cell>
          <cell r="E189" t="str">
            <v>09:00 - 15:00</v>
          </cell>
          <cell r="F189" t="str">
            <v>MAÑANA</v>
          </cell>
          <cell r="G189" t="str">
            <v>SAB Y DOM</v>
          </cell>
          <cell r="H189" t="str">
            <v>GROESMANN, MAYA JUDITH</v>
          </cell>
          <cell r="I189" t="str">
            <v>Romandetto Carlos</v>
          </cell>
          <cell r="J189"/>
          <cell r="K189"/>
          <cell r="L189" t="str">
            <v>x</v>
          </cell>
          <cell r="M189" t="str">
            <v>x</v>
          </cell>
          <cell r="N189" t="str">
            <v>x</v>
          </cell>
          <cell r="O189"/>
          <cell r="P189"/>
          <cell r="Q189" t="str">
            <v>x</v>
          </cell>
          <cell r="R189" t="str">
            <v>x</v>
          </cell>
          <cell r="S189" t="str">
            <v>x</v>
          </cell>
          <cell r="T189"/>
          <cell r="U189"/>
          <cell r="V189"/>
          <cell r="W189"/>
          <cell r="X189"/>
          <cell r="Y189"/>
          <cell r="Z189"/>
          <cell r="AA189"/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 t="str">
            <v>x</v>
          </cell>
          <cell r="AO189"/>
          <cell r="AP189" t="str">
            <v>x</v>
          </cell>
          <cell r="AQ189">
            <v>45166</v>
          </cell>
          <cell r="AR189">
            <v>401</v>
          </cell>
          <cell r="AS189">
            <v>45338</v>
          </cell>
          <cell r="AT189">
            <v>229</v>
          </cell>
          <cell r="AU189" t="str">
            <v>VMALUSOR</v>
          </cell>
        </row>
        <row r="190">
          <cell r="C190">
            <v>606327</v>
          </cell>
          <cell r="D190" t="str">
            <v>QUINTERO DEMATTEI CAMILA</v>
          </cell>
          <cell r="E190" t="str">
            <v>09:00 - 15:00</v>
          </cell>
          <cell r="F190" t="str">
            <v>MAÑANA</v>
          </cell>
          <cell r="G190" t="str">
            <v>SAB Y DOM</v>
          </cell>
          <cell r="H190" t="str">
            <v>VILLALBA, VICTORIA</v>
          </cell>
          <cell r="I190" t="str">
            <v>Romandetto Carlos</v>
          </cell>
          <cell r="J190"/>
          <cell r="K190"/>
          <cell r="L190" t="str">
            <v>x</v>
          </cell>
          <cell r="M190" t="str">
            <v>x</v>
          </cell>
          <cell r="N190" t="str">
            <v>x</v>
          </cell>
          <cell r="O190"/>
          <cell r="P190"/>
          <cell r="Q190"/>
          <cell r="R190" t="str">
            <v>x</v>
          </cell>
          <cell r="S190"/>
          <cell r="T190"/>
          <cell r="U190"/>
          <cell r="V190"/>
          <cell r="W190"/>
          <cell r="X190"/>
          <cell r="Y190"/>
          <cell r="Z190"/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 t="str">
            <v>x</v>
          </cell>
          <cell r="AO190" t="str">
            <v>x</v>
          </cell>
          <cell r="AP190"/>
          <cell r="AQ190">
            <v>45166</v>
          </cell>
          <cell r="AR190">
            <v>401</v>
          </cell>
          <cell r="AS190">
            <v>45198</v>
          </cell>
          <cell r="AT190">
            <v>369</v>
          </cell>
          <cell r="AU190" t="str">
            <v>VMACAMQU</v>
          </cell>
        </row>
        <row r="191">
          <cell r="C191">
            <v>606368</v>
          </cell>
          <cell r="D191" t="str">
            <v>ROMERO ROMINA</v>
          </cell>
          <cell r="E191" t="str">
            <v>09:00 - 15:00</v>
          </cell>
          <cell r="F191" t="str">
            <v>MAÑANA</v>
          </cell>
          <cell r="G191" t="str">
            <v>SAB Y DOM</v>
          </cell>
          <cell r="H191" t="str">
            <v>SORIA, ANA PAULA</v>
          </cell>
          <cell r="I191" t="str">
            <v>Romandetto Carlos</v>
          </cell>
          <cell r="J191"/>
          <cell r="K191"/>
          <cell r="L191" t="str">
            <v>x</v>
          </cell>
          <cell r="M191" t="str">
            <v>x</v>
          </cell>
          <cell r="N191" t="str">
            <v>x</v>
          </cell>
          <cell r="O191"/>
          <cell r="P191"/>
          <cell r="Q191" t="str">
            <v>x</v>
          </cell>
          <cell r="R191" t="str">
            <v>x</v>
          </cell>
          <cell r="S191" t="str">
            <v>x</v>
          </cell>
          <cell r="T191" t="str">
            <v>x</v>
          </cell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 t="str">
            <v>x</v>
          </cell>
          <cell r="AO191"/>
          <cell r="AP191" t="str">
            <v>x</v>
          </cell>
          <cell r="AQ191">
            <v>45166</v>
          </cell>
          <cell r="AR191">
            <v>401</v>
          </cell>
          <cell r="AS191">
            <v>45329</v>
          </cell>
          <cell r="AT191">
            <v>238</v>
          </cell>
          <cell r="AU191" t="str">
            <v>VMAROROM</v>
          </cell>
        </row>
        <row r="192">
          <cell r="C192">
            <v>606369</v>
          </cell>
          <cell r="D192" t="str">
            <v>BAREIRO JONATAN EMANUEL</v>
          </cell>
          <cell r="E192" t="str">
            <v>09:00 - 15:00</v>
          </cell>
          <cell r="F192" t="str">
            <v>MAÑANA</v>
          </cell>
          <cell r="G192" t="str">
            <v>SAB Y DOM</v>
          </cell>
          <cell r="H192" t="str">
            <v>VILLALBA, VICTORIA</v>
          </cell>
          <cell r="I192" t="str">
            <v>Romandetto Carlos</v>
          </cell>
          <cell r="J192"/>
          <cell r="K192"/>
          <cell r="L192" t="str">
            <v>x</v>
          </cell>
          <cell r="M192" t="str">
            <v>x</v>
          </cell>
          <cell r="N192" t="str">
            <v>x</v>
          </cell>
          <cell r="O192"/>
          <cell r="P192"/>
          <cell r="Q192" t="str">
            <v>x</v>
          </cell>
          <cell r="R192" t="str">
            <v>x</v>
          </cell>
          <cell r="S192" t="str">
            <v>x</v>
          </cell>
          <cell r="T192" t="str">
            <v>x</v>
          </cell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 t="str">
            <v>x</v>
          </cell>
          <cell r="AO192"/>
          <cell r="AP192" t="str">
            <v>x</v>
          </cell>
          <cell r="AQ192">
            <v>45166</v>
          </cell>
          <cell r="AR192">
            <v>401</v>
          </cell>
          <cell r="AS192">
            <v>45322</v>
          </cell>
          <cell r="AT192">
            <v>245</v>
          </cell>
          <cell r="AU192" t="str">
            <v>VMAJOBAR</v>
          </cell>
        </row>
        <row r="193">
          <cell r="C193">
            <v>606370</v>
          </cell>
          <cell r="D193" t="str">
            <v>PINO ELISA</v>
          </cell>
          <cell r="E193" t="str">
            <v>15:00 - 21:00</v>
          </cell>
          <cell r="F193" t="str">
            <v>TARDE</v>
          </cell>
          <cell r="G193" t="str">
            <v>SAB Y DOM</v>
          </cell>
          <cell r="H193" t="str">
            <v>SORIA, ANA PAULA</v>
          </cell>
          <cell r="I193" t="str">
            <v>Romandetto Carlos</v>
          </cell>
          <cell r="J193"/>
          <cell r="K193"/>
          <cell r="L193" t="str">
            <v>x</v>
          </cell>
          <cell r="M193" t="str">
            <v>x</v>
          </cell>
          <cell r="N193" t="str">
            <v>x</v>
          </cell>
          <cell r="O193"/>
          <cell r="P193"/>
          <cell r="Q193" t="str">
            <v>x</v>
          </cell>
          <cell r="R193" t="str">
            <v>x</v>
          </cell>
          <cell r="S193" t="str">
            <v>x</v>
          </cell>
          <cell r="T193" t="str">
            <v>x</v>
          </cell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 t="str">
            <v>x</v>
          </cell>
          <cell r="AO193"/>
          <cell r="AP193" t="str">
            <v>x</v>
          </cell>
          <cell r="AQ193">
            <v>45152</v>
          </cell>
          <cell r="AR193">
            <v>415</v>
          </cell>
          <cell r="AS193">
            <v>45338</v>
          </cell>
          <cell r="AT193">
            <v>229</v>
          </cell>
          <cell r="AU193" t="str">
            <v>VMAELPIN</v>
          </cell>
        </row>
        <row r="194">
          <cell r="C194">
            <v>606357</v>
          </cell>
          <cell r="D194" t="str">
            <v>PADILLA RUTH NOEMI</v>
          </cell>
          <cell r="E194" t="str">
            <v>07:00 - 13:00</v>
          </cell>
          <cell r="F194" t="str">
            <v>MAÑANA</v>
          </cell>
          <cell r="G194" t="str">
            <v>SAB Y DOM</v>
          </cell>
          <cell r="H194" t="str">
            <v>VILLALBA, VICTORIA</v>
          </cell>
          <cell r="I194" t="str">
            <v>Romandetto Carlos</v>
          </cell>
          <cell r="J194"/>
          <cell r="K194"/>
          <cell r="L194" t="str">
            <v>x</v>
          </cell>
          <cell r="M194" t="str">
            <v>x</v>
          </cell>
          <cell r="N194" t="str">
            <v>x</v>
          </cell>
          <cell r="O194"/>
          <cell r="P194"/>
          <cell r="Q194"/>
          <cell r="R194" t="str">
            <v>x</v>
          </cell>
          <cell r="S194"/>
          <cell r="T194"/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 t="str">
            <v>x</v>
          </cell>
          <cell r="AO194" t="str">
            <v>x</v>
          </cell>
          <cell r="AP194"/>
          <cell r="AQ194">
            <v>45166</v>
          </cell>
          <cell r="AR194">
            <v>401</v>
          </cell>
          <cell r="AS194">
            <v>45198</v>
          </cell>
          <cell r="AT194">
            <v>369</v>
          </cell>
          <cell r="AU194" t="str">
            <v>VMARUPAD</v>
          </cell>
        </row>
        <row r="195">
          <cell r="C195">
            <v>606366</v>
          </cell>
          <cell r="D195" t="str">
            <v>POSDELEY AILEN ABIGAIL</v>
          </cell>
          <cell r="E195" t="str">
            <v>09:00 - 15:00</v>
          </cell>
          <cell r="F195" t="str">
            <v>MAÑANA</v>
          </cell>
          <cell r="G195" t="str">
            <v>SAB Y DOM</v>
          </cell>
          <cell r="H195" t="str">
            <v>ROBLEDO, YESICA DANIELA</v>
          </cell>
          <cell r="I195" t="str">
            <v>Romandetto Carlos</v>
          </cell>
          <cell r="J195"/>
          <cell r="K195"/>
          <cell r="L195" t="str">
            <v>x</v>
          </cell>
          <cell r="M195" t="str">
            <v>x</v>
          </cell>
          <cell r="N195" t="str">
            <v>x</v>
          </cell>
          <cell r="O195"/>
          <cell r="P195"/>
          <cell r="Q195" t="str">
            <v>x</v>
          </cell>
          <cell r="R195" t="str">
            <v>x</v>
          </cell>
          <cell r="S195" t="str">
            <v>x</v>
          </cell>
          <cell r="T195" t="str">
            <v>x</v>
          </cell>
          <cell r="U195"/>
          <cell r="V195"/>
          <cell r="W195"/>
          <cell r="X195"/>
          <cell r="Y195"/>
          <cell r="Z195"/>
          <cell r="AA195"/>
          <cell r="AB195"/>
          <cell r="AC195"/>
          <cell r="AD195"/>
          <cell r="AE195"/>
          <cell r="AF195"/>
          <cell r="AG195"/>
          <cell r="AH195"/>
          <cell r="AI195"/>
          <cell r="AJ195"/>
          <cell r="AK195"/>
          <cell r="AL195"/>
          <cell r="AM195"/>
          <cell r="AN195" t="str">
            <v>x</v>
          </cell>
          <cell r="AO195"/>
          <cell r="AP195" t="str">
            <v>x</v>
          </cell>
          <cell r="AQ195">
            <v>45166</v>
          </cell>
          <cell r="AR195">
            <v>401</v>
          </cell>
          <cell r="AS195">
            <v>45329</v>
          </cell>
          <cell r="AT195">
            <v>238</v>
          </cell>
          <cell r="AU195" t="str">
            <v>VMAAIPOS</v>
          </cell>
        </row>
        <row r="196">
          <cell r="C196">
            <v>605611</v>
          </cell>
          <cell r="D196" t="str">
            <v>D AGOSTINO MARIA BIANCA</v>
          </cell>
          <cell r="E196" t="str">
            <v>14:00 - 20:00</v>
          </cell>
          <cell r="F196" t="str">
            <v>TARDE</v>
          </cell>
          <cell r="G196" t="str">
            <v>VIE Y SAB</v>
          </cell>
          <cell r="H196" t="str">
            <v>YBARRA, LUCIA ALDANA</v>
          </cell>
          <cell r="I196" t="str">
            <v>Romandetto Carlos</v>
          </cell>
          <cell r="J196"/>
          <cell r="K196"/>
          <cell r="L196" t="str">
            <v>x</v>
          </cell>
          <cell r="M196" t="str">
            <v>x</v>
          </cell>
          <cell r="N196" t="str">
            <v>x</v>
          </cell>
          <cell r="O196"/>
          <cell r="P196"/>
          <cell r="Q196" t="str">
            <v>x</v>
          </cell>
          <cell r="R196" t="str">
            <v>x</v>
          </cell>
          <cell r="S196" t="str">
            <v>x</v>
          </cell>
          <cell r="T196"/>
          <cell r="U196"/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 t="str">
            <v>x</v>
          </cell>
          <cell r="AO196"/>
          <cell r="AP196" t="str">
            <v>x</v>
          </cell>
          <cell r="AQ196">
            <v>45166</v>
          </cell>
          <cell r="AR196">
            <v>401</v>
          </cell>
          <cell r="AS196">
            <v>45338</v>
          </cell>
          <cell r="AT196">
            <v>229</v>
          </cell>
          <cell r="AU196" t="str">
            <v>VMAMADAG</v>
          </cell>
        </row>
        <row r="197">
          <cell r="C197">
            <v>606305</v>
          </cell>
          <cell r="D197" t="str">
            <v>GOMEZ AGUSTINA TATIANA</v>
          </cell>
          <cell r="E197" t="str">
            <v>14:00 - 20:00</v>
          </cell>
          <cell r="F197" t="str">
            <v>TARDE</v>
          </cell>
          <cell r="G197" t="str">
            <v>SAB Y DOM</v>
          </cell>
          <cell r="H197" t="str">
            <v>GOMEZ, SASHA</v>
          </cell>
          <cell r="I197" t="str">
            <v>Romandetto Carlos</v>
          </cell>
          <cell r="J197"/>
          <cell r="K197"/>
          <cell r="L197" t="str">
            <v>x</v>
          </cell>
          <cell r="M197" t="str">
            <v>x</v>
          </cell>
          <cell r="N197" t="str">
            <v>x</v>
          </cell>
          <cell r="O197"/>
          <cell r="P197"/>
          <cell r="Q197" t="str">
            <v>x</v>
          </cell>
          <cell r="R197" t="str">
            <v>x</v>
          </cell>
          <cell r="S197" t="str">
            <v>x</v>
          </cell>
          <cell r="T197" t="str">
            <v>x</v>
          </cell>
          <cell r="U197"/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 t="str">
            <v>x</v>
          </cell>
          <cell r="AO197"/>
          <cell r="AP197" t="str">
            <v>x</v>
          </cell>
          <cell r="AQ197">
            <v>45166</v>
          </cell>
          <cell r="AR197">
            <v>401</v>
          </cell>
          <cell r="AS197">
            <v>45322</v>
          </cell>
          <cell r="AT197">
            <v>245</v>
          </cell>
          <cell r="AU197" t="str">
            <v>VMAAGGOM</v>
          </cell>
        </row>
        <row r="198">
          <cell r="C198">
            <v>606330</v>
          </cell>
          <cell r="D198" t="str">
            <v>FRANCO SELENA ROCIO</v>
          </cell>
          <cell r="E198" t="str">
            <v>15:00 - 21:00</v>
          </cell>
          <cell r="F198" t="str">
            <v>TARDE</v>
          </cell>
          <cell r="G198" t="str">
            <v>SAB Y DOM</v>
          </cell>
          <cell r="H198" t="str">
            <v>GOMEZ, AYLEN MILAGROS</v>
          </cell>
          <cell r="I198" t="str">
            <v>Romandetto Carlos</v>
          </cell>
          <cell r="J198"/>
          <cell r="K198"/>
          <cell r="L198" t="str">
            <v>x</v>
          </cell>
          <cell r="M198" t="str">
            <v>x</v>
          </cell>
          <cell r="N198" t="str">
            <v>x</v>
          </cell>
          <cell r="O198"/>
          <cell r="P198"/>
          <cell r="Q198" t="str">
            <v>x</v>
          </cell>
          <cell r="R198" t="str">
            <v>x</v>
          </cell>
          <cell r="S198" t="str">
            <v>x</v>
          </cell>
          <cell r="T198" t="str">
            <v>x</v>
          </cell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 t="str">
            <v>x</v>
          </cell>
          <cell r="AO198"/>
          <cell r="AP198" t="str">
            <v>x</v>
          </cell>
          <cell r="AQ198">
            <v>45166</v>
          </cell>
          <cell r="AR198">
            <v>401</v>
          </cell>
          <cell r="AS198">
            <v>45322</v>
          </cell>
          <cell r="AT198">
            <v>245</v>
          </cell>
          <cell r="AU198" t="str">
            <v>VMASEFRA</v>
          </cell>
        </row>
        <row r="199">
          <cell r="C199">
            <v>606378</v>
          </cell>
          <cell r="D199" t="str">
            <v>CASTORO SOFIA ABRIL</v>
          </cell>
          <cell r="E199" t="str">
            <v>08:00 - 14:00</v>
          </cell>
          <cell r="F199" t="str">
            <v>MAÑANA</v>
          </cell>
          <cell r="G199" t="str">
            <v>SAB Y DOM</v>
          </cell>
          <cell r="H199" t="str">
            <v>VILLALBA, MAITEN</v>
          </cell>
          <cell r="I199" t="str">
            <v>Romandetto Carlos</v>
          </cell>
          <cell r="J199"/>
          <cell r="K199"/>
          <cell r="L199" t="str">
            <v>x</v>
          </cell>
          <cell r="M199" t="str">
            <v>x</v>
          </cell>
          <cell r="N199" t="str">
            <v>x</v>
          </cell>
          <cell r="O199"/>
          <cell r="P199"/>
          <cell r="Q199" t="str">
            <v>x</v>
          </cell>
          <cell r="R199" t="str">
            <v>x</v>
          </cell>
          <cell r="S199" t="str">
            <v>x</v>
          </cell>
          <cell r="T199" t="str">
            <v>x</v>
          </cell>
          <cell r="U199"/>
          <cell r="V199"/>
          <cell r="W199"/>
          <cell r="X199"/>
          <cell r="Y199"/>
          <cell r="Z199"/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 t="str">
            <v>x</v>
          </cell>
          <cell r="AO199"/>
          <cell r="AP199" t="str">
            <v>x</v>
          </cell>
          <cell r="AQ199">
            <v>45184</v>
          </cell>
          <cell r="AR199">
            <v>383</v>
          </cell>
          <cell r="AS199">
            <v>45394</v>
          </cell>
          <cell r="AT199">
            <v>173</v>
          </cell>
          <cell r="AU199" t="str">
            <v>VMASOCAS</v>
          </cell>
        </row>
        <row r="200">
          <cell r="C200">
            <v>606398</v>
          </cell>
          <cell r="D200" t="str">
            <v>MANFREDI AGOSTINA JIMENA</v>
          </cell>
          <cell r="E200" t="str">
            <v>09:00 - 15:00</v>
          </cell>
          <cell r="F200" t="str">
            <v>MAÑANA</v>
          </cell>
          <cell r="G200" t="str">
            <v>VIE Y DOM</v>
          </cell>
          <cell r="H200" t="str">
            <v>VILLALBA, MAITEN</v>
          </cell>
          <cell r="I200" t="str">
            <v>Romandetto Carlos</v>
          </cell>
          <cell r="J200"/>
          <cell r="K200"/>
          <cell r="L200" t="str">
            <v>x</v>
          </cell>
          <cell r="M200" t="str">
            <v>x</v>
          </cell>
          <cell r="N200" t="str">
            <v>x</v>
          </cell>
          <cell r="O200"/>
          <cell r="P200"/>
          <cell r="Q200"/>
          <cell r="R200" t="str">
            <v>x</v>
          </cell>
          <cell r="S200"/>
          <cell r="T200"/>
          <cell r="U200"/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 t="str">
            <v>x</v>
          </cell>
          <cell r="AO200" t="str">
            <v>x</v>
          </cell>
          <cell r="AP200"/>
          <cell r="AQ200">
            <v>45184</v>
          </cell>
          <cell r="AR200">
            <v>383</v>
          </cell>
          <cell r="AS200">
            <v>45231</v>
          </cell>
          <cell r="AT200">
            <v>336</v>
          </cell>
          <cell r="AU200" t="str">
            <v>VMAAGMAN</v>
          </cell>
        </row>
        <row r="201">
          <cell r="C201">
            <v>606399</v>
          </cell>
          <cell r="D201" t="str">
            <v>GONZALEZ ELIANA</v>
          </cell>
          <cell r="E201" t="str">
            <v>09:00 - 15:00</v>
          </cell>
          <cell r="F201" t="str">
            <v>MAÑANA</v>
          </cell>
          <cell r="G201" t="str">
            <v>SAB Y DOM</v>
          </cell>
          <cell r="H201" t="str">
            <v>VILLALBA, MAITEN</v>
          </cell>
          <cell r="I201" t="str">
            <v>Romandetto Carlos</v>
          </cell>
          <cell r="J201"/>
          <cell r="K201"/>
          <cell r="L201" t="str">
            <v>x</v>
          </cell>
          <cell r="M201" t="str">
            <v>x</v>
          </cell>
          <cell r="N201" t="str">
            <v>x</v>
          </cell>
          <cell r="O201"/>
          <cell r="P201"/>
          <cell r="Q201" t="str">
            <v>x</v>
          </cell>
          <cell r="R201" t="str">
            <v>x</v>
          </cell>
          <cell r="S201" t="str">
            <v>x</v>
          </cell>
          <cell r="T201" t="str">
            <v>x</v>
          </cell>
          <cell r="U201"/>
          <cell r="V201"/>
          <cell r="W201"/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 t="str">
            <v>x</v>
          </cell>
          <cell r="AO201"/>
          <cell r="AP201" t="str">
            <v>x</v>
          </cell>
          <cell r="AQ201">
            <v>45184</v>
          </cell>
          <cell r="AR201">
            <v>383</v>
          </cell>
          <cell r="AS201">
            <v>45324</v>
          </cell>
          <cell r="AT201">
            <v>243</v>
          </cell>
          <cell r="AU201" t="str">
            <v>VMAELGON</v>
          </cell>
        </row>
        <row r="202">
          <cell r="C202">
            <v>606416</v>
          </cell>
          <cell r="D202" t="str">
            <v>FRANCO BRUNO EZEQUIEL</v>
          </cell>
          <cell r="E202" t="str">
            <v>09:00 - 15:00</v>
          </cell>
          <cell r="F202" t="str">
            <v>MAÑANA</v>
          </cell>
          <cell r="G202" t="str">
            <v>SAB Y DOM</v>
          </cell>
          <cell r="H202" t="str">
            <v>DIAZ, PAULA</v>
          </cell>
          <cell r="I202" t="str">
            <v>Romandetto Carlos</v>
          </cell>
          <cell r="J202"/>
          <cell r="K202"/>
          <cell r="L202" t="str">
            <v>x</v>
          </cell>
          <cell r="M202" t="str">
            <v>x</v>
          </cell>
          <cell r="N202" t="str">
            <v>x</v>
          </cell>
          <cell r="O202"/>
          <cell r="P202"/>
          <cell r="Q202" t="str">
            <v>x</v>
          </cell>
          <cell r="R202" t="str">
            <v>x</v>
          </cell>
          <cell r="S202" t="str">
            <v>x</v>
          </cell>
          <cell r="T202"/>
          <cell r="U202"/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/>
          <cell r="AI202"/>
          <cell r="AJ202"/>
          <cell r="AK202"/>
          <cell r="AL202"/>
          <cell r="AM202"/>
          <cell r="AN202" t="str">
            <v>x</v>
          </cell>
          <cell r="AO202"/>
          <cell r="AP202" t="str">
            <v>x</v>
          </cell>
          <cell r="AQ202">
            <v>45184</v>
          </cell>
          <cell r="AR202">
            <v>383</v>
          </cell>
          <cell r="AS202">
            <v>45338</v>
          </cell>
          <cell r="AT202">
            <v>229</v>
          </cell>
          <cell r="AU202" t="str">
            <v>VMABRFRA</v>
          </cell>
        </row>
        <row r="203">
          <cell r="C203">
            <v>606431</v>
          </cell>
          <cell r="D203" t="str">
            <v>VARELA LAUTARO DAMIAN</v>
          </cell>
          <cell r="E203" t="str">
            <v>12:00 - 18:00</v>
          </cell>
          <cell r="F203" t="str">
            <v>TARDE</v>
          </cell>
          <cell r="G203" t="str">
            <v>SAB Y DOM</v>
          </cell>
          <cell r="H203" t="str">
            <v>DIAZ, PAULA</v>
          </cell>
          <cell r="I203" t="str">
            <v>Romandetto Carlos</v>
          </cell>
          <cell r="J203"/>
          <cell r="K203"/>
          <cell r="L203" t="str">
            <v>x</v>
          </cell>
          <cell r="M203" t="str">
            <v>x</v>
          </cell>
          <cell r="N203" t="str">
            <v>x</v>
          </cell>
          <cell r="O203"/>
          <cell r="P203"/>
          <cell r="Q203"/>
          <cell r="R203" t="str">
            <v>x</v>
          </cell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 t="str">
            <v>x</v>
          </cell>
          <cell r="AO203" t="str">
            <v>x</v>
          </cell>
          <cell r="AP203"/>
          <cell r="AQ203">
            <v>45184</v>
          </cell>
          <cell r="AR203">
            <v>383</v>
          </cell>
          <cell r="AS203">
            <v>45231</v>
          </cell>
          <cell r="AT203">
            <v>336</v>
          </cell>
          <cell r="AU203" t="str">
            <v>VMADAVAR</v>
          </cell>
        </row>
        <row r="204">
          <cell r="C204">
            <v>606424</v>
          </cell>
          <cell r="D204" t="str">
            <v>MARCOS MALENA</v>
          </cell>
          <cell r="E204" t="str">
            <v>14:00 - 20:00</v>
          </cell>
          <cell r="F204" t="str">
            <v>TARDE</v>
          </cell>
          <cell r="G204" t="str">
            <v>SAB Y DOM</v>
          </cell>
          <cell r="H204" t="str">
            <v>ROJAS, LUCAS</v>
          </cell>
          <cell r="I204" t="str">
            <v>Romandetto Carlos</v>
          </cell>
          <cell r="J204"/>
          <cell r="K204"/>
          <cell r="L204" t="str">
            <v>x</v>
          </cell>
          <cell r="M204" t="str">
            <v>x</v>
          </cell>
          <cell r="N204" t="str">
            <v>x</v>
          </cell>
          <cell r="O204"/>
          <cell r="P204"/>
          <cell r="Q204"/>
          <cell r="R204" t="str">
            <v>x</v>
          </cell>
          <cell r="S204"/>
          <cell r="T204"/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/>
          <cell r="AH204"/>
          <cell r="AI204"/>
          <cell r="AJ204"/>
          <cell r="AK204"/>
          <cell r="AL204"/>
          <cell r="AM204"/>
          <cell r="AN204" t="str">
            <v>x</v>
          </cell>
          <cell r="AO204" t="str">
            <v>x</v>
          </cell>
          <cell r="AP204"/>
          <cell r="AQ204">
            <v>45184</v>
          </cell>
          <cell r="AR204">
            <v>383</v>
          </cell>
          <cell r="AS204">
            <v>45231</v>
          </cell>
          <cell r="AT204">
            <v>336</v>
          </cell>
          <cell r="AU204" t="str">
            <v>VMAMALMA</v>
          </cell>
        </row>
        <row r="205">
          <cell r="C205">
            <v>606437</v>
          </cell>
          <cell r="D205" t="str">
            <v>MIRAGAYA MARIA JOSE</v>
          </cell>
          <cell r="E205" t="str">
            <v>14:00 - 20:00</v>
          </cell>
          <cell r="F205" t="str">
            <v>TARDE</v>
          </cell>
          <cell r="G205" t="str">
            <v>SAB Y DOM</v>
          </cell>
          <cell r="H205" t="str">
            <v>ROJAS, LUCAS</v>
          </cell>
          <cell r="I205" t="str">
            <v>Romandetto Carlos</v>
          </cell>
          <cell r="J205"/>
          <cell r="K205"/>
          <cell r="L205" t="str">
            <v>x</v>
          </cell>
          <cell r="M205" t="str">
            <v>x</v>
          </cell>
          <cell r="N205" t="str">
            <v>x</v>
          </cell>
          <cell r="O205"/>
          <cell r="P205"/>
          <cell r="Q205" t="str">
            <v>x</v>
          </cell>
          <cell r="R205" t="str">
            <v>x</v>
          </cell>
          <cell r="S205" t="str">
            <v>x</v>
          </cell>
          <cell r="T205" t="str">
            <v>x</v>
          </cell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 t="str">
            <v>x</v>
          </cell>
          <cell r="AO205"/>
          <cell r="AP205" t="str">
            <v>x</v>
          </cell>
          <cell r="AQ205">
            <v>45184</v>
          </cell>
          <cell r="AR205">
            <v>383</v>
          </cell>
          <cell r="AS205">
            <v>45324</v>
          </cell>
          <cell r="AT205">
            <v>243</v>
          </cell>
          <cell r="AU205" t="str">
            <v>VMAMAMIR</v>
          </cell>
        </row>
        <row r="206">
          <cell r="C206">
            <v>606420</v>
          </cell>
          <cell r="D206" t="str">
            <v>GAUNA EVELYN DENISE</v>
          </cell>
          <cell r="E206" t="str">
            <v>18:00 - 00:00</v>
          </cell>
          <cell r="F206" t="str">
            <v>NOCHE</v>
          </cell>
          <cell r="G206" t="str">
            <v>MIE Y DOM</v>
          </cell>
          <cell r="H206" t="str">
            <v>ROJAS, LUCAS</v>
          </cell>
          <cell r="I206" t="str">
            <v>Romandetto Carlos</v>
          </cell>
          <cell r="J206"/>
          <cell r="K206"/>
          <cell r="L206" t="str">
            <v>x</v>
          </cell>
          <cell r="M206" t="str">
            <v>x</v>
          </cell>
          <cell r="N206" t="str">
            <v>x</v>
          </cell>
          <cell r="O206"/>
          <cell r="P206"/>
          <cell r="Q206" t="str">
            <v>x</v>
          </cell>
          <cell r="R206" t="str">
            <v>x</v>
          </cell>
          <cell r="S206" t="str">
            <v>x</v>
          </cell>
          <cell r="T206"/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 t="str">
            <v>x</v>
          </cell>
          <cell r="AO206"/>
          <cell r="AP206" t="str">
            <v>x</v>
          </cell>
          <cell r="AQ206">
            <v>45184</v>
          </cell>
          <cell r="AR206">
            <v>383</v>
          </cell>
          <cell r="AS206">
            <v>45338</v>
          </cell>
          <cell r="AT206">
            <v>229</v>
          </cell>
          <cell r="AU206" t="str">
            <v>VMAEVGAU</v>
          </cell>
        </row>
        <row r="207">
          <cell r="C207">
            <v>606408</v>
          </cell>
          <cell r="D207" t="str">
            <v>BELCHIOR MEDINACELLI LUZ MARIA</v>
          </cell>
          <cell r="E207" t="str">
            <v>14:00 - 20:00</v>
          </cell>
          <cell r="F207" t="str">
            <v>TARDE</v>
          </cell>
          <cell r="G207" t="str">
            <v>VIE Y DOM</v>
          </cell>
          <cell r="H207" t="str">
            <v>ROJAS, LUCAS</v>
          </cell>
          <cell r="I207" t="str">
            <v>Romandetto Carlos</v>
          </cell>
          <cell r="J207"/>
          <cell r="K207"/>
          <cell r="L207" t="str">
            <v>x</v>
          </cell>
          <cell r="M207" t="str">
            <v>x</v>
          </cell>
          <cell r="N207" t="str">
            <v>x</v>
          </cell>
          <cell r="O207"/>
          <cell r="P207"/>
          <cell r="Q207"/>
          <cell r="R207" t="str">
            <v>x</v>
          </cell>
          <cell r="S207"/>
          <cell r="T207"/>
          <cell r="U207"/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 t="str">
            <v>x</v>
          </cell>
          <cell r="AO207" t="str">
            <v>x</v>
          </cell>
          <cell r="AP207"/>
          <cell r="AQ207">
            <v>45184</v>
          </cell>
          <cell r="AR207">
            <v>383</v>
          </cell>
          <cell r="AS207">
            <v>45231</v>
          </cell>
          <cell r="AT207">
            <v>336</v>
          </cell>
          <cell r="AU207" t="str">
            <v>VMALUBEL</v>
          </cell>
        </row>
        <row r="208">
          <cell r="C208">
            <v>606410</v>
          </cell>
          <cell r="D208" t="str">
            <v>LIMACHI BRENDA DESIREE</v>
          </cell>
          <cell r="E208" t="str">
            <v>13:00 - 19:00</v>
          </cell>
          <cell r="F208" t="str">
            <v>TARDE</v>
          </cell>
          <cell r="G208" t="str">
            <v>MIE Y DOM</v>
          </cell>
          <cell r="H208" t="str">
            <v>GARZON, ROCIO BELEN</v>
          </cell>
          <cell r="I208" t="str">
            <v>Romandetto Carlos</v>
          </cell>
          <cell r="J208"/>
          <cell r="K208"/>
          <cell r="L208" t="str">
            <v>x</v>
          </cell>
          <cell r="M208" t="str">
            <v>x</v>
          </cell>
          <cell r="N208" t="str">
            <v>x</v>
          </cell>
          <cell r="O208"/>
          <cell r="P208"/>
          <cell r="Q208" t="str">
            <v>x</v>
          </cell>
          <cell r="R208" t="str">
            <v>x</v>
          </cell>
          <cell r="S208" t="str">
            <v>x</v>
          </cell>
          <cell r="T208" t="str">
            <v>x</v>
          </cell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 t="str">
            <v>x</v>
          </cell>
          <cell r="AO208"/>
          <cell r="AP208" t="str">
            <v>x</v>
          </cell>
          <cell r="AQ208">
            <v>45184</v>
          </cell>
          <cell r="AR208">
            <v>383</v>
          </cell>
          <cell r="AS208">
            <v>45324</v>
          </cell>
          <cell r="AT208">
            <v>243</v>
          </cell>
          <cell r="AU208" t="str">
            <v>VMABRLIM</v>
          </cell>
        </row>
        <row r="209">
          <cell r="C209">
            <v>606454</v>
          </cell>
          <cell r="D209" t="str">
            <v>PAVON ALBANO JAZMIN ROCIO ELIZABETH</v>
          </cell>
          <cell r="E209" t="str">
            <v>16:00 - 22:00</v>
          </cell>
          <cell r="F209" t="str">
            <v>TARDE</v>
          </cell>
          <cell r="G209" t="str">
            <v>SAB Y DOM</v>
          </cell>
          <cell r="H209" t="str">
            <v>Supervisor Capacitación, BU No Fijo</v>
          </cell>
          <cell r="I209" t="str">
            <v>-</v>
          </cell>
          <cell r="J209" t="str">
            <v>x</v>
          </cell>
          <cell r="K209"/>
          <cell r="L209" t="str">
            <v>x</v>
          </cell>
          <cell r="M209" t="str">
            <v>x</v>
          </cell>
          <cell r="N209" t="str">
            <v>x</v>
          </cell>
          <cell r="O209"/>
          <cell r="P209"/>
          <cell r="Q209" t="str">
            <v>x</v>
          </cell>
          <cell r="R209" t="str">
            <v>x</v>
          </cell>
          <cell r="S209" t="str">
            <v>x</v>
          </cell>
          <cell r="T209" t="str">
            <v>x</v>
          </cell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 t="str">
            <v>x</v>
          </cell>
          <cell r="AO209"/>
          <cell r="AP209" t="str">
            <v>x</v>
          </cell>
          <cell r="AQ209">
            <v>45217</v>
          </cell>
          <cell r="AR209">
            <v>350</v>
          </cell>
          <cell r="AS209">
            <v>45397</v>
          </cell>
          <cell r="AT209">
            <v>170</v>
          </cell>
          <cell r="AU209" t="str">
            <v>VMAJAPAV</v>
          </cell>
        </row>
        <row r="210">
          <cell r="C210">
            <v>606445</v>
          </cell>
          <cell r="D210" t="str">
            <v>GARRIGO CAROLINA</v>
          </cell>
          <cell r="E210" t="str">
            <v>10:00 - 16:00</v>
          </cell>
          <cell r="F210" t="str">
            <v>MAÑANA</v>
          </cell>
          <cell r="G210" t="str">
            <v>JUE Y SAB</v>
          </cell>
          <cell r="H210" t="str">
            <v>DIAZ, PAULA</v>
          </cell>
          <cell r="I210" t="str">
            <v>Romandetto Carlos</v>
          </cell>
          <cell r="J210" t="str">
            <v>x</v>
          </cell>
          <cell r="K210"/>
          <cell r="L210" t="str">
            <v>x</v>
          </cell>
          <cell r="M210" t="str">
            <v>x</v>
          </cell>
          <cell r="N210" t="str">
            <v>x</v>
          </cell>
          <cell r="O210"/>
          <cell r="P210"/>
          <cell r="Q210" t="str">
            <v>x</v>
          </cell>
          <cell r="R210" t="str">
            <v>x</v>
          </cell>
          <cell r="S210" t="str">
            <v>x</v>
          </cell>
          <cell r="T210" t="str">
            <v>x</v>
          </cell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 t="str">
            <v>x</v>
          </cell>
          <cell r="AO210"/>
          <cell r="AP210" t="str">
            <v>x</v>
          </cell>
          <cell r="AQ210">
            <v>45217</v>
          </cell>
          <cell r="AR210">
            <v>350</v>
          </cell>
          <cell r="AS210">
            <v>45394</v>
          </cell>
          <cell r="AT210">
            <v>173</v>
          </cell>
          <cell r="AU210" t="str">
            <v>VMACAGAR</v>
          </cell>
        </row>
        <row r="211">
          <cell r="C211">
            <v>606443</v>
          </cell>
          <cell r="D211" t="str">
            <v>BURSESE MAITE PILAR</v>
          </cell>
          <cell r="E211" t="str">
            <v>15:00 - 21:00</v>
          </cell>
          <cell r="F211" t="str">
            <v>TARDE</v>
          </cell>
          <cell r="G211" t="str">
            <v>SAB Y DOM</v>
          </cell>
          <cell r="H211" t="str">
            <v>ROJAS, LUCAS</v>
          </cell>
          <cell r="I211" t="str">
            <v>Romandetto Carlos</v>
          </cell>
          <cell r="J211" t="str">
            <v>x</v>
          </cell>
          <cell r="K211"/>
          <cell r="L211" t="str">
            <v>x</v>
          </cell>
          <cell r="M211" t="str">
            <v>x</v>
          </cell>
          <cell r="N211" t="str">
            <v>x</v>
          </cell>
          <cell r="O211"/>
          <cell r="P211"/>
          <cell r="Q211"/>
          <cell r="R211" t="str">
            <v>x</v>
          </cell>
          <cell r="S211"/>
          <cell r="T211"/>
          <cell r="U211"/>
          <cell r="V211"/>
          <cell r="W211"/>
          <cell r="X211"/>
          <cell r="Y211"/>
          <cell r="Z211"/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 t="str">
            <v>x</v>
          </cell>
          <cell r="AO211" t="str">
            <v>x</v>
          </cell>
          <cell r="AP211"/>
          <cell r="AQ211">
            <v>45217</v>
          </cell>
          <cell r="AR211">
            <v>350</v>
          </cell>
          <cell r="AS211">
            <v>45260</v>
          </cell>
          <cell r="AT211">
            <v>307</v>
          </cell>
          <cell r="AU211" t="str">
            <v>VMAMABUR</v>
          </cell>
        </row>
        <row r="212">
          <cell r="C212">
            <v>606449</v>
          </cell>
          <cell r="D212" t="str">
            <v>FRETES ELIAS BLAS</v>
          </cell>
          <cell r="E212" t="str">
            <v>18:00 - 00:00</v>
          </cell>
          <cell r="F212" t="str">
            <v>NOCHE</v>
          </cell>
          <cell r="G212" t="str">
            <v>JUE Y DOM</v>
          </cell>
          <cell r="H212" t="str">
            <v>MIR, TOMAS MAURICIO</v>
          </cell>
          <cell r="I212" t="str">
            <v>Romandetto Carlos</v>
          </cell>
          <cell r="J212" t="str">
            <v>x</v>
          </cell>
          <cell r="K212"/>
          <cell r="L212" t="str">
            <v>x</v>
          </cell>
          <cell r="M212" t="str">
            <v>x</v>
          </cell>
          <cell r="N212" t="str">
            <v>x</v>
          </cell>
          <cell r="O212"/>
          <cell r="P212"/>
          <cell r="Q212" t="str">
            <v>x</v>
          </cell>
          <cell r="R212" t="str">
            <v>x</v>
          </cell>
          <cell r="S212" t="str">
            <v>x</v>
          </cell>
          <cell r="T212" t="str">
            <v>x</v>
          </cell>
          <cell r="U212"/>
          <cell r="V212"/>
          <cell r="W212"/>
          <cell r="X212"/>
          <cell r="Y212"/>
          <cell r="Z212"/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 t="str">
            <v>x</v>
          </cell>
          <cell r="AO212"/>
          <cell r="AP212" t="str">
            <v>x</v>
          </cell>
          <cell r="AQ212">
            <v>45217</v>
          </cell>
          <cell r="AR212">
            <v>350</v>
          </cell>
          <cell r="AS212">
            <v>45324</v>
          </cell>
          <cell r="AT212">
            <v>243</v>
          </cell>
          <cell r="AU212" t="str">
            <v>VMAELFRE</v>
          </cell>
        </row>
        <row r="213">
          <cell r="C213">
            <v>606453</v>
          </cell>
          <cell r="D213" t="str">
            <v>CABELLO JULIETA LIBERTAD</v>
          </cell>
          <cell r="E213" t="str">
            <v>12:00 - 18:00</v>
          </cell>
          <cell r="F213" t="str">
            <v>TARDE</v>
          </cell>
          <cell r="G213" t="str">
            <v>SAB Y DOM</v>
          </cell>
          <cell r="H213" t="str">
            <v>GARZON, ROCIO BELEN</v>
          </cell>
          <cell r="I213" t="str">
            <v>Romandetto Carlos</v>
          </cell>
          <cell r="J213" t="str">
            <v>x</v>
          </cell>
          <cell r="K213"/>
          <cell r="L213" t="str">
            <v>x</v>
          </cell>
          <cell r="M213" t="str">
            <v>x</v>
          </cell>
          <cell r="N213" t="str">
            <v>x</v>
          </cell>
          <cell r="O213"/>
          <cell r="P213"/>
          <cell r="Q213" t="str">
            <v>x</v>
          </cell>
          <cell r="R213" t="str">
            <v>x</v>
          </cell>
          <cell r="S213" t="str">
            <v>x</v>
          </cell>
          <cell r="T213" t="str">
            <v>x</v>
          </cell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 t="str">
            <v>x</v>
          </cell>
          <cell r="AO213" t="str">
            <v>x</v>
          </cell>
          <cell r="AP213"/>
          <cell r="AQ213">
            <v>45217</v>
          </cell>
          <cell r="AR213">
            <v>350</v>
          </cell>
          <cell r="AS213">
            <v>45562</v>
          </cell>
          <cell r="AT213">
            <v>5</v>
          </cell>
          <cell r="AU213" t="str">
            <v>VMAJUCAB</v>
          </cell>
        </row>
        <row r="214">
          <cell r="C214">
            <v>606448</v>
          </cell>
          <cell r="D214" t="str">
            <v>ARRIGHI RUIZ TOBIAS FRANCISCO</v>
          </cell>
          <cell r="E214" t="str">
            <v>09:00 - 15:00</v>
          </cell>
          <cell r="F214" t="str">
            <v>MAÑANA</v>
          </cell>
          <cell r="G214" t="str">
            <v>SAB Y DOM</v>
          </cell>
          <cell r="H214" t="str">
            <v>Supervisor Capacitación, BU No Fijo</v>
          </cell>
          <cell r="I214" t="str">
            <v>-</v>
          </cell>
          <cell r="J214" t="str">
            <v>x</v>
          </cell>
          <cell r="K214"/>
          <cell r="L214" t="str">
            <v>x</v>
          </cell>
          <cell r="M214" t="str">
            <v>x</v>
          </cell>
          <cell r="N214" t="str">
            <v>x</v>
          </cell>
          <cell r="O214"/>
          <cell r="P214"/>
          <cell r="Q214" t="str">
            <v>x</v>
          </cell>
          <cell r="R214" t="str">
            <v>x</v>
          </cell>
          <cell r="S214" t="str">
            <v>x</v>
          </cell>
          <cell r="T214" t="str">
            <v>x</v>
          </cell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 t="str">
            <v>x</v>
          </cell>
          <cell r="AO214"/>
          <cell r="AP214" t="str">
            <v>x</v>
          </cell>
          <cell r="AQ214">
            <v>45217</v>
          </cell>
          <cell r="AR214">
            <v>350</v>
          </cell>
          <cell r="AS214">
            <v>45320</v>
          </cell>
          <cell r="AT214">
            <v>247</v>
          </cell>
          <cell r="AU214" t="str">
            <v>VMATOBRU</v>
          </cell>
        </row>
        <row r="215">
          <cell r="C215">
            <v>606455</v>
          </cell>
          <cell r="D215" t="str">
            <v>BURGUE?O SEBASTIAN IGNACIO</v>
          </cell>
          <cell r="E215" t="str">
            <v>18:00 - 00:00</v>
          </cell>
          <cell r="F215" t="str">
            <v>NOCHE</v>
          </cell>
          <cell r="G215" t="str">
            <v>MAR Y DOM</v>
          </cell>
          <cell r="H215" t="str">
            <v>MIR, TOMAS MAURICIO</v>
          </cell>
          <cell r="I215" t="str">
            <v>Romandetto Carlos</v>
          </cell>
          <cell r="J215" t="str">
            <v>x</v>
          </cell>
          <cell r="K215"/>
          <cell r="L215" t="str">
            <v>x</v>
          </cell>
          <cell r="M215" t="str">
            <v>x</v>
          </cell>
          <cell r="N215" t="str">
            <v>x</v>
          </cell>
          <cell r="O215" t="str">
            <v>x</v>
          </cell>
          <cell r="P215"/>
          <cell r="Q215"/>
          <cell r="R215" t="str">
            <v>x</v>
          </cell>
          <cell r="S215"/>
          <cell r="T215"/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 t="str">
            <v>x</v>
          </cell>
          <cell r="AO215" t="str">
            <v>x</v>
          </cell>
          <cell r="AP215"/>
          <cell r="AQ215">
            <v>45217</v>
          </cell>
          <cell r="AR215">
            <v>350</v>
          </cell>
          <cell r="AS215">
            <v>45373</v>
          </cell>
          <cell r="AT215">
            <v>194</v>
          </cell>
          <cell r="AU215" t="str">
            <v>VMASEBUR</v>
          </cell>
        </row>
        <row r="216">
          <cell r="C216">
            <v>606471</v>
          </cell>
          <cell r="D216" t="str">
            <v>FARIAS YASMIN AYELEN</v>
          </cell>
          <cell r="E216" t="str">
            <v>09:00 - 15:00</v>
          </cell>
          <cell r="F216" t="str">
            <v>MAÑANA</v>
          </cell>
          <cell r="G216" t="str">
            <v>SAB Y DOM</v>
          </cell>
          <cell r="H216" t="str">
            <v>VILLALBA, MAITEN</v>
          </cell>
          <cell r="I216" t="str">
            <v>Romandetto Carlos</v>
          </cell>
          <cell r="J216" t="str">
            <v>x</v>
          </cell>
          <cell r="K216"/>
          <cell r="L216" t="str">
            <v>x</v>
          </cell>
          <cell r="M216" t="str">
            <v>x</v>
          </cell>
          <cell r="N216" t="str">
            <v>x</v>
          </cell>
          <cell r="O216"/>
          <cell r="P216"/>
          <cell r="Q216" t="str">
            <v>x</v>
          </cell>
          <cell r="R216" t="str">
            <v>x</v>
          </cell>
          <cell r="S216" t="str">
            <v>x</v>
          </cell>
          <cell r="T216" t="str">
            <v>x</v>
          </cell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 t="str">
            <v>x</v>
          </cell>
          <cell r="AO216" t="str">
            <v>x</v>
          </cell>
          <cell r="AP216"/>
          <cell r="AQ216">
            <v>45217</v>
          </cell>
          <cell r="AR216">
            <v>350</v>
          </cell>
          <cell r="AS216">
            <v>45562</v>
          </cell>
          <cell r="AT216">
            <v>5</v>
          </cell>
          <cell r="AU216" t="str">
            <v>VMAYAFAR</v>
          </cell>
        </row>
        <row r="217">
          <cell r="C217">
            <v>606475</v>
          </cell>
          <cell r="D217" t="str">
            <v>VACA OROZCO ANDREA</v>
          </cell>
          <cell r="E217" t="str">
            <v>10:00 - 16:00</v>
          </cell>
          <cell r="F217" t="str">
            <v>MAÑANA</v>
          </cell>
          <cell r="G217" t="str">
            <v>SAB Y DOM</v>
          </cell>
          <cell r="H217" t="str">
            <v>VILLALBA, MAITEN</v>
          </cell>
          <cell r="I217" t="str">
            <v>Romandetto Carlos</v>
          </cell>
          <cell r="J217" t="str">
            <v>x</v>
          </cell>
          <cell r="K217"/>
          <cell r="L217" t="str">
            <v>x</v>
          </cell>
          <cell r="M217" t="str">
            <v>x</v>
          </cell>
          <cell r="N217" t="str">
            <v>x</v>
          </cell>
          <cell r="O217"/>
          <cell r="P217"/>
          <cell r="Q217"/>
          <cell r="R217" t="str">
            <v>x</v>
          </cell>
          <cell r="S217"/>
          <cell r="T217"/>
          <cell r="U217"/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 t="str">
            <v>x</v>
          </cell>
          <cell r="AO217" t="str">
            <v>x</v>
          </cell>
          <cell r="AP217"/>
          <cell r="AQ217">
            <v>45217</v>
          </cell>
          <cell r="AR217">
            <v>350</v>
          </cell>
          <cell r="AS217">
            <v>45260</v>
          </cell>
          <cell r="AT217">
            <v>307</v>
          </cell>
          <cell r="AU217" t="str">
            <v>VMAANVAC</v>
          </cell>
        </row>
        <row r="218">
          <cell r="C218">
            <v>606461</v>
          </cell>
          <cell r="D218" t="str">
            <v>CONDRATIUK MIGUEL AGUSTIN</v>
          </cell>
          <cell r="E218" t="str">
            <v>08:00 - 14:00</v>
          </cell>
          <cell r="F218" t="str">
            <v>MAÑANA</v>
          </cell>
          <cell r="G218" t="str">
            <v>VIE Y SAB</v>
          </cell>
          <cell r="H218" t="str">
            <v>GOYECHEA, AGUSTINA LOURDES</v>
          </cell>
          <cell r="I218" t="str">
            <v>Romandetto Carlos</v>
          </cell>
          <cell r="J218" t="str">
            <v>x</v>
          </cell>
          <cell r="K218"/>
          <cell r="L218" t="str">
            <v>x</v>
          </cell>
          <cell r="M218" t="str">
            <v>x</v>
          </cell>
          <cell r="N218" t="str">
            <v>x</v>
          </cell>
          <cell r="O218"/>
          <cell r="P218"/>
          <cell r="Q218"/>
          <cell r="R218" t="str">
            <v>x</v>
          </cell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 t="str">
            <v>x</v>
          </cell>
          <cell r="AO218" t="str">
            <v>x</v>
          </cell>
          <cell r="AP218"/>
          <cell r="AQ218">
            <v>45217</v>
          </cell>
          <cell r="AR218">
            <v>350</v>
          </cell>
          <cell r="AS218">
            <v>45260</v>
          </cell>
          <cell r="AT218">
            <v>307</v>
          </cell>
          <cell r="AU218" t="str">
            <v>VMAMICON</v>
          </cell>
        </row>
        <row r="219">
          <cell r="C219">
            <v>606476</v>
          </cell>
          <cell r="D219" t="str">
            <v>BRUSCO JADE JOLIE</v>
          </cell>
          <cell r="E219" t="str">
            <v>09:00 - 15:00</v>
          </cell>
          <cell r="F219" t="str">
            <v>MAÑANA</v>
          </cell>
          <cell r="G219" t="str">
            <v>SAB Y DOM</v>
          </cell>
          <cell r="H219" t="str">
            <v>VILLALBA, MAITEN</v>
          </cell>
          <cell r="I219" t="str">
            <v>Romandetto Carlos</v>
          </cell>
          <cell r="J219" t="str">
            <v>x</v>
          </cell>
          <cell r="K219"/>
          <cell r="L219" t="str">
            <v>x</v>
          </cell>
          <cell r="M219" t="str">
            <v>x</v>
          </cell>
          <cell r="N219" t="str">
            <v>x</v>
          </cell>
          <cell r="O219"/>
          <cell r="P219"/>
          <cell r="Q219" t="str">
            <v>x</v>
          </cell>
          <cell r="R219" t="str">
            <v>x</v>
          </cell>
          <cell r="S219" t="str">
            <v>x</v>
          </cell>
          <cell r="T219" t="str">
            <v>x</v>
          </cell>
          <cell r="U219"/>
          <cell r="V219"/>
          <cell r="W219"/>
          <cell r="X219"/>
          <cell r="Y219"/>
          <cell r="Z219"/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 t="str">
            <v>x</v>
          </cell>
          <cell r="AO219"/>
          <cell r="AP219" t="str">
            <v>x</v>
          </cell>
          <cell r="AQ219">
            <v>45217</v>
          </cell>
          <cell r="AR219">
            <v>350</v>
          </cell>
          <cell r="AS219">
            <v>45394</v>
          </cell>
          <cell r="AT219">
            <v>173</v>
          </cell>
          <cell r="AU219" t="str">
            <v>VMAJABRU</v>
          </cell>
        </row>
        <row r="220">
          <cell r="C220">
            <v>606478</v>
          </cell>
          <cell r="D220" t="str">
            <v>QUISBERT ARUATA ANDREW ROBERT</v>
          </cell>
          <cell r="E220" t="str">
            <v>09:00 - 15:00</v>
          </cell>
          <cell r="F220" t="str">
            <v>MAÑANA</v>
          </cell>
          <cell r="G220" t="str">
            <v>SAB Y DOM</v>
          </cell>
          <cell r="H220" t="str">
            <v>DIAZ, PAULA</v>
          </cell>
          <cell r="I220" t="str">
            <v>Romandetto Carlos</v>
          </cell>
          <cell r="J220" t="str">
            <v>x</v>
          </cell>
          <cell r="K220"/>
          <cell r="L220" t="str">
            <v>x</v>
          </cell>
          <cell r="M220" t="str">
            <v>x</v>
          </cell>
          <cell r="N220" t="str">
            <v>x</v>
          </cell>
          <cell r="O220"/>
          <cell r="P220"/>
          <cell r="Q220"/>
          <cell r="R220" t="str">
            <v>x</v>
          </cell>
          <cell r="S220"/>
          <cell r="T220"/>
          <cell r="U220"/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 t="str">
            <v>x</v>
          </cell>
          <cell r="AO220" t="str">
            <v>x</v>
          </cell>
          <cell r="AP220"/>
          <cell r="AQ220">
            <v>45217</v>
          </cell>
          <cell r="AR220">
            <v>350</v>
          </cell>
          <cell r="AS220">
            <v>45260</v>
          </cell>
          <cell r="AT220">
            <v>307</v>
          </cell>
          <cell r="AU220" t="str">
            <v>VMAANQUI</v>
          </cell>
        </row>
        <row r="221">
          <cell r="C221">
            <v>606463</v>
          </cell>
          <cell r="D221" t="str">
            <v>MACHADO RIVERA ELIAS RAUL</v>
          </cell>
          <cell r="E221" t="str">
            <v>08:00 - 14:00</v>
          </cell>
          <cell r="F221" t="str">
            <v>MAÑANA</v>
          </cell>
          <cell r="G221" t="str">
            <v>SAB Y DOM</v>
          </cell>
          <cell r="H221" t="str">
            <v>GOYECHEA, AGUSTINA LOURDES</v>
          </cell>
          <cell r="I221" t="str">
            <v>Romandetto Carlos</v>
          </cell>
          <cell r="J221" t="str">
            <v>x</v>
          </cell>
          <cell r="K221"/>
          <cell r="L221" t="str">
            <v>x</v>
          </cell>
          <cell r="M221" t="str">
            <v>x</v>
          </cell>
          <cell r="N221" t="str">
            <v>x</v>
          </cell>
          <cell r="O221"/>
          <cell r="P221"/>
          <cell r="Q221" t="str">
            <v>x</v>
          </cell>
          <cell r="R221" t="str">
            <v>x</v>
          </cell>
          <cell r="S221" t="str">
            <v>x</v>
          </cell>
          <cell r="T221" t="str">
            <v>x</v>
          </cell>
          <cell r="U221"/>
          <cell r="V221"/>
          <cell r="W221"/>
          <cell r="X221"/>
          <cell r="Y221"/>
          <cell r="Z221"/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 t="str">
            <v>x</v>
          </cell>
          <cell r="AO221"/>
          <cell r="AP221" t="str">
            <v>x</v>
          </cell>
          <cell r="AQ221">
            <v>45217</v>
          </cell>
          <cell r="AR221">
            <v>350</v>
          </cell>
          <cell r="AS221">
            <v>45394</v>
          </cell>
          <cell r="AT221">
            <v>173</v>
          </cell>
          <cell r="AU221" t="str">
            <v>VMAELMAC</v>
          </cell>
        </row>
        <row r="222">
          <cell r="C222">
            <v>606473</v>
          </cell>
          <cell r="D222" t="str">
            <v>CONTRERAS LUCIANO ZAIR</v>
          </cell>
          <cell r="E222" t="str">
            <v>09:00 - 15:00</v>
          </cell>
          <cell r="F222" t="str">
            <v>MAÑANA</v>
          </cell>
          <cell r="G222" t="str">
            <v>VIE Y SAB</v>
          </cell>
          <cell r="H222" t="str">
            <v>DIAZ, PAULA</v>
          </cell>
          <cell r="I222" t="str">
            <v>Romandetto Carlos</v>
          </cell>
          <cell r="J222" t="str">
            <v>x</v>
          </cell>
          <cell r="K222"/>
          <cell r="L222" t="str">
            <v>x</v>
          </cell>
          <cell r="M222" t="str">
            <v>x</v>
          </cell>
          <cell r="N222" t="str">
            <v>x</v>
          </cell>
          <cell r="O222" t="str">
            <v>X</v>
          </cell>
          <cell r="P222"/>
          <cell r="Q222"/>
          <cell r="R222" t="str">
            <v>x</v>
          </cell>
          <cell r="S222"/>
          <cell r="T222"/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 t="str">
            <v>x</v>
          </cell>
          <cell r="AO222" t="str">
            <v>x</v>
          </cell>
          <cell r="AP222"/>
          <cell r="AQ222">
            <v>45217</v>
          </cell>
          <cell r="AR222">
            <v>350</v>
          </cell>
          <cell r="AS222">
            <v>45426</v>
          </cell>
          <cell r="AT222">
            <v>141</v>
          </cell>
          <cell r="AU222" t="str">
            <v>VMALUCON</v>
          </cell>
        </row>
        <row r="223">
          <cell r="C223">
            <v>606468</v>
          </cell>
          <cell r="D223" t="str">
            <v>AVALOS VALERIA AIME</v>
          </cell>
          <cell r="E223" t="str">
            <v>09:00 - 15:00</v>
          </cell>
          <cell r="F223" t="str">
            <v>MAÑANA</v>
          </cell>
          <cell r="G223" t="str">
            <v>MIE Y DOM</v>
          </cell>
          <cell r="H223" t="str">
            <v>DIAZ, PAULA</v>
          </cell>
          <cell r="I223" t="str">
            <v>Romandetto Carlos</v>
          </cell>
          <cell r="J223" t="str">
            <v>x</v>
          </cell>
          <cell r="K223"/>
          <cell r="L223" t="str">
            <v>x</v>
          </cell>
          <cell r="M223" t="str">
            <v>x</v>
          </cell>
          <cell r="N223" t="str">
            <v>x</v>
          </cell>
          <cell r="O223" t="str">
            <v>x</v>
          </cell>
          <cell r="P223"/>
          <cell r="Q223"/>
          <cell r="R223" t="str">
            <v>x</v>
          </cell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 t="str">
            <v>x</v>
          </cell>
          <cell r="AO223" t="str">
            <v>x</v>
          </cell>
          <cell r="AP223"/>
          <cell r="AQ223">
            <v>45217</v>
          </cell>
          <cell r="AR223">
            <v>350</v>
          </cell>
          <cell r="AS223">
            <v>45373</v>
          </cell>
          <cell r="AT223">
            <v>194</v>
          </cell>
          <cell r="AU223" t="str">
            <v>VMAVAAVA</v>
          </cell>
        </row>
        <row r="224">
          <cell r="C224">
            <v>606481</v>
          </cell>
          <cell r="D224" t="str">
            <v>GUTIERREZ BRISA CRISTAL</v>
          </cell>
          <cell r="E224" t="str">
            <v>09:00 - 15:00</v>
          </cell>
          <cell r="F224" t="str">
            <v>MAÑANA</v>
          </cell>
          <cell r="G224" t="str">
            <v>SAB Y DOM</v>
          </cell>
          <cell r="H224" t="str">
            <v>VILLALBA, MAITEN</v>
          </cell>
          <cell r="I224" t="str">
            <v>Romandetto Carlos</v>
          </cell>
          <cell r="J224" t="str">
            <v>x</v>
          </cell>
          <cell r="K224"/>
          <cell r="L224" t="str">
            <v>x</v>
          </cell>
          <cell r="M224" t="str">
            <v>x</v>
          </cell>
          <cell r="N224" t="str">
            <v>x</v>
          </cell>
          <cell r="O224"/>
          <cell r="P224"/>
          <cell r="Q224"/>
          <cell r="R224" t="str">
            <v>x</v>
          </cell>
          <cell r="S224"/>
          <cell r="T224"/>
          <cell r="U224"/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/>
          <cell r="AI224"/>
          <cell r="AJ224"/>
          <cell r="AK224"/>
          <cell r="AL224"/>
          <cell r="AM224"/>
          <cell r="AN224" t="str">
            <v>x</v>
          </cell>
          <cell r="AO224" t="str">
            <v>x</v>
          </cell>
          <cell r="AP224"/>
          <cell r="AQ224">
            <v>45217</v>
          </cell>
          <cell r="AR224">
            <v>350</v>
          </cell>
          <cell r="AS224">
            <v>45260</v>
          </cell>
          <cell r="AT224">
            <v>307</v>
          </cell>
          <cell r="AU224" t="str">
            <v>VMABRGUT</v>
          </cell>
        </row>
        <row r="225">
          <cell r="C225">
            <v>606444</v>
          </cell>
          <cell r="D225" t="str">
            <v>GARCIA JULIETA SOLEDAD</v>
          </cell>
          <cell r="E225" t="str">
            <v>17:00 - 23:00</v>
          </cell>
          <cell r="F225" t="str">
            <v>NOCHE</v>
          </cell>
          <cell r="G225" t="str">
            <v>SAB Y DOM</v>
          </cell>
          <cell r="H225" t="str">
            <v>GARZON, ROCIO BELEN</v>
          </cell>
          <cell r="I225" t="str">
            <v>Romandetto Carlos</v>
          </cell>
          <cell r="J225" t="str">
            <v>x</v>
          </cell>
          <cell r="K225"/>
          <cell r="L225" t="str">
            <v>x</v>
          </cell>
          <cell r="M225" t="str">
            <v>x</v>
          </cell>
          <cell r="N225" t="str">
            <v>x</v>
          </cell>
          <cell r="O225"/>
          <cell r="P225"/>
          <cell r="Q225" t="str">
            <v>x</v>
          </cell>
          <cell r="R225" t="str">
            <v>x</v>
          </cell>
          <cell r="S225" t="str">
            <v>x</v>
          </cell>
          <cell r="T225" t="str">
            <v>x</v>
          </cell>
          <cell r="U225"/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 t="str">
            <v>x</v>
          </cell>
          <cell r="AO225"/>
          <cell r="AP225" t="str">
            <v>x</v>
          </cell>
          <cell r="AQ225">
            <v>45217</v>
          </cell>
          <cell r="AR225">
            <v>350</v>
          </cell>
          <cell r="AS225">
            <v>45397</v>
          </cell>
          <cell r="AT225">
            <v>170</v>
          </cell>
          <cell r="AU225" t="str">
            <v>VMAJUGAR</v>
          </cell>
        </row>
        <row r="226">
          <cell r="C226">
            <v>606457</v>
          </cell>
          <cell r="D226" t="str">
            <v>FUHR PATRICIO ALEJANDRO</v>
          </cell>
          <cell r="E226" t="str">
            <v>18:00 - 00:00</v>
          </cell>
          <cell r="F226" t="str">
            <v>NOCHE</v>
          </cell>
          <cell r="G226" t="str">
            <v>MAR Y SAB</v>
          </cell>
          <cell r="H226" t="str">
            <v>MIR, TOMAS MAURICIO</v>
          </cell>
          <cell r="I226" t="str">
            <v>Romandetto Carlos</v>
          </cell>
          <cell r="J226" t="str">
            <v>x</v>
          </cell>
          <cell r="K226"/>
          <cell r="L226" t="str">
            <v>x</v>
          </cell>
          <cell r="M226" t="str">
            <v>x</v>
          </cell>
          <cell r="N226" t="str">
            <v>x</v>
          </cell>
          <cell r="O226"/>
          <cell r="P226"/>
          <cell r="Q226" t="str">
            <v>x</v>
          </cell>
          <cell r="R226" t="str">
            <v>x</v>
          </cell>
          <cell r="S226" t="str">
            <v>x</v>
          </cell>
          <cell r="T226" t="str">
            <v>x</v>
          </cell>
          <cell r="U226"/>
          <cell r="V226"/>
          <cell r="W226"/>
          <cell r="X226"/>
          <cell r="Y226"/>
          <cell r="Z226"/>
          <cell r="AA226"/>
          <cell r="AB226"/>
          <cell r="AC226"/>
          <cell r="AD226"/>
          <cell r="AE226"/>
          <cell r="AF226"/>
          <cell r="AG226"/>
          <cell r="AH226"/>
          <cell r="AI226"/>
          <cell r="AJ226"/>
          <cell r="AK226"/>
          <cell r="AL226"/>
          <cell r="AM226"/>
          <cell r="AN226" t="str">
            <v>x</v>
          </cell>
          <cell r="AO226"/>
          <cell r="AP226" t="str">
            <v>x</v>
          </cell>
          <cell r="AQ226">
            <v>45217</v>
          </cell>
          <cell r="AR226">
            <v>350</v>
          </cell>
          <cell r="AS226">
            <v>45324</v>
          </cell>
          <cell r="AT226">
            <v>243</v>
          </cell>
          <cell r="AU226" t="str">
            <v>VMAPAFUH</v>
          </cell>
        </row>
        <row r="227">
          <cell r="C227">
            <v>606451</v>
          </cell>
          <cell r="D227" t="str">
            <v>ZAVALA NOELIA SUSANA</v>
          </cell>
          <cell r="E227" t="str">
            <v>08:00 - 14:00</v>
          </cell>
          <cell r="F227" t="str">
            <v>MAÑANA</v>
          </cell>
          <cell r="G227" t="str">
            <v>SAB Y DOM</v>
          </cell>
          <cell r="H227" t="str">
            <v>GOYECHEA, AGUSTINA LOURDES</v>
          </cell>
          <cell r="I227" t="str">
            <v>Romandetto Carlos</v>
          </cell>
          <cell r="J227" t="str">
            <v>x</v>
          </cell>
          <cell r="K227"/>
          <cell r="L227" t="str">
            <v>x</v>
          </cell>
          <cell r="M227" t="str">
            <v>x</v>
          </cell>
          <cell r="N227" t="str">
            <v>x</v>
          </cell>
          <cell r="O227"/>
          <cell r="P227"/>
          <cell r="Q227"/>
          <cell r="R227" t="str">
            <v>x</v>
          </cell>
          <cell r="S227"/>
          <cell r="T227"/>
          <cell r="U227"/>
          <cell r="V227"/>
          <cell r="W227"/>
          <cell r="X227"/>
          <cell r="Y227"/>
          <cell r="Z227"/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 t="str">
            <v>x</v>
          </cell>
          <cell r="AO227" t="str">
            <v>x</v>
          </cell>
          <cell r="AP227"/>
          <cell r="AQ227">
            <v>45217</v>
          </cell>
          <cell r="AR227">
            <v>350</v>
          </cell>
          <cell r="AS227">
            <v>45260</v>
          </cell>
          <cell r="AT227">
            <v>307</v>
          </cell>
          <cell r="AU227" t="str">
            <v>VMANOZAV</v>
          </cell>
        </row>
        <row r="228">
          <cell r="C228">
            <v>606488</v>
          </cell>
          <cell r="D228" t="str">
            <v>GIAVINO ALAN EMMANUEL</v>
          </cell>
          <cell r="E228" t="str">
            <v>09:00 - 15:00</v>
          </cell>
          <cell r="F228" t="str">
            <v>MAÑANA</v>
          </cell>
          <cell r="G228" t="str">
            <v>SAB Y DOM</v>
          </cell>
          <cell r="H228" t="str">
            <v>SORIA, ANA PAULA</v>
          </cell>
          <cell r="I228" t="str">
            <v>Romandetto Carlos</v>
          </cell>
          <cell r="J228" t="str">
            <v>x</v>
          </cell>
          <cell r="K228"/>
          <cell r="L228" t="str">
            <v>x</v>
          </cell>
          <cell r="M228" t="str">
            <v>x</v>
          </cell>
          <cell r="N228" t="str">
            <v>x</v>
          </cell>
          <cell r="O228"/>
          <cell r="P228"/>
          <cell r="Q228"/>
          <cell r="R228" t="str">
            <v>x</v>
          </cell>
          <cell r="S228"/>
          <cell r="T228"/>
          <cell r="U228"/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 t="str">
            <v>x</v>
          </cell>
          <cell r="AO228" t="str">
            <v>x</v>
          </cell>
          <cell r="AP228"/>
          <cell r="AQ228">
            <v>45244</v>
          </cell>
          <cell r="AR228">
            <v>323</v>
          </cell>
          <cell r="AS228">
            <v>45289</v>
          </cell>
          <cell r="AT228">
            <v>278</v>
          </cell>
          <cell r="AU228" t="str">
            <v>VMAALGIA</v>
          </cell>
        </row>
        <row r="229">
          <cell r="C229">
            <v>606489</v>
          </cell>
          <cell r="D229" t="str">
            <v>BREGLIA MELANIE IARA</v>
          </cell>
          <cell r="E229" t="str">
            <v>09:00 - 15:00</v>
          </cell>
          <cell r="F229" t="str">
            <v>MAÑANA</v>
          </cell>
          <cell r="G229" t="str">
            <v>SAB Y DOM</v>
          </cell>
          <cell r="H229" t="str">
            <v>GROESMANN, MAYA JUDITH</v>
          </cell>
          <cell r="I229" t="str">
            <v>Romandetto Carlos</v>
          </cell>
          <cell r="J229" t="str">
            <v>x</v>
          </cell>
          <cell r="K229"/>
          <cell r="L229" t="str">
            <v>x</v>
          </cell>
          <cell r="M229" t="str">
            <v>x</v>
          </cell>
          <cell r="N229" t="str">
            <v>x</v>
          </cell>
          <cell r="O229"/>
          <cell r="P229"/>
          <cell r="Q229"/>
          <cell r="R229" t="str">
            <v>x</v>
          </cell>
          <cell r="S229"/>
          <cell r="T229"/>
          <cell r="U229"/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 t="str">
            <v>x</v>
          </cell>
          <cell r="AO229" t="str">
            <v>x</v>
          </cell>
          <cell r="AP229"/>
          <cell r="AQ229">
            <v>45244</v>
          </cell>
          <cell r="AR229">
            <v>323</v>
          </cell>
          <cell r="AS229">
            <v>45289</v>
          </cell>
          <cell r="AT229">
            <v>278</v>
          </cell>
          <cell r="AU229" t="str">
            <v>VMAMEBRE</v>
          </cell>
        </row>
        <row r="230">
          <cell r="C230">
            <v>606495</v>
          </cell>
          <cell r="D230" t="str">
            <v>SERTORIO DAMARIS MARIA AILEN</v>
          </cell>
          <cell r="E230" t="str">
            <v>09:00 - 15:00</v>
          </cell>
          <cell r="F230" t="str">
            <v>MAÑANA</v>
          </cell>
          <cell r="G230" t="str">
            <v>SAB Y DOM</v>
          </cell>
          <cell r="H230" t="str">
            <v>MOYANO, DAIANA SOLEDAD</v>
          </cell>
          <cell r="I230" t="str">
            <v>Romandetto Carlos</v>
          </cell>
          <cell r="J230" t="str">
            <v>x</v>
          </cell>
          <cell r="K230"/>
          <cell r="L230" t="str">
            <v>x</v>
          </cell>
          <cell r="M230" t="str">
            <v>x</v>
          </cell>
          <cell r="N230" t="str">
            <v>x</v>
          </cell>
          <cell r="O230"/>
          <cell r="P230"/>
          <cell r="Q230" t="str">
            <v>x</v>
          </cell>
          <cell r="R230" t="str">
            <v>x</v>
          </cell>
          <cell r="S230" t="str">
            <v>x</v>
          </cell>
          <cell r="T230"/>
          <cell r="U230"/>
          <cell r="V230"/>
          <cell r="W230"/>
          <cell r="X230"/>
          <cell r="Y230"/>
          <cell r="Z230"/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 t="str">
            <v>x</v>
          </cell>
          <cell r="AO230"/>
          <cell r="AP230" t="str">
            <v>x</v>
          </cell>
          <cell r="AQ230">
            <v>45244</v>
          </cell>
          <cell r="AR230">
            <v>323</v>
          </cell>
          <cell r="AS230">
            <v>45338</v>
          </cell>
          <cell r="AT230">
            <v>229</v>
          </cell>
          <cell r="AU230" t="str">
            <v>VMASERDA</v>
          </cell>
        </row>
        <row r="231">
          <cell r="C231">
            <v>606498</v>
          </cell>
          <cell r="D231" t="str">
            <v>SANCHEZ ADRIAN ALEJANDRO</v>
          </cell>
          <cell r="E231" t="str">
            <v>09:00 - 15:00</v>
          </cell>
          <cell r="F231" t="str">
            <v>MAÑANA</v>
          </cell>
          <cell r="G231" t="str">
            <v>VIE Y DOM</v>
          </cell>
          <cell r="H231" t="str">
            <v>LOUREIRO, FLORENCIA CANDELA</v>
          </cell>
          <cell r="I231" t="str">
            <v>Romandetto Carlos</v>
          </cell>
          <cell r="J231" t="str">
            <v>x</v>
          </cell>
          <cell r="K231"/>
          <cell r="L231" t="str">
            <v>x</v>
          </cell>
          <cell r="M231" t="str">
            <v>x</v>
          </cell>
          <cell r="N231" t="str">
            <v>x</v>
          </cell>
          <cell r="O231"/>
          <cell r="P231"/>
          <cell r="Q231" t="str">
            <v>x</v>
          </cell>
          <cell r="R231" t="str">
            <v>x</v>
          </cell>
          <cell r="S231" t="str">
            <v>x</v>
          </cell>
          <cell r="T231"/>
          <cell r="U231"/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/>
          <cell r="AI231"/>
          <cell r="AJ231"/>
          <cell r="AK231"/>
          <cell r="AL231"/>
          <cell r="AM231"/>
          <cell r="AN231" t="str">
            <v>x</v>
          </cell>
          <cell r="AO231"/>
          <cell r="AP231" t="str">
            <v>x</v>
          </cell>
          <cell r="AQ231">
            <v>45245</v>
          </cell>
          <cell r="AR231">
            <v>322</v>
          </cell>
          <cell r="AS231">
            <v>45338</v>
          </cell>
          <cell r="AT231">
            <v>229</v>
          </cell>
          <cell r="AU231" t="str">
            <v>VMAADSAN</v>
          </cell>
        </row>
        <row r="232">
          <cell r="C232">
            <v>606501</v>
          </cell>
          <cell r="D232" t="str">
            <v>TOFFOLETTI SOTO EVELYN</v>
          </cell>
          <cell r="E232" t="str">
            <v>09:00 - 15:00</v>
          </cell>
          <cell r="F232" t="str">
            <v>MAÑANA</v>
          </cell>
          <cell r="G232" t="str">
            <v>SAB Y DOM</v>
          </cell>
          <cell r="H232" t="str">
            <v>GROESMANN, MAYA JUDITH</v>
          </cell>
          <cell r="I232" t="str">
            <v>Romandetto Carlos</v>
          </cell>
          <cell r="J232" t="str">
            <v>x</v>
          </cell>
          <cell r="K232"/>
          <cell r="L232" t="str">
            <v>x</v>
          </cell>
          <cell r="M232" t="str">
            <v>x</v>
          </cell>
          <cell r="N232" t="str">
            <v>x</v>
          </cell>
          <cell r="O232"/>
          <cell r="P232"/>
          <cell r="Q232"/>
          <cell r="R232" t="str">
            <v>x</v>
          </cell>
          <cell r="S232"/>
          <cell r="T232"/>
          <cell r="U232"/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 t="str">
            <v>x</v>
          </cell>
          <cell r="AO232" t="str">
            <v>x</v>
          </cell>
          <cell r="AP232"/>
          <cell r="AQ232">
            <v>45244</v>
          </cell>
          <cell r="AR232">
            <v>323</v>
          </cell>
          <cell r="AS232">
            <v>45289</v>
          </cell>
          <cell r="AT232">
            <v>278</v>
          </cell>
          <cell r="AU232" t="str">
            <v>VMAEVTOF</v>
          </cell>
        </row>
        <row r="233">
          <cell r="C233">
            <v>606519</v>
          </cell>
          <cell r="D233" t="str">
            <v>COLMAN VALENZUELA SOFIA SOLEDAD</v>
          </cell>
          <cell r="E233" t="str">
            <v>18:00 - 00:00</v>
          </cell>
          <cell r="F233" t="str">
            <v>NOCHE</v>
          </cell>
          <cell r="G233" t="str">
            <v>SAB Y DOM</v>
          </cell>
          <cell r="H233" t="str">
            <v>GOMEZ, AYLEN MILAGROS</v>
          </cell>
          <cell r="I233" t="str">
            <v>Romandetto Carlos</v>
          </cell>
          <cell r="J233" t="str">
            <v>x</v>
          </cell>
          <cell r="K233"/>
          <cell r="L233" t="str">
            <v>x</v>
          </cell>
          <cell r="M233" t="str">
            <v>x</v>
          </cell>
          <cell r="N233" t="str">
            <v>x</v>
          </cell>
          <cell r="O233"/>
          <cell r="P233"/>
          <cell r="Q233" t="str">
            <v>x</v>
          </cell>
          <cell r="R233" t="str">
            <v>x</v>
          </cell>
          <cell r="S233" t="str">
            <v>x</v>
          </cell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 t="str">
            <v>x</v>
          </cell>
          <cell r="AO233"/>
          <cell r="AP233" t="str">
            <v>x</v>
          </cell>
          <cell r="AQ233">
            <v>45244</v>
          </cell>
          <cell r="AR233">
            <v>323</v>
          </cell>
          <cell r="AS233">
            <v>45338</v>
          </cell>
          <cell r="AT233">
            <v>229</v>
          </cell>
          <cell r="AU233" t="str">
            <v>VMASOCOL</v>
          </cell>
        </row>
        <row r="234">
          <cell r="C234">
            <v>606524</v>
          </cell>
          <cell r="D234" t="str">
            <v>VAZQUEZ SOFIA MAGALI</v>
          </cell>
          <cell r="E234" t="str">
            <v>15:00 - 21:00</v>
          </cell>
          <cell r="F234" t="str">
            <v>TARDE</v>
          </cell>
          <cell r="G234" t="str">
            <v>SAB Y DOM</v>
          </cell>
          <cell r="H234" t="str">
            <v>GOMEZ, AYLEN MILAGROS</v>
          </cell>
          <cell r="I234" t="str">
            <v>Romandetto Carlos</v>
          </cell>
          <cell r="J234" t="str">
            <v>x</v>
          </cell>
          <cell r="K234"/>
          <cell r="L234" t="str">
            <v>x</v>
          </cell>
          <cell r="M234" t="str">
            <v>x</v>
          </cell>
          <cell r="N234" t="str">
            <v>x</v>
          </cell>
          <cell r="O234"/>
          <cell r="P234"/>
          <cell r="Q234" t="str">
            <v>x</v>
          </cell>
          <cell r="R234" t="str">
            <v>x</v>
          </cell>
          <cell r="S234" t="str">
            <v>x</v>
          </cell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 t="str">
            <v>x</v>
          </cell>
          <cell r="AO234"/>
          <cell r="AP234" t="str">
            <v>x</v>
          </cell>
          <cell r="AQ234">
            <v>45244</v>
          </cell>
          <cell r="AR234">
            <v>323</v>
          </cell>
          <cell r="AS234">
            <v>45338</v>
          </cell>
          <cell r="AT234">
            <v>229</v>
          </cell>
          <cell r="AU234" t="str">
            <v>VMASOFVA</v>
          </cell>
        </row>
        <row r="235">
          <cell r="C235">
            <v>606528</v>
          </cell>
          <cell r="D235" t="str">
            <v>CERVANTES LOURDES ABRIL</v>
          </cell>
          <cell r="E235" t="str">
            <v>14:00 - 20:00</v>
          </cell>
          <cell r="F235" t="str">
            <v>TARDE</v>
          </cell>
          <cell r="G235" t="str">
            <v>SAB Y DOM</v>
          </cell>
          <cell r="H235" t="str">
            <v>YBARRA, LUCIA ALDANA</v>
          </cell>
          <cell r="I235" t="str">
            <v>Romandetto Carlos</v>
          </cell>
          <cell r="J235" t="str">
            <v>x</v>
          </cell>
          <cell r="K235"/>
          <cell r="L235" t="str">
            <v>x</v>
          </cell>
          <cell r="M235" t="str">
            <v>x</v>
          </cell>
          <cell r="N235" t="str">
            <v>x</v>
          </cell>
          <cell r="O235"/>
          <cell r="P235"/>
          <cell r="Q235" t="str">
            <v>x</v>
          </cell>
          <cell r="R235" t="str">
            <v>x</v>
          </cell>
          <cell r="S235" t="str">
            <v>x</v>
          </cell>
          <cell r="T235"/>
          <cell r="U235"/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 t="str">
            <v>x</v>
          </cell>
          <cell r="AO235"/>
          <cell r="AP235" t="str">
            <v>x</v>
          </cell>
          <cell r="AQ235">
            <v>45244</v>
          </cell>
          <cell r="AR235">
            <v>323</v>
          </cell>
          <cell r="AS235">
            <v>45338</v>
          </cell>
          <cell r="AT235">
            <v>229</v>
          </cell>
          <cell r="AU235" t="str">
            <v>VMALOCER</v>
          </cell>
        </row>
        <row r="236">
          <cell r="C236">
            <v>606532</v>
          </cell>
          <cell r="D236" t="str">
            <v>MINO ARIADNA SOLANGE</v>
          </cell>
          <cell r="E236" t="str">
            <v>18:00 - 00:00</v>
          </cell>
          <cell r="F236" t="str">
            <v>NOCHE</v>
          </cell>
          <cell r="G236" t="str">
            <v>SAB Y DOM</v>
          </cell>
          <cell r="H236" t="str">
            <v>PELOC, MARIA SOLEDAD</v>
          </cell>
          <cell r="I236" t="str">
            <v>Romandetto Carlos</v>
          </cell>
          <cell r="J236" t="str">
            <v>x</v>
          </cell>
          <cell r="K236"/>
          <cell r="L236" t="str">
            <v>x</v>
          </cell>
          <cell r="M236" t="str">
            <v>x</v>
          </cell>
          <cell r="N236" t="str">
            <v>x</v>
          </cell>
          <cell r="O236"/>
          <cell r="P236"/>
          <cell r="Q236" t="str">
            <v>x</v>
          </cell>
          <cell r="R236" t="str">
            <v>x</v>
          </cell>
          <cell r="S236" t="str">
            <v>x</v>
          </cell>
          <cell r="T236" t="str">
            <v>x</v>
          </cell>
          <cell r="U236"/>
          <cell r="V236"/>
          <cell r="W236"/>
          <cell r="X236"/>
          <cell r="Y236"/>
          <cell r="Z236"/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 t="str">
            <v>x</v>
          </cell>
          <cell r="AO236"/>
          <cell r="AP236" t="str">
            <v>x</v>
          </cell>
          <cell r="AQ236">
            <v>45244</v>
          </cell>
          <cell r="AR236">
            <v>323</v>
          </cell>
          <cell r="AS236">
            <v>45478</v>
          </cell>
          <cell r="AT236">
            <v>89</v>
          </cell>
          <cell r="AU236" t="str">
            <v>VMAARMII</v>
          </cell>
        </row>
        <row r="237">
          <cell r="C237">
            <v>606535</v>
          </cell>
          <cell r="D237" t="str">
            <v>NIEVA JOHANNA ALEJANDRA MARIEL</v>
          </cell>
          <cell r="E237" t="str">
            <v>13:00 - 19:00</v>
          </cell>
          <cell r="F237" t="str">
            <v>TARDE</v>
          </cell>
          <cell r="G237" t="str">
            <v>VIE Y SAB</v>
          </cell>
          <cell r="H237" t="str">
            <v>PELOC, MARIA SOLEDAD</v>
          </cell>
          <cell r="I237" t="str">
            <v>Romandetto Carlos</v>
          </cell>
          <cell r="J237" t="str">
            <v>x</v>
          </cell>
          <cell r="K237"/>
          <cell r="L237" t="str">
            <v>x</v>
          </cell>
          <cell r="M237" t="str">
            <v>x</v>
          </cell>
          <cell r="N237" t="str">
            <v>x</v>
          </cell>
          <cell r="O237"/>
          <cell r="P237"/>
          <cell r="Q237" t="str">
            <v>x</v>
          </cell>
          <cell r="R237" t="str">
            <v>x</v>
          </cell>
          <cell r="S237" t="str">
            <v>x</v>
          </cell>
          <cell r="T237" t="str">
            <v>x</v>
          </cell>
          <cell r="U237"/>
          <cell r="V237"/>
          <cell r="W237"/>
          <cell r="X237"/>
          <cell r="Y237"/>
          <cell r="Z237"/>
          <cell r="AA237"/>
          <cell r="AB237"/>
          <cell r="AC237"/>
          <cell r="AD237"/>
          <cell r="AE237"/>
          <cell r="AF237"/>
          <cell r="AG237"/>
          <cell r="AH237"/>
          <cell r="AI237"/>
          <cell r="AJ237"/>
          <cell r="AK237"/>
          <cell r="AL237"/>
          <cell r="AM237"/>
          <cell r="AN237" t="str">
            <v>x</v>
          </cell>
          <cell r="AO237"/>
          <cell r="AP237" t="str">
            <v>x</v>
          </cell>
          <cell r="AQ237">
            <v>45244</v>
          </cell>
          <cell r="AR237">
            <v>323</v>
          </cell>
          <cell r="AS237">
            <v>45478</v>
          </cell>
          <cell r="AT237">
            <v>89</v>
          </cell>
          <cell r="AU237" t="str">
            <v>VMAJONIE</v>
          </cell>
        </row>
        <row r="238">
          <cell r="C238">
            <v>605886</v>
          </cell>
          <cell r="D238" t="str">
            <v>MOYA GARRIDO THOMAS EMANUEL</v>
          </cell>
          <cell r="E238" t="str">
            <v>09:00 - 15:00</v>
          </cell>
          <cell r="F238" t="str">
            <v>MAÑANA</v>
          </cell>
          <cell r="G238" t="str">
            <v>SAB Y DOM</v>
          </cell>
          <cell r="H238" t="str">
            <v>GOYECHEA, AGUSTINA LOURDES</v>
          </cell>
          <cell r="I238" t="str">
            <v>Romandetto Carlos</v>
          </cell>
          <cell r="J238" t="str">
            <v>x</v>
          </cell>
          <cell r="K238"/>
          <cell r="L238" t="str">
            <v>x</v>
          </cell>
          <cell r="M238" t="str">
            <v>x</v>
          </cell>
          <cell r="N238" t="str">
            <v>x</v>
          </cell>
          <cell r="O238"/>
          <cell r="P238"/>
          <cell r="Q238"/>
          <cell r="R238" t="str">
            <v>x</v>
          </cell>
          <cell r="S238"/>
          <cell r="T238"/>
          <cell r="U238"/>
          <cell r="V238"/>
          <cell r="W238"/>
          <cell r="X238"/>
          <cell r="Y238"/>
          <cell r="Z238"/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 t="str">
            <v>x</v>
          </cell>
          <cell r="AO238" t="str">
            <v>x</v>
          </cell>
          <cell r="AP238"/>
          <cell r="AQ238">
            <v>45244</v>
          </cell>
          <cell r="AR238">
            <v>323</v>
          </cell>
          <cell r="AS238">
            <v>45289</v>
          </cell>
          <cell r="AT238">
            <v>278</v>
          </cell>
          <cell r="AU238" t="str">
            <v>VMATHMOY</v>
          </cell>
        </row>
        <row r="239">
          <cell r="C239">
            <v>606291</v>
          </cell>
          <cell r="D239" t="str">
            <v>LOPEZ CAROLINA</v>
          </cell>
          <cell r="E239" t="str">
            <v>12:00 - 18:00</v>
          </cell>
          <cell r="F239" t="str">
            <v>TARDE</v>
          </cell>
          <cell r="G239" t="str">
            <v>SAB Y DOM</v>
          </cell>
          <cell r="H239" t="str">
            <v>ROBLEDO, LEANDRO JAVIER</v>
          </cell>
          <cell r="I239" t="str">
            <v>Romandetto Carlos</v>
          </cell>
          <cell r="J239" t="str">
            <v>x</v>
          </cell>
          <cell r="K239"/>
          <cell r="L239" t="str">
            <v>x</v>
          </cell>
          <cell r="M239" t="str">
            <v>x</v>
          </cell>
          <cell r="N239" t="str">
            <v>x</v>
          </cell>
          <cell r="O239"/>
          <cell r="P239"/>
          <cell r="Q239"/>
          <cell r="R239" t="str">
            <v>x</v>
          </cell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 t="str">
            <v>x</v>
          </cell>
          <cell r="AO239" t="str">
            <v>x</v>
          </cell>
          <cell r="AP239"/>
          <cell r="AQ239">
            <v>45244</v>
          </cell>
          <cell r="AR239">
            <v>323</v>
          </cell>
          <cell r="AS239">
            <v>45289</v>
          </cell>
          <cell r="AT239">
            <v>278</v>
          </cell>
          <cell r="AU239" t="str">
            <v>VMACLOPE</v>
          </cell>
        </row>
        <row r="240">
          <cell r="C240">
            <v>606293</v>
          </cell>
          <cell r="D240" t="str">
            <v>BARRIONUEVO JULIETA</v>
          </cell>
          <cell r="E240" t="str">
            <v>06:00 - 12:00</v>
          </cell>
          <cell r="F240" t="str">
            <v>MAÑANA</v>
          </cell>
          <cell r="G240" t="str">
            <v>SAB Y DOM</v>
          </cell>
          <cell r="H240" t="str">
            <v>VILLALBA, MAITEN</v>
          </cell>
          <cell r="I240" t="str">
            <v>Romandetto Carlos</v>
          </cell>
          <cell r="J240" t="str">
            <v>x</v>
          </cell>
          <cell r="K240"/>
          <cell r="L240" t="str">
            <v>x</v>
          </cell>
          <cell r="M240" t="str">
            <v>x</v>
          </cell>
          <cell r="N240" t="str">
            <v>x</v>
          </cell>
          <cell r="O240" t="str">
            <v>x</v>
          </cell>
          <cell r="P240"/>
          <cell r="Q240"/>
          <cell r="R240" t="str">
            <v>x</v>
          </cell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 t="str">
            <v>x</v>
          </cell>
          <cell r="AO240" t="str">
            <v>x</v>
          </cell>
          <cell r="AP240"/>
          <cell r="AQ240">
            <v>45244</v>
          </cell>
          <cell r="AR240">
            <v>323</v>
          </cell>
          <cell r="AS240">
            <v>45373</v>
          </cell>
          <cell r="AT240">
            <v>194</v>
          </cell>
          <cell r="AU240" t="str">
            <v>VMAJBARR</v>
          </cell>
        </row>
        <row r="241">
          <cell r="C241">
            <v>606301</v>
          </cell>
          <cell r="D241" t="str">
            <v>AMARIA EVELYN NICOLE</v>
          </cell>
          <cell r="E241" t="str">
            <v>09:00 - 15:00</v>
          </cell>
          <cell r="F241" t="str">
            <v>MAÑANA</v>
          </cell>
          <cell r="G241" t="str">
            <v>SAB Y DOM</v>
          </cell>
          <cell r="H241" t="str">
            <v>GOYECHEA, AGUSTINA LOURDES</v>
          </cell>
          <cell r="I241" t="str">
            <v>Romandetto Carlos</v>
          </cell>
          <cell r="J241" t="str">
            <v>x</v>
          </cell>
          <cell r="K241"/>
          <cell r="L241" t="str">
            <v>x</v>
          </cell>
          <cell r="M241" t="str">
            <v>x</v>
          </cell>
          <cell r="N241" t="str">
            <v>x</v>
          </cell>
          <cell r="O241"/>
          <cell r="P241"/>
          <cell r="Q241" t="str">
            <v>x</v>
          </cell>
          <cell r="R241" t="str">
            <v>x</v>
          </cell>
          <cell r="S241" t="str">
            <v>x</v>
          </cell>
          <cell r="T241" t="str">
            <v>x</v>
          </cell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 t="str">
            <v>x</v>
          </cell>
          <cell r="AO241"/>
          <cell r="AP241" t="str">
            <v>x</v>
          </cell>
          <cell r="AQ241">
            <v>45244</v>
          </cell>
          <cell r="AR241">
            <v>323</v>
          </cell>
          <cell r="AS241">
            <v>45394</v>
          </cell>
          <cell r="AT241">
            <v>173</v>
          </cell>
          <cell r="AU241" t="str">
            <v>VMAEVAMA</v>
          </cell>
        </row>
        <row r="242">
          <cell r="C242">
            <v>606331</v>
          </cell>
          <cell r="D242" t="str">
            <v>MOREAU MICAELA VICTORIA</v>
          </cell>
          <cell r="E242" t="str">
            <v>15:00 - 21:00</v>
          </cell>
          <cell r="F242" t="str">
            <v>TARDE</v>
          </cell>
          <cell r="G242" t="str">
            <v>MAR Y SAB</v>
          </cell>
          <cell r="H242" t="str">
            <v>SOLER, SANTIAGO MAXIMILIANO</v>
          </cell>
          <cell r="I242" t="str">
            <v>Romandetto Carlos</v>
          </cell>
          <cell r="J242" t="str">
            <v>x</v>
          </cell>
          <cell r="K242"/>
          <cell r="L242" t="str">
            <v>x</v>
          </cell>
          <cell r="M242" t="str">
            <v>x</v>
          </cell>
          <cell r="N242" t="str">
            <v>x</v>
          </cell>
          <cell r="O242"/>
          <cell r="P242"/>
          <cell r="Q242"/>
          <cell r="R242" t="str">
            <v>x</v>
          </cell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 t="str">
            <v>x</v>
          </cell>
          <cell r="AO242" t="str">
            <v>x</v>
          </cell>
          <cell r="AP242"/>
          <cell r="AQ242">
            <v>45244</v>
          </cell>
          <cell r="AR242">
            <v>323</v>
          </cell>
          <cell r="AS242">
            <v>45289</v>
          </cell>
          <cell r="AT242">
            <v>278</v>
          </cell>
          <cell r="AU242" t="str">
            <v>VMAMIMOR</v>
          </cell>
        </row>
        <row r="243">
          <cell r="C243">
            <v>606334</v>
          </cell>
          <cell r="D243" t="str">
            <v>GOMEZ MATIAS</v>
          </cell>
          <cell r="E243" t="str">
            <v>16:00 - 22:00</v>
          </cell>
          <cell r="F243" t="str">
            <v>TARDE</v>
          </cell>
          <cell r="G243" t="str">
            <v>SAB Y DOM</v>
          </cell>
          <cell r="H243" t="str">
            <v>MIR, TOMAS MAURICIO</v>
          </cell>
          <cell r="I243" t="str">
            <v>Romandetto Carlos</v>
          </cell>
          <cell r="J243" t="str">
            <v>x</v>
          </cell>
          <cell r="K243"/>
          <cell r="L243" t="str">
            <v>x</v>
          </cell>
          <cell r="M243" t="str">
            <v>x</v>
          </cell>
          <cell r="N243" t="str">
            <v>x</v>
          </cell>
          <cell r="O243"/>
          <cell r="P243"/>
          <cell r="Q243" t="str">
            <v>x</v>
          </cell>
          <cell r="R243" t="str">
            <v>x</v>
          </cell>
          <cell r="S243" t="str">
            <v>x</v>
          </cell>
          <cell r="T243" t="str">
            <v>x</v>
          </cell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 t="str">
            <v>x</v>
          </cell>
          <cell r="AO243" t="str">
            <v>x</v>
          </cell>
          <cell r="AP243"/>
          <cell r="AQ243">
            <v>45244</v>
          </cell>
          <cell r="AR243">
            <v>323</v>
          </cell>
          <cell r="AS243">
            <v>45562</v>
          </cell>
          <cell r="AT243">
            <v>5</v>
          </cell>
          <cell r="AU243" t="str">
            <v>VMAMATGO</v>
          </cell>
        </row>
        <row r="244">
          <cell r="C244">
            <v>606335</v>
          </cell>
          <cell r="D244" t="str">
            <v>MARTINEZ CAROLINA ANABELA</v>
          </cell>
          <cell r="E244" t="str">
            <v>15:00 - 21:00</v>
          </cell>
          <cell r="F244" t="str">
            <v>TARDE</v>
          </cell>
          <cell r="G244" t="str">
            <v>SAB Y DOM</v>
          </cell>
          <cell r="H244" t="str">
            <v>SOLER, SANTIAGO MAXIMILIANO</v>
          </cell>
          <cell r="I244" t="str">
            <v>Romandetto Carlos</v>
          </cell>
          <cell r="J244" t="str">
            <v>x</v>
          </cell>
          <cell r="K244"/>
          <cell r="L244" t="str">
            <v>x</v>
          </cell>
          <cell r="M244" t="str">
            <v>x</v>
          </cell>
          <cell r="N244" t="str">
            <v>x</v>
          </cell>
          <cell r="O244"/>
          <cell r="P244"/>
          <cell r="Q244" t="str">
            <v>x</v>
          </cell>
          <cell r="R244" t="str">
            <v>x</v>
          </cell>
          <cell r="S244" t="str">
            <v>x</v>
          </cell>
          <cell r="T244" t="str">
            <v>x</v>
          </cell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 t="str">
            <v>x</v>
          </cell>
          <cell r="AO244"/>
          <cell r="AP244" t="str">
            <v>x</v>
          </cell>
          <cell r="AQ244">
            <v>45244</v>
          </cell>
          <cell r="AR244">
            <v>323</v>
          </cell>
          <cell r="AS244">
            <v>45397</v>
          </cell>
          <cell r="AT244">
            <v>170</v>
          </cell>
          <cell r="AU244" t="str">
            <v>VMACARMA</v>
          </cell>
        </row>
        <row r="245">
          <cell r="C245">
            <v>606371</v>
          </cell>
          <cell r="D245" t="str">
            <v>CALAHUANA SILVANA</v>
          </cell>
          <cell r="E245" t="str">
            <v>12:00 - 18:00</v>
          </cell>
          <cell r="F245" t="str">
            <v>TARDE</v>
          </cell>
          <cell r="G245" t="str">
            <v>SAB Y DOM</v>
          </cell>
          <cell r="H245" t="str">
            <v>SOLER, SANTIAGO MAXIMILIANO</v>
          </cell>
          <cell r="I245" t="str">
            <v>Romandetto Carlos</v>
          </cell>
          <cell r="J245" t="str">
            <v>x</v>
          </cell>
          <cell r="K245"/>
          <cell r="L245" t="str">
            <v>x</v>
          </cell>
          <cell r="M245" t="str">
            <v>x</v>
          </cell>
          <cell r="N245" t="str">
            <v>x</v>
          </cell>
          <cell r="O245"/>
          <cell r="P245"/>
          <cell r="Q245"/>
          <cell r="R245" t="str">
            <v>x</v>
          </cell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 t="str">
            <v>x</v>
          </cell>
          <cell r="AO245" t="str">
            <v>x</v>
          </cell>
          <cell r="AP245"/>
          <cell r="AQ245">
            <v>45244</v>
          </cell>
          <cell r="AR245">
            <v>323</v>
          </cell>
          <cell r="AS245">
            <v>45289</v>
          </cell>
          <cell r="AT245">
            <v>278</v>
          </cell>
          <cell r="AU245" t="str">
            <v>VMASICAL</v>
          </cell>
        </row>
        <row r="246">
          <cell r="C246">
            <v>606536</v>
          </cell>
          <cell r="D246" t="str">
            <v>SOTELO SILVANA ANAHI</v>
          </cell>
          <cell r="E246" t="str">
            <v>15:00 - 21:00</v>
          </cell>
          <cell r="F246" t="str">
            <v>TARDE</v>
          </cell>
          <cell r="G246" t="str">
            <v>LUN Y SAB</v>
          </cell>
          <cell r="H246" t="str">
            <v>SOLER, SANTIAGO MAXIMILIANO</v>
          </cell>
          <cell r="I246" t="str">
            <v>Romandetto Carlos</v>
          </cell>
          <cell r="J246" t="str">
            <v>x</v>
          </cell>
          <cell r="K246"/>
          <cell r="L246" t="str">
            <v>x</v>
          </cell>
          <cell r="M246" t="str">
            <v>x</v>
          </cell>
          <cell r="N246" t="str">
            <v>x</v>
          </cell>
          <cell r="O246"/>
          <cell r="P246"/>
          <cell r="Q246"/>
          <cell r="R246" t="str">
            <v>x</v>
          </cell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 t="str">
            <v>x</v>
          </cell>
          <cell r="AO246" t="str">
            <v>x</v>
          </cell>
          <cell r="AP246"/>
          <cell r="AQ246">
            <v>45245</v>
          </cell>
          <cell r="AR246">
            <v>322</v>
          </cell>
          <cell r="AS246">
            <v>45289</v>
          </cell>
          <cell r="AT246">
            <v>278</v>
          </cell>
          <cell r="AU246" t="str">
            <v>VMASISOT</v>
          </cell>
        </row>
        <row r="247">
          <cell r="C247">
            <v>606542</v>
          </cell>
          <cell r="D247" t="str">
            <v>TISEIRA IRIS AMORINA</v>
          </cell>
          <cell r="E247" t="str">
            <v>15:00 - 21:00</v>
          </cell>
          <cell r="F247" t="str">
            <v>TARDE</v>
          </cell>
          <cell r="G247" t="str">
            <v>SAB Y DOM</v>
          </cell>
          <cell r="H247" t="str">
            <v>ROJAS, LUCAS</v>
          </cell>
          <cell r="I247" t="str">
            <v>Romandetto Carlos</v>
          </cell>
          <cell r="J247" t="str">
            <v>x</v>
          </cell>
          <cell r="K247"/>
          <cell r="L247" t="str">
            <v>x</v>
          </cell>
          <cell r="M247" t="str">
            <v>x</v>
          </cell>
          <cell r="N247" t="str">
            <v>x</v>
          </cell>
          <cell r="O247"/>
          <cell r="P247"/>
          <cell r="Q247"/>
          <cell r="R247" t="str">
            <v>x</v>
          </cell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>
            <v>45098</v>
          </cell>
          <cell r="AR247">
            <v>469</v>
          </cell>
          <cell r="AS247">
            <v>45289</v>
          </cell>
          <cell r="AT247">
            <v>278</v>
          </cell>
          <cell r="AU247" t="str">
            <v>VMAIRTES</v>
          </cell>
        </row>
        <row r="248">
          <cell r="C248">
            <v>606547</v>
          </cell>
          <cell r="D248" t="str">
            <v>PALOMINO GERALDINE CAROLYN</v>
          </cell>
          <cell r="E248" t="str">
            <v>11:00 - 17:00</v>
          </cell>
          <cell r="F248" t="str">
            <v>MAÑANA</v>
          </cell>
          <cell r="G248" t="str">
            <v>SAB Y DOM</v>
          </cell>
          <cell r="H248" t="str">
            <v>VILLALBA, MAITEN</v>
          </cell>
          <cell r="I248" t="str">
            <v>Romandetto Carlos</v>
          </cell>
          <cell r="J248" t="str">
            <v>x</v>
          </cell>
          <cell r="K248"/>
          <cell r="L248" t="str">
            <v>x</v>
          </cell>
          <cell r="M248" t="str">
            <v>x</v>
          </cell>
          <cell r="N248" t="str">
            <v>x</v>
          </cell>
          <cell r="O248"/>
          <cell r="P248"/>
          <cell r="Q248" t="str">
            <v>x</v>
          </cell>
          <cell r="R248" t="str">
            <v>x</v>
          </cell>
          <cell r="S248" t="str">
            <v>x</v>
          </cell>
          <cell r="T248" t="str">
            <v>x</v>
          </cell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 t="str">
            <v>x</v>
          </cell>
          <cell r="AO248" t="str">
            <v>x</v>
          </cell>
          <cell r="AP248"/>
          <cell r="AQ248">
            <v>45125</v>
          </cell>
          <cell r="AR248">
            <v>442</v>
          </cell>
          <cell r="AS248">
            <v>45562</v>
          </cell>
          <cell r="AT248">
            <v>5</v>
          </cell>
          <cell r="AU248" t="str">
            <v>VMAGEPAL</v>
          </cell>
        </row>
        <row r="249">
          <cell r="C249">
            <v>605678</v>
          </cell>
          <cell r="D249" t="str">
            <v>AQUINO ALEJANDRA</v>
          </cell>
          <cell r="E249" t="str">
            <v>10:00 - 16:00</v>
          </cell>
          <cell r="F249" t="str">
            <v>MAÑANA</v>
          </cell>
          <cell r="G249" t="str">
            <v>MAR Y DOM</v>
          </cell>
          <cell r="H249" t="str">
            <v>ROBLEDO, LEANDRO JAVIER</v>
          </cell>
          <cell r="I249" t="str">
            <v>Romandetto Carlos</v>
          </cell>
          <cell r="J249"/>
          <cell r="K249"/>
          <cell r="L249" t="str">
            <v>x</v>
          </cell>
          <cell r="M249" t="str">
            <v>x</v>
          </cell>
          <cell r="N249" t="str">
            <v>x</v>
          </cell>
          <cell r="O249" t="str">
            <v>X</v>
          </cell>
          <cell r="P249"/>
          <cell r="Q249"/>
          <cell r="R249" t="str">
            <v>x</v>
          </cell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 t="str">
            <v>x</v>
          </cell>
          <cell r="AO249" t="str">
            <v>x</v>
          </cell>
          <cell r="AP249"/>
          <cell r="AQ249">
            <v>45125</v>
          </cell>
          <cell r="AR249">
            <v>442</v>
          </cell>
          <cell r="AS249">
            <v>45426</v>
          </cell>
          <cell r="AT249">
            <v>141</v>
          </cell>
          <cell r="AU249" t="str">
            <v>VMAALAQU</v>
          </cell>
        </row>
        <row r="250">
          <cell r="C250">
            <v>606297</v>
          </cell>
          <cell r="D250" t="str">
            <v>CASALES JUAN DE DIOS</v>
          </cell>
          <cell r="E250" t="str">
            <v>08:00 - 14:00</v>
          </cell>
          <cell r="F250" t="str">
            <v>MAÑANA</v>
          </cell>
          <cell r="G250" t="str">
            <v>SAB Y DOM</v>
          </cell>
          <cell r="H250" t="str">
            <v>ROBLEDO, LEANDRO JAVIER</v>
          </cell>
          <cell r="I250" t="str">
            <v>Romandetto Carlos</v>
          </cell>
          <cell r="J250"/>
          <cell r="K250"/>
          <cell r="L250" t="str">
            <v>x</v>
          </cell>
          <cell r="M250" t="str">
            <v>x</v>
          </cell>
          <cell r="N250" t="str">
            <v>x</v>
          </cell>
          <cell r="O250"/>
          <cell r="P250"/>
          <cell r="Q250"/>
          <cell r="R250" t="str">
            <v>x</v>
          </cell>
          <cell r="S250"/>
          <cell r="T250"/>
          <cell r="U250"/>
          <cell r="V250"/>
          <cell r="W250"/>
          <cell r="X250"/>
          <cell r="Y250"/>
          <cell r="Z250"/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 t="str">
            <v>x</v>
          </cell>
          <cell r="AO250" t="str">
            <v>x</v>
          </cell>
          <cell r="AP250"/>
          <cell r="AQ250">
            <v>45154</v>
          </cell>
          <cell r="AR250">
            <v>413</v>
          </cell>
          <cell r="AS250">
            <v>45198</v>
          </cell>
          <cell r="AT250">
            <v>369</v>
          </cell>
          <cell r="AU250" t="str">
            <v>VMAJUCAS</v>
          </cell>
        </row>
        <row r="251">
          <cell r="C251">
            <v>605662</v>
          </cell>
          <cell r="D251" t="str">
            <v>SAAVEDRA FRANCISCO JAVIER</v>
          </cell>
          <cell r="E251" t="str">
            <v>16:00 - 22:00</v>
          </cell>
          <cell r="F251" t="str">
            <v>TARDE</v>
          </cell>
          <cell r="G251" t="str">
            <v>SAB Y DOM</v>
          </cell>
          <cell r="H251" t="str">
            <v>GARZON, ROCIO BELEN</v>
          </cell>
          <cell r="I251" t="str">
            <v>Romandetto Carlos</v>
          </cell>
          <cell r="J251" t="str">
            <v>x</v>
          </cell>
          <cell r="K251"/>
          <cell r="L251" t="str">
            <v>x</v>
          </cell>
          <cell r="M251" t="str">
            <v>x</v>
          </cell>
          <cell r="N251" t="str">
            <v>x</v>
          </cell>
          <cell r="O251"/>
          <cell r="P251"/>
          <cell r="Q251" t="str">
            <v>x</v>
          </cell>
          <cell r="R251" t="str">
            <v>x</v>
          </cell>
          <cell r="S251" t="str">
            <v>x</v>
          </cell>
          <cell r="T251" t="str">
            <v>x</v>
          </cell>
          <cell r="U251"/>
          <cell r="V251"/>
          <cell r="W251"/>
          <cell r="X251"/>
          <cell r="Y251"/>
          <cell r="Z251"/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 t="str">
            <v>x</v>
          </cell>
          <cell r="AO251"/>
          <cell r="AP251" t="str">
            <v>x</v>
          </cell>
          <cell r="AQ251">
            <v>45219</v>
          </cell>
          <cell r="AR251">
            <v>348</v>
          </cell>
          <cell r="AS251">
            <v>45324</v>
          </cell>
          <cell r="AT251">
            <v>243</v>
          </cell>
          <cell r="AU251" t="str">
            <v>VMAFRSAA</v>
          </cell>
        </row>
        <row r="252">
          <cell r="C252">
            <v>605914</v>
          </cell>
          <cell r="D252" t="str">
            <v>RAMIREZ CAMILA TRINIDAD</v>
          </cell>
          <cell r="E252" t="str">
            <v>09:00 - 15:00</v>
          </cell>
          <cell r="F252" t="str">
            <v>MAÑANA</v>
          </cell>
          <cell r="G252" t="str">
            <v>SAB Y DOM</v>
          </cell>
          <cell r="H252" t="str">
            <v>LOUREIRO, FLORENCIA CANDELA</v>
          </cell>
          <cell r="I252" t="str">
            <v>Romandetto Carlos</v>
          </cell>
          <cell r="J252"/>
          <cell r="K252"/>
          <cell r="L252" t="str">
            <v>x</v>
          </cell>
          <cell r="M252" t="str">
            <v>x</v>
          </cell>
          <cell r="N252" t="str">
            <v>x</v>
          </cell>
          <cell r="O252"/>
          <cell r="P252"/>
          <cell r="Q252"/>
          <cell r="R252" t="str">
            <v>x</v>
          </cell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/>
          <cell r="AI252"/>
          <cell r="AJ252"/>
          <cell r="AK252"/>
          <cell r="AL252"/>
          <cell r="AM252"/>
          <cell r="AN252" t="str">
            <v>x</v>
          </cell>
          <cell r="AO252" t="str">
            <v>x</v>
          </cell>
          <cell r="AP252"/>
          <cell r="AQ252">
            <v>44658</v>
          </cell>
          <cell r="AR252">
            <v>909</v>
          </cell>
          <cell r="AS252">
            <v>45350</v>
          </cell>
          <cell r="AT252">
            <v>217</v>
          </cell>
          <cell r="AU252" t="str">
            <v>VMACARAM</v>
          </cell>
        </row>
        <row r="253">
          <cell r="C253">
            <v>606243</v>
          </cell>
          <cell r="D253" t="str">
            <v>GODOY FLORENCIA YAEL</v>
          </cell>
          <cell r="E253" t="str">
            <v>12:00 - 18:00</v>
          </cell>
          <cell r="F253" t="str">
            <v>TARDE</v>
          </cell>
          <cell r="G253" t="str">
            <v>MAR Y DOM</v>
          </cell>
          <cell r="H253" t="str">
            <v>ONETTO, MARIA DE LOS MILAGROS</v>
          </cell>
          <cell r="I253" t="str">
            <v>Romandetto Carlos</v>
          </cell>
          <cell r="J253" t="str">
            <v>x</v>
          </cell>
          <cell r="K253"/>
          <cell r="L253" t="str">
            <v>x</v>
          </cell>
          <cell r="M253" t="str">
            <v>x</v>
          </cell>
          <cell r="N253" t="str">
            <v>x</v>
          </cell>
          <cell r="O253"/>
          <cell r="P253"/>
          <cell r="Q253"/>
          <cell r="R253" t="str">
            <v>x</v>
          </cell>
          <cell r="S253"/>
          <cell r="T253"/>
          <cell r="U253"/>
          <cell r="V253"/>
          <cell r="W253"/>
          <cell r="X253"/>
          <cell r="Y253"/>
          <cell r="Z253"/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 t="str">
            <v>x</v>
          </cell>
          <cell r="AO253" t="str">
            <v>x</v>
          </cell>
          <cell r="AP253"/>
          <cell r="AQ253">
            <v>45014</v>
          </cell>
          <cell r="AR253">
            <v>553</v>
          </cell>
          <cell r="AS253">
            <v>45471</v>
          </cell>
          <cell r="AT253">
            <v>96</v>
          </cell>
          <cell r="AU253" t="str">
            <v>VMAFLGOD</v>
          </cell>
        </row>
        <row r="254">
          <cell r="C254">
            <v>605667</v>
          </cell>
          <cell r="D254" t="str">
            <v>NIN MACARENA BEATRIZ</v>
          </cell>
          <cell r="E254" t="str">
            <v>09:00 - 15:00</v>
          </cell>
          <cell r="F254" t="str">
            <v>MAÑANA</v>
          </cell>
          <cell r="G254" t="str">
            <v>SAB Y DOM</v>
          </cell>
          <cell r="H254" t="str">
            <v>VILLALBA, VICTORIA</v>
          </cell>
          <cell r="I254" t="str">
            <v>Romandetto Carlos</v>
          </cell>
          <cell r="J254" t="str">
            <v>x</v>
          </cell>
          <cell r="K254"/>
          <cell r="L254" t="str">
            <v>x</v>
          </cell>
          <cell r="M254" t="str">
            <v>x</v>
          </cell>
          <cell r="N254" t="str">
            <v>x</v>
          </cell>
          <cell r="O254"/>
          <cell r="P254"/>
          <cell r="Q254"/>
          <cell r="R254" t="str">
            <v>x</v>
          </cell>
          <cell r="S254"/>
          <cell r="T254"/>
          <cell r="U254"/>
          <cell r="V254"/>
          <cell r="W254"/>
          <cell r="X254"/>
          <cell r="Y254"/>
          <cell r="Z254"/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 t="str">
            <v>x</v>
          </cell>
          <cell r="AO254" t="str">
            <v>x</v>
          </cell>
          <cell r="AP254"/>
          <cell r="AQ254">
            <v>45014</v>
          </cell>
          <cell r="AR254">
            <v>553</v>
          </cell>
          <cell r="AS254">
            <v>45495</v>
          </cell>
          <cell r="AT254">
            <v>72</v>
          </cell>
          <cell r="AU254" t="str">
            <v>VMAMANIN</v>
          </cell>
        </row>
        <row r="255">
          <cell r="C255">
            <v>605631</v>
          </cell>
          <cell r="D255" t="str">
            <v>DOS SANTOS AGOSTINA</v>
          </cell>
          <cell r="E255" t="str">
            <v>09:00 - 15:00</v>
          </cell>
          <cell r="F255" t="str">
            <v>MAÑANA</v>
          </cell>
          <cell r="G255" t="str">
            <v>SAB Y DOM</v>
          </cell>
          <cell r="H255" t="str">
            <v>RUIZ, TOMAS EMANUEL</v>
          </cell>
          <cell r="I255" t="str">
            <v>Romandetto Carlos</v>
          </cell>
          <cell r="J255" t="str">
            <v>x</v>
          </cell>
          <cell r="K255"/>
          <cell r="L255" t="str">
            <v>x</v>
          </cell>
          <cell r="M255" t="str">
            <v>x</v>
          </cell>
          <cell r="N255" t="str">
            <v>x</v>
          </cell>
          <cell r="O255"/>
          <cell r="P255"/>
          <cell r="Q255"/>
          <cell r="R255" t="str">
            <v>x</v>
          </cell>
          <cell r="S255"/>
          <cell r="T255"/>
          <cell r="U255"/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 t="str">
            <v>x</v>
          </cell>
          <cell r="AO255" t="str">
            <v>x</v>
          </cell>
          <cell r="AP255"/>
          <cell r="AQ255">
            <v>45078</v>
          </cell>
          <cell r="AR255">
            <v>489</v>
          </cell>
          <cell r="AS255">
            <v>45443</v>
          </cell>
          <cell r="AT255">
            <v>124</v>
          </cell>
          <cell r="AU255" t="str">
            <v>VMAAGDOS</v>
          </cell>
        </row>
        <row r="256">
          <cell r="C256">
            <v>606036</v>
          </cell>
          <cell r="D256" t="str">
            <v>LESCANO MARIA FLORENCIA</v>
          </cell>
          <cell r="E256" t="str">
            <v>09:00 - 15:00</v>
          </cell>
          <cell r="F256" t="str">
            <v>MAÑANA</v>
          </cell>
          <cell r="G256" t="str">
            <v>SAB Y DOM</v>
          </cell>
          <cell r="H256" t="str">
            <v>LOUREIRO, FLORENCIA CANDELA</v>
          </cell>
          <cell r="I256" t="str">
            <v>Romandetto Carlos</v>
          </cell>
          <cell r="J256" t="str">
            <v>x</v>
          </cell>
          <cell r="K256"/>
          <cell r="L256" t="str">
            <v>x</v>
          </cell>
          <cell r="M256" t="str">
            <v>x</v>
          </cell>
          <cell r="N256" t="str">
            <v>x</v>
          </cell>
          <cell r="O256"/>
          <cell r="P256"/>
          <cell r="Q256"/>
          <cell r="R256" t="str">
            <v>x</v>
          </cell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>
            <v>44722</v>
          </cell>
          <cell r="AR256">
            <v>845</v>
          </cell>
          <cell r="AS256">
            <v>45509</v>
          </cell>
          <cell r="AT256">
            <v>58</v>
          </cell>
          <cell r="AU256" t="str">
            <v>VMAMALES</v>
          </cell>
        </row>
        <row r="257">
          <cell r="C257">
            <v>661767</v>
          </cell>
          <cell r="D257" t="str">
            <v>AGUAYO IRALA ROCIO MAGALI</v>
          </cell>
          <cell r="E257" t="str">
            <v>09:00 - 15:00</v>
          </cell>
          <cell r="F257" t="str">
            <v>MAÑANA</v>
          </cell>
          <cell r="G257" t="str">
            <v>MIE Y SAB</v>
          </cell>
          <cell r="H257" t="str">
            <v>ROBLEDO, YESICA DANIELA</v>
          </cell>
          <cell r="I257" t="str">
            <v>Romandetto Carlos</v>
          </cell>
          <cell r="J257" t="str">
            <v>x</v>
          </cell>
          <cell r="K257"/>
          <cell r="L257" t="str">
            <v>x</v>
          </cell>
          <cell r="M257" t="str">
            <v>x</v>
          </cell>
          <cell r="N257" t="str">
            <v>x</v>
          </cell>
          <cell r="O257"/>
          <cell r="P257"/>
          <cell r="Q257"/>
          <cell r="R257" t="str">
            <v>x</v>
          </cell>
          <cell r="S257"/>
          <cell r="T257"/>
          <cell r="U257"/>
          <cell r="V257"/>
          <cell r="W257"/>
          <cell r="X257"/>
          <cell r="Y257"/>
          <cell r="Z257"/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 t="str">
            <v>x</v>
          </cell>
          <cell r="AO257" t="str">
            <v>x</v>
          </cell>
          <cell r="AP257"/>
          <cell r="AQ257">
            <v>44397</v>
          </cell>
          <cell r="AR257">
            <v>1170</v>
          </cell>
          <cell r="AS257">
            <v>45495</v>
          </cell>
          <cell r="AT257">
            <v>72</v>
          </cell>
          <cell r="AU257" t="str">
            <v>VMAROAGU</v>
          </cell>
        </row>
        <row r="258">
          <cell r="C258">
            <v>606096</v>
          </cell>
          <cell r="D258" t="str">
            <v>TOGNOLE JORGE LEONARDO</v>
          </cell>
          <cell r="E258" t="str">
            <v>11:00 - 17:00</v>
          </cell>
          <cell r="F258" t="str">
            <v>MAÑANA</v>
          </cell>
          <cell r="G258" t="str">
            <v>SAB Y DOM</v>
          </cell>
          <cell r="H258" t="str">
            <v>GROESMANN, MAYA JUDITH</v>
          </cell>
          <cell r="I258" t="str">
            <v>Romandetto Carlos</v>
          </cell>
          <cell r="J258" t="str">
            <v>x</v>
          </cell>
          <cell r="K258"/>
          <cell r="L258" t="str">
            <v>x</v>
          </cell>
          <cell r="M258" t="str">
            <v>x</v>
          </cell>
          <cell r="N258" t="str">
            <v>x</v>
          </cell>
          <cell r="O258"/>
          <cell r="P258"/>
          <cell r="Q258"/>
          <cell r="R258" t="str">
            <v>x</v>
          </cell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 t="str">
            <v>X</v>
          </cell>
          <cell r="AO258" t="str">
            <v>x</v>
          </cell>
          <cell r="AP258"/>
          <cell r="AQ258">
            <v>44811</v>
          </cell>
          <cell r="AR258">
            <v>756</v>
          </cell>
          <cell r="AS258">
            <v>45495</v>
          </cell>
          <cell r="AT258">
            <v>72</v>
          </cell>
          <cell r="AU258" t="str">
            <v>VMAJOTOG</v>
          </cell>
        </row>
        <row r="259">
          <cell r="C259">
            <v>606561</v>
          </cell>
          <cell r="D259" t="str">
            <v>HANGLIN CORREA CRISTIAN NOE</v>
          </cell>
          <cell r="E259" t="str">
            <v>09:00 - 15:00</v>
          </cell>
          <cell r="F259" t="str">
            <v>MAÑANA</v>
          </cell>
          <cell r="G259" t="str">
            <v>JUE Y DOM</v>
          </cell>
          <cell r="H259" t="str">
            <v>RUIZ, TOMAS EMANUEL</v>
          </cell>
          <cell r="I259" t="str">
            <v>Romandetto Carlos</v>
          </cell>
          <cell r="J259" t="str">
            <v>x</v>
          </cell>
          <cell r="K259"/>
          <cell r="L259" t="str">
            <v>x</v>
          </cell>
          <cell r="M259" t="str">
            <v>x</v>
          </cell>
          <cell r="N259" t="str">
            <v>x</v>
          </cell>
          <cell r="O259"/>
          <cell r="P259"/>
          <cell r="Q259"/>
          <cell r="R259"/>
          <cell r="S259"/>
          <cell r="T259"/>
          <cell r="U259"/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 t="str">
            <v>x</v>
          </cell>
          <cell r="AO259" t="str">
            <v>x</v>
          </cell>
          <cell r="AP259"/>
          <cell r="AQ259">
            <v>45278</v>
          </cell>
          <cell r="AR259">
            <v>289</v>
          </cell>
          <cell r="AS259">
            <v>45322</v>
          </cell>
          <cell r="AT259">
            <v>245</v>
          </cell>
          <cell r="AU259" t="str">
            <v>VMACRHAN</v>
          </cell>
        </row>
        <row r="260">
          <cell r="C260">
            <v>606558</v>
          </cell>
          <cell r="D260" t="str">
            <v>FRAGALE PABLO DANIEL</v>
          </cell>
          <cell r="E260" t="str">
            <v>09:00 - 15:00</v>
          </cell>
          <cell r="F260" t="str">
            <v>MAÑANA</v>
          </cell>
          <cell r="G260" t="str">
            <v>MIE Y SAB</v>
          </cell>
          <cell r="H260" t="str">
            <v>ROBLEDO, YESICA DANIELA</v>
          </cell>
          <cell r="I260" t="str">
            <v>Romandetto Carlos</v>
          </cell>
          <cell r="J260" t="str">
            <v>x</v>
          </cell>
          <cell r="K260"/>
          <cell r="L260" t="str">
            <v>x</v>
          </cell>
          <cell r="M260" t="str">
            <v>x</v>
          </cell>
          <cell r="N260" t="str">
            <v>x</v>
          </cell>
          <cell r="O260"/>
          <cell r="P260"/>
          <cell r="Q260"/>
          <cell r="R260" t="str">
            <v>x</v>
          </cell>
          <cell r="S260"/>
          <cell r="T260"/>
          <cell r="U260"/>
          <cell r="V260"/>
          <cell r="W260"/>
          <cell r="X260"/>
          <cell r="Y260"/>
          <cell r="Z260"/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 t="str">
            <v>x</v>
          </cell>
          <cell r="AO260" t="str">
            <v>x</v>
          </cell>
          <cell r="AP260"/>
          <cell r="AQ260">
            <v>45278</v>
          </cell>
          <cell r="AR260">
            <v>289</v>
          </cell>
          <cell r="AS260">
            <v>45322</v>
          </cell>
          <cell r="AT260">
            <v>245</v>
          </cell>
          <cell r="AU260" t="str">
            <v>VMAPAFRA</v>
          </cell>
        </row>
        <row r="261">
          <cell r="C261">
            <v>606570</v>
          </cell>
          <cell r="D261" t="str">
            <v>NIETO MELINA AYLEN</v>
          </cell>
          <cell r="E261" t="str">
            <v>12:00 - 18:00</v>
          </cell>
          <cell r="F261" t="str">
            <v>TARDE</v>
          </cell>
          <cell r="G261" t="str">
            <v>SAB Y DOM</v>
          </cell>
          <cell r="H261" t="str">
            <v>GOMEZ, AYLEN MILAGROS</v>
          </cell>
          <cell r="I261" t="str">
            <v>Romandetto Carlos</v>
          </cell>
          <cell r="J261" t="str">
            <v>x</v>
          </cell>
          <cell r="K261"/>
          <cell r="L261" t="str">
            <v>x</v>
          </cell>
          <cell r="M261" t="str">
            <v>x</v>
          </cell>
          <cell r="N261" t="str">
            <v>x</v>
          </cell>
          <cell r="O261"/>
          <cell r="P261"/>
          <cell r="Q261"/>
          <cell r="R261"/>
          <cell r="S261"/>
          <cell r="T261"/>
          <cell r="U261"/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 t="str">
            <v>x</v>
          </cell>
          <cell r="AO261" t="str">
            <v>x</v>
          </cell>
          <cell r="AP261"/>
          <cell r="AQ261">
            <v>45278</v>
          </cell>
          <cell r="AR261">
            <v>289</v>
          </cell>
          <cell r="AS261">
            <v>45322</v>
          </cell>
          <cell r="AT261">
            <v>245</v>
          </cell>
          <cell r="AU261" t="str">
            <v>VMAMENIE</v>
          </cell>
        </row>
        <row r="262">
          <cell r="C262">
            <v>606576</v>
          </cell>
          <cell r="D262" t="str">
            <v>SOLIS SEBASTIAN RODRIGO</v>
          </cell>
          <cell r="E262" t="str">
            <v>09:00 - 15:00</v>
          </cell>
          <cell r="F262" t="str">
            <v>MAÑANA</v>
          </cell>
          <cell r="G262" t="str">
            <v>MIE Y SAB</v>
          </cell>
          <cell r="H262" t="str">
            <v>RUIZ, TOMAS EMANUEL</v>
          </cell>
          <cell r="I262" t="str">
            <v>Romandetto Carlos</v>
          </cell>
          <cell r="J262" t="str">
            <v>x</v>
          </cell>
          <cell r="K262"/>
          <cell r="L262" t="str">
            <v>x</v>
          </cell>
          <cell r="M262" t="str">
            <v>x</v>
          </cell>
          <cell r="N262" t="str">
            <v>x</v>
          </cell>
          <cell r="O262"/>
          <cell r="P262"/>
          <cell r="Q262"/>
          <cell r="R262"/>
          <cell r="S262"/>
          <cell r="T262"/>
          <cell r="U262"/>
          <cell r="V262"/>
          <cell r="W262"/>
          <cell r="X262"/>
          <cell r="Y262"/>
          <cell r="Z262"/>
          <cell r="AA262"/>
          <cell r="AB262"/>
          <cell r="AC262"/>
          <cell r="AD262"/>
          <cell r="AE262"/>
          <cell r="AF262"/>
          <cell r="AG262"/>
          <cell r="AH262"/>
          <cell r="AI262"/>
          <cell r="AJ262" t="str">
            <v>x</v>
          </cell>
          <cell r="AK262"/>
          <cell r="AL262"/>
          <cell r="AM262"/>
          <cell r="AN262" t="str">
            <v>x</v>
          </cell>
          <cell r="AO262" t="str">
            <v>x</v>
          </cell>
          <cell r="AP262"/>
          <cell r="AQ262">
            <v>45278</v>
          </cell>
          <cell r="AR262">
            <v>289</v>
          </cell>
          <cell r="AS262">
            <v>45379</v>
          </cell>
          <cell r="AT262">
            <v>188</v>
          </cell>
          <cell r="AU262" t="str">
            <v>VMASESOL</v>
          </cell>
        </row>
        <row r="263">
          <cell r="C263">
            <v>606550</v>
          </cell>
          <cell r="D263" t="str">
            <v>ROLON NANCY MAGALI</v>
          </cell>
          <cell r="E263" t="str">
            <v>09:00 - 15:00</v>
          </cell>
          <cell r="F263" t="str">
            <v>MAÑANA</v>
          </cell>
          <cell r="G263" t="str">
            <v>SAB Y DOM</v>
          </cell>
          <cell r="H263" t="str">
            <v>GROESMANN, MAYA JUDITH</v>
          </cell>
          <cell r="I263" t="str">
            <v>Romandetto Carlos</v>
          </cell>
          <cell r="J263" t="str">
            <v>x</v>
          </cell>
          <cell r="K263"/>
          <cell r="L263" t="str">
            <v>x</v>
          </cell>
          <cell r="M263" t="str">
            <v>x</v>
          </cell>
          <cell r="N263" t="str">
            <v>x</v>
          </cell>
          <cell r="O263"/>
          <cell r="P263"/>
          <cell r="Q263"/>
          <cell r="R263"/>
          <cell r="S263"/>
          <cell r="T263"/>
          <cell r="U263"/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 t="str">
            <v>x</v>
          </cell>
          <cell r="AO263" t="str">
            <v>x</v>
          </cell>
          <cell r="AP263"/>
          <cell r="AQ263">
            <v>45278</v>
          </cell>
          <cell r="AR263">
            <v>289</v>
          </cell>
          <cell r="AS263">
            <v>45322</v>
          </cell>
          <cell r="AT263">
            <v>245</v>
          </cell>
          <cell r="AU263" t="str">
            <v>VMANAROL</v>
          </cell>
        </row>
        <row r="264">
          <cell r="C264">
            <v>606549</v>
          </cell>
          <cell r="D264" t="str">
            <v>LUNA JENNIFER ALEJANDRA</v>
          </cell>
          <cell r="E264" t="str">
            <v>10:00 - 16:00</v>
          </cell>
          <cell r="F264" t="str">
            <v>MAÑANA</v>
          </cell>
          <cell r="G264" t="str">
            <v>SAB Y DOM</v>
          </cell>
          <cell r="H264" t="str">
            <v>LOUREIRO, FLORENCIA CANDELA</v>
          </cell>
          <cell r="I264" t="str">
            <v>Romandetto Carlos</v>
          </cell>
          <cell r="J264" t="str">
            <v>x</v>
          </cell>
          <cell r="K264"/>
          <cell r="L264" t="str">
            <v>x</v>
          </cell>
          <cell r="M264" t="str">
            <v>x</v>
          </cell>
          <cell r="N264" t="str">
            <v>x</v>
          </cell>
          <cell r="O264"/>
          <cell r="P264"/>
          <cell r="Q264" t="str">
            <v>x</v>
          </cell>
          <cell r="R264" t="str">
            <v>x</v>
          </cell>
          <cell r="S264" t="str">
            <v>x</v>
          </cell>
          <cell r="T264" t="str">
            <v>x</v>
          </cell>
          <cell r="U264"/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 t="str">
            <v>x</v>
          </cell>
          <cell r="AO264"/>
          <cell r="AP264" t="str">
            <v>x</v>
          </cell>
          <cell r="AQ264">
            <v>45278</v>
          </cell>
          <cell r="AR264">
            <v>289</v>
          </cell>
          <cell r="AS264">
            <v>45478</v>
          </cell>
          <cell r="AT264">
            <v>89</v>
          </cell>
          <cell r="AU264" t="str">
            <v>VMAJELUN</v>
          </cell>
        </row>
        <row r="265">
          <cell r="C265">
            <v>606577</v>
          </cell>
          <cell r="D265" t="str">
            <v>RIQUELME LUCIA</v>
          </cell>
          <cell r="E265" t="str">
            <v>10:00 - 16:00</v>
          </cell>
          <cell r="F265" t="str">
            <v>MAÑANA</v>
          </cell>
          <cell r="G265" t="str">
            <v>SAB Y DOM</v>
          </cell>
          <cell r="H265" t="str">
            <v>LOUREIRO, FLORENCIA CANDELA</v>
          </cell>
          <cell r="I265" t="str">
            <v>Romandetto Carlos</v>
          </cell>
          <cell r="J265" t="str">
            <v>x</v>
          </cell>
          <cell r="K265"/>
          <cell r="L265" t="str">
            <v>x</v>
          </cell>
          <cell r="M265" t="str">
            <v>x</v>
          </cell>
          <cell r="N265" t="str">
            <v>x</v>
          </cell>
          <cell r="O265"/>
          <cell r="P265"/>
          <cell r="Q265"/>
          <cell r="R265" t="str">
            <v>x</v>
          </cell>
          <cell r="S265"/>
          <cell r="T265"/>
          <cell r="U265"/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 t="str">
            <v>x</v>
          </cell>
          <cell r="AO265" t="str">
            <v>x</v>
          </cell>
          <cell r="AP265"/>
          <cell r="AQ265">
            <v>45278</v>
          </cell>
          <cell r="AR265">
            <v>289</v>
          </cell>
          <cell r="AS265">
            <v>45322</v>
          </cell>
          <cell r="AT265">
            <v>245</v>
          </cell>
          <cell r="AU265" t="str">
            <v>VMALURIQ</v>
          </cell>
        </row>
        <row r="266">
          <cell r="C266">
            <v>606572</v>
          </cell>
          <cell r="D266" t="str">
            <v>ROSALES ISAIAS DAVID</v>
          </cell>
          <cell r="E266" t="str">
            <v>15:00 - 21:00</v>
          </cell>
          <cell r="F266" t="str">
            <v>TARDE</v>
          </cell>
          <cell r="G266" t="str">
            <v>MIE Y SAB</v>
          </cell>
          <cell r="H266" t="str">
            <v>YBARRA, LUCIA ALDANA</v>
          </cell>
          <cell r="I266" t="str">
            <v>Romandetto Carlos</v>
          </cell>
          <cell r="J266" t="str">
            <v>x</v>
          </cell>
          <cell r="K266"/>
          <cell r="L266" t="str">
            <v>x</v>
          </cell>
          <cell r="M266" t="str">
            <v>x</v>
          </cell>
          <cell r="N266" t="str">
            <v>x</v>
          </cell>
          <cell r="O266"/>
          <cell r="P266"/>
          <cell r="Q266"/>
          <cell r="R266"/>
          <cell r="S266"/>
          <cell r="T266"/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/>
          <cell r="AI266"/>
          <cell r="AJ266" t="str">
            <v>x</v>
          </cell>
          <cell r="AK266"/>
          <cell r="AL266"/>
          <cell r="AM266"/>
          <cell r="AN266"/>
          <cell r="AO266"/>
          <cell r="AP266"/>
          <cell r="AQ266">
            <v>45278</v>
          </cell>
          <cell r="AR266">
            <v>289</v>
          </cell>
          <cell r="AS266">
            <v>45379</v>
          </cell>
          <cell r="AT266">
            <v>188</v>
          </cell>
          <cell r="AU266" t="str">
            <v>VMAISROS</v>
          </cell>
        </row>
        <row r="267">
          <cell r="C267">
            <v>606587</v>
          </cell>
          <cell r="D267" t="str">
            <v>RIZZOLI EMILIANO</v>
          </cell>
          <cell r="E267" t="str">
            <v>09:00 - 15:00</v>
          </cell>
          <cell r="F267" t="str">
            <v>MAÑANA</v>
          </cell>
          <cell r="G267" t="str">
            <v>SAB Y DOM</v>
          </cell>
          <cell r="H267" t="str">
            <v>DIAZ, PAULA</v>
          </cell>
          <cell r="I267" t="str">
            <v>Romandetto Carlos</v>
          </cell>
          <cell r="J267" t="str">
            <v>x</v>
          </cell>
          <cell r="K267"/>
          <cell r="L267" t="str">
            <v>x</v>
          </cell>
          <cell r="M267" t="str">
            <v>x</v>
          </cell>
          <cell r="N267" t="str">
            <v>x</v>
          </cell>
          <cell r="O267"/>
          <cell r="P267"/>
          <cell r="Q267" t="str">
            <v>x</v>
          </cell>
          <cell r="R267" t="str">
            <v>x</v>
          </cell>
          <cell r="S267" t="str">
            <v>x</v>
          </cell>
          <cell r="T267" t="str">
            <v>x</v>
          </cell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 t="str">
            <v>x</v>
          </cell>
          <cell r="AO267" t="str">
            <v>x</v>
          </cell>
          <cell r="AP267"/>
          <cell r="AQ267">
            <v>45278</v>
          </cell>
          <cell r="AR267">
            <v>289</v>
          </cell>
          <cell r="AS267">
            <v>45562</v>
          </cell>
          <cell r="AT267">
            <v>5</v>
          </cell>
          <cell r="AU267" t="str">
            <v>VMAEMRIZ</v>
          </cell>
        </row>
        <row r="268">
          <cell r="C268">
            <v>606591</v>
          </cell>
          <cell r="D268" t="str">
            <v>GUTIERREZ MARIA SOLEDAD</v>
          </cell>
          <cell r="E268" t="str">
            <v>09:00 - 15:00</v>
          </cell>
          <cell r="F268" t="str">
            <v>MAÑANA</v>
          </cell>
          <cell r="G268" t="str">
            <v>SAB Y DOM</v>
          </cell>
          <cell r="H268" t="str">
            <v>DIAZ, PAULA</v>
          </cell>
          <cell r="I268" t="str">
            <v>Romandetto Carlos</v>
          </cell>
          <cell r="J268" t="str">
            <v>x</v>
          </cell>
          <cell r="K268"/>
          <cell r="L268" t="str">
            <v>x</v>
          </cell>
          <cell r="M268" t="str">
            <v>x</v>
          </cell>
          <cell r="N268" t="str">
            <v>x</v>
          </cell>
          <cell r="O268"/>
          <cell r="P268"/>
          <cell r="Q268" t="str">
            <v>x</v>
          </cell>
          <cell r="R268" t="str">
            <v>x</v>
          </cell>
          <cell r="S268" t="str">
            <v>x</v>
          </cell>
          <cell r="T268" t="str">
            <v>x</v>
          </cell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 t="str">
            <v>x</v>
          </cell>
          <cell r="AO268"/>
          <cell r="AP268" t="str">
            <v>x</v>
          </cell>
          <cell r="AQ268">
            <v>45278</v>
          </cell>
          <cell r="AR268">
            <v>289</v>
          </cell>
          <cell r="AS268">
            <v>45394</v>
          </cell>
          <cell r="AT268">
            <v>173</v>
          </cell>
          <cell r="AU268" t="str">
            <v>VMAMAGUT</v>
          </cell>
        </row>
        <row r="269">
          <cell r="C269">
            <v>606588</v>
          </cell>
          <cell r="D269" t="str">
            <v>COLMENARES ISMADARAY</v>
          </cell>
          <cell r="E269" t="str">
            <v>09:00 - 15:00</v>
          </cell>
          <cell r="F269" t="str">
            <v>MAÑANA</v>
          </cell>
          <cell r="G269" t="str">
            <v>SAB Y DOM</v>
          </cell>
          <cell r="H269" t="str">
            <v>DIAZ, PAULA</v>
          </cell>
          <cell r="I269" t="str">
            <v>Romandetto Carlos</v>
          </cell>
          <cell r="J269" t="str">
            <v>x</v>
          </cell>
          <cell r="K269"/>
          <cell r="L269" t="str">
            <v>x</v>
          </cell>
          <cell r="M269" t="str">
            <v>x</v>
          </cell>
          <cell r="N269" t="str">
            <v>x</v>
          </cell>
          <cell r="O269"/>
          <cell r="P269"/>
          <cell r="Q269" t="str">
            <v>x</v>
          </cell>
          <cell r="R269" t="str">
            <v>x</v>
          </cell>
          <cell r="S269" t="str">
            <v>x</v>
          </cell>
          <cell r="T269" t="str">
            <v>x</v>
          </cell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 t="str">
            <v>x</v>
          </cell>
          <cell r="AO269"/>
          <cell r="AP269" t="str">
            <v>x</v>
          </cell>
          <cell r="AQ269">
            <v>45278</v>
          </cell>
          <cell r="AR269">
            <v>289</v>
          </cell>
          <cell r="AS269">
            <v>45394</v>
          </cell>
          <cell r="AT269">
            <v>173</v>
          </cell>
          <cell r="AU269" t="str">
            <v>VMAISCOL</v>
          </cell>
        </row>
        <row r="270">
          <cell r="C270">
            <v>606603</v>
          </cell>
          <cell r="D270" t="str">
            <v>BALBUENA JOSE LUIS</v>
          </cell>
          <cell r="E270" t="str">
            <v>09:00 - 15:00</v>
          </cell>
          <cell r="F270" t="str">
            <v>MAÑANA</v>
          </cell>
          <cell r="G270" t="str">
            <v>SAB Y DOM</v>
          </cell>
          <cell r="H270" t="str">
            <v>ROBLEDO, LEANDRO JAVIER</v>
          </cell>
          <cell r="I270" t="str">
            <v>Romandetto Carlos</v>
          </cell>
          <cell r="J270" t="str">
            <v>x</v>
          </cell>
          <cell r="K270"/>
          <cell r="L270" t="str">
            <v>x</v>
          </cell>
          <cell r="M270" t="str">
            <v>x</v>
          </cell>
          <cell r="N270" t="str">
            <v>x</v>
          </cell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 t="str">
            <v>x</v>
          </cell>
          <cell r="AO270" t="str">
            <v>x</v>
          </cell>
          <cell r="AP270"/>
          <cell r="AQ270">
            <v>45278</v>
          </cell>
          <cell r="AR270">
            <v>289</v>
          </cell>
          <cell r="AS270">
            <v>45322</v>
          </cell>
          <cell r="AT270">
            <v>245</v>
          </cell>
          <cell r="AU270" t="str">
            <v>VMAJOBAL</v>
          </cell>
        </row>
        <row r="271">
          <cell r="C271">
            <v>606601</v>
          </cell>
          <cell r="D271" t="str">
            <v>QUINTANA LUCIA BELEN</v>
          </cell>
          <cell r="E271" t="str">
            <v>15:00 - 21:00</v>
          </cell>
          <cell r="F271" t="str">
            <v>TARDE</v>
          </cell>
          <cell r="G271" t="str">
            <v>MIE Y DOM</v>
          </cell>
          <cell r="H271" t="str">
            <v>SOLER, SANTIAGO MAXIMILIANO</v>
          </cell>
          <cell r="I271" t="str">
            <v>Romandetto Carlos</v>
          </cell>
          <cell r="J271" t="str">
            <v>x</v>
          </cell>
          <cell r="K271"/>
          <cell r="L271" t="str">
            <v>x</v>
          </cell>
          <cell r="M271" t="str">
            <v>x</v>
          </cell>
          <cell r="N271" t="str">
            <v>x</v>
          </cell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 t="str">
            <v>x</v>
          </cell>
          <cell r="AO271" t="str">
            <v>x</v>
          </cell>
          <cell r="AP271"/>
          <cell r="AQ271">
            <v>45278</v>
          </cell>
          <cell r="AR271">
            <v>289</v>
          </cell>
          <cell r="AS271">
            <v>45322</v>
          </cell>
          <cell r="AT271">
            <v>245</v>
          </cell>
          <cell r="AU271" t="str">
            <v>VMALUQUI</v>
          </cell>
        </row>
        <row r="272">
          <cell r="C272">
            <v>606614</v>
          </cell>
          <cell r="D272" t="str">
            <v>SOSA BERNAO MARTINA</v>
          </cell>
          <cell r="E272" t="str">
            <v>15:00 - 21:00</v>
          </cell>
          <cell r="F272" t="str">
            <v>TARDE</v>
          </cell>
          <cell r="G272" t="str">
            <v>SAB Y DOM</v>
          </cell>
          <cell r="H272" t="str">
            <v>GARZON, ROCIO BELEN</v>
          </cell>
          <cell r="I272" t="str">
            <v>Romandetto Carlos</v>
          </cell>
          <cell r="J272" t="str">
            <v>x</v>
          </cell>
          <cell r="K272"/>
          <cell r="L272" t="str">
            <v>x</v>
          </cell>
          <cell r="M272" t="str">
            <v>x</v>
          </cell>
          <cell r="N272" t="str">
            <v>x</v>
          </cell>
          <cell r="O272"/>
          <cell r="P272"/>
          <cell r="Q272"/>
          <cell r="R272"/>
          <cell r="S272"/>
          <cell r="T272"/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/>
          <cell r="AI272"/>
          <cell r="AJ272"/>
          <cell r="AK272"/>
          <cell r="AL272"/>
          <cell r="AM272"/>
          <cell r="AN272" t="str">
            <v>x</v>
          </cell>
          <cell r="AO272" t="str">
            <v>x</v>
          </cell>
          <cell r="AP272"/>
          <cell r="AQ272">
            <v>45279</v>
          </cell>
          <cell r="AR272">
            <v>288</v>
          </cell>
          <cell r="AS272">
            <v>45322</v>
          </cell>
          <cell r="AT272">
            <v>245</v>
          </cell>
          <cell r="AU272" t="str">
            <v>VMAMARSO</v>
          </cell>
        </row>
        <row r="273">
          <cell r="C273">
            <v>606615</v>
          </cell>
          <cell r="D273" t="str">
            <v>MORALES GONZALEZ MELISA</v>
          </cell>
          <cell r="E273" t="str">
            <v>18:00 - 00:00</v>
          </cell>
          <cell r="F273" t="str">
            <v>NOCHE</v>
          </cell>
          <cell r="G273" t="str">
            <v>SAB Y DOM</v>
          </cell>
          <cell r="H273" t="str">
            <v>MIR, TOMAS MAURICIO</v>
          </cell>
          <cell r="I273" t="str">
            <v>Romandetto Carlos</v>
          </cell>
          <cell r="J273" t="str">
            <v>x</v>
          </cell>
          <cell r="K273"/>
          <cell r="L273" t="str">
            <v>x</v>
          </cell>
          <cell r="M273" t="str">
            <v>x</v>
          </cell>
          <cell r="N273" t="str">
            <v>x</v>
          </cell>
          <cell r="O273"/>
          <cell r="P273"/>
          <cell r="Q273" t="str">
            <v>x</v>
          </cell>
          <cell r="R273" t="str">
            <v>x</v>
          </cell>
          <cell r="S273" t="str">
            <v>x</v>
          </cell>
          <cell r="T273" t="str">
            <v>x</v>
          </cell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  <cell r="AF273"/>
          <cell r="AG273"/>
          <cell r="AH273"/>
          <cell r="AI273"/>
          <cell r="AJ273"/>
          <cell r="AK273"/>
          <cell r="AL273"/>
          <cell r="AM273"/>
          <cell r="AN273" t="str">
            <v>x</v>
          </cell>
          <cell r="AO273"/>
          <cell r="AP273" t="str">
            <v>x</v>
          </cell>
          <cell r="AQ273">
            <v>45278</v>
          </cell>
          <cell r="AR273">
            <v>289</v>
          </cell>
          <cell r="AS273">
            <v>45397</v>
          </cell>
          <cell r="AT273">
            <v>170</v>
          </cell>
          <cell r="AU273" t="str">
            <v>VMAMEMOR</v>
          </cell>
        </row>
        <row r="274">
          <cell r="C274">
            <v>606616</v>
          </cell>
          <cell r="D274" t="str">
            <v>SAGRADO NICOLAS</v>
          </cell>
          <cell r="E274" t="str">
            <v>15:00 - 21:00</v>
          </cell>
          <cell r="F274" t="str">
            <v>TARDE</v>
          </cell>
          <cell r="G274" t="str">
            <v>VIE Y SAB</v>
          </cell>
          <cell r="H274" t="str">
            <v>SOLER, SANTIAGO MAXIMILIANO</v>
          </cell>
          <cell r="I274" t="str">
            <v>Romandetto Carlos</v>
          </cell>
          <cell r="J274" t="str">
            <v>x</v>
          </cell>
          <cell r="K274"/>
          <cell r="L274" t="str">
            <v>x</v>
          </cell>
          <cell r="M274" t="str">
            <v>x</v>
          </cell>
          <cell r="N274" t="str">
            <v>x</v>
          </cell>
          <cell r="O274"/>
          <cell r="P274"/>
          <cell r="Q274" t="str">
            <v>x</v>
          </cell>
          <cell r="R274" t="str">
            <v>x</v>
          </cell>
          <cell r="S274" t="str">
            <v>x</v>
          </cell>
          <cell r="T274" t="str">
            <v>x</v>
          </cell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 t="str">
            <v>x</v>
          </cell>
          <cell r="AO274"/>
          <cell r="AP274" t="str">
            <v>x</v>
          </cell>
          <cell r="AQ274">
            <v>45308</v>
          </cell>
          <cell r="AR274">
            <v>259</v>
          </cell>
          <cell r="AS274">
            <v>45397</v>
          </cell>
          <cell r="AT274">
            <v>170</v>
          </cell>
          <cell r="AU274" t="str">
            <v>VMANISAG</v>
          </cell>
        </row>
        <row r="275">
          <cell r="C275">
            <v>606617</v>
          </cell>
          <cell r="D275" t="str">
            <v>QUINTANA ELIZABETH DENISE</v>
          </cell>
          <cell r="E275" t="str">
            <v>12:00 - 18:00</v>
          </cell>
          <cell r="F275" t="str">
            <v>TARDE</v>
          </cell>
          <cell r="G275" t="str">
            <v>JUE Y DOM</v>
          </cell>
          <cell r="H275" t="str">
            <v>SOLER, SANTIAGO MAXIMILIANO</v>
          </cell>
          <cell r="I275" t="str">
            <v>Romandetto Carlos</v>
          </cell>
          <cell r="J275" t="str">
            <v>x</v>
          </cell>
          <cell r="K275"/>
          <cell r="L275" t="str">
            <v>x</v>
          </cell>
          <cell r="M275" t="str">
            <v>x</v>
          </cell>
          <cell r="N275" t="str">
            <v>x</v>
          </cell>
          <cell r="O275"/>
          <cell r="P275"/>
          <cell r="Q275"/>
          <cell r="R275"/>
          <cell r="S275"/>
          <cell r="T275"/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  <cell r="AF275"/>
          <cell r="AG275"/>
          <cell r="AH275"/>
          <cell r="AI275"/>
          <cell r="AJ275"/>
          <cell r="AK275"/>
          <cell r="AL275"/>
          <cell r="AM275"/>
          <cell r="AN275" t="str">
            <v>x</v>
          </cell>
          <cell r="AO275" t="str">
            <v>x</v>
          </cell>
          <cell r="AP275"/>
          <cell r="AQ275">
            <v>45308</v>
          </cell>
          <cell r="AR275">
            <v>259</v>
          </cell>
          <cell r="AS275">
            <v>45352</v>
          </cell>
          <cell r="AT275">
            <v>215</v>
          </cell>
          <cell r="AU275" t="str">
            <v>VMAELQUI</v>
          </cell>
        </row>
        <row r="276">
          <cell r="C276">
            <v>606620</v>
          </cell>
          <cell r="D276" t="str">
            <v>MOTTA ELVERDI MICAELA DANIELA</v>
          </cell>
          <cell r="E276" t="str">
            <v>18:00 - 00:00</v>
          </cell>
          <cell r="F276" t="str">
            <v>NOCHE</v>
          </cell>
          <cell r="G276" t="str">
            <v>MAR Y DOM</v>
          </cell>
          <cell r="H276" t="str">
            <v>SOLER, SANTIAGO MAXIMILIANO</v>
          </cell>
          <cell r="I276" t="str">
            <v>Romandetto Carlos</v>
          </cell>
          <cell r="J276" t="str">
            <v>x</v>
          </cell>
          <cell r="K276"/>
          <cell r="L276" t="str">
            <v>x</v>
          </cell>
          <cell r="M276" t="str">
            <v>x</v>
          </cell>
          <cell r="N276" t="str">
            <v>x</v>
          </cell>
          <cell r="O276"/>
          <cell r="P276"/>
          <cell r="Q276" t="str">
            <v>x</v>
          </cell>
          <cell r="R276" t="str">
            <v>x</v>
          </cell>
          <cell r="S276" t="str">
            <v>x</v>
          </cell>
          <cell r="T276" t="str">
            <v>x</v>
          </cell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  <cell r="AF276"/>
          <cell r="AG276"/>
          <cell r="AH276"/>
          <cell r="AI276"/>
          <cell r="AJ276"/>
          <cell r="AK276"/>
          <cell r="AL276"/>
          <cell r="AM276"/>
          <cell r="AN276" t="str">
            <v>x</v>
          </cell>
          <cell r="AO276"/>
          <cell r="AP276" t="str">
            <v>x</v>
          </cell>
          <cell r="AQ276">
            <v>45308</v>
          </cell>
          <cell r="AR276">
            <v>259</v>
          </cell>
          <cell r="AS276">
            <v>45397</v>
          </cell>
          <cell r="AT276">
            <v>170</v>
          </cell>
          <cell r="AU276" t="str">
            <v>VMAMIMOT</v>
          </cell>
        </row>
        <row r="277">
          <cell r="C277">
            <v>606623</v>
          </cell>
          <cell r="D277" t="str">
            <v>CORIA CANDELA</v>
          </cell>
          <cell r="E277" t="str">
            <v>14:00 - 20:00</v>
          </cell>
          <cell r="F277" t="str">
            <v>TARDE</v>
          </cell>
          <cell r="G277" t="str">
            <v>SAB Y DOM</v>
          </cell>
          <cell r="H277" t="str">
            <v>GARZON, ROCIO BELEN</v>
          </cell>
          <cell r="I277" t="str">
            <v>Romandetto Carlos</v>
          </cell>
          <cell r="J277" t="str">
            <v>x</v>
          </cell>
          <cell r="K277"/>
          <cell r="L277" t="str">
            <v>x</v>
          </cell>
          <cell r="M277" t="str">
            <v>x</v>
          </cell>
          <cell r="N277" t="str">
            <v>x</v>
          </cell>
          <cell r="O277"/>
          <cell r="P277"/>
          <cell r="Q277" t="str">
            <v>x</v>
          </cell>
          <cell r="R277" t="str">
            <v>x</v>
          </cell>
          <cell r="S277" t="str">
            <v>x</v>
          </cell>
          <cell r="T277" t="str">
            <v>x</v>
          </cell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 t="str">
            <v>x</v>
          </cell>
          <cell r="AO277"/>
          <cell r="AP277" t="str">
            <v>x</v>
          </cell>
          <cell r="AQ277">
            <v>45308</v>
          </cell>
          <cell r="AR277">
            <v>259</v>
          </cell>
          <cell r="AS277">
            <v>45397</v>
          </cell>
          <cell r="AT277">
            <v>170</v>
          </cell>
          <cell r="AU277" t="str">
            <v>VMACANCO</v>
          </cell>
        </row>
        <row r="278">
          <cell r="C278">
            <v>606624</v>
          </cell>
          <cell r="D278" t="str">
            <v>FRAGALE AGOSTINA</v>
          </cell>
          <cell r="E278" t="str">
            <v>15:00 - 21:00</v>
          </cell>
          <cell r="F278" t="str">
            <v>TARDE</v>
          </cell>
          <cell r="G278" t="str">
            <v>VIE Y DOM</v>
          </cell>
          <cell r="H278" t="str">
            <v>GARZON, ROCIO BELEN</v>
          </cell>
          <cell r="I278" t="str">
            <v>Romandetto Carlos</v>
          </cell>
          <cell r="J278" t="str">
            <v>x</v>
          </cell>
          <cell r="K278"/>
          <cell r="L278" t="str">
            <v>x</v>
          </cell>
          <cell r="M278" t="str">
            <v>x</v>
          </cell>
          <cell r="N278" t="str">
            <v>x</v>
          </cell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  <cell r="AF278"/>
          <cell r="AG278"/>
          <cell r="AH278"/>
          <cell r="AI278"/>
          <cell r="AJ278"/>
          <cell r="AK278"/>
          <cell r="AL278"/>
          <cell r="AM278"/>
          <cell r="AN278" t="str">
            <v>x</v>
          </cell>
          <cell r="AO278" t="str">
            <v>x</v>
          </cell>
          <cell r="AP278"/>
          <cell r="AQ278">
            <v>45308</v>
          </cell>
          <cell r="AR278">
            <v>259</v>
          </cell>
          <cell r="AS278">
            <v>45352</v>
          </cell>
          <cell r="AT278">
            <v>215</v>
          </cell>
          <cell r="AU278" t="str">
            <v>VMAAGFRA</v>
          </cell>
        </row>
        <row r="279">
          <cell r="C279">
            <v>606625</v>
          </cell>
          <cell r="D279" t="str">
            <v>MALDONADO FLORENCIA</v>
          </cell>
          <cell r="E279" t="str">
            <v>12:00 - 18:00</v>
          </cell>
          <cell r="F279" t="str">
            <v>TARDE</v>
          </cell>
          <cell r="G279" t="str">
            <v>SAB Y DOM</v>
          </cell>
          <cell r="H279" t="str">
            <v>GARZON, ROCIO BELEN</v>
          </cell>
          <cell r="I279" t="str">
            <v>Romandetto Carlos</v>
          </cell>
          <cell r="J279" t="str">
            <v>x</v>
          </cell>
          <cell r="K279"/>
          <cell r="L279" t="str">
            <v>x</v>
          </cell>
          <cell r="M279" t="str">
            <v>x</v>
          </cell>
          <cell r="N279" t="str">
            <v>x</v>
          </cell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 t="str">
            <v>x</v>
          </cell>
          <cell r="AO279" t="str">
            <v>x</v>
          </cell>
          <cell r="AP279"/>
          <cell r="AQ279">
            <v>45308</v>
          </cell>
          <cell r="AR279">
            <v>259</v>
          </cell>
          <cell r="AS279">
            <v>45352</v>
          </cell>
          <cell r="AT279">
            <v>215</v>
          </cell>
          <cell r="AU279" t="str">
            <v>VMAFLMAL</v>
          </cell>
        </row>
        <row r="280">
          <cell r="C280">
            <v>606626</v>
          </cell>
          <cell r="D280" t="str">
            <v>RIVERO MELANIE</v>
          </cell>
          <cell r="E280" t="str">
            <v>15:00 - 21:00</v>
          </cell>
          <cell r="F280" t="str">
            <v>TARDE</v>
          </cell>
          <cell r="G280" t="str">
            <v>MAR Y SAB</v>
          </cell>
          <cell r="H280" t="str">
            <v>GARZON, ROCIO BELEN</v>
          </cell>
          <cell r="I280" t="str">
            <v>Romandetto Carlos</v>
          </cell>
          <cell r="J280" t="str">
            <v>x</v>
          </cell>
          <cell r="K280"/>
          <cell r="L280" t="str">
            <v>x</v>
          </cell>
          <cell r="M280" t="str">
            <v>x</v>
          </cell>
          <cell r="N280" t="str">
            <v>x</v>
          </cell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  <cell r="AF280"/>
          <cell r="AG280"/>
          <cell r="AH280"/>
          <cell r="AI280"/>
          <cell r="AJ280"/>
          <cell r="AK280"/>
          <cell r="AL280"/>
          <cell r="AM280"/>
          <cell r="AN280" t="str">
            <v>x</v>
          </cell>
          <cell r="AO280" t="str">
            <v>x</v>
          </cell>
          <cell r="AP280"/>
          <cell r="AQ280">
            <v>45308</v>
          </cell>
          <cell r="AR280">
            <v>259</v>
          </cell>
          <cell r="AS280">
            <v>45352</v>
          </cell>
          <cell r="AT280">
            <v>215</v>
          </cell>
          <cell r="AU280" t="str">
            <v>VMAMERIV</v>
          </cell>
        </row>
        <row r="281">
          <cell r="C281">
            <v>606628</v>
          </cell>
          <cell r="D281" t="str">
            <v>ROJAS SOFIA</v>
          </cell>
          <cell r="E281" t="str">
            <v>15:00 - 21:00</v>
          </cell>
          <cell r="F281" t="str">
            <v>TARDE</v>
          </cell>
          <cell r="G281" t="str">
            <v>VIE Y SAB</v>
          </cell>
          <cell r="H281" t="str">
            <v>GARZON, ROCIO BELEN</v>
          </cell>
          <cell r="I281" t="str">
            <v>Romandetto Carlos</v>
          </cell>
          <cell r="J281" t="str">
            <v>x</v>
          </cell>
          <cell r="K281"/>
          <cell r="L281" t="str">
            <v>x</v>
          </cell>
          <cell r="M281" t="str">
            <v>x</v>
          </cell>
          <cell r="N281" t="str">
            <v>x</v>
          </cell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  <cell r="AF281"/>
          <cell r="AG281"/>
          <cell r="AH281"/>
          <cell r="AI281"/>
          <cell r="AJ281"/>
          <cell r="AK281"/>
          <cell r="AL281"/>
          <cell r="AM281"/>
          <cell r="AN281" t="str">
            <v>x</v>
          </cell>
          <cell r="AO281" t="str">
            <v>x</v>
          </cell>
          <cell r="AP281"/>
          <cell r="AQ281">
            <v>45308</v>
          </cell>
          <cell r="AR281">
            <v>259</v>
          </cell>
          <cell r="AS281">
            <v>45352</v>
          </cell>
          <cell r="AT281">
            <v>215</v>
          </cell>
          <cell r="AU281" t="str">
            <v>VMASOROJ</v>
          </cell>
        </row>
        <row r="282">
          <cell r="C282">
            <v>606633</v>
          </cell>
          <cell r="D282" t="str">
            <v>BUSTAMANTE CAMILA</v>
          </cell>
          <cell r="E282" t="str">
            <v>15:00 - 21:00</v>
          </cell>
          <cell r="F282" t="str">
            <v>TARDE</v>
          </cell>
          <cell r="G282" t="str">
            <v>SAB Y DOM</v>
          </cell>
          <cell r="H282" t="str">
            <v>GARZON, ROCIO BELEN</v>
          </cell>
          <cell r="I282" t="str">
            <v>Romandetto Carlos</v>
          </cell>
          <cell r="J282" t="str">
            <v>x</v>
          </cell>
          <cell r="K282"/>
          <cell r="L282" t="str">
            <v>x</v>
          </cell>
          <cell r="M282" t="str">
            <v>x</v>
          </cell>
          <cell r="N282" t="str">
            <v>x</v>
          </cell>
          <cell r="O282"/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 t="str">
            <v>x</v>
          </cell>
          <cell r="AO282" t="str">
            <v>x</v>
          </cell>
          <cell r="AP282"/>
          <cell r="AQ282">
            <v>45308</v>
          </cell>
          <cell r="AR282">
            <v>259</v>
          </cell>
          <cell r="AS282">
            <v>45352</v>
          </cell>
          <cell r="AT282">
            <v>215</v>
          </cell>
          <cell r="AU282" t="str">
            <v>VMACABUS</v>
          </cell>
        </row>
        <row r="283">
          <cell r="C283">
            <v>606635</v>
          </cell>
          <cell r="D283" t="str">
            <v>LEDESMA NAZARENO DANIEL</v>
          </cell>
          <cell r="E283" t="str">
            <v>15:00 - 21:00</v>
          </cell>
          <cell r="F283" t="str">
            <v>TARDE</v>
          </cell>
          <cell r="G283" t="str">
            <v>VIE Y SAB</v>
          </cell>
          <cell r="H283" t="str">
            <v>GARZON, ROCIO BELEN</v>
          </cell>
          <cell r="I283" t="str">
            <v>Romandetto Carlos</v>
          </cell>
          <cell r="J283" t="str">
            <v>x</v>
          </cell>
          <cell r="K283"/>
          <cell r="L283" t="str">
            <v>x</v>
          </cell>
          <cell r="M283" t="str">
            <v>x</v>
          </cell>
          <cell r="N283" t="str">
            <v>x</v>
          </cell>
          <cell r="O283" t="str">
            <v>X</v>
          </cell>
          <cell r="P283"/>
          <cell r="Q283"/>
          <cell r="R283"/>
          <cell r="S283"/>
          <cell r="T283"/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 t="str">
            <v>x</v>
          </cell>
          <cell r="AO283" t="str">
            <v>x</v>
          </cell>
          <cell r="AP283"/>
          <cell r="AQ283">
            <v>45308</v>
          </cell>
          <cell r="AR283">
            <v>259</v>
          </cell>
          <cell r="AS283">
            <v>45426</v>
          </cell>
          <cell r="AT283">
            <v>141</v>
          </cell>
          <cell r="AU283" t="str">
            <v>VMANALED</v>
          </cell>
        </row>
        <row r="284">
          <cell r="C284">
            <v>606642</v>
          </cell>
          <cell r="D284" t="str">
            <v>CHAVEZ LEANDRO</v>
          </cell>
          <cell r="E284" t="str">
            <v>18:00 - 00:00</v>
          </cell>
          <cell r="F284" t="str">
            <v>NOCHE</v>
          </cell>
          <cell r="G284" t="str">
            <v>SAB Y DOM</v>
          </cell>
          <cell r="H284" t="str">
            <v>MIR, TOMAS MAURICIO</v>
          </cell>
          <cell r="I284" t="str">
            <v>Romandetto Carlos</v>
          </cell>
          <cell r="J284" t="str">
            <v>x</v>
          </cell>
          <cell r="K284"/>
          <cell r="L284" t="str">
            <v>x</v>
          </cell>
          <cell r="M284" t="str">
            <v>x</v>
          </cell>
          <cell r="N284" t="str">
            <v>x</v>
          </cell>
          <cell r="O284"/>
          <cell r="P284"/>
          <cell r="Q284" t="str">
            <v>x</v>
          </cell>
          <cell r="R284" t="str">
            <v>x</v>
          </cell>
          <cell r="S284" t="str">
            <v>x</v>
          </cell>
          <cell r="T284" t="str">
            <v>x</v>
          </cell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/>
          <cell r="AI284"/>
          <cell r="AJ284"/>
          <cell r="AK284"/>
          <cell r="AL284"/>
          <cell r="AM284"/>
          <cell r="AN284" t="str">
            <v>x</v>
          </cell>
          <cell r="AO284"/>
          <cell r="AP284" t="str">
            <v>x</v>
          </cell>
          <cell r="AQ284">
            <v>45308</v>
          </cell>
          <cell r="AR284">
            <v>259</v>
          </cell>
          <cell r="AS284">
            <v>45397</v>
          </cell>
          <cell r="AT284">
            <v>170</v>
          </cell>
          <cell r="AU284" t="str">
            <v>VMALECHA</v>
          </cell>
        </row>
        <row r="285">
          <cell r="C285">
            <v>606644</v>
          </cell>
          <cell r="D285" t="str">
            <v>SALLES MATIAS</v>
          </cell>
          <cell r="E285" t="str">
            <v>18:00 - 00:00</v>
          </cell>
          <cell r="F285" t="str">
            <v>NOCHE</v>
          </cell>
          <cell r="G285" t="str">
            <v>JUE Y SAB</v>
          </cell>
          <cell r="H285" t="str">
            <v>MIR, TOMAS MAURICIO</v>
          </cell>
          <cell r="I285" t="str">
            <v>Romandetto Carlos</v>
          </cell>
          <cell r="J285" t="str">
            <v>x</v>
          </cell>
          <cell r="K285"/>
          <cell r="L285" t="str">
            <v>x</v>
          </cell>
          <cell r="M285" t="str">
            <v>x</v>
          </cell>
          <cell r="N285" t="str">
            <v>x</v>
          </cell>
          <cell r="O285"/>
          <cell r="P285"/>
          <cell r="Q285" t="str">
            <v>x</v>
          </cell>
          <cell r="R285" t="str">
            <v>x</v>
          </cell>
          <cell r="S285" t="str">
            <v>x</v>
          </cell>
          <cell r="T285" t="str">
            <v>x</v>
          </cell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/>
          <cell r="AI285"/>
          <cell r="AJ285"/>
          <cell r="AK285"/>
          <cell r="AL285"/>
          <cell r="AM285"/>
          <cell r="AN285" t="str">
            <v>x</v>
          </cell>
          <cell r="AO285"/>
          <cell r="AP285" t="str">
            <v>x</v>
          </cell>
          <cell r="AQ285">
            <v>45308</v>
          </cell>
          <cell r="AR285">
            <v>259</v>
          </cell>
          <cell r="AS285">
            <v>45397</v>
          </cell>
          <cell r="AT285">
            <v>170</v>
          </cell>
          <cell r="AU285" t="str">
            <v>VMAMATSA</v>
          </cell>
        </row>
        <row r="286">
          <cell r="C286">
            <v>606645</v>
          </cell>
          <cell r="D286" t="str">
            <v>COLMENARES EMILY</v>
          </cell>
          <cell r="E286" t="str">
            <v>16:00 - 22:00</v>
          </cell>
          <cell r="F286" t="str">
            <v>TARDE</v>
          </cell>
          <cell r="G286" t="str">
            <v>SAB Y DOM</v>
          </cell>
          <cell r="H286" t="str">
            <v>MIR, TOMAS MAURICIO</v>
          </cell>
          <cell r="I286" t="str">
            <v>Romandetto Carlos</v>
          </cell>
          <cell r="J286" t="str">
            <v>x</v>
          </cell>
          <cell r="K286"/>
          <cell r="L286" t="str">
            <v>x</v>
          </cell>
          <cell r="M286" t="str">
            <v>x</v>
          </cell>
          <cell r="N286" t="str">
            <v>x</v>
          </cell>
          <cell r="O286"/>
          <cell r="P286"/>
          <cell r="Q286"/>
          <cell r="R286"/>
          <cell r="S286"/>
          <cell r="T286"/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/>
          <cell r="AI286"/>
          <cell r="AJ286"/>
          <cell r="AK286"/>
          <cell r="AL286"/>
          <cell r="AM286"/>
          <cell r="AN286" t="str">
            <v>x</v>
          </cell>
          <cell r="AO286" t="str">
            <v>x</v>
          </cell>
          <cell r="AP286"/>
          <cell r="AQ286">
            <v>45308</v>
          </cell>
          <cell r="AR286">
            <v>259</v>
          </cell>
          <cell r="AS286">
            <v>45352</v>
          </cell>
          <cell r="AT286">
            <v>215</v>
          </cell>
          <cell r="AU286" t="str">
            <v>VMAEMCOL</v>
          </cell>
        </row>
        <row r="287">
          <cell r="C287">
            <v>606646</v>
          </cell>
          <cell r="D287" t="str">
            <v>SANCHEZ JUAN MARCELO</v>
          </cell>
          <cell r="E287" t="str">
            <v>18:00 - 00:00</v>
          </cell>
          <cell r="F287" t="str">
            <v>NOCHE</v>
          </cell>
          <cell r="G287" t="str">
            <v>JUE Y DOM</v>
          </cell>
          <cell r="H287" t="str">
            <v>MIR, TOMAS MAURICIO</v>
          </cell>
          <cell r="I287" t="str">
            <v>Romandetto Carlos</v>
          </cell>
          <cell r="J287" t="str">
            <v>x</v>
          </cell>
          <cell r="K287"/>
          <cell r="L287" t="str">
            <v>x</v>
          </cell>
          <cell r="M287" t="str">
            <v>x</v>
          </cell>
          <cell r="N287" t="str">
            <v>x</v>
          </cell>
          <cell r="O287"/>
          <cell r="P287"/>
          <cell r="Q287" t="str">
            <v>x</v>
          </cell>
          <cell r="R287" t="str">
            <v>x</v>
          </cell>
          <cell r="S287" t="str">
            <v>x</v>
          </cell>
          <cell r="T287" t="str">
            <v>x</v>
          </cell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/>
          <cell r="AI287"/>
          <cell r="AJ287"/>
          <cell r="AK287"/>
          <cell r="AL287"/>
          <cell r="AM287"/>
          <cell r="AN287" t="str">
            <v>x</v>
          </cell>
          <cell r="AO287"/>
          <cell r="AP287" t="str">
            <v>x</v>
          </cell>
          <cell r="AQ287">
            <v>45308</v>
          </cell>
          <cell r="AR287">
            <v>259</v>
          </cell>
          <cell r="AS287">
            <v>45397</v>
          </cell>
          <cell r="AT287">
            <v>170</v>
          </cell>
          <cell r="AU287" t="str">
            <v>VMAJUSAN</v>
          </cell>
        </row>
        <row r="288">
          <cell r="C288">
            <v>606649</v>
          </cell>
          <cell r="D288" t="str">
            <v>ANDRZEYEVSKI NICOLOSI CAMILA BELEN</v>
          </cell>
          <cell r="E288" t="str">
            <v>09:00 - 15:00</v>
          </cell>
          <cell r="F288" t="str">
            <v>MAÑANA</v>
          </cell>
          <cell r="G288" t="str">
            <v>SAB Y DOM</v>
          </cell>
          <cell r="H288" t="str">
            <v>DIAZ, PAULA</v>
          </cell>
          <cell r="I288" t="str">
            <v>Romandetto Carlos</v>
          </cell>
          <cell r="J288" t="str">
            <v>x</v>
          </cell>
          <cell r="K288"/>
          <cell r="L288" t="str">
            <v>x</v>
          </cell>
          <cell r="M288" t="str">
            <v>x</v>
          </cell>
          <cell r="N288" t="str">
            <v>x</v>
          </cell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  <cell r="AF288"/>
          <cell r="AG288"/>
          <cell r="AH288"/>
          <cell r="AI288"/>
          <cell r="AJ288"/>
          <cell r="AK288"/>
          <cell r="AL288"/>
          <cell r="AM288"/>
          <cell r="AN288" t="str">
            <v>x</v>
          </cell>
          <cell r="AO288" t="str">
            <v>x</v>
          </cell>
          <cell r="AP288"/>
          <cell r="AQ288">
            <v>45308</v>
          </cell>
          <cell r="AR288">
            <v>259</v>
          </cell>
          <cell r="AS288">
            <v>45352</v>
          </cell>
          <cell r="AT288">
            <v>215</v>
          </cell>
          <cell r="AU288" t="str">
            <v>VMACAAND</v>
          </cell>
        </row>
        <row r="289">
          <cell r="C289">
            <v>605676</v>
          </cell>
          <cell r="D289" t="str">
            <v>CUBILLA MARLENE ARACELI</v>
          </cell>
          <cell r="E289" t="str">
            <v>09:00 - 15:00</v>
          </cell>
          <cell r="F289" t="str">
            <v>MAÑANA</v>
          </cell>
          <cell r="G289" t="str">
            <v>MIE Y DOM</v>
          </cell>
          <cell r="H289" t="str">
            <v>RUIZ, TOMAS EMANUEL</v>
          </cell>
          <cell r="I289" t="str">
            <v>Romandetto Carlos</v>
          </cell>
          <cell r="J289" t="str">
            <v>x</v>
          </cell>
          <cell r="K289"/>
          <cell r="L289" t="str">
            <v>x</v>
          </cell>
          <cell r="M289" t="str">
            <v>x</v>
          </cell>
          <cell r="N289" t="str">
            <v>x</v>
          </cell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  <cell r="AF289"/>
          <cell r="AG289"/>
          <cell r="AH289"/>
          <cell r="AI289"/>
          <cell r="AJ289"/>
          <cell r="AK289"/>
          <cell r="AL289"/>
          <cell r="AM289"/>
          <cell r="AN289" t="str">
            <v>x</v>
          </cell>
          <cell r="AO289" t="str">
            <v>x</v>
          </cell>
          <cell r="AP289"/>
          <cell r="AQ289">
            <v>45308</v>
          </cell>
          <cell r="AR289">
            <v>259</v>
          </cell>
          <cell r="AS289">
            <v>45352</v>
          </cell>
          <cell r="AT289">
            <v>215</v>
          </cell>
          <cell r="AU289" t="str">
            <v>VMAMACUB</v>
          </cell>
        </row>
        <row r="290">
          <cell r="C290">
            <v>605874</v>
          </cell>
          <cell r="D290" t="str">
            <v>BARON AZUL LUDMILA</v>
          </cell>
          <cell r="E290" t="str">
            <v>09:00 - 15:00</v>
          </cell>
          <cell r="F290" t="str">
            <v>MAÑANA</v>
          </cell>
          <cell r="G290" t="str">
            <v>VIE Y DOM</v>
          </cell>
          <cell r="H290" t="str">
            <v>ROBLEDO, YESICA DANIELA</v>
          </cell>
          <cell r="I290" t="str">
            <v>Romandetto Carlos</v>
          </cell>
          <cell r="J290" t="str">
            <v>x</v>
          </cell>
          <cell r="K290"/>
          <cell r="L290" t="str">
            <v>x</v>
          </cell>
          <cell r="M290" t="str">
            <v>x</v>
          </cell>
          <cell r="N290" t="str">
            <v>x</v>
          </cell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 t="str">
            <v>x</v>
          </cell>
          <cell r="AO290" t="str">
            <v>x</v>
          </cell>
          <cell r="AP290"/>
          <cell r="AQ290">
            <v>45308</v>
          </cell>
          <cell r="AR290">
            <v>259</v>
          </cell>
          <cell r="AS290">
            <v>45352</v>
          </cell>
          <cell r="AT290">
            <v>215</v>
          </cell>
          <cell r="AU290" t="str">
            <v>VMAAZBAR</v>
          </cell>
        </row>
        <row r="291">
          <cell r="C291">
            <v>605915</v>
          </cell>
          <cell r="D291" t="str">
            <v>ABENDAÑO COLLAO ALEXIS DANIEL</v>
          </cell>
          <cell r="E291" t="str">
            <v>09:00 - 15:00</v>
          </cell>
          <cell r="F291" t="str">
            <v>MAÑANA</v>
          </cell>
          <cell r="G291" t="str">
            <v>SAB Y DOM</v>
          </cell>
          <cell r="H291" t="str">
            <v>GROESMANN, MAYA JUDITH</v>
          </cell>
          <cell r="I291" t="str">
            <v>Romandetto Carlos</v>
          </cell>
          <cell r="J291" t="str">
            <v>x</v>
          </cell>
          <cell r="K291"/>
          <cell r="L291" t="str">
            <v>x</v>
          </cell>
          <cell r="M291" t="str">
            <v>x</v>
          </cell>
          <cell r="N291" t="str">
            <v>x</v>
          </cell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/>
          <cell r="AI291"/>
          <cell r="AJ291"/>
          <cell r="AK291"/>
          <cell r="AL291"/>
          <cell r="AM291"/>
          <cell r="AN291" t="str">
            <v>x</v>
          </cell>
          <cell r="AO291" t="str">
            <v>x</v>
          </cell>
          <cell r="AP291"/>
          <cell r="AQ291">
            <v>45308</v>
          </cell>
          <cell r="AR291">
            <v>259</v>
          </cell>
          <cell r="AS291">
            <v>45352</v>
          </cell>
          <cell r="AT291">
            <v>215</v>
          </cell>
          <cell r="AU291" t="str">
            <v>VMAALABE</v>
          </cell>
        </row>
        <row r="292">
          <cell r="C292">
            <v>606030</v>
          </cell>
          <cell r="D292" t="str">
            <v>FONFRIA VALENTINO</v>
          </cell>
          <cell r="E292" t="str">
            <v>09:00 - 15:00</v>
          </cell>
          <cell r="F292" t="str">
            <v>MAÑANA</v>
          </cell>
          <cell r="G292" t="str">
            <v>SAB Y DOM</v>
          </cell>
          <cell r="H292" t="str">
            <v>VILLALBA, VICTORIA</v>
          </cell>
          <cell r="I292" t="str">
            <v>Romandetto Carlos</v>
          </cell>
          <cell r="J292" t="str">
            <v>x</v>
          </cell>
          <cell r="K292"/>
          <cell r="L292" t="str">
            <v>x</v>
          </cell>
          <cell r="M292" t="str">
            <v>x</v>
          </cell>
          <cell r="N292" t="str">
            <v>x</v>
          </cell>
          <cell r="O292"/>
          <cell r="P292"/>
          <cell r="Q292"/>
          <cell r="R292"/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/>
          <cell r="AI292"/>
          <cell r="AJ292"/>
          <cell r="AK292"/>
          <cell r="AL292"/>
          <cell r="AM292"/>
          <cell r="AN292" t="str">
            <v>x</v>
          </cell>
          <cell r="AO292" t="str">
            <v>x</v>
          </cell>
          <cell r="AP292"/>
          <cell r="AQ292">
            <v>45308</v>
          </cell>
          <cell r="AR292">
            <v>259</v>
          </cell>
          <cell r="AS292">
            <v>45352</v>
          </cell>
          <cell r="AT292">
            <v>215</v>
          </cell>
          <cell r="AU292" t="str">
            <v>VMAVAFON</v>
          </cell>
        </row>
        <row r="293">
          <cell r="C293">
            <v>605806</v>
          </cell>
          <cell r="D293" t="str">
            <v>GUEVARA FERREYRA RUT ABIGAIL</v>
          </cell>
          <cell r="E293" t="str">
            <v>09:00 - 15:00</v>
          </cell>
          <cell r="F293" t="str">
            <v>MAÑANA</v>
          </cell>
          <cell r="G293" t="str">
            <v>JUE Y DOM</v>
          </cell>
          <cell r="H293" t="str">
            <v>ROBLEDO, YESICA DANIELA</v>
          </cell>
          <cell r="I293" t="str">
            <v>Romandetto Carlos</v>
          </cell>
          <cell r="J293" t="str">
            <v>x</v>
          </cell>
          <cell r="K293"/>
          <cell r="L293" t="str">
            <v>x</v>
          </cell>
          <cell r="M293" t="str">
            <v>x</v>
          </cell>
          <cell r="N293" t="str">
            <v>x</v>
          </cell>
          <cell r="O293"/>
          <cell r="P293"/>
          <cell r="Q293"/>
          <cell r="R293" t="str">
            <v>x</v>
          </cell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 t="str">
            <v>x</v>
          </cell>
          <cell r="AJ293"/>
          <cell r="AK293"/>
          <cell r="AL293"/>
          <cell r="AM293"/>
          <cell r="AN293" t="str">
            <v>x</v>
          </cell>
          <cell r="AO293" t="str">
            <v>x</v>
          </cell>
          <cell r="AP293"/>
          <cell r="AQ293">
            <v>45308</v>
          </cell>
          <cell r="AR293">
            <v>259</v>
          </cell>
          <cell r="AS293">
            <v>45411</v>
          </cell>
          <cell r="AT293">
            <v>156</v>
          </cell>
          <cell r="AU293" t="str">
            <v>VMARUGUE</v>
          </cell>
        </row>
        <row r="294">
          <cell r="C294">
            <v>605502</v>
          </cell>
          <cell r="D294" t="str">
            <v>ACOSTA AYELEN</v>
          </cell>
          <cell r="E294" t="str">
            <v>09:00 - 15:00</v>
          </cell>
          <cell r="F294" t="str">
            <v>MAÑANA</v>
          </cell>
          <cell r="G294" t="str">
            <v>SAB Y DOM</v>
          </cell>
          <cell r="H294" t="str">
            <v>VILLALBA, VICTORIA</v>
          </cell>
          <cell r="I294" t="str">
            <v>Romandetto Carlos</v>
          </cell>
          <cell r="J294" t="str">
            <v>x</v>
          </cell>
          <cell r="K294"/>
          <cell r="L294" t="str">
            <v>x</v>
          </cell>
          <cell r="M294" t="str">
            <v>x</v>
          </cell>
          <cell r="N294" t="str">
            <v>x</v>
          </cell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/>
          <cell r="AI294"/>
          <cell r="AJ294"/>
          <cell r="AK294"/>
          <cell r="AL294"/>
          <cell r="AM294"/>
          <cell r="AN294" t="str">
            <v>x</v>
          </cell>
          <cell r="AO294" t="str">
            <v>x</v>
          </cell>
          <cell r="AP294"/>
          <cell r="AQ294">
            <v>45308</v>
          </cell>
          <cell r="AR294">
            <v>259</v>
          </cell>
          <cell r="AS294">
            <v>45352</v>
          </cell>
          <cell r="AT294">
            <v>215</v>
          </cell>
          <cell r="AU294" t="str">
            <v>VMAAYACO</v>
          </cell>
        </row>
        <row r="295">
          <cell r="C295">
            <v>606342</v>
          </cell>
          <cell r="D295" t="str">
            <v>PALAVECINO SOLANGE JULIANA</v>
          </cell>
          <cell r="E295" t="str">
            <v>09:00 - 15:00</v>
          </cell>
          <cell r="F295" t="str">
            <v>MAÑANA</v>
          </cell>
          <cell r="G295" t="str">
            <v>SAB Y DOM</v>
          </cell>
          <cell r="H295" t="str">
            <v>RUIZ, TOMAS EMANUEL</v>
          </cell>
          <cell r="I295" t="str">
            <v>Romandetto Carlos</v>
          </cell>
          <cell r="J295" t="str">
            <v>x</v>
          </cell>
          <cell r="K295"/>
          <cell r="L295" t="str">
            <v>x</v>
          </cell>
          <cell r="M295" t="str">
            <v>x</v>
          </cell>
          <cell r="N295" t="str">
            <v>x</v>
          </cell>
          <cell r="O295"/>
          <cell r="P295"/>
          <cell r="Q295"/>
          <cell r="R295"/>
          <cell r="S295"/>
          <cell r="T295"/>
          <cell r="U295"/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/>
          <cell r="AI295" t="str">
            <v>x</v>
          </cell>
          <cell r="AJ295"/>
          <cell r="AK295"/>
          <cell r="AL295"/>
          <cell r="AM295"/>
          <cell r="AN295" t="str">
            <v>x</v>
          </cell>
          <cell r="AO295" t="str">
            <v>x</v>
          </cell>
          <cell r="AP295"/>
          <cell r="AQ295">
            <v>45308</v>
          </cell>
          <cell r="AR295">
            <v>259</v>
          </cell>
          <cell r="AS295">
            <v>45411</v>
          </cell>
          <cell r="AT295">
            <v>156</v>
          </cell>
          <cell r="AU295" t="str">
            <v>VMASOPAL</v>
          </cell>
        </row>
        <row r="296">
          <cell r="C296">
            <v>606391</v>
          </cell>
          <cell r="D296" t="str">
            <v>GONSALEZ EMILIANO SEBASTIAN</v>
          </cell>
          <cell r="E296" t="str">
            <v>15:00 - 21:00</v>
          </cell>
          <cell r="F296" t="str">
            <v>TARDE</v>
          </cell>
          <cell r="G296" t="str">
            <v>SAB Y DOM</v>
          </cell>
          <cell r="H296" t="str">
            <v>GOMEZ, AYLEN MILAGROS</v>
          </cell>
          <cell r="I296" t="str">
            <v>Romandetto Carlos</v>
          </cell>
          <cell r="J296" t="str">
            <v>x</v>
          </cell>
          <cell r="K296"/>
          <cell r="L296" t="str">
            <v>x</v>
          </cell>
          <cell r="M296" t="str">
            <v>x</v>
          </cell>
          <cell r="N296" t="str">
            <v>x</v>
          </cell>
          <cell r="O296"/>
          <cell r="P296"/>
          <cell r="Q296"/>
          <cell r="R296"/>
          <cell r="S296"/>
          <cell r="T296"/>
          <cell r="U296"/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 t="str">
            <v>x</v>
          </cell>
          <cell r="AO296" t="str">
            <v>x</v>
          </cell>
          <cell r="AP296"/>
          <cell r="AQ296">
            <v>45308</v>
          </cell>
          <cell r="AR296">
            <v>259</v>
          </cell>
          <cell r="AS296">
            <v>45352</v>
          </cell>
          <cell r="AT296">
            <v>215</v>
          </cell>
          <cell r="AU296" t="str">
            <v>VMAEMGON</v>
          </cell>
        </row>
        <row r="297">
          <cell r="C297">
            <v>606396</v>
          </cell>
          <cell r="D297" t="str">
            <v>MOYA MILAGROS MICAELA</v>
          </cell>
          <cell r="E297" t="str">
            <v>15:00 - 21:00</v>
          </cell>
          <cell r="F297" t="str">
            <v>TARDE</v>
          </cell>
          <cell r="G297" t="str">
            <v>LUN Y SAB</v>
          </cell>
          <cell r="H297" t="str">
            <v>GOMEZ, AYLEN MILAGROS</v>
          </cell>
          <cell r="I297" t="str">
            <v>Romandetto Carlos</v>
          </cell>
          <cell r="J297" t="str">
            <v>x</v>
          </cell>
          <cell r="K297"/>
          <cell r="L297" t="str">
            <v>x</v>
          </cell>
          <cell r="M297" t="str">
            <v>x</v>
          </cell>
          <cell r="N297" t="str">
            <v>x</v>
          </cell>
          <cell r="O297"/>
          <cell r="P297"/>
          <cell r="Q297" t="str">
            <v>x</v>
          </cell>
          <cell r="R297" t="str">
            <v>x</v>
          </cell>
          <cell r="S297" t="str">
            <v>x</v>
          </cell>
          <cell r="T297" t="str">
            <v>x</v>
          </cell>
          <cell r="U297"/>
          <cell r="V297"/>
          <cell r="W297"/>
          <cell r="X297"/>
          <cell r="Y297"/>
          <cell r="Z297"/>
          <cell r="AA297"/>
          <cell r="AB297"/>
          <cell r="AC297"/>
          <cell r="AD297"/>
          <cell r="AE297"/>
          <cell r="AF297"/>
          <cell r="AG297"/>
          <cell r="AH297"/>
          <cell r="AI297"/>
          <cell r="AJ297"/>
          <cell r="AK297"/>
          <cell r="AL297"/>
          <cell r="AM297"/>
          <cell r="AN297" t="str">
            <v>x</v>
          </cell>
          <cell r="AO297"/>
          <cell r="AP297" t="str">
            <v>x</v>
          </cell>
          <cell r="AQ297">
            <v>45308</v>
          </cell>
          <cell r="AR297">
            <v>259</v>
          </cell>
          <cell r="AS297">
            <v>45478</v>
          </cell>
          <cell r="AT297">
            <v>89</v>
          </cell>
          <cell r="AU297" t="str">
            <v>VMAMIMOY</v>
          </cell>
        </row>
        <row r="298">
          <cell r="C298">
            <v>606401</v>
          </cell>
          <cell r="D298" t="str">
            <v>GAYO MATIAS FEDERICO</v>
          </cell>
          <cell r="E298" t="str">
            <v>15:00 - 21:00</v>
          </cell>
          <cell r="F298" t="str">
            <v>TARDE</v>
          </cell>
          <cell r="G298" t="str">
            <v>VIE Y DOM</v>
          </cell>
          <cell r="H298" t="str">
            <v>YBARRA, LUCIA ALDANA</v>
          </cell>
          <cell r="I298" t="str">
            <v>Romandetto Carlos</v>
          </cell>
          <cell r="J298" t="str">
            <v>x</v>
          </cell>
          <cell r="K298"/>
          <cell r="L298" t="str">
            <v>x</v>
          </cell>
          <cell r="M298" t="str">
            <v>x</v>
          </cell>
          <cell r="N298" t="str">
            <v>x</v>
          </cell>
          <cell r="O298"/>
          <cell r="P298"/>
          <cell r="Q298"/>
          <cell r="R298"/>
          <cell r="S298"/>
          <cell r="T298"/>
          <cell r="U298"/>
          <cell r="V298"/>
          <cell r="W298"/>
          <cell r="X298"/>
          <cell r="Y298"/>
          <cell r="Z298"/>
          <cell r="AA298"/>
          <cell r="AB298"/>
          <cell r="AC298"/>
          <cell r="AD298"/>
          <cell r="AE298"/>
          <cell r="AF298"/>
          <cell r="AG298"/>
          <cell r="AH298"/>
          <cell r="AI298"/>
          <cell r="AJ298"/>
          <cell r="AK298"/>
          <cell r="AL298"/>
          <cell r="AM298"/>
          <cell r="AN298" t="str">
            <v>x</v>
          </cell>
          <cell r="AO298" t="str">
            <v>x</v>
          </cell>
          <cell r="AP298"/>
          <cell r="AQ298">
            <v>45308</v>
          </cell>
          <cell r="AR298">
            <v>259</v>
          </cell>
          <cell r="AS298">
            <v>45352</v>
          </cell>
          <cell r="AT298">
            <v>215</v>
          </cell>
          <cell r="AU298" t="str">
            <v>VMAMAGAY</v>
          </cell>
        </row>
        <row r="299">
          <cell r="C299">
            <v>606409</v>
          </cell>
          <cell r="D299" t="str">
            <v>VINCENTI FLORENCIA</v>
          </cell>
          <cell r="E299" t="str">
            <v>12:00 - 18:00</v>
          </cell>
          <cell r="F299" t="str">
            <v>TARDE</v>
          </cell>
          <cell r="G299" t="str">
            <v>SAB Y DOM</v>
          </cell>
          <cell r="H299" t="str">
            <v>GROESMANN, MAYA JUDITH</v>
          </cell>
          <cell r="I299" t="str">
            <v>Romandetto Carlos</v>
          </cell>
          <cell r="J299" t="str">
            <v>x</v>
          </cell>
          <cell r="K299"/>
          <cell r="L299" t="str">
            <v>x</v>
          </cell>
          <cell r="M299" t="str">
            <v>x</v>
          </cell>
          <cell r="N299" t="str">
            <v>x</v>
          </cell>
          <cell r="O299"/>
          <cell r="P299"/>
          <cell r="Q299"/>
          <cell r="R299"/>
          <cell r="S299"/>
          <cell r="T299"/>
          <cell r="U299"/>
          <cell r="V299"/>
          <cell r="W299"/>
          <cell r="X299"/>
          <cell r="Y299"/>
          <cell r="Z299"/>
          <cell r="AA299"/>
          <cell r="AB299"/>
          <cell r="AC299"/>
          <cell r="AD299"/>
          <cell r="AE299"/>
          <cell r="AF299"/>
          <cell r="AG299"/>
          <cell r="AH299"/>
          <cell r="AI299"/>
          <cell r="AJ299"/>
          <cell r="AK299"/>
          <cell r="AL299"/>
          <cell r="AM299"/>
          <cell r="AN299" t="str">
            <v>x</v>
          </cell>
          <cell r="AO299" t="str">
            <v>x</v>
          </cell>
          <cell r="AP299"/>
          <cell r="AQ299">
            <v>45225</v>
          </cell>
          <cell r="AR299">
            <v>342</v>
          </cell>
          <cell r="AS299">
            <v>45352</v>
          </cell>
          <cell r="AT299">
            <v>215</v>
          </cell>
          <cell r="AU299" t="str">
            <v>VMAFLVIN</v>
          </cell>
        </row>
        <row r="300">
          <cell r="C300">
            <v>606411</v>
          </cell>
          <cell r="D300" t="str">
            <v>GOMEZ CESAR NAHUEL</v>
          </cell>
          <cell r="E300" t="str">
            <v>15:00 - 21:00</v>
          </cell>
          <cell r="F300" t="str">
            <v>TARDE</v>
          </cell>
          <cell r="G300" t="str">
            <v>JUE Y SAB</v>
          </cell>
          <cell r="H300" t="str">
            <v>YBARRA, LUCIA ALDANA</v>
          </cell>
          <cell r="I300" t="str">
            <v>Romandetto Carlos</v>
          </cell>
          <cell r="J300" t="str">
            <v>x</v>
          </cell>
          <cell r="K300"/>
          <cell r="L300" t="str">
            <v>x</v>
          </cell>
          <cell r="M300" t="str">
            <v>x</v>
          </cell>
          <cell r="N300" t="str">
            <v>x</v>
          </cell>
          <cell r="O300"/>
          <cell r="P300"/>
          <cell r="Q300"/>
          <cell r="R300"/>
          <cell r="S300"/>
          <cell r="T300"/>
          <cell r="U300"/>
          <cell r="V300"/>
          <cell r="W300"/>
          <cell r="X300"/>
          <cell r="Y300"/>
          <cell r="Z300"/>
          <cell r="AA300"/>
          <cell r="AB300"/>
          <cell r="AC300"/>
          <cell r="AD300"/>
          <cell r="AE300"/>
          <cell r="AF300"/>
          <cell r="AG300"/>
          <cell r="AH300"/>
          <cell r="AI300"/>
          <cell r="AJ300"/>
          <cell r="AK300"/>
          <cell r="AL300"/>
          <cell r="AM300"/>
          <cell r="AN300" t="str">
            <v>x</v>
          </cell>
          <cell r="AO300" t="str">
            <v>x</v>
          </cell>
          <cell r="AP300"/>
          <cell r="AQ300">
            <v>45308</v>
          </cell>
          <cell r="AR300">
            <v>259</v>
          </cell>
          <cell r="AS300">
            <v>45352</v>
          </cell>
          <cell r="AT300">
            <v>215</v>
          </cell>
          <cell r="AU300" t="str">
            <v>VMACEGOM</v>
          </cell>
        </row>
        <row r="301">
          <cell r="C301">
            <v>606292</v>
          </cell>
          <cell r="D301" t="str">
            <v>FONCECA JOAQUIN JORGE</v>
          </cell>
          <cell r="E301" t="str">
            <v>09:00 - 15:00</v>
          </cell>
          <cell r="F301" t="str">
            <v>MAÑANA</v>
          </cell>
          <cell r="G301" t="str">
            <v>SAB Y DOM</v>
          </cell>
          <cell r="H301" t="str">
            <v>SORIA, ANA PAULA</v>
          </cell>
          <cell r="I301" t="str">
            <v>Romandetto Carlos</v>
          </cell>
          <cell r="J301" t="str">
            <v>x</v>
          </cell>
          <cell r="K301"/>
          <cell r="L301" t="str">
            <v>x</v>
          </cell>
          <cell r="M301" t="str">
            <v>x</v>
          </cell>
          <cell r="N301" t="str">
            <v>x</v>
          </cell>
          <cell r="O301"/>
          <cell r="P301"/>
          <cell r="Q301" t="str">
            <v>x</v>
          </cell>
          <cell r="R301" t="str">
            <v>x</v>
          </cell>
          <cell r="S301" t="str">
            <v>x</v>
          </cell>
          <cell r="T301" t="str">
            <v>x</v>
          </cell>
          <cell r="U301"/>
          <cell r="V301"/>
          <cell r="W301"/>
          <cell r="X301"/>
          <cell r="Y301"/>
          <cell r="Z301"/>
          <cell r="AA301"/>
          <cell r="AB301"/>
          <cell r="AC301"/>
          <cell r="AD301"/>
          <cell r="AE301"/>
          <cell r="AF301"/>
          <cell r="AG301"/>
          <cell r="AH301"/>
          <cell r="AI301"/>
          <cell r="AJ301"/>
          <cell r="AK301"/>
          <cell r="AL301"/>
          <cell r="AM301"/>
          <cell r="AN301" t="str">
            <v>x</v>
          </cell>
          <cell r="AO301"/>
          <cell r="AP301" t="str">
            <v>x</v>
          </cell>
          <cell r="AQ301">
            <v>45337</v>
          </cell>
          <cell r="AR301">
            <v>230</v>
          </cell>
          <cell r="AS301">
            <v>45478</v>
          </cell>
          <cell r="AT301">
            <v>89</v>
          </cell>
          <cell r="AU301" t="str">
            <v>VMAJOFON</v>
          </cell>
        </row>
        <row r="302">
          <cell r="C302">
            <v>605508</v>
          </cell>
          <cell r="D302" t="str">
            <v>TOLOZA ESTEFANIA KAREN</v>
          </cell>
          <cell r="E302" t="str">
            <v>09:00 - 15:00</v>
          </cell>
          <cell r="F302" t="str">
            <v>MAÑANA</v>
          </cell>
          <cell r="G302" t="str">
            <v>VIE Y DOM</v>
          </cell>
          <cell r="H302" t="str">
            <v>DIAZ, PAULA</v>
          </cell>
          <cell r="I302" t="str">
            <v>Romandetto Carlos</v>
          </cell>
          <cell r="J302" t="str">
            <v>x</v>
          </cell>
          <cell r="K302"/>
          <cell r="L302" t="str">
            <v>x</v>
          </cell>
          <cell r="M302" t="str">
            <v>x</v>
          </cell>
          <cell r="N302" t="str">
            <v>x</v>
          </cell>
          <cell r="O302"/>
          <cell r="P302"/>
          <cell r="Q302"/>
          <cell r="R302"/>
          <cell r="S302"/>
          <cell r="T302"/>
          <cell r="U302"/>
          <cell r="V302"/>
          <cell r="W302"/>
          <cell r="X302"/>
          <cell r="Y302"/>
          <cell r="Z302"/>
          <cell r="AA302"/>
          <cell r="AB302"/>
          <cell r="AC302"/>
          <cell r="AD302"/>
          <cell r="AE302"/>
          <cell r="AF302"/>
          <cell r="AG302"/>
          <cell r="AH302"/>
          <cell r="AI302"/>
          <cell r="AJ302"/>
          <cell r="AK302"/>
          <cell r="AL302"/>
          <cell r="AM302"/>
          <cell r="AN302" t="str">
            <v>x</v>
          </cell>
          <cell r="AO302" t="str">
            <v>x</v>
          </cell>
          <cell r="AP302"/>
          <cell r="AQ302">
            <v>45337</v>
          </cell>
          <cell r="AR302">
            <v>230</v>
          </cell>
          <cell r="AS302">
            <v>45379</v>
          </cell>
          <cell r="AT302">
            <v>188</v>
          </cell>
          <cell r="AU302" t="str">
            <v>VMAESTOL</v>
          </cell>
        </row>
        <row r="303">
          <cell r="C303">
            <v>605514</v>
          </cell>
          <cell r="D303" t="str">
            <v>RODRIGUEZ JEMIMA VICTORIA</v>
          </cell>
          <cell r="E303" t="str">
            <v>09:00 - 15:00</v>
          </cell>
          <cell r="F303" t="str">
            <v>MAÑANA</v>
          </cell>
          <cell r="G303" t="str">
            <v>VIE Y DOM</v>
          </cell>
          <cell r="H303" t="str">
            <v>VILLALBA, MAITEN</v>
          </cell>
          <cell r="I303" t="str">
            <v>Romandetto Carlos</v>
          </cell>
          <cell r="J303" t="str">
            <v>x</v>
          </cell>
          <cell r="K303"/>
          <cell r="L303" t="str">
            <v>x</v>
          </cell>
          <cell r="M303" t="str">
            <v>x</v>
          </cell>
          <cell r="N303" t="str">
            <v>x</v>
          </cell>
          <cell r="O303" t="str">
            <v>x</v>
          </cell>
          <cell r="P303"/>
          <cell r="Q303"/>
          <cell r="R303"/>
          <cell r="S303"/>
          <cell r="T303"/>
          <cell r="U303"/>
          <cell r="V303"/>
          <cell r="W303"/>
          <cell r="X303"/>
          <cell r="Y303"/>
          <cell r="Z303"/>
          <cell r="AA303"/>
          <cell r="AB303"/>
          <cell r="AC303"/>
          <cell r="AD303"/>
          <cell r="AE303"/>
          <cell r="AF303"/>
          <cell r="AG303"/>
          <cell r="AH303"/>
          <cell r="AI303"/>
          <cell r="AJ303"/>
          <cell r="AK303"/>
          <cell r="AL303"/>
          <cell r="AM303"/>
          <cell r="AN303" t="str">
            <v>x</v>
          </cell>
          <cell r="AO303" t="str">
            <v>x</v>
          </cell>
          <cell r="AP303"/>
          <cell r="AQ303">
            <v>45337</v>
          </cell>
          <cell r="AR303">
            <v>230</v>
          </cell>
          <cell r="AS303">
            <v>45456</v>
          </cell>
          <cell r="AT303">
            <v>111</v>
          </cell>
          <cell r="AU303" t="str">
            <v>VMAJEROD</v>
          </cell>
        </row>
        <row r="304">
          <cell r="C304">
            <v>605776</v>
          </cell>
          <cell r="D304" t="str">
            <v>CRESPIN KEVIN</v>
          </cell>
          <cell r="E304" t="str">
            <v>09:00 - 15:00</v>
          </cell>
          <cell r="F304" t="str">
            <v>MAÑANA</v>
          </cell>
          <cell r="G304" t="str">
            <v>SAB Y DOM</v>
          </cell>
          <cell r="H304" t="str">
            <v>DIAZ, PAULA</v>
          </cell>
          <cell r="I304" t="str">
            <v>Romandetto Carlos</v>
          </cell>
          <cell r="J304" t="str">
            <v>x</v>
          </cell>
          <cell r="K304"/>
          <cell r="L304" t="str">
            <v>x</v>
          </cell>
          <cell r="M304" t="str">
            <v>x</v>
          </cell>
          <cell r="N304" t="str">
            <v>x</v>
          </cell>
          <cell r="O304" t="str">
            <v>x</v>
          </cell>
          <cell r="P304"/>
          <cell r="Q304"/>
          <cell r="R304"/>
          <cell r="S304"/>
          <cell r="T304"/>
          <cell r="U304"/>
          <cell r="V304"/>
          <cell r="W304"/>
          <cell r="X304"/>
          <cell r="Y304"/>
          <cell r="Z304"/>
          <cell r="AA304"/>
          <cell r="AB304"/>
          <cell r="AC304"/>
          <cell r="AD304"/>
          <cell r="AE304"/>
          <cell r="AF304"/>
          <cell r="AG304"/>
          <cell r="AH304"/>
          <cell r="AI304"/>
          <cell r="AJ304"/>
          <cell r="AK304"/>
          <cell r="AL304"/>
          <cell r="AM304"/>
          <cell r="AN304" t="str">
            <v>x</v>
          </cell>
          <cell r="AO304" t="str">
            <v>x</v>
          </cell>
          <cell r="AP304"/>
          <cell r="AQ304">
            <v>45337</v>
          </cell>
          <cell r="AR304">
            <v>230</v>
          </cell>
          <cell r="AS304">
            <v>45456</v>
          </cell>
          <cell r="AT304">
            <v>111</v>
          </cell>
          <cell r="AU304" t="str">
            <v>VMAKECRE</v>
          </cell>
        </row>
        <row r="305">
          <cell r="C305">
            <v>605901</v>
          </cell>
          <cell r="D305" t="str">
            <v>CASTILLO CUEVA LUCIANA</v>
          </cell>
          <cell r="E305" t="str">
            <v>11:00 - 17:00</v>
          </cell>
          <cell r="F305" t="str">
            <v>MAÑANA</v>
          </cell>
          <cell r="G305" t="str">
            <v>VIE Y DOM</v>
          </cell>
          <cell r="H305" t="str">
            <v>GOYECHEA, AGUSTINA LOURDES</v>
          </cell>
          <cell r="I305" t="str">
            <v>Romandetto Carlos</v>
          </cell>
          <cell r="J305" t="str">
            <v>x</v>
          </cell>
          <cell r="K305"/>
          <cell r="L305" t="str">
            <v>x</v>
          </cell>
          <cell r="M305" t="str">
            <v>x</v>
          </cell>
          <cell r="N305" t="str">
            <v>x</v>
          </cell>
          <cell r="O305"/>
          <cell r="P305"/>
          <cell r="Q305"/>
          <cell r="R305"/>
          <cell r="S305"/>
          <cell r="T305"/>
          <cell r="U305"/>
          <cell r="V305"/>
          <cell r="W305"/>
          <cell r="X305"/>
          <cell r="Y305"/>
          <cell r="Z305"/>
          <cell r="AA305"/>
          <cell r="AB305"/>
          <cell r="AC305"/>
          <cell r="AD305"/>
          <cell r="AE305"/>
          <cell r="AF305"/>
          <cell r="AG305"/>
          <cell r="AH305"/>
          <cell r="AI305"/>
          <cell r="AJ305"/>
          <cell r="AK305"/>
          <cell r="AL305"/>
          <cell r="AM305"/>
          <cell r="AN305" t="str">
            <v>x</v>
          </cell>
          <cell r="AO305" t="str">
            <v>x</v>
          </cell>
          <cell r="AP305"/>
          <cell r="AQ305">
            <v>45337</v>
          </cell>
          <cell r="AR305">
            <v>230</v>
          </cell>
          <cell r="AS305">
            <v>45379</v>
          </cell>
          <cell r="AT305">
            <v>188</v>
          </cell>
          <cell r="AU305" t="str">
            <v>VMALUCCA</v>
          </cell>
        </row>
        <row r="306">
          <cell r="C306">
            <v>606065</v>
          </cell>
          <cell r="D306" t="str">
            <v>ZARZA GONZALO IVAN</v>
          </cell>
          <cell r="E306" t="str">
            <v>11:00 - 17:00</v>
          </cell>
          <cell r="F306" t="str">
            <v>MAÑANA</v>
          </cell>
          <cell r="G306" t="str">
            <v>SAB Y DOM</v>
          </cell>
          <cell r="H306" t="str">
            <v>GOYECHEA, AGUSTINA LOURDES</v>
          </cell>
          <cell r="I306" t="str">
            <v>Romandetto Carlos</v>
          </cell>
          <cell r="J306" t="str">
            <v>x</v>
          </cell>
          <cell r="K306"/>
          <cell r="L306" t="str">
            <v>x</v>
          </cell>
          <cell r="M306" t="str">
            <v>x</v>
          </cell>
          <cell r="N306" t="str">
            <v>x</v>
          </cell>
          <cell r="O306"/>
          <cell r="P306"/>
          <cell r="Q306" t="str">
            <v>x</v>
          </cell>
          <cell r="R306" t="str">
            <v>x</v>
          </cell>
          <cell r="S306" t="str">
            <v>x</v>
          </cell>
          <cell r="T306" t="str">
            <v>x</v>
          </cell>
          <cell r="U306"/>
          <cell r="V306"/>
          <cell r="W306"/>
          <cell r="X306"/>
          <cell r="Y306"/>
          <cell r="Z306"/>
          <cell r="AA306"/>
          <cell r="AB306"/>
          <cell r="AC306"/>
          <cell r="AD306"/>
          <cell r="AE306"/>
          <cell r="AF306"/>
          <cell r="AG306"/>
          <cell r="AH306"/>
          <cell r="AI306"/>
          <cell r="AJ306"/>
          <cell r="AK306"/>
          <cell r="AL306"/>
          <cell r="AM306"/>
          <cell r="AN306" t="str">
            <v>x</v>
          </cell>
          <cell r="AO306" t="str">
            <v>x</v>
          </cell>
          <cell r="AP306"/>
          <cell r="AQ306">
            <v>45337</v>
          </cell>
          <cell r="AR306">
            <v>230</v>
          </cell>
          <cell r="AS306">
            <v>45562</v>
          </cell>
          <cell r="AT306">
            <v>5</v>
          </cell>
          <cell r="AU306" t="str">
            <v>VMAIVZAR</v>
          </cell>
        </row>
        <row r="307">
          <cell r="C307">
            <v>606145</v>
          </cell>
          <cell r="D307" t="str">
            <v>SERRUDO VARGAS CAMILA MIKAL</v>
          </cell>
          <cell r="E307" t="str">
            <v>15:00 - 21:00</v>
          </cell>
          <cell r="F307" t="str">
            <v>TARDE</v>
          </cell>
          <cell r="G307" t="str">
            <v>VIE Y DOM</v>
          </cell>
          <cell r="H307" t="str">
            <v>GARZON, ROCIO BELEN</v>
          </cell>
          <cell r="I307" t="str">
            <v>Romandetto Carlos</v>
          </cell>
          <cell r="J307" t="str">
            <v>x</v>
          </cell>
          <cell r="K307"/>
          <cell r="L307" t="str">
            <v>x</v>
          </cell>
          <cell r="M307" t="str">
            <v>x</v>
          </cell>
          <cell r="N307" t="str">
            <v>x</v>
          </cell>
          <cell r="O307"/>
          <cell r="P307"/>
          <cell r="Q307"/>
          <cell r="R307"/>
          <cell r="S307"/>
          <cell r="T307"/>
          <cell r="U307"/>
          <cell r="V307"/>
          <cell r="W307"/>
          <cell r="X307"/>
          <cell r="Y307"/>
          <cell r="Z307"/>
          <cell r="AA307"/>
          <cell r="AB307"/>
          <cell r="AC307"/>
          <cell r="AD307"/>
          <cell r="AE307"/>
          <cell r="AF307"/>
          <cell r="AG307"/>
          <cell r="AH307"/>
          <cell r="AI307"/>
          <cell r="AJ307"/>
          <cell r="AK307"/>
          <cell r="AL307"/>
          <cell r="AM307"/>
          <cell r="AN307" t="str">
            <v>x</v>
          </cell>
          <cell r="AO307" t="str">
            <v>x</v>
          </cell>
          <cell r="AP307"/>
          <cell r="AQ307">
            <v>45337</v>
          </cell>
          <cell r="AR307">
            <v>230</v>
          </cell>
          <cell r="AS307">
            <v>45379</v>
          </cell>
          <cell r="AT307">
            <v>188</v>
          </cell>
          <cell r="AU307" t="str">
            <v>VMACASER</v>
          </cell>
        </row>
        <row r="308">
          <cell r="C308">
            <v>606227</v>
          </cell>
          <cell r="D308" t="str">
            <v>NARBONA SUSAN ABRIL</v>
          </cell>
          <cell r="E308" t="str">
            <v>11:00 - 17:00</v>
          </cell>
          <cell r="F308" t="str">
            <v>MAÑANA</v>
          </cell>
          <cell r="G308" t="str">
            <v>SAB Y DOM</v>
          </cell>
          <cell r="H308" t="str">
            <v>VILLALBA, MAITEN</v>
          </cell>
          <cell r="I308" t="str">
            <v>Romandetto Carlos</v>
          </cell>
          <cell r="J308" t="str">
            <v>x</v>
          </cell>
          <cell r="K308"/>
          <cell r="L308" t="str">
            <v>x</v>
          </cell>
          <cell r="M308" t="str">
            <v>x</v>
          </cell>
          <cell r="N308" t="str">
            <v>x</v>
          </cell>
          <cell r="O308"/>
          <cell r="P308"/>
          <cell r="Q308"/>
          <cell r="R308"/>
          <cell r="S308"/>
          <cell r="T308"/>
          <cell r="U308"/>
          <cell r="V308"/>
          <cell r="W308"/>
          <cell r="X308"/>
          <cell r="Y308"/>
          <cell r="Z308"/>
          <cell r="AA308"/>
          <cell r="AB308"/>
          <cell r="AC308"/>
          <cell r="AD308"/>
          <cell r="AE308"/>
          <cell r="AF308"/>
          <cell r="AG308"/>
          <cell r="AH308"/>
          <cell r="AI308"/>
          <cell r="AJ308"/>
          <cell r="AK308"/>
          <cell r="AL308"/>
          <cell r="AM308"/>
          <cell r="AN308" t="str">
            <v>x</v>
          </cell>
          <cell r="AO308" t="str">
            <v>x</v>
          </cell>
          <cell r="AP308"/>
          <cell r="AQ308">
            <v>45337</v>
          </cell>
          <cell r="AR308">
            <v>230</v>
          </cell>
          <cell r="AS308">
            <v>45379</v>
          </cell>
          <cell r="AT308">
            <v>188</v>
          </cell>
          <cell r="AU308" t="str">
            <v>VMASUNAR</v>
          </cell>
        </row>
        <row r="309">
          <cell r="C309">
            <v>606249</v>
          </cell>
          <cell r="D309" t="str">
            <v>DURO CANDELA MILAGROS</v>
          </cell>
          <cell r="E309" t="str">
            <v>15:00 - 21:00</v>
          </cell>
          <cell r="F309" t="str">
            <v>TARDE</v>
          </cell>
          <cell r="G309" t="str">
            <v>SAB Y DOM</v>
          </cell>
          <cell r="H309" t="str">
            <v>GARZON, ROCIO BELEN</v>
          </cell>
          <cell r="I309" t="str">
            <v>Romandetto Carlos</v>
          </cell>
          <cell r="J309" t="str">
            <v>x</v>
          </cell>
          <cell r="K309"/>
          <cell r="L309" t="str">
            <v>x</v>
          </cell>
          <cell r="M309" t="str">
            <v>x</v>
          </cell>
          <cell r="N309" t="str">
            <v>x</v>
          </cell>
          <cell r="O309"/>
          <cell r="P309"/>
          <cell r="Q309"/>
          <cell r="R309"/>
          <cell r="S309"/>
          <cell r="T309"/>
          <cell r="U309"/>
          <cell r="V309"/>
          <cell r="W309"/>
          <cell r="X309"/>
          <cell r="Y309"/>
          <cell r="Z309"/>
          <cell r="AA309"/>
          <cell r="AB309"/>
          <cell r="AC309"/>
          <cell r="AD309"/>
          <cell r="AE309"/>
          <cell r="AF309"/>
          <cell r="AG309"/>
          <cell r="AH309"/>
          <cell r="AI309"/>
          <cell r="AJ309"/>
          <cell r="AK309"/>
          <cell r="AL309"/>
          <cell r="AM309"/>
          <cell r="AN309" t="str">
            <v>x</v>
          </cell>
          <cell r="AO309" t="str">
            <v>x</v>
          </cell>
          <cell r="AP309"/>
          <cell r="AQ309">
            <v>45337</v>
          </cell>
          <cell r="AR309">
            <v>230</v>
          </cell>
          <cell r="AS309">
            <v>45379</v>
          </cell>
          <cell r="AT309">
            <v>188</v>
          </cell>
          <cell r="AU309" t="str">
            <v>VMACADUR</v>
          </cell>
        </row>
        <row r="310">
          <cell r="C310">
            <v>605635</v>
          </cell>
          <cell r="D310" t="str">
            <v>LEZAMETA ANGELICA MARIA</v>
          </cell>
          <cell r="E310" t="str">
            <v>15:00 - 21:00</v>
          </cell>
          <cell r="F310" t="str">
            <v>TARDE</v>
          </cell>
          <cell r="G310" t="str">
            <v>MIE Y SAB</v>
          </cell>
          <cell r="H310" t="str">
            <v>SOLER, SANTIAGO MAXIMILIANO</v>
          </cell>
          <cell r="I310" t="str">
            <v>Romandetto Carlos</v>
          </cell>
          <cell r="J310" t="str">
            <v>x</v>
          </cell>
          <cell r="K310"/>
          <cell r="L310" t="str">
            <v>x</v>
          </cell>
          <cell r="M310" t="str">
            <v>x</v>
          </cell>
          <cell r="N310" t="str">
            <v>x</v>
          </cell>
          <cell r="O310" t="str">
            <v>x</v>
          </cell>
          <cell r="P310"/>
          <cell r="Q310"/>
          <cell r="R310"/>
          <cell r="S310"/>
          <cell r="T310"/>
          <cell r="U310"/>
          <cell r="V310"/>
          <cell r="W310"/>
          <cell r="X310"/>
          <cell r="Y310"/>
          <cell r="Z310"/>
          <cell r="AA310"/>
          <cell r="AB310"/>
          <cell r="AC310"/>
          <cell r="AD310"/>
          <cell r="AE310"/>
          <cell r="AF310"/>
          <cell r="AG310"/>
          <cell r="AH310"/>
          <cell r="AI310"/>
          <cell r="AJ310"/>
          <cell r="AK310"/>
          <cell r="AL310"/>
          <cell r="AM310"/>
          <cell r="AN310" t="str">
            <v>x</v>
          </cell>
          <cell r="AO310" t="str">
            <v>x</v>
          </cell>
          <cell r="AP310"/>
          <cell r="AQ310">
            <v>45337</v>
          </cell>
          <cell r="AR310">
            <v>230</v>
          </cell>
          <cell r="AS310">
            <v>45456</v>
          </cell>
          <cell r="AT310">
            <v>111</v>
          </cell>
          <cell r="AU310" t="str">
            <v>VMAANLEZ</v>
          </cell>
        </row>
        <row r="311">
          <cell r="C311">
            <v>605766</v>
          </cell>
          <cell r="D311" t="str">
            <v>ZAPATA VAGNINI MARTINA</v>
          </cell>
          <cell r="E311" t="str">
            <v>15:00 - 21:00</v>
          </cell>
          <cell r="F311" t="str">
            <v>TARDE</v>
          </cell>
          <cell r="G311" t="str">
            <v>SAB Y DOM</v>
          </cell>
          <cell r="H311" t="str">
            <v>SOLER, SANTIAGO MAXIMILIANO</v>
          </cell>
          <cell r="I311" t="str">
            <v>Romandetto Carlos</v>
          </cell>
          <cell r="J311" t="str">
            <v>x</v>
          </cell>
          <cell r="K311"/>
          <cell r="L311" t="str">
            <v>x</v>
          </cell>
          <cell r="M311" t="str">
            <v>x</v>
          </cell>
          <cell r="N311" t="str">
            <v>x</v>
          </cell>
          <cell r="O311"/>
          <cell r="P311"/>
          <cell r="Q311"/>
          <cell r="R311"/>
          <cell r="S311"/>
          <cell r="T311"/>
          <cell r="U311"/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/>
          <cell r="AI311"/>
          <cell r="AJ311"/>
          <cell r="AK311"/>
          <cell r="AL311"/>
          <cell r="AM311"/>
          <cell r="AN311" t="str">
            <v>x</v>
          </cell>
          <cell r="AO311" t="str">
            <v>x</v>
          </cell>
          <cell r="AP311"/>
          <cell r="AQ311">
            <v>45337</v>
          </cell>
          <cell r="AR311">
            <v>230</v>
          </cell>
          <cell r="AS311">
            <v>45379</v>
          </cell>
          <cell r="AT311">
            <v>188</v>
          </cell>
          <cell r="AU311" t="str">
            <v>VMAMAZAP</v>
          </cell>
        </row>
        <row r="312">
          <cell r="C312">
            <v>605774</v>
          </cell>
          <cell r="D312" t="str">
            <v>CASTRO CRISTIAN NICOLAS</v>
          </cell>
          <cell r="E312" t="str">
            <v>15:00 - 21:00</v>
          </cell>
          <cell r="F312" t="str">
            <v>TARDE</v>
          </cell>
          <cell r="G312" t="str">
            <v>VIE Y DOM</v>
          </cell>
          <cell r="H312" t="str">
            <v>SOLER, SANTIAGO MAXIMILIANO</v>
          </cell>
          <cell r="I312" t="str">
            <v>Romandetto Carlos</v>
          </cell>
          <cell r="J312" t="str">
            <v>x</v>
          </cell>
          <cell r="K312"/>
          <cell r="L312" t="str">
            <v>x</v>
          </cell>
          <cell r="M312" t="str">
            <v>x</v>
          </cell>
          <cell r="N312" t="str">
            <v>x</v>
          </cell>
          <cell r="O312"/>
          <cell r="P312"/>
          <cell r="Q312"/>
          <cell r="R312"/>
          <cell r="S312"/>
          <cell r="T312"/>
          <cell r="U312"/>
          <cell r="V312"/>
          <cell r="W312"/>
          <cell r="X312"/>
          <cell r="Y312"/>
          <cell r="Z312"/>
          <cell r="AA312"/>
          <cell r="AB312"/>
          <cell r="AC312"/>
          <cell r="AD312"/>
          <cell r="AE312"/>
          <cell r="AF312"/>
          <cell r="AG312"/>
          <cell r="AH312"/>
          <cell r="AI312"/>
          <cell r="AJ312"/>
          <cell r="AK312"/>
          <cell r="AL312"/>
          <cell r="AM312"/>
          <cell r="AN312" t="str">
            <v>x</v>
          </cell>
          <cell r="AO312" t="str">
            <v>x</v>
          </cell>
          <cell r="AP312"/>
          <cell r="AQ312">
            <v>45337</v>
          </cell>
          <cell r="AR312">
            <v>230</v>
          </cell>
          <cell r="AS312">
            <v>45379</v>
          </cell>
          <cell r="AT312">
            <v>188</v>
          </cell>
          <cell r="AU312" t="str">
            <v>VMACRCAS</v>
          </cell>
        </row>
        <row r="313">
          <cell r="C313">
            <v>605600</v>
          </cell>
          <cell r="D313" t="str">
            <v>CASTRO MARIA MAGALI</v>
          </cell>
          <cell r="E313" t="str">
            <v>15:00 - 21:00</v>
          </cell>
          <cell r="F313" t="str">
            <v>TARDE</v>
          </cell>
          <cell r="G313" t="str">
            <v>MAR Y DOM</v>
          </cell>
          <cell r="H313" t="str">
            <v>GARZON, ROCIO BELEN</v>
          </cell>
          <cell r="I313" t="str">
            <v>Romandetto Carlos</v>
          </cell>
          <cell r="J313" t="str">
            <v>x</v>
          </cell>
          <cell r="K313"/>
          <cell r="L313" t="str">
            <v>x</v>
          </cell>
          <cell r="M313" t="str">
            <v>x</v>
          </cell>
          <cell r="N313" t="str">
            <v>x</v>
          </cell>
          <cell r="O313"/>
          <cell r="P313"/>
          <cell r="Q313"/>
          <cell r="R313"/>
          <cell r="S313"/>
          <cell r="T313"/>
          <cell r="U313"/>
          <cell r="V313"/>
          <cell r="W313"/>
          <cell r="X313"/>
          <cell r="Y313"/>
          <cell r="Z313"/>
          <cell r="AA313"/>
          <cell r="AB313"/>
          <cell r="AC313"/>
          <cell r="AD313"/>
          <cell r="AE313"/>
          <cell r="AF313"/>
          <cell r="AG313"/>
          <cell r="AH313"/>
          <cell r="AI313"/>
          <cell r="AJ313"/>
          <cell r="AK313"/>
          <cell r="AL313"/>
          <cell r="AM313"/>
          <cell r="AN313" t="str">
            <v>x</v>
          </cell>
          <cell r="AO313" t="str">
            <v>x</v>
          </cell>
          <cell r="AP313"/>
          <cell r="AQ313">
            <v>45337</v>
          </cell>
          <cell r="AR313">
            <v>230</v>
          </cell>
          <cell r="AS313">
            <v>45379</v>
          </cell>
          <cell r="AT313">
            <v>188</v>
          </cell>
          <cell r="AU313" t="str">
            <v>VMAMACAS</v>
          </cell>
        </row>
        <row r="314">
          <cell r="C314">
            <v>605927</v>
          </cell>
          <cell r="D314" t="str">
            <v>SANTANA CONCEPCION DEL ROSARIO</v>
          </cell>
          <cell r="E314" t="str">
            <v>15:00 - 21:00</v>
          </cell>
          <cell r="F314" t="str">
            <v>TARDE</v>
          </cell>
          <cell r="G314" t="str">
            <v>SAB Y DOM</v>
          </cell>
          <cell r="H314" t="str">
            <v>SOLER, SANTIAGO MAXIMILIANO</v>
          </cell>
          <cell r="I314" t="str">
            <v>Romandetto Carlos</v>
          </cell>
          <cell r="J314" t="str">
            <v>x</v>
          </cell>
          <cell r="K314"/>
          <cell r="L314" t="str">
            <v>x</v>
          </cell>
          <cell r="M314" t="str">
            <v>x</v>
          </cell>
          <cell r="N314" t="str">
            <v>x</v>
          </cell>
          <cell r="O314"/>
          <cell r="P314"/>
          <cell r="Q314" t="str">
            <v>x</v>
          </cell>
          <cell r="R314" t="str">
            <v>x</v>
          </cell>
          <cell r="S314" t="str">
            <v>x</v>
          </cell>
          <cell r="T314" t="str">
            <v>x</v>
          </cell>
          <cell r="U314"/>
          <cell r="V314"/>
          <cell r="W314"/>
          <cell r="X314"/>
          <cell r="Y314"/>
          <cell r="Z314"/>
          <cell r="AA314"/>
          <cell r="AB314"/>
          <cell r="AC314"/>
          <cell r="AD314"/>
          <cell r="AE314"/>
          <cell r="AF314"/>
          <cell r="AG314"/>
          <cell r="AH314"/>
          <cell r="AI314"/>
          <cell r="AJ314"/>
          <cell r="AK314"/>
          <cell r="AL314"/>
          <cell r="AM314"/>
          <cell r="AN314" t="str">
            <v>x</v>
          </cell>
          <cell r="AO314" t="str">
            <v>x</v>
          </cell>
          <cell r="AP314"/>
          <cell r="AQ314">
            <v>45337</v>
          </cell>
          <cell r="AR314">
            <v>230</v>
          </cell>
          <cell r="AS314">
            <v>45562</v>
          </cell>
          <cell r="AT314">
            <v>5</v>
          </cell>
          <cell r="AU314" t="str">
            <v>VMAROSAN</v>
          </cell>
        </row>
        <row r="315">
          <cell r="C315">
            <v>605944</v>
          </cell>
          <cell r="D315" t="str">
            <v>LIZUÑA AGUSTIN</v>
          </cell>
          <cell r="E315" t="str">
            <v>12:00 - 18:00</v>
          </cell>
          <cell r="F315" t="str">
            <v>TARDE</v>
          </cell>
          <cell r="G315" t="str">
            <v>SAB Y DOM</v>
          </cell>
          <cell r="H315" t="str">
            <v>SOLER, SANTIAGO MAXIMILIANO</v>
          </cell>
          <cell r="I315" t="str">
            <v>Romandetto Carlos</v>
          </cell>
          <cell r="J315" t="str">
            <v>x</v>
          </cell>
          <cell r="K315"/>
          <cell r="L315" t="str">
            <v>x</v>
          </cell>
          <cell r="M315" t="str">
            <v>x</v>
          </cell>
          <cell r="N315" t="str">
            <v>x</v>
          </cell>
          <cell r="O315"/>
          <cell r="P315"/>
          <cell r="Q315"/>
          <cell r="R315"/>
          <cell r="S315"/>
          <cell r="T315"/>
          <cell r="U315"/>
          <cell r="V315"/>
          <cell r="W315"/>
          <cell r="X315"/>
          <cell r="Y315"/>
          <cell r="Z315"/>
          <cell r="AA315"/>
          <cell r="AB315"/>
          <cell r="AC315"/>
          <cell r="AD315"/>
          <cell r="AE315"/>
          <cell r="AF315"/>
          <cell r="AG315"/>
          <cell r="AH315"/>
          <cell r="AI315"/>
          <cell r="AJ315"/>
          <cell r="AK315"/>
          <cell r="AL315"/>
          <cell r="AM315"/>
          <cell r="AN315" t="str">
            <v>x</v>
          </cell>
          <cell r="AO315" t="str">
            <v>x</v>
          </cell>
          <cell r="AP315"/>
          <cell r="AQ315">
            <v>45337</v>
          </cell>
          <cell r="AR315">
            <v>230</v>
          </cell>
          <cell r="AS315">
            <v>45379</v>
          </cell>
          <cell r="AT315">
            <v>188</v>
          </cell>
          <cell r="AU315" t="str">
            <v>VMAAGLIZ</v>
          </cell>
        </row>
        <row r="316">
          <cell r="C316">
            <v>606430</v>
          </cell>
          <cell r="D316" t="str">
            <v>LEZAMETA MACUTELA CELESTE</v>
          </cell>
          <cell r="E316" t="str">
            <v>12:00 - 18:00</v>
          </cell>
          <cell r="F316" t="str">
            <v>TARDE</v>
          </cell>
          <cell r="G316" t="str">
            <v>SAB Y DOM</v>
          </cell>
          <cell r="H316" t="str">
            <v>ROJAS, LUCAS</v>
          </cell>
          <cell r="I316" t="str">
            <v>Romandetto Carlos</v>
          </cell>
          <cell r="J316" t="str">
            <v>x</v>
          </cell>
          <cell r="K316"/>
          <cell r="L316" t="str">
            <v>x</v>
          </cell>
          <cell r="M316" t="str">
            <v>x</v>
          </cell>
          <cell r="N316" t="str">
            <v>x</v>
          </cell>
          <cell r="O316"/>
          <cell r="P316"/>
          <cell r="Q316" t="str">
            <v>x</v>
          </cell>
          <cell r="R316" t="str">
            <v>x</v>
          </cell>
          <cell r="S316" t="str">
            <v>x</v>
          </cell>
          <cell r="T316" t="str">
            <v>x</v>
          </cell>
          <cell r="U316"/>
          <cell r="V316"/>
          <cell r="W316"/>
          <cell r="X316"/>
          <cell r="Y316"/>
          <cell r="Z316"/>
          <cell r="AA316"/>
          <cell r="AB316"/>
          <cell r="AC316"/>
          <cell r="AD316"/>
          <cell r="AE316"/>
          <cell r="AF316"/>
          <cell r="AG316"/>
          <cell r="AH316"/>
          <cell r="AI316"/>
          <cell r="AJ316"/>
          <cell r="AK316"/>
          <cell r="AL316"/>
          <cell r="AM316"/>
          <cell r="AN316" t="str">
            <v>x</v>
          </cell>
          <cell r="AO316" t="str">
            <v>x</v>
          </cell>
          <cell r="AP316"/>
          <cell r="AQ316">
            <v>45337</v>
          </cell>
          <cell r="AR316">
            <v>230</v>
          </cell>
          <cell r="AS316">
            <v>45562</v>
          </cell>
          <cell r="AT316">
            <v>5</v>
          </cell>
          <cell r="AU316" t="str">
            <v>VMACELEZ</v>
          </cell>
        </row>
        <row r="317">
          <cell r="C317">
            <v>606434</v>
          </cell>
          <cell r="D317" t="str">
            <v>FLORES JESUS EMANUEL</v>
          </cell>
          <cell r="E317" t="str">
            <v>15:00 - 21:00</v>
          </cell>
          <cell r="F317" t="str">
            <v>TARDE</v>
          </cell>
          <cell r="G317" t="str">
            <v>JUE Y SAB</v>
          </cell>
          <cell r="H317" t="str">
            <v>ROJAS, LUCAS</v>
          </cell>
          <cell r="I317" t="str">
            <v>Romandetto Carlos</v>
          </cell>
          <cell r="J317" t="str">
            <v>x</v>
          </cell>
          <cell r="K317"/>
          <cell r="L317" t="str">
            <v>x</v>
          </cell>
          <cell r="M317" t="str">
            <v>x</v>
          </cell>
          <cell r="N317" t="str">
            <v>x</v>
          </cell>
          <cell r="O317"/>
          <cell r="P317"/>
          <cell r="Q317"/>
          <cell r="R317"/>
          <cell r="S317"/>
          <cell r="T317"/>
          <cell r="U317"/>
          <cell r="V317"/>
          <cell r="W317"/>
          <cell r="X317"/>
          <cell r="Y317"/>
          <cell r="Z317"/>
          <cell r="AA317"/>
          <cell r="AB317"/>
          <cell r="AC317"/>
          <cell r="AD317"/>
          <cell r="AE317"/>
          <cell r="AF317"/>
          <cell r="AG317"/>
          <cell r="AH317"/>
          <cell r="AI317"/>
          <cell r="AJ317"/>
          <cell r="AK317"/>
          <cell r="AL317"/>
          <cell r="AM317"/>
          <cell r="AN317" t="str">
            <v>x</v>
          </cell>
          <cell r="AO317" t="str">
            <v>x</v>
          </cell>
          <cell r="AP317"/>
          <cell r="AQ317">
            <v>45337</v>
          </cell>
          <cell r="AR317">
            <v>230</v>
          </cell>
          <cell r="AS317">
            <v>45379</v>
          </cell>
          <cell r="AT317">
            <v>188</v>
          </cell>
          <cell r="AU317" t="str">
            <v>VMAJEFLO</v>
          </cell>
        </row>
        <row r="318">
          <cell r="C318">
            <v>606436</v>
          </cell>
          <cell r="D318" t="str">
            <v>SANJUAN LAURA</v>
          </cell>
          <cell r="E318" t="str">
            <v>15:00 - 21:00</v>
          </cell>
          <cell r="F318" t="str">
            <v>TARDE</v>
          </cell>
          <cell r="G318" t="str">
            <v>JUE Y DOM</v>
          </cell>
          <cell r="H318" t="str">
            <v>ROJAS, LUCAS</v>
          </cell>
          <cell r="I318" t="str">
            <v>Romandetto Carlos</v>
          </cell>
          <cell r="J318" t="str">
            <v>x</v>
          </cell>
          <cell r="K318"/>
          <cell r="L318" t="str">
            <v>x</v>
          </cell>
          <cell r="M318" t="str">
            <v>x</v>
          </cell>
          <cell r="N318" t="str">
            <v>x</v>
          </cell>
          <cell r="O318"/>
          <cell r="P318"/>
          <cell r="Q318"/>
          <cell r="R318"/>
          <cell r="S318"/>
          <cell r="T318"/>
          <cell r="U318"/>
          <cell r="V318"/>
          <cell r="W318"/>
          <cell r="X318"/>
          <cell r="Y318"/>
          <cell r="Z318"/>
          <cell r="AA318"/>
          <cell r="AB318"/>
          <cell r="AC318"/>
          <cell r="AD318"/>
          <cell r="AE318"/>
          <cell r="AF318"/>
          <cell r="AG318"/>
          <cell r="AH318"/>
          <cell r="AI318"/>
          <cell r="AJ318"/>
          <cell r="AK318"/>
          <cell r="AL318"/>
          <cell r="AM318"/>
          <cell r="AN318" t="str">
            <v>x</v>
          </cell>
          <cell r="AO318" t="str">
            <v>x</v>
          </cell>
          <cell r="AP318"/>
          <cell r="AQ318">
            <v>45337</v>
          </cell>
          <cell r="AR318">
            <v>230</v>
          </cell>
          <cell r="AS318">
            <v>45379</v>
          </cell>
          <cell r="AT318">
            <v>188</v>
          </cell>
          <cell r="AU318" t="str">
            <v>VMALASAN</v>
          </cell>
        </row>
        <row r="319">
          <cell r="C319">
            <v>605664</v>
          </cell>
          <cell r="D319" t="str">
            <v>PALACIO JONATHAN</v>
          </cell>
          <cell r="E319" t="str">
            <v>09:00 - 15:00</v>
          </cell>
          <cell r="F319" t="str">
            <v>MAÑANA</v>
          </cell>
          <cell r="G319" t="str">
            <v>VIE Y DOM</v>
          </cell>
          <cell r="H319" t="str">
            <v>GOYECHEA, AGUSTINA LOURDES</v>
          </cell>
          <cell r="I319" t="str">
            <v>Romandetto Carlos</v>
          </cell>
          <cell r="J319" t="str">
            <v>x</v>
          </cell>
          <cell r="K319"/>
          <cell r="L319" t="str">
            <v>x</v>
          </cell>
          <cell r="M319" t="str">
            <v>x</v>
          </cell>
          <cell r="N319" t="str">
            <v>x</v>
          </cell>
          <cell r="O319"/>
          <cell r="P319"/>
          <cell r="Q319"/>
          <cell r="R319"/>
          <cell r="S319"/>
          <cell r="T319"/>
          <cell r="U319"/>
          <cell r="V319"/>
          <cell r="W319"/>
          <cell r="X319"/>
          <cell r="Y319"/>
          <cell r="Z319"/>
          <cell r="AA319"/>
          <cell r="AB319"/>
          <cell r="AC319"/>
          <cell r="AD319"/>
          <cell r="AE319"/>
          <cell r="AF319"/>
          <cell r="AG319"/>
          <cell r="AH319"/>
          <cell r="AI319"/>
          <cell r="AJ319"/>
          <cell r="AK319"/>
          <cell r="AL319"/>
          <cell r="AM319"/>
          <cell r="AN319" t="str">
            <v>x</v>
          </cell>
          <cell r="AO319" t="str">
            <v>x</v>
          </cell>
          <cell r="AP319"/>
          <cell r="AQ319">
            <v>45365</v>
          </cell>
          <cell r="AR319">
            <v>202</v>
          </cell>
          <cell r="AS319">
            <v>45412</v>
          </cell>
          <cell r="AT319">
            <v>155</v>
          </cell>
          <cell r="AU319" t="str">
            <v>VMAJOPAL</v>
          </cell>
        </row>
        <row r="320">
          <cell r="C320">
            <v>605830</v>
          </cell>
          <cell r="D320" t="str">
            <v>SALINA BRENDA</v>
          </cell>
          <cell r="E320" t="str">
            <v>09:00 - 15:00</v>
          </cell>
          <cell r="F320" t="str">
            <v>MAÑANA</v>
          </cell>
          <cell r="G320" t="str">
            <v>JUE Y DOM</v>
          </cell>
          <cell r="H320" t="str">
            <v>GOYECHEA, AGUSTINA LOURDES</v>
          </cell>
          <cell r="I320" t="str">
            <v>Romandetto Carlos</v>
          </cell>
          <cell r="J320" t="str">
            <v>x</v>
          </cell>
          <cell r="K320"/>
          <cell r="L320" t="str">
            <v>x</v>
          </cell>
          <cell r="M320" t="str">
            <v>x</v>
          </cell>
          <cell r="N320" t="str">
            <v>x</v>
          </cell>
          <cell r="O320"/>
          <cell r="P320"/>
          <cell r="Q320"/>
          <cell r="R320"/>
          <cell r="S320"/>
          <cell r="T320"/>
          <cell r="U320"/>
          <cell r="V320"/>
          <cell r="W320"/>
          <cell r="X320"/>
          <cell r="Y320"/>
          <cell r="Z320"/>
          <cell r="AA320"/>
          <cell r="AB320"/>
          <cell r="AC320"/>
          <cell r="AD320"/>
          <cell r="AE320"/>
          <cell r="AF320"/>
          <cell r="AG320"/>
          <cell r="AH320"/>
          <cell r="AI320"/>
          <cell r="AJ320"/>
          <cell r="AK320"/>
          <cell r="AL320"/>
          <cell r="AM320"/>
          <cell r="AN320" t="str">
            <v>x</v>
          </cell>
          <cell r="AO320" t="str">
            <v>x</v>
          </cell>
          <cell r="AP320"/>
          <cell r="AQ320">
            <v>45365</v>
          </cell>
          <cell r="AR320">
            <v>202</v>
          </cell>
          <cell r="AS320">
            <v>45412</v>
          </cell>
          <cell r="AT320">
            <v>155</v>
          </cell>
          <cell r="AU320" t="str">
            <v>VMABRSAL</v>
          </cell>
        </row>
        <row r="321">
          <cell r="C321">
            <v>605902</v>
          </cell>
          <cell r="D321" t="str">
            <v>BARRIO MARTINEZ IARA MARIANELLA</v>
          </cell>
          <cell r="E321" t="str">
            <v>10:00 - 16:00</v>
          </cell>
          <cell r="F321" t="str">
            <v>MAÑANA</v>
          </cell>
          <cell r="G321" t="str">
            <v>SAB Y DOM</v>
          </cell>
          <cell r="H321" t="str">
            <v>ROBLEDO, LEANDRO JAVIER</v>
          </cell>
          <cell r="I321" t="str">
            <v>Romandetto Carlos</v>
          </cell>
          <cell r="J321" t="str">
            <v>x</v>
          </cell>
          <cell r="K321"/>
          <cell r="L321" t="str">
            <v>x</v>
          </cell>
          <cell r="M321" t="str">
            <v>x</v>
          </cell>
          <cell r="N321" t="str">
            <v>x</v>
          </cell>
          <cell r="O321"/>
          <cell r="P321"/>
          <cell r="Q321"/>
          <cell r="R321"/>
          <cell r="S321"/>
          <cell r="T321"/>
          <cell r="U321"/>
          <cell r="V321"/>
          <cell r="W321"/>
          <cell r="X321"/>
          <cell r="Y321"/>
          <cell r="Z321"/>
          <cell r="AA321"/>
          <cell r="AB321"/>
          <cell r="AC321"/>
          <cell r="AD321"/>
          <cell r="AE321"/>
          <cell r="AF321"/>
          <cell r="AG321"/>
          <cell r="AH321"/>
          <cell r="AI321"/>
          <cell r="AJ321"/>
          <cell r="AK321"/>
          <cell r="AL321"/>
          <cell r="AM321"/>
          <cell r="AN321" t="str">
            <v>x</v>
          </cell>
          <cell r="AO321" t="str">
            <v>x</v>
          </cell>
          <cell r="AP321"/>
          <cell r="AQ321">
            <v>45365</v>
          </cell>
          <cell r="AR321">
            <v>202</v>
          </cell>
          <cell r="AS321">
            <v>45412</v>
          </cell>
          <cell r="AT321">
            <v>155</v>
          </cell>
          <cell r="AU321" t="str">
            <v>VMAIABAR</v>
          </cell>
        </row>
        <row r="322">
          <cell r="C322">
            <v>605932</v>
          </cell>
          <cell r="D322" t="str">
            <v>LOPEZ BRUNO JORGE</v>
          </cell>
          <cell r="E322" t="str">
            <v>12:00 - 18:00</v>
          </cell>
          <cell r="F322" t="str">
            <v>TARDE</v>
          </cell>
          <cell r="G322" t="str">
            <v>JUE Y SAB</v>
          </cell>
          <cell r="H322" t="str">
            <v>ROBLEDO, LEANDRO JAVIER</v>
          </cell>
          <cell r="I322" t="str">
            <v>Romandetto Carlos</v>
          </cell>
          <cell r="J322" t="str">
            <v>x</v>
          </cell>
          <cell r="K322"/>
          <cell r="L322" t="str">
            <v>x</v>
          </cell>
          <cell r="M322" t="str">
            <v>x</v>
          </cell>
          <cell r="N322" t="str">
            <v>x</v>
          </cell>
          <cell r="O322"/>
          <cell r="P322"/>
          <cell r="Q322"/>
          <cell r="R322"/>
          <cell r="S322"/>
          <cell r="T322"/>
          <cell r="U322"/>
          <cell r="V322"/>
          <cell r="W322"/>
          <cell r="X322"/>
          <cell r="Y322"/>
          <cell r="Z322"/>
          <cell r="AA322"/>
          <cell r="AB322"/>
          <cell r="AC322"/>
          <cell r="AD322"/>
          <cell r="AE322"/>
          <cell r="AF322"/>
          <cell r="AG322"/>
          <cell r="AH322"/>
          <cell r="AI322"/>
          <cell r="AJ322"/>
          <cell r="AK322"/>
          <cell r="AL322"/>
          <cell r="AM322"/>
          <cell r="AN322" t="str">
            <v>x</v>
          </cell>
          <cell r="AO322" t="str">
            <v>x</v>
          </cell>
          <cell r="AP322"/>
          <cell r="AQ322">
            <v>45365</v>
          </cell>
          <cell r="AR322">
            <v>202</v>
          </cell>
          <cell r="AS322">
            <v>45412</v>
          </cell>
          <cell r="AT322">
            <v>155</v>
          </cell>
          <cell r="AU322" t="str">
            <v>VMABRLOP</v>
          </cell>
        </row>
        <row r="323">
          <cell r="C323">
            <v>606340</v>
          </cell>
          <cell r="D323" t="str">
            <v>ARMAS BERROCAL GUILLERMO JESUS</v>
          </cell>
          <cell r="E323" t="str">
            <v>09:00 - 15:00</v>
          </cell>
          <cell r="F323" t="str">
            <v>MAÑANA</v>
          </cell>
          <cell r="G323" t="str">
            <v>SAB Y DOM</v>
          </cell>
          <cell r="H323" t="str">
            <v>GOYECHEA, AGUSTINA LOURDES</v>
          </cell>
          <cell r="I323" t="str">
            <v>Romandetto Carlos</v>
          </cell>
          <cell r="J323" t="str">
            <v>x</v>
          </cell>
          <cell r="K323"/>
          <cell r="L323" t="str">
            <v>x</v>
          </cell>
          <cell r="M323" t="str">
            <v>x</v>
          </cell>
          <cell r="N323" t="str">
            <v>x</v>
          </cell>
          <cell r="O323"/>
          <cell r="P323"/>
          <cell r="Q323" t="str">
            <v>x</v>
          </cell>
          <cell r="R323" t="str">
            <v>x</v>
          </cell>
          <cell r="S323" t="str">
            <v>x</v>
          </cell>
          <cell r="T323" t="str">
            <v>x</v>
          </cell>
          <cell r="U323"/>
          <cell r="V323"/>
          <cell r="W323"/>
          <cell r="X323"/>
          <cell r="Y323"/>
          <cell r="Z323"/>
          <cell r="AA323"/>
          <cell r="AB323"/>
          <cell r="AC323"/>
          <cell r="AD323"/>
          <cell r="AE323"/>
          <cell r="AF323"/>
          <cell r="AG323"/>
          <cell r="AH323"/>
          <cell r="AI323"/>
          <cell r="AJ323"/>
          <cell r="AK323"/>
          <cell r="AL323"/>
          <cell r="AM323"/>
          <cell r="AN323" t="str">
            <v>x</v>
          </cell>
          <cell r="AO323" t="str">
            <v>x</v>
          </cell>
          <cell r="AP323"/>
          <cell r="AQ323">
            <v>45365</v>
          </cell>
          <cell r="AR323">
            <v>202</v>
          </cell>
          <cell r="AS323">
            <v>45562</v>
          </cell>
          <cell r="AT323">
            <v>5</v>
          </cell>
          <cell r="AU323" t="str">
            <v>VMAGUARM</v>
          </cell>
        </row>
        <row r="324">
          <cell r="C324">
            <v>606438</v>
          </cell>
          <cell r="D324" t="str">
            <v>PALOMO LEANDRO MARTIN</v>
          </cell>
          <cell r="E324" t="str">
            <v>12:00 - 18:00</v>
          </cell>
          <cell r="F324" t="str">
            <v>TARDE</v>
          </cell>
          <cell r="G324" t="str">
            <v>JUE Y DOM</v>
          </cell>
          <cell r="H324" t="str">
            <v>YBARRA, LUCIA ALDANA</v>
          </cell>
          <cell r="I324" t="str">
            <v>Romandetto Carlos</v>
          </cell>
          <cell r="J324" t="str">
            <v>x</v>
          </cell>
          <cell r="K324"/>
          <cell r="L324" t="str">
            <v>x</v>
          </cell>
          <cell r="M324" t="str">
            <v>x</v>
          </cell>
          <cell r="N324" t="str">
            <v>x</v>
          </cell>
          <cell r="O324"/>
          <cell r="P324"/>
          <cell r="Q324"/>
          <cell r="R324" t="str">
            <v>x</v>
          </cell>
          <cell r="S324"/>
          <cell r="T324"/>
          <cell r="U324"/>
          <cell r="V324"/>
          <cell r="W324"/>
          <cell r="X324"/>
          <cell r="Y324"/>
          <cell r="Z324"/>
          <cell r="AA324"/>
          <cell r="AB324"/>
          <cell r="AC324"/>
          <cell r="AD324"/>
          <cell r="AE324"/>
          <cell r="AF324"/>
          <cell r="AG324"/>
          <cell r="AH324"/>
          <cell r="AI324"/>
          <cell r="AJ324"/>
          <cell r="AK324"/>
          <cell r="AL324"/>
          <cell r="AM324"/>
          <cell r="AN324" t="str">
            <v>x</v>
          </cell>
          <cell r="AO324" t="str">
            <v>x</v>
          </cell>
          <cell r="AP324"/>
          <cell r="AQ324">
            <v>45365</v>
          </cell>
          <cell r="AR324">
            <v>202</v>
          </cell>
          <cell r="AS324">
            <v>45412</v>
          </cell>
          <cell r="AT324">
            <v>155</v>
          </cell>
          <cell r="AU324" t="str">
            <v>VMALEPAL</v>
          </cell>
        </row>
        <row r="325">
          <cell r="C325">
            <v>606466</v>
          </cell>
          <cell r="D325" t="str">
            <v>ENRIQUE ORIANA</v>
          </cell>
          <cell r="E325" t="str">
            <v>12:00 - 18:00</v>
          </cell>
          <cell r="F325" t="str">
            <v>TARDE</v>
          </cell>
          <cell r="G325" t="str">
            <v>VIE Y DOM</v>
          </cell>
          <cell r="H325" t="str">
            <v>ONETTO, MARIA DE LOS MILAGROS</v>
          </cell>
          <cell r="I325" t="str">
            <v>Romandetto Carlos</v>
          </cell>
          <cell r="J325" t="str">
            <v>x</v>
          </cell>
          <cell r="K325"/>
          <cell r="L325" t="str">
            <v>x</v>
          </cell>
          <cell r="M325" t="str">
            <v>x</v>
          </cell>
          <cell r="N325" t="str">
            <v>x</v>
          </cell>
          <cell r="O325"/>
          <cell r="P325"/>
          <cell r="Q325"/>
          <cell r="R325"/>
          <cell r="S325"/>
          <cell r="T325"/>
          <cell r="U325"/>
          <cell r="V325"/>
          <cell r="W325"/>
          <cell r="X325"/>
          <cell r="Y325"/>
          <cell r="Z325"/>
          <cell r="AA325"/>
          <cell r="AB325"/>
          <cell r="AC325"/>
          <cell r="AD325"/>
          <cell r="AE325"/>
          <cell r="AF325"/>
          <cell r="AG325"/>
          <cell r="AH325"/>
          <cell r="AI325"/>
          <cell r="AJ325"/>
          <cell r="AK325"/>
          <cell r="AL325"/>
          <cell r="AM325"/>
          <cell r="AN325" t="str">
            <v>x</v>
          </cell>
          <cell r="AO325" t="str">
            <v>x</v>
          </cell>
          <cell r="AP325"/>
          <cell r="AQ325">
            <v>45365</v>
          </cell>
          <cell r="AR325">
            <v>202</v>
          </cell>
          <cell r="AS325">
            <v>45412</v>
          </cell>
          <cell r="AT325">
            <v>155</v>
          </cell>
          <cell r="AU325" t="str">
            <v>VMAORENR</v>
          </cell>
        </row>
        <row r="326">
          <cell r="C326">
            <v>606470</v>
          </cell>
          <cell r="D326" t="str">
            <v>ALMIRON LUCIANA AYELEN</v>
          </cell>
          <cell r="E326" t="str">
            <v>15:00 - 21:00</v>
          </cell>
          <cell r="F326" t="str">
            <v>TARDE</v>
          </cell>
          <cell r="G326" t="str">
            <v>VIE Y DOM</v>
          </cell>
          <cell r="H326" t="str">
            <v>YBARRA, LUCIA ALDANA</v>
          </cell>
          <cell r="I326" t="str">
            <v>Romandetto Carlos</v>
          </cell>
          <cell r="J326" t="str">
            <v>x</v>
          </cell>
          <cell r="K326"/>
          <cell r="L326" t="str">
            <v>x</v>
          </cell>
          <cell r="M326" t="str">
            <v>x</v>
          </cell>
          <cell r="N326" t="str">
            <v>x</v>
          </cell>
          <cell r="O326"/>
          <cell r="P326"/>
          <cell r="Q326"/>
          <cell r="R326"/>
          <cell r="S326"/>
          <cell r="T326"/>
          <cell r="U326"/>
          <cell r="V326"/>
          <cell r="W326"/>
          <cell r="X326"/>
          <cell r="Y326"/>
          <cell r="Z326"/>
          <cell r="AA326"/>
          <cell r="AB326"/>
          <cell r="AC326"/>
          <cell r="AD326"/>
          <cell r="AE326"/>
          <cell r="AF326"/>
          <cell r="AG326"/>
          <cell r="AH326"/>
          <cell r="AI326"/>
          <cell r="AJ326"/>
          <cell r="AK326"/>
          <cell r="AL326"/>
          <cell r="AM326"/>
          <cell r="AN326" t="str">
            <v>x</v>
          </cell>
          <cell r="AO326" t="str">
            <v>x</v>
          </cell>
          <cell r="AP326"/>
          <cell r="AQ326">
            <v>45365</v>
          </cell>
          <cell r="AR326">
            <v>202</v>
          </cell>
          <cell r="AS326">
            <v>45412</v>
          </cell>
          <cell r="AT326">
            <v>155</v>
          </cell>
          <cell r="AU326" t="str">
            <v>VMALUALM</v>
          </cell>
        </row>
        <row r="327">
          <cell r="C327">
            <v>606482</v>
          </cell>
          <cell r="D327" t="str">
            <v>LUNA JONATHAN ANDRES</v>
          </cell>
          <cell r="E327" t="str">
            <v>15:00 - 21:00</v>
          </cell>
          <cell r="F327" t="str">
            <v>TARDE</v>
          </cell>
          <cell r="G327" t="str">
            <v>JUE Y DOM</v>
          </cell>
          <cell r="H327" t="str">
            <v>YBARRA, LUCIA ALDANA</v>
          </cell>
          <cell r="I327" t="str">
            <v>Romandetto Carlos</v>
          </cell>
          <cell r="J327" t="str">
            <v>x</v>
          </cell>
          <cell r="K327"/>
          <cell r="L327" t="str">
            <v>x</v>
          </cell>
          <cell r="M327" t="str">
            <v>x</v>
          </cell>
          <cell r="N327" t="str">
            <v>x</v>
          </cell>
          <cell r="O327"/>
          <cell r="P327"/>
          <cell r="Q327"/>
          <cell r="R327"/>
          <cell r="S327"/>
          <cell r="T327"/>
          <cell r="U327"/>
          <cell r="V327"/>
          <cell r="W327"/>
          <cell r="X327"/>
          <cell r="Y327"/>
          <cell r="Z327"/>
          <cell r="AA327"/>
          <cell r="AB327"/>
          <cell r="AC327"/>
          <cell r="AD327"/>
          <cell r="AE327"/>
          <cell r="AF327"/>
          <cell r="AG327"/>
          <cell r="AH327"/>
          <cell r="AI327"/>
          <cell r="AJ327"/>
          <cell r="AK327"/>
          <cell r="AL327"/>
          <cell r="AM327"/>
          <cell r="AN327" t="str">
            <v>x</v>
          </cell>
          <cell r="AO327" t="str">
            <v>x</v>
          </cell>
          <cell r="AP327"/>
          <cell r="AQ327">
            <v>45365</v>
          </cell>
          <cell r="AR327">
            <v>202</v>
          </cell>
          <cell r="AS327">
            <v>45412</v>
          </cell>
          <cell r="AT327">
            <v>155</v>
          </cell>
          <cell r="AU327" t="str">
            <v>VMAJOLUN</v>
          </cell>
        </row>
        <row r="328">
          <cell r="C328">
            <v>606487</v>
          </cell>
          <cell r="D328" t="str">
            <v>CANTERO TATIANA AGUSTINA</v>
          </cell>
          <cell r="E328" t="str">
            <v>15:00 - 21:00</v>
          </cell>
          <cell r="F328" t="str">
            <v>TARDE</v>
          </cell>
          <cell r="G328" t="str">
            <v>MIE Y DOM</v>
          </cell>
          <cell r="H328" t="str">
            <v>PELOC, MARIA SOLEDAD</v>
          </cell>
          <cell r="I328" t="str">
            <v>Romandetto Carlos</v>
          </cell>
          <cell r="J328" t="str">
            <v>x</v>
          </cell>
          <cell r="K328"/>
          <cell r="L328" t="str">
            <v>x</v>
          </cell>
          <cell r="M328" t="str">
            <v>x</v>
          </cell>
          <cell r="N328" t="str">
            <v>x</v>
          </cell>
          <cell r="O328"/>
          <cell r="P328"/>
          <cell r="Q328"/>
          <cell r="R328"/>
          <cell r="S328"/>
          <cell r="T328"/>
          <cell r="U328"/>
          <cell r="V328"/>
          <cell r="W328"/>
          <cell r="X328"/>
          <cell r="Y328"/>
          <cell r="Z328"/>
          <cell r="AA328"/>
          <cell r="AB328"/>
          <cell r="AC328"/>
          <cell r="AD328"/>
          <cell r="AE328"/>
          <cell r="AF328"/>
          <cell r="AG328"/>
          <cell r="AH328"/>
          <cell r="AI328"/>
          <cell r="AJ328"/>
          <cell r="AK328"/>
          <cell r="AL328"/>
          <cell r="AM328"/>
          <cell r="AN328" t="str">
            <v>X</v>
          </cell>
          <cell r="AO328" t="str">
            <v>x</v>
          </cell>
          <cell r="AP328"/>
          <cell r="AQ328">
            <v>45365</v>
          </cell>
          <cell r="AR328">
            <v>202</v>
          </cell>
          <cell r="AS328">
            <v>45412</v>
          </cell>
          <cell r="AT328">
            <v>155</v>
          </cell>
          <cell r="AU328" t="str">
            <v>VMATACAN</v>
          </cell>
        </row>
        <row r="329">
          <cell r="C329">
            <v>605622</v>
          </cell>
          <cell r="D329" t="str">
            <v>MARQUES MAGALI</v>
          </cell>
          <cell r="E329" t="str">
            <v>15:00 - 21:00</v>
          </cell>
          <cell r="F329" t="str">
            <v>TARDE</v>
          </cell>
          <cell r="G329" t="str">
            <v>JUE Y SAB</v>
          </cell>
          <cell r="H329" t="str">
            <v>ROJAS, LUCAS</v>
          </cell>
          <cell r="I329" t="str">
            <v>Romandetto Carlos</v>
          </cell>
          <cell r="J329" t="str">
            <v>x</v>
          </cell>
          <cell r="K329"/>
          <cell r="L329" t="str">
            <v>x</v>
          </cell>
          <cell r="M329" t="str">
            <v>x</v>
          </cell>
          <cell r="N329" t="str">
            <v>x</v>
          </cell>
          <cell r="O329"/>
          <cell r="P329"/>
          <cell r="Q329"/>
          <cell r="R329"/>
          <cell r="S329"/>
          <cell r="T329"/>
          <cell r="U329"/>
          <cell r="V329"/>
          <cell r="W329"/>
          <cell r="X329"/>
          <cell r="Y329"/>
          <cell r="Z329"/>
          <cell r="AA329"/>
          <cell r="AB329"/>
          <cell r="AC329"/>
          <cell r="AD329"/>
          <cell r="AE329"/>
          <cell r="AF329"/>
          <cell r="AG329"/>
          <cell r="AH329"/>
          <cell r="AI329"/>
          <cell r="AJ329"/>
          <cell r="AK329"/>
          <cell r="AL329"/>
          <cell r="AM329"/>
          <cell r="AN329" t="str">
            <v>x</v>
          </cell>
          <cell r="AO329" t="str">
            <v>x</v>
          </cell>
          <cell r="AP329"/>
          <cell r="AQ329">
            <v>45365</v>
          </cell>
          <cell r="AR329">
            <v>202</v>
          </cell>
          <cell r="AS329">
            <v>45412</v>
          </cell>
          <cell r="AT329">
            <v>155</v>
          </cell>
          <cell r="AU329" t="str">
            <v>VMAMAMAQ</v>
          </cell>
        </row>
        <row r="330">
          <cell r="C330">
            <v>606492</v>
          </cell>
          <cell r="D330" t="str">
            <v>SANSO NOEMI</v>
          </cell>
          <cell r="E330" t="str">
            <v>18:00 - 00:00</v>
          </cell>
          <cell r="F330" t="str">
            <v>NOCHE</v>
          </cell>
          <cell r="G330" t="str">
            <v>SAB Y DOM</v>
          </cell>
          <cell r="H330" t="str">
            <v>MIR, TOMAS MAURICIO</v>
          </cell>
          <cell r="I330" t="str">
            <v>Romandetto Carlos</v>
          </cell>
          <cell r="J330" t="str">
            <v>x</v>
          </cell>
          <cell r="K330"/>
          <cell r="L330" t="str">
            <v>x</v>
          </cell>
          <cell r="M330" t="str">
            <v>x</v>
          </cell>
          <cell r="N330" t="str">
            <v>x</v>
          </cell>
          <cell r="O330"/>
          <cell r="P330"/>
          <cell r="Q330"/>
          <cell r="R330"/>
          <cell r="S330"/>
          <cell r="T330"/>
          <cell r="U330"/>
          <cell r="V330"/>
          <cell r="W330"/>
          <cell r="X330"/>
          <cell r="Y330"/>
          <cell r="Z330"/>
          <cell r="AA330"/>
          <cell r="AB330"/>
          <cell r="AC330"/>
          <cell r="AD330"/>
          <cell r="AE330"/>
          <cell r="AF330"/>
          <cell r="AG330"/>
          <cell r="AH330"/>
          <cell r="AI330"/>
          <cell r="AJ330"/>
          <cell r="AK330"/>
          <cell r="AL330"/>
          <cell r="AM330"/>
          <cell r="AN330" t="str">
            <v>x</v>
          </cell>
          <cell r="AO330" t="str">
            <v>x</v>
          </cell>
          <cell r="AP330"/>
          <cell r="AQ330">
            <v>45365</v>
          </cell>
          <cell r="AR330">
            <v>202</v>
          </cell>
          <cell r="AS330">
            <v>45412</v>
          </cell>
          <cell r="AT330">
            <v>155</v>
          </cell>
          <cell r="AU330" t="str">
            <v>VMANASAN</v>
          </cell>
        </row>
        <row r="331">
          <cell r="C331">
            <v>606499</v>
          </cell>
          <cell r="D331" t="str">
            <v>MARCOTE JULIETA BELEN</v>
          </cell>
          <cell r="E331" t="str">
            <v>15:00 - 21:00</v>
          </cell>
          <cell r="F331" t="str">
            <v>TARDE</v>
          </cell>
          <cell r="G331" t="str">
            <v>SAB Y DOM</v>
          </cell>
          <cell r="H331" t="str">
            <v>SOLER, SANTIAGO MAXIMILIANO</v>
          </cell>
          <cell r="I331" t="str">
            <v>Romandetto Carlos</v>
          </cell>
          <cell r="J331" t="str">
            <v>x</v>
          </cell>
          <cell r="K331"/>
          <cell r="L331" t="str">
            <v>x</v>
          </cell>
          <cell r="M331" t="str">
            <v>x</v>
          </cell>
          <cell r="N331" t="str">
            <v>x</v>
          </cell>
          <cell r="O331"/>
          <cell r="P331"/>
          <cell r="Q331"/>
          <cell r="R331"/>
          <cell r="S331"/>
          <cell r="T331"/>
          <cell r="U331"/>
          <cell r="V331"/>
          <cell r="W331"/>
          <cell r="X331"/>
          <cell r="Y331"/>
          <cell r="Z331"/>
          <cell r="AA331"/>
          <cell r="AB331"/>
          <cell r="AC331"/>
          <cell r="AD331"/>
          <cell r="AE331"/>
          <cell r="AF331"/>
          <cell r="AG331"/>
          <cell r="AH331"/>
          <cell r="AI331"/>
          <cell r="AJ331"/>
          <cell r="AK331"/>
          <cell r="AL331"/>
          <cell r="AM331"/>
          <cell r="AN331" t="str">
            <v>x</v>
          </cell>
          <cell r="AO331" t="str">
            <v>x</v>
          </cell>
          <cell r="AP331"/>
          <cell r="AQ331">
            <v>45365</v>
          </cell>
          <cell r="AR331">
            <v>202</v>
          </cell>
          <cell r="AS331">
            <v>45412</v>
          </cell>
          <cell r="AT331">
            <v>155</v>
          </cell>
          <cell r="AU331" t="str">
            <v>VMAJUMAR</v>
          </cell>
        </row>
        <row r="332">
          <cell r="C332">
            <v>606504</v>
          </cell>
          <cell r="D332" t="str">
            <v>BENEDETTI QUINTERO ALAN PEDRO</v>
          </cell>
          <cell r="E332" t="str">
            <v>15:00 - 21:00</v>
          </cell>
          <cell r="F332" t="str">
            <v>TARDE</v>
          </cell>
          <cell r="G332" t="str">
            <v>JUE Y DOM</v>
          </cell>
          <cell r="H332" t="str">
            <v>SOLER, SANTIAGO MAXIMILIANO</v>
          </cell>
          <cell r="I332" t="str">
            <v>Romandetto Carlos</v>
          </cell>
          <cell r="J332" t="str">
            <v>x</v>
          </cell>
          <cell r="K332"/>
          <cell r="L332" t="str">
            <v>x</v>
          </cell>
          <cell r="M332" t="str">
            <v>x</v>
          </cell>
          <cell r="N332" t="str">
            <v>x</v>
          </cell>
          <cell r="O332"/>
          <cell r="P332"/>
          <cell r="Q332"/>
          <cell r="R332"/>
          <cell r="S332"/>
          <cell r="T332"/>
          <cell r="U332"/>
          <cell r="V332"/>
          <cell r="W332"/>
          <cell r="X332"/>
          <cell r="Y332"/>
          <cell r="Z332"/>
          <cell r="AA332"/>
          <cell r="AB332"/>
          <cell r="AC332"/>
          <cell r="AD332"/>
          <cell r="AE332"/>
          <cell r="AF332"/>
          <cell r="AG332"/>
          <cell r="AH332"/>
          <cell r="AI332"/>
          <cell r="AJ332"/>
          <cell r="AK332"/>
          <cell r="AL332"/>
          <cell r="AM332"/>
          <cell r="AN332" t="str">
            <v>x</v>
          </cell>
          <cell r="AO332" t="str">
            <v>x</v>
          </cell>
          <cell r="AP332"/>
          <cell r="AQ332">
            <v>45365</v>
          </cell>
          <cell r="AR332">
            <v>202</v>
          </cell>
          <cell r="AS332">
            <v>45412</v>
          </cell>
          <cell r="AT332">
            <v>155</v>
          </cell>
          <cell r="AU332" t="str">
            <v>VMABENAL</v>
          </cell>
        </row>
        <row r="333">
          <cell r="C333">
            <v>606505</v>
          </cell>
          <cell r="D333" t="str">
            <v>MOLINA AXEL YOEL</v>
          </cell>
          <cell r="E333" t="str">
            <v>13:00 - 19:00</v>
          </cell>
          <cell r="F333" t="str">
            <v>TARDE</v>
          </cell>
          <cell r="G333" t="str">
            <v>SAB Y DOM</v>
          </cell>
          <cell r="H333" t="str">
            <v>MIR, TOMAS MAURICIO</v>
          </cell>
          <cell r="I333" t="str">
            <v>Romandetto Carlos</v>
          </cell>
          <cell r="J333" t="str">
            <v>x</v>
          </cell>
          <cell r="K333"/>
          <cell r="L333" t="str">
            <v>x</v>
          </cell>
          <cell r="M333" t="str">
            <v>x</v>
          </cell>
          <cell r="N333" t="str">
            <v>x</v>
          </cell>
          <cell r="O333"/>
          <cell r="P333"/>
          <cell r="Q333"/>
          <cell r="R333"/>
          <cell r="S333"/>
          <cell r="T333"/>
          <cell r="U333"/>
          <cell r="V333"/>
          <cell r="W333"/>
          <cell r="X333"/>
          <cell r="Y333"/>
          <cell r="Z333"/>
          <cell r="AA333"/>
          <cell r="AB333"/>
          <cell r="AC333"/>
          <cell r="AD333"/>
          <cell r="AE333"/>
          <cell r="AF333"/>
          <cell r="AG333"/>
          <cell r="AH333"/>
          <cell r="AI333"/>
          <cell r="AJ333"/>
          <cell r="AK333"/>
          <cell r="AL333"/>
          <cell r="AM333"/>
          <cell r="AN333" t="str">
            <v>x</v>
          </cell>
          <cell r="AO333" t="str">
            <v>x</v>
          </cell>
          <cell r="AP333"/>
          <cell r="AQ333">
            <v>45365</v>
          </cell>
          <cell r="AR333">
            <v>202</v>
          </cell>
          <cell r="AS333">
            <v>45412</v>
          </cell>
          <cell r="AT333">
            <v>155</v>
          </cell>
          <cell r="AU333" t="str">
            <v>VMAAXMOL</v>
          </cell>
        </row>
        <row r="334">
          <cell r="C334">
            <v>606506</v>
          </cell>
          <cell r="D334" t="str">
            <v>DAVIRAN CALDERON LUISA PEGGY</v>
          </cell>
          <cell r="E334" t="str">
            <v>18:00 - 00:00</v>
          </cell>
          <cell r="F334" t="str">
            <v>NOCHE</v>
          </cell>
          <cell r="G334" t="str">
            <v>SAB Y DOM</v>
          </cell>
          <cell r="H334" t="str">
            <v>MIR, TOMAS MAURICIO</v>
          </cell>
          <cell r="I334" t="str">
            <v>Romandetto Carlos</v>
          </cell>
          <cell r="J334" t="str">
            <v>x</v>
          </cell>
          <cell r="K334"/>
          <cell r="L334" t="str">
            <v>x</v>
          </cell>
          <cell r="M334" t="str">
            <v>x</v>
          </cell>
          <cell r="N334" t="str">
            <v>x</v>
          </cell>
          <cell r="O334"/>
          <cell r="P334"/>
          <cell r="Q334"/>
          <cell r="R334"/>
          <cell r="S334"/>
          <cell r="T334"/>
          <cell r="U334"/>
          <cell r="V334"/>
          <cell r="W334"/>
          <cell r="X334"/>
          <cell r="Y334"/>
          <cell r="Z334"/>
          <cell r="AA334"/>
          <cell r="AB334"/>
          <cell r="AC334"/>
          <cell r="AD334"/>
          <cell r="AE334"/>
          <cell r="AF334"/>
          <cell r="AG334"/>
          <cell r="AH334"/>
          <cell r="AI334"/>
          <cell r="AJ334"/>
          <cell r="AK334"/>
          <cell r="AL334"/>
          <cell r="AM334"/>
          <cell r="AN334" t="str">
            <v>x</v>
          </cell>
          <cell r="AO334" t="str">
            <v>x</v>
          </cell>
          <cell r="AP334"/>
          <cell r="AQ334">
            <v>45365</v>
          </cell>
          <cell r="AR334">
            <v>202</v>
          </cell>
          <cell r="AS334">
            <v>45412</v>
          </cell>
          <cell r="AT334">
            <v>155</v>
          </cell>
          <cell r="AU334" t="str">
            <v>VMALUDAV</v>
          </cell>
        </row>
        <row r="335">
          <cell r="C335">
            <v>606507</v>
          </cell>
          <cell r="D335" t="str">
            <v>BARROJO FEDERICO ALEJANDRO</v>
          </cell>
          <cell r="E335" t="str">
            <v>18:00 - 00:00</v>
          </cell>
          <cell r="F335" t="str">
            <v>NOCHE</v>
          </cell>
          <cell r="G335" t="str">
            <v>SAB Y DOM</v>
          </cell>
          <cell r="H335" t="str">
            <v>MIR, TOMAS MAURICIO</v>
          </cell>
          <cell r="I335" t="str">
            <v>Romandetto Carlos</v>
          </cell>
          <cell r="J335" t="str">
            <v>x</v>
          </cell>
          <cell r="K335"/>
          <cell r="L335" t="str">
            <v>x</v>
          </cell>
          <cell r="M335" t="str">
            <v>x</v>
          </cell>
          <cell r="N335" t="str">
            <v>x</v>
          </cell>
          <cell r="O335"/>
          <cell r="P335"/>
          <cell r="Q335"/>
          <cell r="R335"/>
          <cell r="S335"/>
          <cell r="T335"/>
          <cell r="U335"/>
          <cell r="V335"/>
          <cell r="W335"/>
          <cell r="X335"/>
          <cell r="Y335"/>
          <cell r="Z335"/>
          <cell r="AA335"/>
          <cell r="AB335"/>
          <cell r="AC335"/>
          <cell r="AD335"/>
          <cell r="AE335"/>
          <cell r="AF335"/>
          <cell r="AG335"/>
          <cell r="AH335"/>
          <cell r="AI335"/>
          <cell r="AJ335"/>
          <cell r="AK335"/>
          <cell r="AL335"/>
          <cell r="AM335"/>
          <cell r="AN335" t="str">
            <v>x</v>
          </cell>
          <cell r="AO335" t="str">
            <v>x</v>
          </cell>
          <cell r="AP335"/>
          <cell r="AQ335">
            <v>45365</v>
          </cell>
          <cell r="AR335">
            <v>202</v>
          </cell>
          <cell r="AS335">
            <v>45412</v>
          </cell>
          <cell r="AT335">
            <v>155</v>
          </cell>
          <cell r="AU335" t="str">
            <v>VMAFEBAR</v>
          </cell>
        </row>
        <row r="336">
          <cell r="C336">
            <v>606508</v>
          </cell>
          <cell r="D336" t="str">
            <v>BARRICARTE MARIANO NICOLAS</v>
          </cell>
          <cell r="E336" t="str">
            <v>15:00 - 21:00</v>
          </cell>
          <cell r="F336" t="str">
            <v>TARDE</v>
          </cell>
          <cell r="G336" t="str">
            <v>MAR Y SAB</v>
          </cell>
          <cell r="H336" t="str">
            <v>ROJAS, LUCAS</v>
          </cell>
          <cell r="I336" t="str">
            <v>Romandetto Carlos</v>
          </cell>
          <cell r="J336" t="str">
            <v>x</v>
          </cell>
          <cell r="K336"/>
          <cell r="L336" t="str">
            <v>x</v>
          </cell>
          <cell r="M336" t="str">
            <v>x</v>
          </cell>
          <cell r="N336" t="str">
            <v>x</v>
          </cell>
          <cell r="O336"/>
          <cell r="P336"/>
          <cell r="Q336"/>
          <cell r="R336"/>
          <cell r="S336"/>
          <cell r="T336"/>
          <cell r="U336"/>
          <cell r="V336"/>
          <cell r="W336"/>
          <cell r="X336"/>
          <cell r="Y336"/>
          <cell r="Z336"/>
          <cell r="AA336"/>
          <cell r="AB336"/>
          <cell r="AC336"/>
          <cell r="AD336"/>
          <cell r="AE336"/>
          <cell r="AF336"/>
          <cell r="AG336"/>
          <cell r="AH336"/>
          <cell r="AI336"/>
          <cell r="AJ336"/>
          <cell r="AK336"/>
          <cell r="AL336"/>
          <cell r="AM336"/>
          <cell r="AN336" t="str">
            <v>x</v>
          </cell>
          <cell r="AO336" t="str">
            <v>x</v>
          </cell>
          <cell r="AP336"/>
          <cell r="AQ336">
            <v>45365</v>
          </cell>
          <cell r="AR336">
            <v>202</v>
          </cell>
          <cell r="AS336">
            <v>45412</v>
          </cell>
          <cell r="AT336">
            <v>155</v>
          </cell>
          <cell r="AU336" t="str">
            <v>VMAMARBA</v>
          </cell>
        </row>
        <row r="337">
          <cell r="C337">
            <v>605523</v>
          </cell>
          <cell r="D337" t="str">
            <v>NOGUEIRA MARIA EUGENIA</v>
          </cell>
          <cell r="E337" t="str">
            <v>09:00 - 15:00</v>
          </cell>
          <cell r="F337" t="str">
            <v>MAÑANA</v>
          </cell>
          <cell r="G337" t="str">
            <v>SAB Y DOM</v>
          </cell>
          <cell r="H337" t="str">
            <v>GROESMANN, MAYA JUDITH</v>
          </cell>
          <cell r="I337" t="str">
            <v>Romandetto Carlos</v>
          </cell>
          <cell r="J337" t="str">
            <v>x</v>
          </cell>
          <cell r="K337"/>
          <cell r="L337" t="str">
            <v>x</v>
          </cell>
          <cell r="M337" t="str">
            <v>x</v>
          </cell>
          <cell r="N337" t="str">
            <v>x</v>
          </cell>
          <cell r="O337"/>
          <cell r="P337"/>
          <cell r="Q337"/>
          <cell r="R337"/>
          <cell r="S337"/>
          <cell r="T337"/>
          <cell r="U337"/>
          <cell r="V337"/>
          <cell r="W337"/>
          <cell r="X337"/>
          <cell r="Y337"/>
          <cell r="Z337"/>
          <cell r="AA337"/>
          <cell r="AB337"/>
          <cell r="AC337"/>
          <cell r="AD337"/>
          <cell r="AE337"/>
          <cell r="AF337"/>
          <cell r="AG337"/>
          <cell r="AH337"/>
          <cell r="AI337"/>
          <cell r="AJ337"/>
          <cell r="AK337"/>
          <cell r="AL337"/>
          <cell r="AM337"/>
          <cell r="AN337" t="str">
            <v>x</v>
          </cell>
          <cell r="AO337" t="str">
            <v>x</v>
          </cell>
          <cell r="AP337"/>
          <cell r="AQ337">
            <v>45400</v>
          </cell>
          <cell r="AR337">
            <v>167</v>
          </cell>
          <cell r="AS337">
            <v>45443</v>
          </cell>
          <cell r="AT337">
            <v>124</v>
          </cell>
          <cell r="AU337" t="str">
            <v>VMAMANOG</v>
          </cell>
        </row>
        <row r="338">
          <cell r="C338">
            <v>605606</v>
          </cell>
          <cell r="D338" t="str">
            <v>AYALA SOFIA ALEJANDRA</v>
          </cell>
          <cell r="E338" t="str">
            <v>09:00 - 15:00</v>
          </cell>
          <cell r="F338" t="str">
            <v>MAÑANA</v>
          </cell>
          <cell r="G338" t="str">
            <v>SAB Y DOM</v>
          </cell>
          <cell r="H338" t="str">
            <v>SUPERVISOR, POSTCURSO</v>
          </cell>
          <cell r="I338" t="str">
            <v>-</v>
          </cell>
          <cell r="J338" t="str">
            <v>x</v>
          </cell>
          <cell r="K338"/>
          <cell r="L338" t="str">
            <v>x</v>
          </cell>
          <cell r="M338" t="str">
            <v>x</v>
          </cell>
          <cell r="N338" t="str">
            <v>x</v>
          </cell>
          <cell r="O338"/>
          <cell r="P338"/>
          <cell r="Q338"/>
          <cell r="R338"/>
          <cell r="S338"/>
          <cell r="T338"/>
          <cell r="U338"/>
          <cell r="V338"/>
          <cell r="W338"/>
          <cell r="X338"/>
          <cell r="Y338"/>
          <cell r="Z338"/>
          <cell r="AA338"/>
          <cell r="AB338"/>
          <cell r="AC338"/>
          <cell r="AD338"/>
          <cell r="AE338"/>
          <cell r="AF338"/>
          <cell r="AG338"/>
          <cell r="AH338"/>
          <cell r="AI338"/>
          <cell r="AJ338"/>
          <cell r="AK338"/>
          <cell r="AL338"/>
          <cell r="AM338"/>
          <cell r="AN338"/>
          <cell r="AO338"/>
          <cell r="AP338"/>
          <cell r="AQ338">
            <v>45400</v>
          </cell>
          <cell r="AR338">
            <v>167</v>
          </cell>
          <cell r="AS338">
            <v>45443</v>
          </cell>
          <cell r="AT338">
            <v>124</v>
          </cell>
          <cell r="AU338" t="str">
            <v>VMASOAYA</v>
          </cell>
        </row>
        <row r="339">
          <cell r="C339">
            <v>605639</v>
          </cell>
          <cell r="D339" t="str">
            <v>MELLANO FRANCO GABRIEL</v>
          </cell>
          <cell r="E339" t="str">
            <v>09:00 - 15:00</v>
          </cell>
          <cell r="F339" t="str">
            <v>MAÑANA</v>
          </cell>
          <cell r="G339" t="str">
            <v>MAR Y SAB</v>
          </cell>
          <cell r="H339" t="str">
            <v>LOUREIRO, FLORENCIA CANDELA</v>
          </cell>
          <cell r="I339" t="str">
            <v>Romandetto Carlos</v>
          </cell>
          <cell r="J339" t="str">
            <v>x</v>
          </cell>
          <cell r="K339"/>
          <cell r="L339" t="str">
            <v>x</v>
          </cell>
          <cell r="M339" t="str">
            <v>x</v>
          </cell>
          <cell r="N339" t="str">
            <v>x</v>
          </cell>
          <cell r="O339"/>
          <cell r="P339"/>
          <cell r="Q339"/>
          <cell r="R339"/>
          <cell r="S339"/>
          <cell r="T339"/>
          <cell r="U339"/>
          <cell r="V339"/>
          <cell r="W339"/>
          <cell r="X339"/>
          <cell r="Y339"/>
          <cell r="Z339"/>
          <cell r="AA339"/>
          <cell r="AB339"/>
          <cell r="AC339"/>
          <cell r="AD339"/>
          <cell r="AE339"/>
          <cell r="AF339"/>
          <cell r="AG339"/>
          <cell r="AH339"/>
          <cell r="AI339"/>
          <cell r="AJ339"/>
          <cell r="AK339"/>
          <cell r="AL339"/>
          <cell r="AM339"/>
          <cell r="AN339" t="str">
            <v>x</v>
          </cell>
          <cell r="AO339" t="str">
            <v>x</v>
          </cell>
          <cell r="AP339"/>
          <cell r="AQ339">
            <v>45400</v>
          </cell>
          <cell r="AR339">
            <v>167</v>
          </cell>
          <cell r="AS339">
            <v>45443</v>
          </cell>
          <cell r="AT339">
            <v>124</v>
          </cell>
          <cell r="AU339" t="str">
            <v>VMAFRMEL</v>
          </cell>
        </row>
        <row r="340">
          <cell r="C340">
            <v>605641</v>
          </cell>
          <cell r="D340" t="str">
            <v>PERALTA EMILIANO</v>
          </cell>
          <cell r="E340" t="str">
            <v>09:00 - 15:00</v>
          </cell>
          <cell r="F340" t="str">
            <v>MAÑANA</v>
          </cell>
          <cell r="G340" t="str">
            <v>SAB Y DOM</v>
          </cell>
          <cell r="H340" t="str">
            <v>VILLALBA, VICTORIA</v>
          </cell>
          <cell r="I340" t="str">
            <v>Romandetto Carlos</v>
          </cell>
          <cell r="J340" t="str">
            <v>x</v>
          </cell>
          <cell r="K340"/>
          <cell r="L340" t="str">
            <v>x</v>
          </cell>
          <cell r="M340" t="str">
            <v>x</v>
          </cell>
          <cell r="N340" t="str">
            <v>x</v>
          </cell>
          <cell r="O340"/>
          <cell r="P340"/>
          <cell r="Q340"/>
          <cell r="R340"/>
          <cell r="S340"/>
          <cell r="T340"/>
          <cell r="U340"/>
          <cell r="V340"/>
          <cell r="W340"/>
          <cell r="X340"/>
          <cell r="Y340"/>
          <cell r="Z340"/>
          <cell r="AA340"/>
          <cell r="AB340"/>
          <cell r="AC340"/>
          <cell r="AD340"/>
          <cell r="AE340"/>
          <cell r="AF340"/>
          <cell r="AG340"/>
          <cell r="AH340"/>
          <cell r="AI340"/>
          <cell r="AJ340"/>
          <cell r="AK340"/>
          <cell r="AL340"/>
          <cell r="AM340"/>
          <cell r="AN340" t="str">
            <v>x</v>
          </cell>
          <cell r="AO340" t="str">
            <v>x</v>
          </cell>
          <cell r="AP340"/>
          <cell r="AQ340">
            <v>45400</v>
          </cell>
          <cell r="AR340">
            <v>167</v>
          </cell>
          <cell r="AS340">
            <v>45443</v>
          </cell>
          <cell r="AT340">
            <v>124</v>
          </cell>
          <cell r="AU340" t="str">
            <v>VMAEMPER</v>
          </cell>
        </row>
        <row r="341">
          <cell r="C341">
            <v>605651</v>
          </cell>
          <cell r="D341" t="str">
            <v>GALLARDO CANDELA ANABEL</v>
          </cell>
          <cell r="E341" t="str">
            <v>09:00 - 15:00</v>
          </cell>
          <cell r="F341" t="str">
            <v>MAÑANA</v>
          </cell>
          <cell r="G341" t="str">
            <v>SAB Y DOM</v>
          </cell>
          <cell r="H341" t="str">
            <v>LOUREIRO, FLORENCIA CANDELA</v>
          </cell>
          <cell r="I341" t="str">
            <v>Romandetto Carlos</v>
          </cell>
          <cell r="J341" t="str">
            <v>x</v>
          </cell>
          <cell r="K341"/>
          <cell r="L341" t="str">
            <v>x</v>
          </cell>
          <cell r="M341" t="str">
            <v>x</v>
          </cell>
          <cell r="N341" t="str">
            <v>x</v>
          </cell>
          <cell r="O341"/>
          <cell r="P341"/>
          <cell r="Q341"/>
          <cell r="R341"/>
          <cell r="S341"/>
          <cell r="T341"/>
          <cell r="U341"/>
          <cell r="V341"/>
          <cell r="W341"/>
          <cell r="X341"/>
          <cell r="Y341"/>
          <cell r="Z341"/>
          <cell r="AA341"/>
          <cell r="AB341"/>
          <cell r="AC341"/>
          <cell r="AD341"/>
          <cell r="AE341"/>
          <cell r="AF341"/>
          <cell r="AG341"/>
          <cell r="AH341"/>
          <cell r="AI341"/>
          <cell r="AJ341"/>
          <cell r="AK341"/>
          <cell r="AL341"/>
          <cell r="AM341"/>
          <cell r="AN341" t="str">
            <v>x</v>
          </cell>
          <cell r="AO341" t="str">
            <v>x</v>
          </cell>
          <cell r="AP341"/>
          <cell r="AQ341">
            <v>45400</v>
          </cell>
          <cell r="AR341">
            <v>167</v>
          </cell>
          <cell r="AS341">
            <v>45443</v>
          </cell>
          <cell r="AT341">
            <v>124</v>
          </cell>
          <cell r="AU341" t="str">
            <v>VMACAGAL</v>
          </cell>
        </row>
        <row r="342">
          <cell r="C342">
            <v>605804</v>
          </cell>
          <cell r="D342" t="str">
            <v>GODINO FEDERICO DANIEL</v>
          </cell>
          <cell r="E342" t="str">
            <v>12:00 - 18:00</v>
          </cell>
          <cell r="F342" t="str">
            <v>TARDE</v>
          </cell>
          <cell r="G342" t="str">
            <v>MIE Y SAB</v>
          </cell>
          <cell r="H342" t="str">
            <v>GOMEZ, SASHA</v>
          </cell>
          <cell r="I342" t="str">
            <v>Romandetto Carlos</v>
          </cell>
          <cell r="J342" t="str">
            <v>x</v>
          </cell>
          <cell r="K342"/>
          <cell r="L342" t="str">
            <v>x</v>
          </cell>
          <cell r="M342" t="str">
            <v>x</v>
          </cell>
          <cell r="N342" t="str">
            <v>x</v>
          </cell>
          <cell r="O342"/>
          <cell r="P342"/>
          <cell r="Q342"/>
          <cell r="R342"/>
          <cell r="S342"/>
          <cell r="T342"/>
          <cell r="U342"/>
          <cell r="V342"/>
          <cell r="W342"/>
          <cell r="X342"/>
          <cell r="Y342"/>
          <cell r="Z342"/>
          <cell r="AA342"/>
          <cell r="AB342"/>
          <cell r="AC342"/>
          <cell r="AD342"/>
          <cell r="AE342"/>
          <cell r="AF342"/>
          <cell r="AG342"/>
          <cell r="AH342"/>
          <cell r="AI342"/>
          <cell r="AJ342"/>
          <cell r="AK342"/>
          <cell r="AL342"/>
          <cell r="AM342"/>
          <cell r="AN342" t="str">
            <v>x</v>
          </cell>
          <cell r="AO342" t="str">
            <v>x</v>
          </cell>
          <cell r="AP342"/>
          <cell r="AQ342">
            <v>45400</v>
          </cell>
          <cell r="AR342">
            <v>167</v>
          </cell>
          <cell r="AS342">
            <v>45443</v>
          </cell>
          <cell r="AT342">
            <v>124</v>
          </cell>
          <cell r="AU342" t="str">
            <v>VMAFEGOD</v>
          </cell>
        </row>
        <row r="343">
          <cell r="C343">
            <v>606270</v>
          </cell>
          <cell r="D343" t="str">
            <v>HEBERT CACERES JUNIOR ANIBAL</v>
          </cell>
          <cell r="E343" t="str">
            <v>12:00 - 18:00</v>
          </cell>
          <cell r="F343" t="str">
            <v>TARDE</v>
          </cell>
          <cell r="G343" t="str">
            <v>MIE Y SAB</v>
          </cell>
          <cell r="H343" t="str">
            <v>ONETTO, MARIA DE LOS MILAGROS</v>
          </cell>
          <cell r="I343" t="str">
            <v>Romandetto Carlos</v>
          </cell>
          <cell r="J343" t="str">
            <v>x</v>
          </cell>
          <cell r="K343"/>
          <cell r="L343" t="str">
            <v>x</v>
          </cell>
          <cell r="M343" t="str">
            <v>x</v>
          </cell>
          <cell r="N343" t="str">
            <v>x</v>
          </cell>
          <cell r="O343"/>
          <cell r="P343"/>
          <cell r="Q343"/>
          <cell r="R343"/>
          <cell r="S343"/>
          <cell r="T343"/>
          <cell r="U343"/>
          <cell r="V343"/>
          <cell r="W343"/>
          <cell r="X343"/>
          <cell r="Y343"/>
          <cell r="Z343"/>
          <cell r="AA343"/>
          <cell r="AB343"/>
          <cell r="AC343"/>
          <cell r="AD343"/>
          <cell r="AE343"/>
          <cell r="AF343"/>
          <cell r="AG343"/>
          <cell r="AH343"/>
          <cell r="AI343"/>
          <cell r="AJ343"/>
          <cell r="AK343"/>
          <cell r="AL343"/>
          <cell r="AM343"/>
          <cell r="AN343" t="str">
            <v>x</v>
          </cell>
          <cell r="AO343" t="str">
            <v>x</v>
          </cell>
          <cell r="AP343"/>
          <cell r="AQ343">
            <v>45400</v>
          </cell>
          <cell r="AR343">
            <v>167</v>
          </cell>
          <cell r="AS343">
            <v>45443</v>
          </cell>
          <cell r="AT343">
            <v>124</v>
          </cell>
          <cell r="AU343" t="str">
            <v>VMAJUHEB</v>
          </cell>
        </row>
        <row r="344">
          <cell r="C344">
            <v>606279</v>
          </cell>
          <cell r="D344" t="str">
            <v>GARAY RAZINI SILVIA ANAHI</v>
          </cell>
          <cell r="E344" t="str">
            <v>12:00 - 18:00</v>
          </cell>
          <cell r="F344" t="str">
            <v>TARDE</v>
          </cell>
          <cell r="G344" t="str">
            <v>SAB Y DOM</v>
          </cell>
          <cell r="H344" t="str">
            <v>GOMEZ, SASHA</v>
          </cell>
          <cell r="I344" t="str">
            <v>Romandetto Carlos</v>
          </cell>
          <cell r="J344" t="str">
            <v>x</v>
          </cell>
          <cell r="K344"/>
          <cell r="L344" t="str">
            <v>x</v>
          </cell>
          <cell r="M344" t="str">
            <v>x</v>
          </cell>
          <cell r="N344" t="str">
            <v>x</v>
          </cell>
          <cell r="O344"/>
          <cell r="P344"/>
          <cell r="Q344"/>
          <cell r="R344"/>
          <cell r="S344"/>
          <cell r="T344"/>
          <cell r="U344"/>
          <cell r="V344"/>
          <cell r="W344"/>
          <cell r="X344"/>
          <cell r="Y344"/>
          <cell r="Z344"/>
          <cell r="AA344"/>
          <cell r="AB344"/>
          <cell r="AC344"/>
          <cell r="AD344"/>
          <cell r="AE344"/>
          <cell r="AF344"/>
          <cell r="AG344"/>
          <cell r="AH344"/>
          <cell r="AI344"/>
          <cell r="AJ344"/>
          <cell r="AK344"/>
          <cell r="AL344"/>
          <cell r="AM344"/>
          <cell r="AN344" t="str">
            <v>x</v>
          </cell>
          <cell r="AO344" t="str">
            <v>x</v>
          </cell>
          <cell r="AP344"/>
          <cell r="AQ344">
            <v>45400</v>
          </cell>
          <cell r="AR344">
            <v>167</v>
          </cell>
          <cell r="AS344">
            <v>45443</v>
          </cell>
          <cell r="AT344">
            <v>124</v>
          </cell>
          <cell r="AU344" t="str">
            <v>VMASIGAR</v>
          </cell>
        </row>
        <row r="345">
          <cell r="C345">
            <v>606359</v>
          </cell>
          <cell r="D345" t="str">
            <v>MARTINEZ NORBERTO GUSTAVO</v>
          </cell>
          <cell r="E345" t="str">
            <v>10:00 - 16:00</v>
          </cell>
          <cell r="F345" t="str">
            <v>MAÑANA</v>
          </cell>
          <cell r="G345" t="str">
            <v>SAB Y DOM</v>
          </cell>
          <cell r="H345" t="str">
            <v>DIAZ, PAULA</v>
          </cell>
          <cell r="I345" t="str">
            <v>Romandetto Carlos</v>
          </cell>
          <cell r="J345" t="str">
            <v>x</v>
          </cell>
          <cell r="K345"/>
          <cell r="L345" t="str">
            <v>x</v>
          </cell>
          <cell r="M345" t="str">
            <v>x</v>
          </cell>
          <cell r="N345" t="str">
            <v>x</v>
          </cell>
          <cell r="O345"/>
          <cell r="P345"/>
          <cell r="Q345"/>
          <cell r="R345"/>
          <cell r="S345"/>
          <cell r="T345"/>
          <cell r="U345"/>
          <cell r="V345"/>
          <cell r="W345"/>
          <cell r="X345"/>
          <cell r="Y345"/>
          <cell r="Z345"/>
          <cell r="AA345"/>
          <cell r="AB345"/>
          <cell r="AC345"/>
          <cell r="AD345"/>
          <cell r="AE345"/>
          <cell r="AF345"/>
          <cell r="AG345"/>
          <cell r="AH345"/>
          <cell r="AI345"/>
          <cell r="AJ345"/>
          <cell r="AK345"/>
          <cell r="AL345"/>
          <cell r="AM345"/>
          <cell r="AN345" t="str">
            <v>x</v>
          </cell>
          <cell r="AO345" t="str">
            <v>x</v>
          </cell>
          <cell r="AP345"/>
          <cell r="AQ345">
            <v>45400</v>
          </cell>
          <cell r="AR345">
            <v>167</v>
          </cell>
          <cell r="AS345">
            <v>45443</v>
          </cell>
          <cell r="AT345">
            <v>124</v>
          </cell>
          <cell r="AU345" t="str">
            <v>VMANOMAR</v>
          </cell>
        </row>
        <row r="346">
          <cell r="C346">
            <v>606383</v>
          </cell>
          <cell r="D346" t="str">
            <v>VALLEJOS LUDMILA IARA</v>
          </cell>
          <cell r="E346" t="str">
            <v>12:00 - 18:00</v>
          </cell>
          <cell r="F346" t="str">
            <v>TARDE</v>
          </cell>
          <cell r="G346" t="str">
            <v>SAB Y DOM</v>
          </cell>
          <cell r="H346" t="str">
            <v>ROJAS, LUCAS</v>
          </cell>
          <cell r="I346" t="str">
            <v>Romandetto Carlos</v>
          </cell>
          <cell r="J346" t="str">
            <v>x</v>
          </cell>
          <cell r="K346"/>
          <cell r="L346" t="str">
            <v>x</v>
          </cell>
          <cell r="M346" t="str">
            <v>x</v>
          </cell>
          <cell r="N346" t="str">
            <v>x</v>
          </cell>
          <cell r="O346"/>
          <cell r="P346"/>
          <cell r="Q346"/>
          <cell r="R346"/>
          <cell r="S346"/>
          <cell r="T346"/>
          <cell r="U346"/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F346"/>
          <cell r="AG346"/>
          <cell r="AH346"/>
          <cell r="AI346"/>
          <cell r="AJ346"/>
          <cell r="AK346"/>
          <cell r="AL346"/>
          <cell r="AM346"/>
          <cell r="AN346" t="str">
            <v>x</v>
          </cell>
          <cell r="AO346" t="str">
            <v>x</v>
          </cell>
          <cell r="AP346"/>
          <cell r="AQ346">
            <v>45397</v>
          </cell>
          <cell r="AR346">
            <v>170</v>
          </cell>
          <cell r="AS346">
            <v>45443</v>
          </cell>
          <cell r="AT346">
            <v>124</v>
          </cell>
          <cell r="AU346" t="str">
            <v>VMALUVAL</v>
          </cell>
        </row>
        <row r="347">
          <cell r="C347">
            <v>605674</v>
          </cell>
          <cell r="D347" t="str">
            <v>RIVERO PRISCILA ABIGAIL</v>
          </cell>
          <cell r="E347" t="str">
            <v>15:00 - 21:00</v>
          </cell>
          <cell r="F347" t="str">
            <v>TARDE</v>
          </cell>
          <cell r="G347" t="str">
            <v>SAB Y DOM</v>
          </cell>
          <cell r="H347" t="str">
            <v>ONETTO, MARIA DE LOS MILAGROS</v>
          </cell>
          <cell r="I347" t="str">
            <v>Romandetto Carlos</v>
          </cell>
          <cell r="J347" t="str">
            <v>x</v>
          </cell>
          <cell r="K347"/>
          <cell r="L347" t="str">
            <v>x</v>
          </cell>
          <cell r="M347" t="str">
            <v>x</v>
          </cell>
          <cell r="N347" t="str">
            <v>x</v>
          </cell>
          <cell r="O347"/>
          <cell r="P347"/>
          <cell r="Q347"/>
          <cell r="R347"/>
          <cell r="S347"/>
          <cell r="T347"/>
          <cell r="U347"/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F347"/>
          <cell r="AG347"/>
          <cell r="AH347"/>
          <cell r="AI347"/>
          <cell r="AJ347"/>
          <cell r="AK347"/>
          <cell r="AL347"/>
          <cell r="AM347"/>
          <cell r="AN347"/>
          <cell r="AO347"/>
          <cell r="AP347"/>
          <cell r="AQ347">
            <v>45456</v>
          </cell>
          <cell r="AR347">
            <v>111</v>
          </cell>
          <cell r="AS347">
            <v>45508</v>
          </cell>
          <cell r="AT347">
            <v>59</v>
          </cell>
          <cell r="AU347" t="str">
            <v>VMAPRRIV</v>
          </cell>
        </row>
        <row r="348">
          <cell r="C348">
            <v>605618</v>
          </cell>
          <cell r="D348" t="str">
            <v>LEIVA ARIANA SOFIA</v>
          </cell>
          <cell r="E348" t="str">
            <v>09:00 - 15:00</v>
          </cell>
          <cell r="F348" t="str">
            <v>MAÑANA</v>
          </cell>
          <cell r="G348" t="str">
            <v>SAB Y DOM</v>
          </cell>
          <cell r="H348" t="str">
            <v>LOUREIRO, FLORENCIA CANDELA</v>
          </cell>
          <cell r="I348" t="str">
            <v>Romandetto Carlos</v>
          </cell>
          <cell r="J348" t="str">
            <v>x</v>
          </cell>
          <cell r="K348"/>
          <cell r="L348" t="str">
            <v>x</v>
          </cell>
          <cell r="M348" t="str">
            <v>x</v>
          </cell>
          <cell r="N348" t="str">
            <v>x</v>
          </cell>
          <cell r="O348"/>
          <cell r="P348"/>
          <cell r="Q348"/>
          <cell r="R348"/>
          <cell r="S348"/>
          <cell r="T348"/>
          <cell r="U348"/>
          <cell r="V348"/>
          <cell r="W348"/>
          <cell r="X348"/>
          <cell r="Y348"/>
          <cell r="Z348"/>
          <cell r="AA348"/>
          <cell r="AB348"/>
          <cell r="AC348"/>
          <cell r="AD348"/>
          <cell r="AE348"/>
          <cell r="AF348"/>
          <cell r="AG348"/>
          <cell r="AH348"/>
          <cell r="AI348"/>
          <cell r="AJ348"/>
          <cell r="AK348"/>
          <cell r="AL348"/>
          <cell r="AM348"/>
          <cell r="AN348"/>
          <cell r="AO348"/>
          <cell r="AP348"/>
          <cell r="AQ348">
            <v>45456</v>
          </cell>
          <cell r="AR348">
            <v>111</v>
          </cell>
          <cell r="AS348">
            <v>45508</v>
          </cell>
          <cell r="AT348">
            <v>59</v>
          </cell>
          <cell r="AU348" t="str">
            <v>VMASOLEI</v>
          </cell>
        </row>
        <row r="349">
          <cell r="C349">
            <v>605569</v>
          </cell>
          <cell r="D349" t="str">
            <v>CETERA FABRICIO AGUSTIN</v>
          </cell>
          <cell r="E349" t="str">
            <v>09:00 - 15:00</v>
          </cell>
          <cell r="F349" t="str">
            <v>MAÑANA</v>
          </cell>
          <cell r="G349" t="str">
            <v>SAB Y DOM</v>
          </cell>
          <cell r="H349" t="str">
            <v>SORIA, ANA PAULA</v>
          </cell>
          <cell r="I349" t="str">
            <v>Romandetto Carlos</v>
          </cell>
          <cell r="J349" t="str">
            <v>x</v>
          </cell>
          <cell r="K349"/>
          <cell r="L349" t="str">
            <v>x</v>
          </cell>
          <cell r="M349" t="str">
            <v>x</v>
          </cell>
          <cell r="N349" t="str">
            <v>x</v>
          </cell>
          <cell r="O349"/>
          <cell r="P349"/>
          <cell r="Q349"/>
          <cell r="R349"/>
          <cell r="S349"/>
          <cell r="T349"/>
          <cell r="U349"/>
          <cell r="V349"/>
          <cell r="W349"/>
          <cell r="X349"/>
          <cell r="Y349"/>
          <cell r="Z349"/>
          <cell r="AA349"/>
          <cell r="AB349"/>
          <cell r="AC349"/>
          <cell r="AD349"/>
          <cell r="AE349"/>
          <cell r="AF349"/>
          <cell r="AG349"/>
          <cell r="AH349"/>
          <cell r="AI349"/>
          <cell r="AJ349"/>
          <cell r="AK349"/>
          <cell r="AL349"/>
          <cell r="AM349"/>
          <cell r="AN349"/>
          <cell r="AO349"/>
          <cell r="AP349"/>
          <cell r="AQ349">
            <v>45456</v>
          </cell>
          <cell r="AR349">
            <v>111</v>
          </cell>
          <cell r="AS349">
            <v>45508</v>
          </cell>
          <cell r="AT349">
            <v>59</v>
          </cell>
          <cell r="AU349" t="str">
            <v>VMAFACET</v>
          </cell>
        </row>
        <row r="350">
          <cell r="C350">
            <v>605561</v>
          </cell>
          <cell r="D350" t="str">
            <v>ESPAÑA AGUILAR BETZABETH ROXANA</v>
          </cell>
          <cell r="E350" t="str">
            <v>09:00 - 15:00</v>
          </cell>
          <cell r="F350" t="str">
            <v>MAÑANA</v>
          </cell>
          <cell r="G350" t="str">
            <v>SAB Y DOM</v>
          </cell>
          <cell r="H350" t="str">
            <v>VILLALBA, VICTORIA</v>
          </cell>
          <cell r="I350" t="str">
            <v>Romandetto Carlos</v>
          </cell>
          <cell r="J350" t="str">
            <v>x</v>
          </cell>
          <cell r="K350"/>
          <cell r="L350" t="str">
            <v>x</v>
          </cell>
          <cell r="M350" t="str">
            <v>x</v>
          </cell>
          <cell r="N350" t="str">
            <v>x</v>
          </cell>
          <cell r="O350"/>
          <cell r="P350"/>
          <cell r="Q350"/>
          <cell r="R350"/>
          <cell r="S350"/>
          <cell r="T350"/>
          <cell r="U350"/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F350"/>
          <cell r="AG350"/>
          <cell r="AH350"/>
          <cell r="AI350"/>
          <cell r="AJ350"/>
          <cell r="AK350"/>
          <cell r="AL350"/>
          <cell r="AM350"/>
          <cell r="AN350"/>
          <cell r="AO350"/>
          <cell r="AP350"/>
          <cell r="AQ350">
            <v>45456</v>
          </cell>
          <cell r="AR350">
            <v>111</v>
          </cell>
          <cell r="AS350">
            <v>45508</v>
          </cell>
          <cell r="AT350">
            <v>59</v>
          </cell>
          <cell r="AU350" t="str">
            <v>VMABEESP</v>
          </cell>
        </row>
        <row r="351">
          <cell r="C351">
            <v>605528</v>
          </cell>
          <cell r="D351" t="str">
            <v>SINCHICAY ENZO LEONEL</v>
          </cell>
          <cell r="E351" t="str">
            <v>09:00 - 15:00</v>
          </cell>
          <cell r="F351" t="str">
            <v>MAÑANA</v>
          </cell>
          <cell r="G351" t="str">
            <v>SAB Y DOM</v>
          </cell>
          <cell r="H351" t="str">
            <v>MOYANO, DAIANA SOLEDAD</v>
          </cell>
          <cell r="I351" t="str">
            <v>Romandetto Carlos</v>
          </cell>
          <cell r="J351" t="str">
            <v>x</v>
          </cell>
          <cell r="K351"/>
          <cell r="L351" t="str">
            <v>x</v>
          </cell>
          <cell r="M351" t="str">
            <v>x</v>
          </cell>
          <cell r="N351" t="str">
            <v>x</v>
          </cell>
          <cell r="O351"/>
          <cell r="P351"/>
          <cell r="Q351"/>
          <cell r="R351"/>
          <cell r="S351"/>
          <cell r="T351"/>
          <cell r="U351"/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F351"/>
          <cell r="AG351"/>
          <cell r="AH351"/>
          <cell r="AI351"/>
          <cell r="AJ351"/>
          <cell r="AK351"/>
          <cell r="AL351"/>
          <cell r="AM351"/>
          <cell r="AN351"/>
          <cell r="AO351"/>
          <cell r="AP351"/>
          <cell r="AQ351">
            <v>45456</v>
          </cell>
          <cell r="AR351">
            <v>111</v>
          </cell>
          <cell r="AS351">
            <v>45508</v>
          </cell>
          <cell r="AT351">
            <v>59</v>
          </cell>
          <cell r="AU351" t="str">
            <v>VMAENSIN</v>
          </cell>
        </row>
        <row r="352">
          <cell r="C352">
            <v>605720</v>
          </cell>
          <cell r="D352" t="str">
            <v>BLANCO ALEXIS EZEQUIEL</v>
          </cell>
          <cell r="E352" t="str">
            <v>15:00 - 21:00</v>
          </cell>
          <cell r="F352" t="str">
            <v>TARDE</v>
          </cell>
          <cell r="G352" t="str">
            <v>VIE Y DOM</v>
          </cell>
          <cell r="H352" t="str">
            <v>GOMEZ, AYLEN MILAGROS</v>
          </cell>
          <cell r="I352" t="str">
            <v>Romandetto Carlos</v>
          </cell>
          <cell r="J352" t="str">
            <v>x</v>
          </cell>
          <cell r="K352"/>
          <cell r="L352" t="str">
            <v>x</v>
          </cell>
          <cell r="M352" t="str">
            <v>x</v>
          </cell>
          <cell r="N352" t="str">
            <v>x</v>
          </cell>
          <cell r="O352"/>
          <cell r="P352"/>
          <cell r="Q352"/>
          <cell r="R352"/>
          <cell r="S352"/>
          <cell r="T352"/>
          <cell r="U352"/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F352"/>
          <cell r="AG352"/>
          <cell r="AH352"/>
          <cell r="AI352"/>
          <cell r="AJ352"/>
          <cell r="AK352"/>
          <cell r="AL352"/>
          <cell r="AM352"/>
          <cell r="AN352"/>
          <cell r="AO352"/>
          <cell r="AP352"/>
          <cell r="AQ352">
            <v>45456</v>
          </cell>
          <cell r="AR352">
            <v>111</v>
          </cell>
          <cell r="AS352">
            <v>45508</v>
          </cell>
          <cell r="AT352">
            <v>59</v>
          </cell>
          <cell r="AU352" t="str">
            <v>VMAALBLA</v>
          </cell>
        </row>
        <row r="353">
          <cell r="C353">
            <v>605764</v>
          </cell>
          <cell r="D353" t="str">
            <v>LENCINA AGUSTIN</v>
          </cell>
          <cell r="E353" t="str">
            <v>15:00 - 21:00</v>
          </cell>
          <cell r="F353" t="str">
            <v>TARDE</v>
          </cell>
          <cell r="G353" t="str">
            <v>SAB Y DOM</v>
          </cell>
          <cell r="H353" t="str">
            <v>ONETTO, MARIA DE LOS MILAGROS</v>
          </cell>
          <cell r="I353" t="str">
            <v>Romandetto Carlos</v>
          </cell>
          <cell r="J353" t="str">
            <v>x</v>
          </cell>
          <cell r="K353"/>
          <cell r="L353" t="str">
            <v>x</v>
          </cell>
          <cell r="M353" t="str">
            <v>x</v>
          </cell>
          <cell r="N353" t="str">
            <v>x</v>
          </cell>
          <cell r="O353"/>
          <cell r="P353"/>
          <cell r="Q353"/>
          <cell r="R353"/>
          <cell r="S353"/>
          <cell r="T353"/>
          <cell r="U353"/>
          <cell r="V353"/>
          <cell r="W353"/>
          <cell r="X353"/>
          <cell r="Y353"/>
          <cell r="Z353"/>
          <cell r="AA353"/>
          <cell r="AB353"/>
          <cell r="AC353"/>
          <cell r="AD353"/>
          <cell r="AE353"/>
          <cell r="AF353"/>
          <cell r="AG353"/>
          <cell r="AH353"/>
          <cell r="AI353"/>
          <cell r="AJ353"/>
          <cell r="AK353"/>
          <cell r="AL353"/>
          <cell r="AM353"/>
          <cell r="AN353"/>
          <cell r="AO353"/>
          <cell r="AP353"/>
          <cell r="AQ353">
            <v>45456</v>
          </cell>
          <cell r="AR353">
            <v>111</v>
          </cell>
          <cell r="AS353">
            <v>45508</v>
          </cell>
          <cell r="AT353">
            <v>59</v>
          </cell>
          <cell r="AU353" t="str">
            <v>VMAAGLEN</v>
          </cell>
        </row>
        <row r="354">
          <cell r="C354">
            <v>606654</v>
          </cell>
          <cell r="D354" t="str">
            <v>RODRIGUEZ TOMAS AGUSTIN</v>
          </cell>
          <cell r="E354" t="str">
            <v>09:00 - 15:00</v>
          </cell>
          <cell r="F354" t="str">
            <v>MAÑANA</v>
          </cell>
          <cell r="G354" t="str">
            <v>SAB Y DOM</v>
          </cell>
          <cell r="H354" t="str">
            <v>DIAZ, PAULA</v>
          </cell>
          <cell r="I354" t="str">
            <v>Romandetto Carlos</v>
          </cell>
          <cell r="J354" t="str">
            <v>x</v>
          </cell>
          <cell r="K354"/>
          <cell r="L354" t="str">
            <v>x</v>
          </cell>
          <cell r="M354" t="str">
            <v>x</v>
          </cell>
          <cell r="N354" t="str">
            <v>x</v>
          </cell>
          <cell r="O354"/>
          <cell r="P354"/>
          <cell r="Q354"/>
          <cell r="R354"/>
          <cell r="S354"/>
          <cell r="T354"/>
          <cell r="U354"/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F354"/>
          <cell r="AG354"/>
          <cell r="AH354"/>
          <cell r="AI354"/>
          <cell r="AJ354"/>
          <cell r="AK354"/>
          <cell r="AL354"/>
          <cell r="AM354"/>
          <cell r="AN354"/>
          <cell r="AO354"/>
          <cell r="AP354"/>
          <cell r="AQ354">
            <v>45456</v>
          </cell>
          <cell r="AR354">
            <v>111</v>
          </cell>
          <cell r="AS354">
            <v>45508</v>
          </cell>
          <cell r="AT354">
            <v>59</v>
          </cell>
          <cell r="AU354" t="str">
            <v>VMAAGROD</v>
          </cell>
        </row>
        <row r="355">
          <cell r="C355">
            <v>606666</v>
          </cell>
          <cell r="D355" t="str">
            <v>GONZALEZ KEVIN MAXIMILIANO</v>
          </cell>
          <cell r="E355" t="str">
            <v>18:00 - 00:00</v>
          </cell>
          <cell r="F355" t="str">
            <v>NOCHE</v>
          </cell>
          <cell r="G355" t="str">
            <v>SAB Y DOM</v>
          </cell>
          <cell r="H355" t="str">
            <v>MIR, TOMAS MAURICIO</v>
          </cell>
          <cell r="I355" t="str">
            <v>Romandetto Carlos</v>
          </cell>
          <cell r="J355" t="str">
            <v>x</v>
          </cell>
          <cell r="K355"/>
          <cell r="L355" t="str">
            <v>x</v>
          </cell>
          <cell r="M355" t="str">
            <v>x</v>
          </cell>
          <cell r="N355" t="str">
            <v>x</v>
          </cell>
          <cell r="O355"/>
          <cell r="P355"/>
          <cell r="Q355"/>
          <cell r="R355"/>
          <cell r="S355"/>
          <cell r="T355"/>
          <cell r="U355"/>
          <cell r="V355"/>
          <cell r="W355"/>
          <cell r="X355"/>
          <cell r="Y355"/>
          <cell r="Z355"/>
          <cell r="AA355"/>
          <cell r="AB355"/>
          <cell r="AC355"/>
          <cell r="AD355"/>
          <cell r="AE355"/>
          <cell r="AF355"/>
          <cell r="AG355"/>
          <cell r="AH355"/>
          <cell r="AI355"/>
          <cell r="AJ355"/>
          <cell r="AK355"/>
          <cell r="AL355"/>
          <cell r="AM355"/>
          <cell r="AN355"/>
          <cell r="AO355"/>
          <cell r="AP355"/>
          <cell r="AQ355">
            <v>45456</v>
          </cell>
          <cell r="AR355">
            <v>111</v>
          </cell>
          <cell r="AS355">
            <v>45508</v>
          </cell>
          <cell r="AT355">
            <v>59</v>
          </cell>
          <cell r="AU355" t="str">
            <v>VMAKEVGO</v>
          </cell>
        </row>
        <row r="356">
          <cell r="C356">
            <v>606664</v>
          </cell>
          <cell r="D356" t="str">
            <v>CHAVEZ LAUTARO ALEJO</v>
          </cell>
          <cell r="E356" t="str">
            <v>18:00 - 00:00</v>
          </cell>
          <cell r="F356" t="str">
            <v>NOCHE</v>
          </cell>
          <cell r="G356" t="str">
            <v>SAB Y DOM</v>
          </cell>
          <cell r="H356" t="str">
            <v>MIR, TOMAS MAURICIO</v>
          </cell>
          <cell r="I356" t="str">
            <v>Romandetto Carlos</v>
          </cell>
          <cell r="J356" t="str">
            <v>x</v>
          </cell>
          <cell r="K356"/>
          <cell r="L356" t="str">
            <v>x</v>
          </cell>
          <cell r="M356" t="str">
            <v>x</v>
          </cell>
          <cell r="N356" t="str">
            <v>x</v>
          </cell>
          <cell r="O356"/>
          <cell r="P356"/>
          <cell r="Q356"/>
          <cell r="R356"/>
          <cell r="S356"/>
          <cell r="T356"/>
          <cell r="U356"/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F356"/>
          <cell r="AG356"/>
          <cell r="AH356"/>
          <cell r="AI356"/>
          <cell r="AJ356"/>
          <cell r="AK356"/>
          <cell r="AL356"/>
          <cell r="AM356"/>
          <cell r="AN356"/>
          <cell r="AO356"/>
          <cell r="AP356"/>
          <cell r="AQ356">
            <v>45456</v>
          </cell>
          <cell r="AR356">
            <v>111</v>
          </cell>
          <cell r="AS356">
            <v>45508</v>
          </cell>
          <cell r="AT356">
            <v>59</v>
          </cell>
          <cell r="AU356" t="str">
            <v>VMALACHA</v>
          </cell>
        </row>
        <row r="357">
          <cell r="C357">
            <v>606658</v>
          </cell>
          <cell r="D357" t="str">
            <v>LEZCANO AGUSTINA AILEN</v>
          </cell>
          <cell r="E357" t="str">
            <v>15:00 - 21:00</v>
          </cell>
          <cell r="F357" t="str">
            <v>TARDE</v>
          </cell>
          <cell r="G357" t="str">
            <v>SAB Y DOM</v>
          </cell>
          <cell r="H357" t="str">
            <v>GARZON, ROCIO BELEN</v>
          </cell>
          <cell r="I357" t="str">
            <v>Romandetto Carlos</v>
          </cell>
          <cell r="J357" t="str">
            <v>x</v>
          </cell>
          <cell r="K357"/>
          <cell r="L357" t="str">
            <v>x</v>
          </cell>
          <cell r="M357" t="str">
            <v>x</v>
          </cell>
          <cell r="N357" t="str">
            <v>x</v>
          </cell>
          <cell r="O357"/>
          <cell r="P357"/>
          <cell r="Q357"/>
          <cell r="R357"/>
          <cell r="S357"/>
          <cell r="T357"/>
          <cell r="U357"/>
          <cell r="V357"/>
          <cell r="W357"/>
          <cell r="X357"/>
          <cell r="Y357"/>
          <cell r="Z357"/>
          <cell r="AA357"/>
          <cell r="AB357"/>
          <cell r="AC357"/>
          <cell r="AD357"/>
          <cell r="AE357"/>
          <cell r="AF357"/>
          <cell r="AG357"/>
          <cell r="AH357"/>
          <cell r="AI357"/>
          <cell r="AJ357"/>
          <cell r="AK357"/>
          <cell r="AL357"/>
          <cell r="AM357"/>
          <cell r="AN357"/>
          <cell r="AO357"/>
          <cell r="AP357"/>
          <cell r="AQ357">
            <v>45456</v>
          </cell>
          <cell r="AR357">
            <v>111</v>
          </cell>
          <cell r="AS357">
            <v>45508</v>
          </cell>
          <cell r="AT357">
            <v>59</v>
          </cell>
          <cell r="AU357" t="str">
            <v>VMAAGLEZ</v>
          </cell>
        </row>
        <row r="358">
          <cell r="C358">
            <v>606660</v>
          </cell>
          <cell r="D358" t="str">
            <v>PARRA ESTEFANIA SOLEDAD</v>
          </cell>
          <cell r="E358" t="str">
            <v>15:00 - 21:00</v>
          </cell>
          <cell r="F358" t="str">
            <v>TARDE</v>
          </cell>
          <cell r="G358" t="str">
            <v>SAB Y DOM</v>
          </cell>
          <cell r="H358" t="str">
            <v>GARZON, ROCIO BELEN</v>
          </cell>
          <cell r="I358" t="str">
            <v>Romandetto Carlos</v>
          </cell>
          <cell r="J358" t="str">
            <v>x</v>
          </cell>
          <cell r="K358"/>
          <cell r="L358" t="str">
            <v>x</v>
          </cell>
          <cell r="M358" t="str">
            <v>x</v>
          </cell>
          <cell r="N358" t="str">
            <v>x</v>
          </cell>
          <cell r="O358"/>
          <cell r="P358"/>
          <cell r="Q358"/>
          <cell r="R358"/>
          <cell r="S358"/>
          <cell r="T358"/>
          <cell r="U358"/>
          <cell r="V358"/>
          <cell r="W358"/>
          <cell r="X358"/>
          <cell r="Y358"/>
          <cell r="Z358"/>
          <cell r="AA358"/>
          <cell r="AB358"/>
          <cell r="AC358"/>
          <cell r="AD358"/>
          <cell r="AE358"/>
          <cell r="AF358"/>
          <cell r="AG358"/>
          <cell r="AH358"/>
          <cell r="AI358"/>
          <cell r="AJ358"/>
          <cell r="AK358"/>
          <cell r="AL358"/>
          <cell r="AM358"/>
          <cell r="AN358"/>
          <cell r="AO358"/>
          <cell r="AP358"/>
          <cell r="AQ358">
            <v>45456</v>
          </cell>
          <cell r="AR358">
            <v>111</v>
          </cell>
          <cell r="AS358">
            <v>45508</v>
          </cell>
          <cell r="AT358">
            <v>59</v>
          </cell>
          <cell r="AU358" t="str">
            <v>VMAESPAR</v>
          </cell>
        </row>
        <row r="359">
          <cell r="C359">
            <v>606657</v>
          </cell>
          <cell r="D359" t="str">
            <v>PALOMINO MAYRA YAMILA</v>
          </cell>
          <cell r="E359" t="str">
            <v>13:00 - 19:00</v>
          </cell>
          <cell r="F359" t="str">
            <v>TARDE</v>
          </cell>
          <cell r="G359" t="str">
            <v>SAB Y DOM</v>
          </cell>
          <cell r="H359" t="str">
            <v>ROJAS, LUCAS</v>
          </cell>
          <cell r="I359" t="str">
            <v>Romandetto Carlos</v>
          </cell>
          <cell r="J359" t="str">
            <v>x</v>
          </cell>
          <cell r="K359"/>
          <cell r="L359" t="str">
            <v>x</v>
          </cell>
          <cell r="M359" t="str">
            <v>x</v>
          </cell>
          <cell r="N359" t="str">
            <v>x</v>
          </cell>
          <cell r="O359"/>
          <cell r="P359"/>
          <cell r="Q359"/>
          <cell r="R359"/>
          <cell r="S359"/>
          <cell r="T359"/>
          <cell r="U359"/>
          <cell r="V359"/>
          <cell r="W359"/>
          <cell r="X359"/>
          <cell r="Y359"/>
          <cell r="Z359"/>
          <cell r="AA359"/>
          <cell r="AB359"/>
          <cell r="AC359"/>
          <cell r="AD359"/>
          <cell r="AE359"/>
          <cell r="AF359"/>
          <cell r="AG359"/>
          <cell r="AH359"/>
          <cell r="AI359"/>
          <cell r="AJ359"/>
          <cell r="AK359"/>
          <cell r="AL359"/>
          <cell r="AM359"/>
          <cell r="AN359"/>
          <cell r="AO359"/>
          <cell r="AP359"/>
          <cell r="AQ359">
            <v>45456</v>
          </cell>
          <cell r="AR359">
            <v>111</v>
          </cell>
          <cell r="AS359">
            <v>45508</v>
          </cell>
          <cell r="AT359">
            <v>59</v>
          </cell>
          <cell r="AU359" t="str">
            <v>VMAMAYPA</v>
          </cell>
        </row>
        <row r="360">
          <cell r="C360">
            <v>606681</v>
          </cell>
          <cell r="D360" t="str">
            <v>CHOQUE JONATHAN CARLOS</v>
          </cell>
          <cell r="E360" t="str">
            <v>09:00 - 15:00</v>
          </cell>
          <cell r="F360" t="str">
            <v>MAÑANA</v>
          </cell>
          <cell r="G360" t="str">
            <v>SAB Y DOM</v>
          </cell>
          <cell r="H360" t="str">
            <v>VILLALBA, MAITEN</v>
          </cell>
          <cell r="I360" t="str">
            <v>Romandetto Carlos</v>
          </cell>
          <cell r="J360" t="str">
            <v>x</v>
          </cell>
          <cell r="K360"/>
          <cell r="L360" t="str">
            <v>x</v>
          </cell>
          <cell r="M360" t="str">
            <v>x</v>
          </cell>
          <cell r="N360" t="str">
            <v>x</v>
          </cell>
          <cell r="O360"/>
          <cell r="P360"/>
          <cell r="Q360"/>
          <cell r="R360"/>
          <cell r="S360"/>
          <cell r="T360"/>
          <cell r="U360"/>
          <cell r="V360"/>
          <cell r="W360"/>
          <cell r="X360"/>
          <cell r="Y360"/>
          <cell r="Z360"/>
          <cell r="AA360"/>
          <cell r="AB360"/>
          <cell r="AC360"/>
          <cell r="AD360"/>
          <cell r="AE360"/>
          <cell r="AF360"/>
          <cell r="AG360"/>
          <cell r="AH360"/>
          <cell r="AI360"/>
          <cell r="AJ360"/>
          <cell r="AK360"/>
          <cell r="AL360"/>
          <cell r="AM360"/>
          <cell r="AN360"/>
          <cell r="AO360"/>
          <cell r="AP360"/>
          <cell r="AQ360">
            <v>45492</v>
          </cell>
          <cell r="AR360">
            <v>75</v>
          </cell>
          <cell r="AS360">
            <v>45534</v>
          </cell>
          <cell r="AT360">
            <v>33</v>
          </cell>
          <cell r="AU360" t="str">
            <v>VMAJOCHO</v>
          </cell>
        </row>
        <row r="361">
          <cell r="C361">
            <v>606683</v>
          </cell>
          <cell r="D361" t="str">
            <v>AGUILAR FERNANDA MICAELA</v>
          </cell>
          <cell r="E361" t="str">
            <v>09:00 - 15:00</v>
          </cell>
          <cell r="F361" t="str">
            <v>MAÑANA</v>
          </cell>
          <cell r="G361" t="str">
            <v>SAB Y DOM</v>
          </cell>
          <cell r="H361" t="str">
            <v>GOYECHEA, AGUSTINA LOURDES</v>
          </cell>
          <cell r="I361" t="str">
            <v>Romandetto Carlos</v>
          </cell>
          <cell r="J361" t="str">
            <v>x</v>
          </cell>
          <cell r="K361"/>
          <cell r="L361" t="str">
            <v>x</v>
          </cell>
          <cell r="M361" t="str">
            <v>x</v>
          </cell>
          <cell r="N361" t="str">
            <v>x</v>
          </cell>
          <cell r="O361"/>
          <cell r="P361"/>
          <cell r="Q361"/>
          <cell r="R361"/>
          <cell r="S361"/>
          <cell r="T361"/>
          <cell r="U361"/>
          <cell r="V361"/>
          <cell r="W361"/>
          <cell r="X361"/>
          <cell r="Y361"/>
          <cell r="Z361"/>
          <cell r="AA361"/>
          <cell r="AB361"/>
          <cell r="AC361"/>
          <cell r="AD361"/>
          <cell r="AE361"/>
          <cell r="AF361"/>
          <cell r="AG361"/>
          <cell r="AH361"/>
          <cell r="AI361"/>
          <cell r="AJ361"/>
          <cell r="AK361"/>
          <cell r="AL361"/>
          <cell r="AM361"/>
          <cell r="AN361"/>
          <cell r="AO361"/>
          <cell r="AP361"/>
          <cell r="AQ361">
            <v>45492</v>
          </cell>
          <cell r="AR361">
            <v>75</v>
          </cell>
          <cell r="AS361">
            <v>45534</v>
          </cell>
          <cell r="AT361">
            <v>33</v>
          </cell>
          <cell r="AU361" t="str">
            <v>VMAFEAGU</v>
          </cell>
        </row>
        <row r="362">
          <cell r="C362">
            <v>606686</v>
          </cell>
          <cell r="D362" t="str">
            <v>VIOLACCO DALMA CAMILA</v>
          </cell>
          <cell r="E362" t="str">
            <v>09:00 - 15:00</v>
          </cell>
          <cell r="F362" t="str">
            <v>MAÑANA</v>
          </cell>
          <cell r="G362" t="str">
            <v>SAB Y DOM</v>
          </cell>
          <cell r="H362" t="str">
            <v>DIAZ, PAULA</v>
          </cell>
          <cell r="I362" t="str">
            <v>Romandetto Carlos</v>
          </cell>
          <cell r="J362" t="str">
            <v>x</v>
          </cell>
          <cell r="K362"/>
          <cell r="L362" t="str">
            <v>x</v>
          </cell>
          <cell r="M362" t="str">
            <v>x</v>
          </cell>
          <cell r="N362" t="str">
            <v>x</v>
          </cell>
          <cell r="O362"/>
          <cell r="P362"/>
          <cell r="Q362"/>
          <cell r="R362"/>
          <cell r="S362"/>
          <cell r="T362"/>
          <cell r="U362"/>
          <cell r="V362"/>
          <cell r="W362"/>
          <cell r="X362"/>
          <cell r="Y362"/>
          <cell r="Z362"/>
          <cell r="AA362"/>
          <cell r="AB362"/>
          <cell r="AC362"/>
          <cell r="AD362"/>
          <cell r="AE362"/>
          <cell r="AF362"/>
          <cell r="AG362"/>
          <cell r="AH362"/>
          <cell r="AI362"/>
          <cell r="AJ362"/>
          <cell r="AK362"/>
          <cell r="AL362"/>
          <cell r="AM362"/>
          <cell r="AN362"/>
          <cell r="AO362"/>
          <cell r="AP362"/>
          <cell r="AQ362">
            <v>45492</v>
          </cell>
          <cell r="AR362">
            <v>75</v>
          </cell>
          <cell r="AS362">
            <v>45534</v>
          </cell>
          <cell r="AT362">
            <v>33</v>
          </cell>
          <cell r="AU362" t="str">
            <v>VMADAVIO</v>
          </cell>
        </row>
        <row r="363">
          <cell r="C363">
            <v>606669</v>
          </cell>
          <cell r="D363" t="str">
            <v>NUÑEZ MILAGROS ANABELA</v>
          </cell>
          <cell r="E363" t="str">
            <v>15:00 - 21:00</v>
          </cell>
          <cell r="F363" t="str">
            <v>TARDE</v>
          </cell>
          <cell r="G363" t="str">
            <v>SAB Y DOM</v>
          </cell>
          <cell r="H363" t="str">
            <v>SOLER, SANTIAGO MAXIMILIANO</v>
          </cell>
          <cell r="I363" t="str">
            <v>Romandetto Carlos</v>
          </cell>
          <cell r="J363" t="str">
            <v>x</v>
          </cell>
          <cell r="K363"/>
          <cell r="L363" t="str">
            <v>x</v>
          </cell>
          <cell r="M363" t="str">
            <v>x</v>
          </cell>
          <cell r="N363" t="str">
            <v>x</v>
          </cell>
          <cell r="O363"/>
          <cell r="P363"/>
          <cell r="Q363"/>
          <cell r="R363"/>
          <cell r="S363"/>
          <cell r="T363"/>
          <cell r="U363"/>
          <cell r="V363"/>
          <cell r="W363"/>
          <cell r="X363"/>
          <cell r="Y363"/>
          <cell r="Z363"/>
          <cell r="AA363"/>
          <cell r="AB363"/>
          <cell r="AC363"/>
          <cell r="AD363"/>
          <cell r="AE363"/>
          <cell r="AF363"/>
          <cell r="AG363"/>
          <cell r="AH363"/>
          <cell r="AI363"/>
          <cell r="AJ363"/>
          <cell r="AK363"/>
          <cell r="AL363"/>
          <cell r="AM363"/>
          <cell r="AN363"/>
          <cell r="AO363"/>
          <cell r="AP363"/>
          <cell r="AQ363">
            <v>45492</v>
          </cell>
          <cell r="AR363">
            <v>75</v>
          </cell>
          <cell r="AS363">
            <v>45534</v>
          </cell>
          <cell r="AT363">
            <v>33</v>
          </cell>
          <cell r="AU363" t="str">
            <v>VMAMINUN</v>
          </cell>
        </row>
        <row r="364">
          <cell r="C364">
            <v>606671</v>
          </cell>
          <cell r="D364" t="str">
            <v>CUENCA GONZALEZ SUSANA CAROLINA</v>
          </cell>
          <cell r="E364" t="str">
            <v>15:00 - 21:00</v>
          </cell>
          <cell r="F364" t="str">
            <v>TARDE</v>
          </cell>
          <cell r="G364" t="str">
            <v>SAB Y DOM</v>
          </cell>
          <cell r="H364" t="str">
            <v>SOLER, SANTIAGO MAXIMILIANO</v>
          </cell>
          <cell r="I364" t="str">
            <v>Romandetto Carlos</v>
          </cell>
          <cell r="J364" t="str">
            <v>x</v>
          </cell>
          <cell r="K364"/>
          <cell r="L364" t="str">
            <v>x</v>
          </cell>
          <cell r="M364" t="str">
            <v>x</v>
          </cell>
          <cell r="N364" t="str">
            <v>x</v>
          </cell>
          <cell r="O364"/>
          <cell r="P364"/>
          <cell r="Q364"/>
          <cell r="R364"/>
          <cell r="S364"/>
          <cell r="T364"/>
          <cell r="U364"/>
          <cell r="V364"/>
          <cell r="W364"/>
          <cell r="X364"/>
          <cell r="Y364"/>
          <cell r="Z364"/>
          <cell r="AA364"/>
          <cell r="AB364"/>
          <cell r="AC364"/>
          <cell r="AD364"/>
          <cell r="AE364"/>
          <cell r="AF364"/>
          <cell r="AG364"/>
          <cell r="AH364"/>
          <cell r="AI364"/>
          <cell r="AJ364"/>
          <cell r="AK364"/>
          <cell r="AL364"/>
          <cell r="AM364"/>
          <cell r="AN364"/>
          <cell r="AO364"/>
          <cell r="AP364"/>
          <cell r="AQ364">
            <v>45492</v>
          </cell>
          <cell r="AR364">
            <v>75</v>
          </cell>
          <cell r="AS364">
            <v>45534</v>
          </cell>
          <cell r="AT364">
            <v>33</v>
          </cell>
          <cell r="AU364" t="str">
            <v>VMASUCUE</v>
          </cell>
        </row>
        <row r="365">
          <cell r="C365">
            <v>606675</v>
          </cell>
          <cell r="D365" t="str">
            <v>MONZON MARIELA</v>
          </cell>
          <cell r="E365" t="str">
            <v>15:00 - 21:00</v>
          </cell>
          <cell r="F365" t="str">
            <v>TARDE</v>
          </cell>
          <cell r="G365" t="str">
            <v>SAB Y DOM</v>
          </cell>
          <cell r="H365" t="str">
            <v>SOLER, SANTIAGO MAXIMILIANO</v>
          </cell>
          <cell r="I365" t="str">
            <v>Romandetto Carlos</v>
          </cell>
          <cell r="J365" t="str">
            <v>x</v>
          </cell>
          <cell r="K365"/>
          <cell r="L365" t="str">
            <v>x</v>
          </cell>
          <cell r="M365" t="str">
            <v>x</v>
          </cell>
          <cell r="N365" t="str">
            <v>x</v>
          </cell>
          <cell r="O365"/>
          <cell r="P365"/>
          <cell r="Q365"/>
          <cell r="R365"/>
          <cell r="S365"/>
          <cell r="T365"/>
          <cell r="U365"/>
          <cell r="V365"/>
          <cell r="W365"/>
          <cell r="X365"/>
          <cell r="Y365"/>
          <cell r="Z365"/>
          <cell r="AA365"/>
          <cell r="AB365"/>
          <cell r="AC365"/>
          <cell r="AD365"/>
          <cell r="AE365"/>
          <cell r="AF365"/>
          <cell r="AG365"/>
          <cell r="AH365"/>
          <cell r="AI365"/>
          <cell r="AJ365"/>
          <cell r="AK365"/>
          <cell r="AL365"/>
          <cell r="AM365"/>
          <cell r="AN365"/>
          <cell r="AO365"/>
          <cell r="AP365"/>
          <cell r="AQ365">
            <v>45492</v>
          </cell>
          <cell r="AR365">
            <v>75</v>
          </cell>
          <cell r="AS365">
            <v>45534</v>
          </cell>
          <cell r="AT365">
            <v>33</v>
          </cell>
          <cell r="AU365" t="str">
            <v>VMAMAMON</v>
          </cell>
        </row>
        <row r="366">
          <cell r="C366">
            <v>606689</v>
          </cell>
          <cell r="D366" t="str">
            <v>RAMOS ZOE NICOLE</v>
          </cell>
          <cell r="E366" t="str">
            <v>15:00 - 21:00</v>
          </cell>
          <cell r="F366" t="str">
            <v>TARDE</v>
          </cell>
          <cell r="G366" t="str">
            <v>SAB Y DOM</v>
          </cell>
          <cell r="H366" t="str">
            <v>SOLER, SANTIAGO MAXIMILIANO</v>
          </cell>
          <cell r="I366" t="str">
            <v>Romandetto Carlos</v>
          </cell>
          <cell r="J366" t="str">
            <v>x</v>
          </cell>
          <cell r="K366"/>
          <cell r="L366" t="str">
            <v>x</v>
          </cell>
          <cell r="M366" t="str">
            <v>x</v>
          </cell>
          <cell r="N366" t="str">
            <v>x</v>
          </cell>
          <cell r="O366"/>
          <cell r="P366"/>
          <cell r="Q366"/>
          <cell r="R366"/>
          <cell r="S366"/>
          <cell r="T366"/>
          <cell r="U366"/>
          <cell r="V366"/>
          <cell r="W366"/>
          <cell r="X366"/>
          <cell r="Y366"/>
          <cell r="Z366"/>
          <cell r="AA366"/>
          <cell r="AB366"/>
          <cell r="AC366"/>
          <cell r="AD366"/>
          <cell r="AE366"/>
          <cell r="AF366"/>
          <cell r="AG366"/>
          <cell r="AH366"/>
          <cell r="AI366"/>
          <cell r="AJ366"/>
          <cell r="AK366"/>
          <cell r="AL366"/>
          <cell r="AM366"/>
          <cell r="AN366"/>
          <cell r="AO366"/>
          <cell r="AP366"/>
          <cell r="AQ366">
            <v>45492</v>
          </cell>
          <cell r="AR366">
            <v>75</v>
          </cell>
          <cell r="AS366">
            <v>45534</v>
          </cell>
          <cell r="AT366">
            <v>33</v>
          </cell>
          <cell r="AU366" t="str">
            <v>VMAZORAM</v>
          </cell>
        </row>
        <row r="367">
          <cell r="C367">
            <v>606676</v>
          </cell>
          <cell r="D367" t="str">
            <v>TOZZO COLOMBO MERCEDES GISELLE</v>
          </cell>
          <cell r="E367" t="str">
            <v>18:00 - 00:00</v>
          </cell>
          <cell r="F367" t="str">
            <v>NOCHE</v>
          </cell>
          <cell r="G367" t="str">
            <v>SAB Y DOM</v>
          </cell>
          <cell r="H367" t="str">
            <v>MIR, TOMAS MAURICIO</v>
          </cell>
          <cell r="I367" t="str">
            <v>Romandetto Carlos</v>
          </cell>
          <cell r="J367" t="str">
            <v>x</v>
          </cell>
          <cell r="K367"/>
          <cell r="L367" t="str">
            <v>x</v>
          </cell>
          <cell r="M367" t="str">
            <v>x</v>
          </cell>
          <cell r="N367" t="str">
            <v>x</v>
          </cell>
          <cell r="O367"/>
          <cell r="P367"/>
          <cell r="Q367"/>
          <cell r="R367"/>
          <cell r="S367"/>
          <cell r="T367"/>
          <cell r="U367"/>
          <cell r="V367"/>
          <cell r="W367"/>
          <cell r="X367"/>
          <cell r="Y367"/>
          <cell r="Z367"/>
          <cell r="AA367"/>
          <cell r="AB367"/>
          <cell r="AC367"/>
          <cell r="AD367"/>
          <cell r="AE367"/>
          <cell r="AF367"/>
          <cell r="AG367"/>
          <cell r="AH367"/>
          <cell r="AI367"/>
          <cell r="AJ367"/>
          <cell r="AK367"/>
          <cell r="AL367"/>
          <cell r="AM367"/>
          <cell r="AN367"/>
          <cell r="AO367"/>
          <cell r="AP367"/>
          <cell r="AQ367">
            <v>45492</v>
          </cell>
          <cell r="AR367">
            <v>75</v>
          </cell>
          <cell r="AS367">
            <v>45534</v>
          </cell>
          <cell r="AT367">
            <v>33</v>
          </cell>
          <cell r="AU367" t="str">
            <v>VMAMETOZ</v>
          </cell>
        </row>
        <row r="368">
          <cell r="C368">
            <v>606677</v>
          </cell>
          <cell r="D368" t="str">
            <v>BOGADO ANTONELLA NAHIR</v>
          </cell>
          <cell r="E368" t="str">
            <v>18:00 - 00:00</v>
          </cell>
          <cell r="F368" t="str">
            <v>NOCHE</v>
          </cell>
          <cell r="G368" t="str">
            <v>SAB Y DOM</v>
          </cell>
          <cell r="H368" t="str">
            <v>MIR, TOMAS MAURICIO</v>
          </cell>
          <cell r="I368" t="str">
            <v>Romandetto Carlos</v>
          </cell>
          <cell r="J368" t="str">
            <v>x</v>
          </cell>
          <cell r="K368"/>
          <cell r="L368" t="str">
            <v>x</v>
          </cell>
          <cell r="M368" t="str">
            <v>x</v>
          </cell>
          <cell r="N368" t="str">
            <v>x</v>
          </cell>
          <cell r="O368"/>
          <cell r="P368"/>
          <cell r="Q368"/>
          <cell r="R368"/>
          <cell r="S368"/>
          <cell r="T368"/>
          <cell r="U368"/>
          <cell r="V368"/>
          <cell r="W368"/>
          <cell r="X368"/>
          <cell r="Y368"/>
          <cell r="Z368"/>
          <cell r="AA368"/>
          <cell r="AB368"/>
          <cell r="AC368"/>
          <cell r="AD368"/>
          <cell r="AE368"/>
          <cell r="AF368"/>
          <cell r="AG368"/>
          <cell r="AH368"/>
          <cell r="AI368"/>
          <cell r="AJ368"/>
          <cell r="AK368"/>
          <cell r="AL368"/>
          <cell r="AM368"/>
          <cell r="AN368"/>
          <cell r="AO368"/>
          <cell r="AP368"/>
          <cell r="AQ368">
            <v>45492</v>
          </cell>
          <cell r="AR368">
            <v>75</v>
          </cell>
          <cell r="AS368">
            <v>45534</v>
          </cell>
          <cell r="AT368">
            <v>33</v>
          </cell>
          <cell r="AU368" t="str">
            <v>VMAANBOG</v>
          </cell>
        </row>
        <row r="369">
          <cell r="C369">
            <v>606678</v>
          </cell>
          <cell r="D369" t="str">
            <v>ESTIVILL YAZMIN AILIN</v>
          </cell>
          <cell r="E369" t="str">
            <v>18:00 - 00:00</v>
          </cell>
          <cell r="F369" t="str">
            <v>NOCHE</v>
          </cell>
          <cell r="G369" t="str">
            <v>SAB Y DOM</v>
          </cell>
          <cell r="H369" t="str">
            <v>MIR, TOMAS MAURICIO</v>
          </cell>
          <cell r="I369" t="str">
            <v>Romandetto Carlos</v>
          </cell>
          <cell r="J369" t="str">
            <v>x</v>
          </cell>
          <cell r="K369"/>
          <cell r="L369" t="str">
            <v>x</v>
          </cell>
          <cell r="M369" t="str">
            <v>x</v>
          </cell>
          <cell r="N369" t="str">
            <v>x</v>
          </cell>
          <cell r="O369"/>
          <cell r="P369"/>
          <cell r="Q369"/>
          <cell r="R369"/>
          <cell r="S369"/>
          <cell r="T369"/>
          <cell r="U369"/>
          <cell r="V369"/>
          <cell r="W369"/>
          <cell r="X369"/>
          <cell r="Y369"/>
          <cell r="Z369"/>
          <cell r="AA369"/>
          <cell r="AB369"/>
          <cell r="AC369"/>
          <cell r="AD369"/>
          <cell r="AE369"/>
          <cell r="AF369"/>
          <cell r="AG369"/>
          <cell r="AH369"/>
          <cell r="AI369"/>
          <cell r="AJ369"/>
          <cell r="AK369"/>
          <cell r="AL369"/>
          <cell r="AM369"/>
          <cell r="AN369"/>
          <cell r="AO369"/>
          <cell r="AP369"/>
          <cell r="AQ369">
            <v>45492</v>
          </cell>
          <cell r="AR369">
            <v>75</v>
          </cell>
          <cell r="AS369">
            <v>45534</v>
          </cell>
          <cell r="AT369">
            <v>33</v>
          </cell>
          <cell r="AU369" t="str">
            <v>VMAYAEST</v>
          </cell>
        </row>
        <row r="370">
          <cell r="C370">
            <v>606694</v>
          </cell>
          <cell r="D370" t="str">
            <v>CRISTALDO MICAELA AYELEN</v>
          </cell>
          <cell r="E370" t="str">
            <v>09:00 - 15:00</v>
          </cell>
          <cell r="F370" t="str">
            <v>MAÑANA</v>
          </cell>
          <cell r="G370" t="str">
            <v>SAB Y DOM</v>
          </cell>
          <cell r="H370" t="str">
            <v>RUIZ, TOMAS EMANUEL</v>
          </cell>
          <cell r="I370" t="str">
            <v>Romandetto Carlos</v>
          </cell>
          <cell r="J370" t="str">
            <v>x</v>
          </cell>
          <cell r="K370"/>
          <cell r="L370" t="str">
            <v>x</v>
          </cell>
          <cell r="M370" t="str">
            <v>x</v>
          </cell>
          <cell r="N370" t="str">
            <v>x</v>
          </cell>
          <cell r="O370"/>
          <cell r="P370"/>
          <cell r="Q370"/>
          <cell r="R370"/>
          <cell r="S370"/>
          <cell r="T370"/>
          <cell r="U370"/>
          <cell r="V370"/>
          <cell r="W370"/>
          <cell r="X370"/>
          <cell r="Y370"/>
          <cell r="Z370"/>
          <cell r="AA370"/>
          <cell r="AB370"/>
          <cell r="AC370"/>
          <cell r="AD370"/>
          <cell r="AE370"/>
          <cell r="AF370"/>
          <cell r="AG370"/>
          <cell r="AH370"/>
          <cell r="AI370"/>
          <cell r="AJ370"/>
          <cell r="AK370"/>
          <cell r="AL370"/>
          <cell r="AM370"/>
          <cell r="AN370"/>
          <cell r="AO370"/>
          <cell r="AP370"/>
          <cell r="AQ370">
            <v>45492</v>
          </cell>
          <cell r="AR370">
            <v>75</v>
          </cell>
          <cell r="AS370">
            <v>45534</v>
          </cell>
          <cell r="AT370">
            <v>33</v>
          </cell>
          <cell r="AU370" t="str">
            <v>VMAMICRI</v>
          </cell>
        </row>
        <row r="371">
          <cell r="C371">
            <v>605647</v>
          </cell>
          <cell r="D371" t="str">
            <v>PINTOS PERALTA TANIA AYELEN</v>
          </cell>
          <cell r="E371" t="str">
            <v>09:00 - 15:00</v>
          </cell>
          <cell r="F371" t="str">
            <v>MAÑANA</v>
          </cell>
          <cell r="G371" t="str">
            <v>SAB Y DOM</v>
          </cell>
          <cell r="H371" t="str">
            <v>VILLALBA, VICTORIA</v>
          </cell>
          <cell r="I371" t="str">
            <v>Romandetto Carlos</v>
          </cell>
          <cell r="J371" t="str">
            <v>x</v>
          </cell>
          <cell r="K371"/>
          <cell r="L371" t="str">
            <v>x</v>
          </cell>
          <cell r="M371" t="str">
            <v>x</v>
          </cell>
          <cell r="N371" t="str">
            <v>x</v>
          </cell>
          <cell r="O371"/>
          <cell r="P371"/>
          <cell r="Q371"/>
          <cell r="R371"/>
          <cell r="S371"/>
          <cell r="T371"/>
          <cell r="U371"/>
          <cell r="V371"/>
          <cell r="W371"/>
          <cell r="X371"/>
          <cell r="Y371"/>
          <cell r="Z371"/>
          <cell r="AA371"/>
          <cell r="AB371"/>
          <cell r="AC371"/>
          <cell r="AD371"/>
          <cell r="AE371"/>
          <cell r="AF371"/>
          <cell r="AG371"/>
          <cell r="AH371"/>
          <cell r="AI371"/>
          <cell r="AJ371"/>
          <cell r="AK371"/>
          <cell r="AL371"/>
          <cell r="AM371"/>
          <cell r="AN371"/>
          <cell r="AO371"/>
          <cell r="AP371"/>
          <cell r="AQ371">
            <v>45492</v>
          </cell>
          <cell r="AR371">
            <v>75</v>
          </cell>
          <cell r="AS371">
            <v>45534</v>
          </cell>
          <cell r="AT371">
            <v>33</v>
          </cell>
          <cell r="AU371" t="str">
            <v>VMATAPIN</v>
          </cell>
        </row>
        <row r="372">
          <cell r="C372">
            <v>605786</v>
          </cell>
          <cell r="D372" t="str">
            <v>BRINGAS LEONTINA MICAELA</v>
          </cell>
          <cell r="E372" t="str">
            <v>09:00 - 15:00</v>
          </cell>
          <cell r="F372" t="str">
            <v>MAÑANA</v>
          </cell>
          <cell r="G372" t="str">
            <v>SAB Y DOM</v>
          </cell>
          <cell r="H372" t="str">
            <v>ROBLEDO, YESICA DANIELA</v>
          </cell>
          <cell r="I372" t="str">
            <v>Romandetto Carlos</v>
          </cell>
          <cell r="J372" t="str">
            <v>x</v>
          </cell>
          <cell r="K372"/>
          <cell r="L372" t="str">
            <v>x</v>
          </cell>
          <cell r="M372" t="str">
            <v>x</v>
          </cell>
          <cell r="N372" t="str">
            <v>x</v>
          </cell>
          <cell r="O372"/>
          <cell r="P372"/>
          <cell r="Q372"/>
          <cell r="R372"/>
          <cell r="S372"/>
          <cell r="T372"/>
          <cell r="U372"/>
          <cell r="V372"/>
          <cell r="W372"/>
          <cell r="X372"/>
          <cell r="Y372"/>
          <cell r="Z372"/>
          <cell r="AA372"/>
          <cell r="AB372"/>
          <cell r="AC372"/>
          <cell r="AD372"/>
          <cell r="AE372"/>
          <cell r="AF372"/>
          <cell r="AG372"/>
          <cell r="AH372"/>
          <cell r="AI372"/>
          <cell r="AJ372"/>
          <cell r="AK372"/>
          <cell r="AL372"/>
          <cell r="AM372"/>
          <cell r="AN372"/>
          <cell r="AO372"/>
          <cell r="AP372"/>
          <cell r="AQ372">
            <v>45492</v>
          </cell>
          <cell r="AR372">
            <v>75</v>
          </cell>
          <cell r="AS372">
            <v>45534</v>
          </cell>
          <cell r="AT372">
            <v>33</v>
          </cell>
          <cell r="AU372" t="str">
            <v>VMALEBRI</v>
          </cell>
        </row>
        <row r="373">
          <cell r="C373">
            <v>605803</v>
          </cell>
          <cell r="D373" t="str">
            <v>ESPINOLA MARTIN</v>
          </cell>
          <cell r="E373" t="str">
            <v>09:00 - 15:00</v>
          </cell>
          <cell r="F373" t="str">
            <v>MAÑANA</v>
          </cell>
          <cell r="G373" t="str">
            <v>SAB Y DOM</v>
          </cell>
          <cell r="H373" t="str">
            <v>LOUREIRO, FLORENCIA CANDELA</v>
          </cell>
          <cell r="I373" t="str">
            <v>Romandetto Carlos</v>
          </cell>
          <cell r="J373" t="str">
            <v>x</v>
          </cell>
          <cell r="K373"/>
          <cell r="L373" t="str">
            <v>x</v>
          </cell>
          <cell r="M373" t="str">
            <v>x</v>
          </cell>
          <cell r="N373" t="str">
            <v>x</v>
          </cell>
          <cell r="O373"/>
          <cell r="P373"/>
          <cell r="Q373"/>
          <cell r="R373"/>
          <cell r="S373"/>
          <cell r="T373"/>
          <cell r="U373"/>
          <cell r="V373"/>
          <cell r="W373"/>
          <cell r="X373"/>
          <cell r="Y373"/>
          <cell r="Z373"/>
          <cell r="AA373"/>
          <cell r="AB373"/>
          <cell r="AC373"/>
          <cell r="AD373"/>
          <cell r="AE373"/>
          <cell r="AF373"/>
          <cell r="AG373"/>
          <cell r="AH373"/>
          <cell r="AI373"/>
          <cell r="AJ373"/>
          <cell r="AK373"/>
          <cell r="AL373"/>
          <cell r="AM373"/>
          <cell r="AN373"/>
          <cell r="AO373"/>
          <cell r="AP373"/>
          <cell r="AQ373">
            <v>45492</v>
          </cell>
          <cell r="AR373">
            <v>75</v>
          </cell>
          <cell r="AS373">
            <v>45534</v>
          </cell>
          <cell r="AT373">
            <v>33</v>
          </cell>
          <cell r="AU373" t="str">
            <v>VMAMAESP</v>
          </cell>
        </row>
        <row r="374">
          <cell r="C374">
            <v>605883</v>
          </cell>
          <cell r="D374" t="str">
            <v>CRUZ FERNANDO MIGUEL</v>
          </cell>
          <cell r="E374" t="str">
            <v>15:00 - 21:00</v>
          </cell>
          <cell r="F374" t="str">
            <v>TARDE</v>
          </cell>
          <cell r="G374" t="str">
            <v>SAB Y DOM</v>
          </cell>
          <cell r="H374" t="str">
            <v>YBARRA, LUCIA ALDANA</v>
          </cell>
          <cell r="I374" t="str">
            <v>Romandetto Carlos</v>
          </cell>
          <cell r="J374" t="str">
            <v>x</v>
          </cell>
          <cell r="K374"/>
          <cell r="L374" t="str">
            <v>x</v>
          </cell>
          <cell r="M374" t="str">
            <v>x</v>
          </cell>
          <cell r="N374" t="str">
            <v>x</v>
          </cell>
          <cell r="O374"/>
          <cell r="P374"/>
          <cell r="Q374"/>
          <cell r="R374"/>
          <cell r="S374"/>
          <cell r="T374"/>
          <cell r="U374"/>
          <cell r="V374"/>
          <cell r="W374"/>
          <cell r="X374"/>
          <cell r="Y374"/>
          <cell r="Z374"/>
          <cell r="AA374"/>
          <cell r="AB374"/>
          <cell r="AC374"/>
          <cell r="AD374"/>
          <cell r="AE374"/>
          <cell r="AF374"/>
          <cell r="AG374"/>
          <cell r="AH374"/>
          <cell r="AI374"/>
          <cell r="AJ374"/>
          <cell r="AK374"/>
          <cell r="AL374"/>
          <cell r="AM374"/>
          <cell r="AN374"/>
          <cell r="AO374"/>
          <cell r="AP374"/>
          <cell r="AQ374">
            <v>45492</v>
          </cell>
          <cell r="AR374">
            <v>75</v>
          </cell>
          <cell r="AS374">
            <v>45534</v>
          </cell>
          <cell r="AT374">
            <v>33</v>
          </cell>
          <cell r="AU374" t="str">
            <v>VMAFECRU</v>
          </cell>
        </row>
        <row r="375">
          <cell r="C375">
            <v>606016</v>
          </cell>
          <cell r="D375" t="str">
            <v>BERNDT ELIZABETH SOLEDAD</v>
          </cell>
          <cell r="E375" t="str">
            <v>15:00 - 21:00</v>
          </cell>
          <cell r="F375" t="str">
            <v>TARDE</v>
          </cell>
          <cell r="G375" t="str">
            <v>SAB Y DOM</v>
          </cell>
          <cell r="H375" t="str">
            <v>YBARRA, LUCIA ALDANA</v>
          </cell>
          <cell r="I375" t="str">
            <v>Romandetto Carlos</v>
          </cell>
          <cell r="J375" t="str">
            <v>x</v>
          </cell>
          <cell r="K375"/>
          <cell r="L375" t="str">
            <v>x</v>
          </cell>
          <cell r="M375" t="str">
            <v>x</v>
          </cell>
          <cell r="N375" t="str">
            <v>x</v>
          </cell>
          <cell r="O375"/>
          <cell r="P375"/>
          <cell r="Q375"/>
          <cell r="R375"/>
          <cell r="S375"/>
          <cell r="T375"/>
          <cell r="U375"/>
          <cell r="V375"/>
          <cell r="W375"/>
          <cell r="X375"/>
          <cell r="Y375"/>
          <cell r="Z375"/>
          <cell r="AA375"/>
          <cell r="AB375"/>
          <cell r="AC375"/>
          <cell r="AD375"/>
          <cell r="AE375"/>
          <cell r="AF375"/>
          <cell r="AG375"/>
          <cell r="AH375"/>
          <cell r="AI375"/>
          <cell r="AJ375"/>
          <cell r="AK375"/>
          <cell r="AL375"/>
          <cell r="AM375"/>
          <cell r="AN375"/>
          <cell r="AO375"/>
          <cell r="AP375"/>
          <cell r="AQ375">
            <v>45492</v>
          </cell>
          <cell r="AR375">
            <v>75</v>
          </cell>
          <cell r="AS375">
            <v>45534</v>
          </cell>
          <cell r="AT375">
            <v>33</v>
          </cell>
          <cell r="AU375" t="str">
            <v>VMAELBER</v>
          </cell>
        </row>
        <row r="376">
          <cell r="C376">
            <v>606047</v>
          </cell>
          <cell r="D376" t="str">
            <v>LUCERO DUARTE BASTIAN DAVID</v>
          </cell>
          <cell r="E376" t="str">
            <v>13:00 - 19:00</v>
          </cell>
          <cell r="F376" t="str">
            <v>TARDE</v>
          </cell>
          <cell r="G376" t="str">
            <v>SAB Y DOM</v>
          </cell>
          <cell r="H376" t="str">
            <v>ONETTO, MARIA DE LOS MILAGROS</v>
          </cell>
          <cell r="I376" t="str">
            <v>Romandetto Carlos</v>
          </cell>
          <cell r="J376" t="str">
            <v>x</v>
          </cell>
          <cell r="K376"/>
          <cell r="L376" t="str">
            <v>x</v>
          </cell>
          <cell r="M376" t="str">
            <v>x</v>
          </cell>
          <cell r="N376" t="str">
            <v>x</v>
          </cell>
          <cell r="O376"/>
          <cell r="P376"/>
          <cell r="Q376"/>
          <cell r="R376"/>
          <cell r="S376"/>
          <cell r="T376"/>
          <cell r="U376"/>
          <cell r="V376"/>
          <cell r="W376"/>
          <cell r="X376"/>
          <cell r="Y376"/>
          <cell r="Z376"/>
          <cell r="AA376"/>
          <cell r="AB376"/>
          <cell r="AC376"/>
          <cell r="AD376"/>
          <cell r="AE376"/>
          <cell r="AF376"/>
          <cell r="AG376"/>
          <cell r="AH376"/>
          <cell r="AI376"/>
          <cell r="AJ376"/>
          <cell r="AK376"/>
          <cell r="AL376"/>
          <cell r="AM376"/>
          <cell r="AN376"/>
          <cell r="AO376"/>
          <cell r="AP376"/>
          <cell r="AQ376">
            <v>45492</v>
          </cell>
          <cell r="AR376">
            <v>75</v>
          </cell>
          <cell r="AS376">
            <v>45534</v>
          </cell>
          <cell r="AT376">
            <v>33</v>
          </cell>
          <cell r="AU376" t="str">
            <v>VMABADUA</v>
          </cell>
        </row>
        <row r="377">
          <cell r="C377">
            <v>606072</v>
          </cell>
          <cell r="D377" t="str">
            <v>OLMOS JOAQUIN</v>
          </cell>
          <cell r="E377" t="str">
            <v>15:00 - 21:00</v>
          </cell>
          <cell r="F377" t="str">
            <v>TARDE</v>
          </cell>
          <cell r="G377" t="str">
            <v>SAB Y DOM</v>
          </cell>
          <cell r="H377" t="str">
            <v>GOMEZ, AYLEN MILAGROS</v>
          </cell>
          <cell r="I377" t="str">
            <v>Romandetto Carlos</v>
          </cell>
          <cell r="J377" t="str">
            <v>x</v>
          </cell>
          <cell r="K377"/>
          <cell r="L377" t="str">
            <v>x</v>
          </cell>
          <cell r="M377" t="str">
            <v>x</v>
          </cell>
          <cell r="N377" t="str">
            <v>x</v>
          </cell>
          <cell r="O377"/>
          <cell r="P377"/>
          <cell r="Q377"/>
          <cell r="R377"/>
          <cell r="S377"/>
          <cell r="T377"/>
          <cell r="U377"/>
          <cell r="V377"/>
          <cell r="W377"/>
          <cell r="X377"/>
          <cell r="Y377"/>
          <cell r="Z377"/>
          <cell r="AA377"/>
          <cell r="AB377"/>
          <cell r="AC377"/>
          <cell r="AD377"/>
          <cell r="AE377"/>
          <cell r="AF377"/>
          <cell r="AG377"/>
          <cell r="AH377"/>
          <cell r="AI377"/>
          <cell r="AJ377"/>
          <cell r="AK377"/>
          <cell r="AL377"/>
          <cell r="AM377"/>
          <cell r="AN377"/>
          <cell r="AO377"/>
          <cell r="AP377"/>
          <cell r="AQ377">
            <v>45492</v>
          </cell>
          <cell r="AR377">
            <v>75</v>
          </cell>
          <cell r="AS377">
            <v>45534</v>
          </cell>
          <cell r="AT377">
            <v>33</v>
          </cell>
          <cell r="AU377" t="str">
            <v>VMAJOOLM</v>
          </cell>
        </row>
        <row r="378">
          <cell r="C378">
            <v>606159</v>
          </cell>
          <cell r="D378" t="str">
            <v>MEDINA LUCCITELLI MORENA LUANA</v>
          </cell>
          <cell r="E378" t="str">
            <v>15:00 - 21:00</v>
          </cell>
          <cell r="F378" t="str">
            <v>TARDE</v>
          </cell>
          <cell r="G378" t="str">
            <v>SAB Y DOM</v>
          </cell>
          <cell r="H378" t="str">
            <v>GOMEZ, AYLEN MILAGROS</v>
          </cell>
          <cell r="I378" t="str">
            <v>Romandetto Carlos</v>
          </cell>
          <cell r="J378" t="str">
            <v>x</v>
          </cell>
          <cell r="K378"/>
          <cell r="L378" t="str">
            <v>x</v>
          </cell>
          <cell r="M378" t="str">
            <v>x</v>
          </cell>
          <cell r="N378" t="str">
            <v>x</v>
          </cell>
          <cell r="O378"/>
          <cell r="P378"/>
          <cell r="Q378"/>
          <cell r="R378"/>
          <cell r="S378"/>
          <cell r="T378"/>
          <cell r="U378"/>
          <cell r="V378"/>
          <cell r="W378"/>
          <cell r="X378"/>
          <cell r="Y378"/>
          <cell r="Z378"/>
          <cell r="AA378"/>
          <cell r="AB378"/>
          <cell r="AC378"/>
          <cell r="AD378"/>
          <cell r="AE378"/>
          <cell r="AF378"/>
          <cell r="AG378"/>
          <cell r="AH378"/>
          <cell r="AI378"/>
          <cell r="AJ378"/>
          <cell r="AK378"/>
          <cell r="AL378"/>
          <cell r="AM378"/>
          <cell r="AN378"/>
          <cell r="AO378"/>
          <cell r="AP378"/>
          <cell r="AQ378">
            <v>45492</v>
          </cell>
          <cell r="AR378">
            <v>75</v>
          </cell>
          <cell r="AS378">
            <v>45534</v>
          </cell>
          <cell r="AT378">
            <v>33</v>
          </cell>
          <cell r="AU378" t="str">
            <v>VMATOAGU</v>
          </cell>
        </row>
        <row r="379">
          <cell r="C379">
            <v>606690</v>
          </cell>
          <cell r="D379" t="str">
            <v>PERALTA LARA PATRICIA</v>
          </cell>
          <cell r="E379" t="str">
            <v>09:00 - 15:00</v>
          </cell>
          <cell r="F379" t="str">
            <v>MAÑANA</v>
          </cell>
          <cell r="G379" t="str">
            <v>SAB Y DOM</v>
          </cell>
          <cell r="H379" t="str">
            <v>SUPERVISOR, POSTCURSO CSV 1</v>
          </cell>
          <cell r="I379" t="str">
            <v>-</v>
          </cell>
          <cell r="J379" t="str">
            <v>x</v>
          </cell>
          <cell r="K379"/>
          <cell r="L379" t="str">
            <v>x</v>
          </cell>
          <cell r="M379" t="str">
            <v>x</v>
          </cell>
          <cell r="N379" t="str">
            <v>x</v>
          </cell>
          <cell r="O379"/>
          <cell r="P379"/>
          <cell r="Q379"/>
          <cell r="R379"/>
          <cell r="S379"/>
          <cell r="T379"/>
          <cell r="U379"/>
          <cell r="V379"/>
          <cell r="W379"/>
          <cell r="X379"/>
          <cell r="Y379"/>
          <cell r="Z379"/>
          <cell r="AA379"/>
          <cell r="AB379"/>
          <cell r="AC379"/>
          <cell r="AD379"/>
          <cell r="AE379"/>
          <cell r="AF379"/>
          <cell r="AG379"/>
          <cell r="AH379"/>
          <cell r="AI379"/>
          <cell r="AJ379"/>
          <cell r="AK379"/>
          <cell r="AL379"/>
          <cell r="AM379"/>
          <cell r="AN379"/>
          <cell r="AO379"/>
          <cell r="AP379"/>
          <cell r="AQ379">
            <v>45492</v>
          </cell>
          <cell r="AR379">
            <v>75</v>
          </cell>
          <cell r="AS379">
            <v>45534</v>
          </cell>
          <cell r="AT379">
            <v>33</v>
          </cell>
          <cell r="AU379" t="str">
            <v>VMALAPER</v>
          </cell>
        </row>
        <row r="380">
          <cell r="C380">
            <v>606692</v>
          </cell>
          <cell r="D380" t="str">
            <v>SMITH MATIAS EZEQUIEL</v>
          </cell>
          <cell r="E380" t="str">
            <v>09:00 - 15:00</v>
          </cell>
          <cell r="F380" t="str">
            <v>MAÑANA</v>
          </cell>
          <cell r="G380" t="str">
            <v>SAB Y DOM</v>
          </cell>
          <cell r="H380" t="str">
            <v>RUIZ, TOMAS EMANUEL</v>
          </cell>
          <cell r="I380" t="str">
            <v>Romandetto Carlos</v>
          </cell>
          <cell r="J380" t="str">
            <v>x</v>
          </cell>
          <cell r="K380"/>
          <cell r="L380" t="str">
            <v>x</v>
          </cell>
          <cell r="M380" t="str">
            <v>x</v>
          </cell>
          <cell r="N380" t="str">
            <v>x</v>
          </cell>
          <cell r="O380"/>
          <cell r="P380"/>
          <cell r="Q380"/>
          <cell r="R380"/>
          <cell r="S380"/>
          <cell r="T380"/>
          <cell r="U380"/>
          <cell r="V380"/>
          <cell r="W380"/>
          <cell r="X380"/>
          <cell r="Y380"/>
          <cell r="Z380"/>
          <cell r="AA380"/>
          <cell r="AB380"/>
          <cell r="AC380"/>
          <cell r="AD380"/>
          <cell r="AE380"/>
          <cell r="AF380"/>
          <cell r="AG380"/>
          <cell r="AH380"/>
          <cell r="AI380"/>
          <cell r="AJ380"/>
          <cell r="AK380"/>
          <cell r="AL380"/>
          <cell r="AM380"/>
          <cell r="AN380"/>
          <cell r="AO380"/>
          <cell r="AP380"/>
          <cell r="AQ380">
            <v>45492</v>
          </cell>
          <cell r="AR380">
            <v>75</v>
          </cell>
          <cell r="AS380">
            <v>45534</v>
          </cell>
          <cell r="AT380">
            <v>33</v>
          </cell>
          <cell r="AU380" t="str">
            <v>VMAMASMI</v>
          </cell>
        </row>
        <row r="381">
          <cell r="C381">
            <v>606693</v>
          </cell>
          <cell r="D381" t="str">
            <v>GAMPER BRENDA NICOLE</v>
          </cell>
          <cell r="E381" t="str">
            <v>09:00 - 15:00</v>
          </cell>
          <cell r="F381" t="str">
            <v>MAÑANA</v>
          </cell>
          <cell r="G381" t="str">
            <v>SAB Y DOM</v>
          </cell>
          <cell r="H381" t="str">
            <v>VILLALBA, VICTORIA</v>
          </cell>
          <cell r="I381" t="str">
            <v>Romandetto Carlos</v>
          </cell>
          <cell r="J381" t="str">
            <v>x</v>
          </cell>
          <cell r="K381"/>
          <cell r="L381" t="str">
            <v>x</v>
          </cell>
          <cell r="M381" t="str">
            <v>x</v>
          </cell>
          <cell r="N381" t="str">
            <v>x</v>
          </cell>
          <cell r="O381"/>
          <cell r="P381"/>
          <cell r="Q381"/>
          <cell r="R381"/>
          <cell r="S381"/>
          <cell r="T381"/>
          <cell r="U381"/>
          <cell r="V381"/>
          <cell r="W381"/>
          <cell r="X381"/>
          <cell r="Y381"/>
          <cell r="Z381"/>
          <cell r="AA381"/>
          <cell r="AB381"/>
          <cell r="AC381"/>
          <cell r="AD381"/>
          <cell r="AE381"/>
          <cell r="AF381"/>
          <cell r="AG381"/>
          <cell r="AH381"/>
          <cell r="AI381"/>
          <cell r="AJ381"/>
          <cell r="AK381"/>
          <cell r="AL381"/>
          <cell r="AM381"/>
          <cell r="AN381"/>
          <cell r="AO381"/>
          <cell r="AP381"/>
          <cell r="AQ381">
            <v>45492</v>
          </cell>
          <cell r="AR381">
            <v>75</v>
          </cell>
          <cell r="AS381">
            <v>45534</v>
          </cell>
          <cell r="AT381">
            <v>33</v>
          </cell>
          <cell r="AU381" t="str">
            <v>VMABRGAM</v>
          </cell>
        </row>
        <row r="382">
          <cell r="C382">
            <v>606698</v>
          </cell>
          <cell r="D382" t="str">
            <v>CONSLIE ANA PAULA</v>
          </cell>
          <cell r="E382" t="str">
            <v>14:00 - 20:00</v>
          </cell>
          <cell r="F382" t="str">
            <v>TARDE</v>
          </cell>
          <cell r="G382" t="str">
            <v>SAB Y DOM</v>
          </cell>
          <cell r="H382" t="str">
            <v>SOLER, SANTIAGO MAXIMILIANO</v>
          </cell>
          <cell r="I382" t="str">
            <v>Romandetto Carlos</v>
          </cell>
          <cell r="J382" t="str">
            <v>x</v>
          </cell>
          <cell r="K382"/>
          <cell r="L382" t="str">
            <v>x</v>
          </cell>
          <cell r="M382" t="str">
            <v>x</v>
          </cell>
          <cell r="N382" t="str">
            <v>x</v>
          </cell>
          <cell r="O382"/>
          <cell r="P382"/>
          <cell r="Q382"/>
          <cell r="R382"/>
          <cell r="S382"/>
          <cell r="T382"/>
          <cell r="U382"/>
          <cell r="V382"/>
          <cell r="W382"/>
          <cell r="X382"/>
          <cell r="Y382"/>
          <cell r="Z382"/>
          <cell r="AA382"/>
          <cell r="AB382"/>
          <cell r="AC382"/>
          <cell r="AD382"/>
          <cell r="AE382"/>
          <cell r="AF382"/>
          <cell r="AG382"/>
          <cell r="AH382"/>
          <cell r="AI382"/>
          <cell r="AJ382"/>
          <cell r="AK382"/>
          <cell r="AL382"/>
          <cell r="AM382"/>
          <cell r="AN382"/>
          <cell r="AO382"/>
          <cell r="AP382"/>
          <cell r="AQ382">
            <v>45525</v>
          </cell>
          <cell r="AR382">
            <v>42</v>
          </cell>
          <cell r="AS382">
            <v>45565</v>
          </cell>
          <cell r="AT382">
            <v>2</v>
          </cell>
          <cell r="AU382" t="str">
            <v>VMAANCON</v>
          </cell>
        </row>
        <row r="383">
          <cell r="C383">
            <v>606696</v>
          </cell>
          <cell r="D383" t="str">
            <v>GOMEZ MELINA NATALY</v>
          </cell>
          <cell r="E383" t="str">
            <v>14:00 - 20:00</v>
          </cell>
          <cell r="F383" t="str">
            <v>TARDE</v>
          </cell>
          <cell r="G383" t="str">
            <v>SAB Y DOM</v>
          </cell>
          <cell r="H383" t="str">
            <v>SOLER, SANTIAGO MAXIMILIANO</v>
          </cell>
          <cell r="I383" t="str">
            <v>Romandetto Carlos</v>
          </cell>
          <cell r="J383" t="str">
            <v>x</v>
          </cell>
          <cell r="K383"/>
          <cell r="L383" t="str">
            <v>x</v>
          </cell>
          <cell r="M383" t="str">
            <v>x</v>
          </cell>
          <cell r="N383" t="str">
            <v>x</v>
          </cell>
          <cell r="O383"/>
          <cell r="P383"/>
          <cell r="Q383"/>
          <cell r="R383"/>
          <cell r="S383"/>
          <cell r="T383"/>
          <cell r="U383"/>
          <cell r="V383"/>
          <cell r="W383"/>
          <cell r="X383"/>
          <cell r="Y383"/>
          <cell r="Z383"/>
          <cell r="AA383"/>
          <cell r="AB383"/>
          <cell r="AC383"/>
          <cell r="AD383"/>
          <cell r="AE383"/>
          <cell r="AF383"/>
          <cell r="AG383"/>
          <cell r="AH383"/>
          <cell r="AI383"/>
          <cell r="AJ383"/>
          <cell r="AK383"/>
          <cell r="AL383"/>
          <cell r="AM383"/>
          <cell r="AN383"/>
          <cell r="AO383"/>
          <cell r="AP383"/>
          <cell r="AQ383">
            <v>45525</v>
          </cell>
          <cell r="AR383">
            <v>42</v>
          </cell>
          <cell r="AS383">
            <v>45565</v>
          </cell>
          <cell r="AT383">
            <v>2</v>
          </cell>
          <cell r="AU383" t="str">
            <v>VMAMEGOM</v>
          </cell>
        </row>
        <row r="384">
          <cell r="C384">
            <v>606733</v>
          </cell>
          <cell r="D384" t="str">
            <v>AVILA TIARA VALENTINA</v>
          </cell>
          <cell r="E384" t="str">
            <v>10:00 - 16:00</v>
          </cell>
          <cell r="F384" t="str">
            <v>MAÑANA</v>
          </cell>
          <cell r="G384" t="str">
            <v>SAB Y DOM</v>
          </cell>
          <cell r="H384" t="str">
            <v>VILLALBA, MAITEN</v>
          </cell>
          <cell r="I384" t="str">
            <v>Romandetto Carlos</v>
          </cell>
          <cell r="J384" t="str">
            <v>x</v>
          </cell>
          <cell r="K384"/>
          <cell r="L384" t="str">
            <v>x</v>
          </cell>
          <cell r="M384" t="str">
            <v>x</v>
          </cell>
          <cell r="N384" t="str">
            <v>x</v>
          </cell>
          <cell r="O384"/>
          <cell r="P384"/>
          <cell r="Q384"/>
          <cell r="R384"/>
          <cell r="S384"/>
          <cell r="T384"/>
          <cell r="U384"/>
          <cell r="V384"/>
          <cell r="W384"/>
          <cell r="X384"/>
          <cell r="Y384"/>
          <cell r="Z384"/>
          <cell r="AA384"/>
          <cell r="AB384"/>
          <cell r="AC384"/>
          <cell r="AD384"/>
          <cell r="AE384"/>
          <cell r="AF384"/>
          <cell r="AG384"/>
          <cell r="AH384"/>
          <cell r="AI384"/>
          <cell r="AJ384"/>
          <cell r="AK384"/>
          <cell r="AL384"/>
          <cell r="AM384"/>
          <cell r="AN384"/>
          <cell r="AO384"/>
          <cell r="AP384"/>
          <cell r="AQ384">
            <v>45525</v>
          </cell>
          <cell r="AR384">
            <v>42</v>
          </cell>
          <cell r="AS384">
            <v>45565</v>
          </cell>
          <cell r="AT384">
            <v>2</v>
          </cell>
          <cell r="AU384" t="str">
            <v>VMAVAAVI</v>
          </cell>
        </row>
        <row r="385">
          <cell r="C385">
            <v>606721</v>
          </cell>
          <cell r="D385" t="str">
            <v>GARCIA DANIEL JESUS</v>
          </cell>
          <cell r="E385" t="str">
            <v>09:00 - 15:00</v>
          </cell>
          <cell r="F385" t="str">
            <v>MAÑANA</v>
          </cell>
          <cell r="G385" t="str">
            <v>SAB Y DOM</v>
          </cell>
          <cell r="H385" t="str">
            <v>DIAZ, PAULA</v>
          </cell>
          <cell r="I385" t="str">
            <v>Romandetto Carlos</v>
          </cell>
          <cell r="J385" t="str">
            <v>x</v>
          </cell>
          <cell r="K385"/>
          <cell r="L385" t="str">
            <v>x</v>
          </cell>
          <cell r="M385" t="str">
            <v>x</v>
          </cell>
          <cell r="N385" t="str">
            <v>x</v>
          </cell>
          <cell r="O385"/>
          <cell r="P385"/>
          <cell r="Q385"/>
          <cell r="R385"/>
          <cell r="S385"/>
          <cell r="T385"/>
          <cell r="U385"/>
          <cell r="V385"/>
          <cell r="W385"/>
          <cell r="X385"/>
          <cell r="Y385"/>
          <cell r="Z385"/>
          <cell r="AA385"/>
          <cell r="AB385"/>
          <cell r="AC385"/>
          <cell r="AD385"/>
          <cell r="AE385"/>
          <cell r="AF385"/>
          <cell r="AG385"/>
          <cell r="AH385"/>
          <cell r="AI385"/>
          <cell r="AJ385"/>
          <cell r="AK385"/>
          <cell r="AL385"/>
          <cell r="AM385"/>
          <cell r="AN385"/>
          <cell r="AO385"/>
          <cell r="AP385"/>
          <cell r="AQ385">
            <v>45525</v>
          </cell>
          <cell r="AR385">
            <v>42</v>
          </cell>
          <cell r="AS385">
            <v>45565</v>
          </cell>
          <cell r="AT385">
            <v>2</v>
          </cell>
          <cell r="AU385" t="str">
            <v>VMADAGAR</v>
          </cell>
        </row>
        <row r="386">
          <cell r="C386">
            <v>606723</v>
          </cell>
          <cell r="D386" t="str">
            <v>DOMINGUEZ MAYRA</v>
          </cell>
          <cell r="E386" t="str">
            <v>09:00 - 15:00</v>
          </cell>
          <cell r="F386" t="str">
            <v>MAÑANA</v>
          </cell>
          <cell r="G386" t="str">
            <v>SAB Y DOM</v>
          </cell>
          <cell r="H386" t="str">
            <v>ROBLEDO, LEANDRO JAVIER</v>
          </cell>
          <cell r="I386" t="str">
            <v>Romandetto Carlos</v>
          </cell>
          <cell r="J386" t="str">
            <v>x</v>
          </cell>
          <cell r="K386"/>
          <cell r="L386" t="str">
            <v>x</v>
          </cell>
          <cell r="M386" t="str">
            <v>x</v>
          </cell>
          <cell r="N386" t="str">
            <v>x</v>
          </cell>
          <cell r="O386"/>
          <cell r="P386"/>
          <cell r="Q386"/>
          <cell r="R386"/>
          <cell r="S386"/>
          <cell r="T386"/>
          <cell r="U386"/>
          <cell r="V386"/>
          <cell r="W386"/>
          <cell r="X386"/>
          <cell r="Y386"/>
          <cell r="Z386"/>
          <cell r="AA386"/>
          <cell r="AB386"/>
          <cell r="AC386"/>
          <cell r="AD386"/>
          <cell r="AE386"/>
          <cell r="AF386"/>
          <cell r="AG386"/>
          <cell r="AH386"/>
          <cell r="AI386"/>
          <cell r="AJ386"/>
          <cell r="AK386"/>
          <cell r="AL386"/>
          <cell r="AM386"/>
          <cell r="AN386"/>
          <cell r="AO386"/>
          <cell r="AP386"/>
          <cell r="AQ386">
            <v>45525</v>
          </cell>
          <cell r="AR386">
            <v>42</v>
          </cell>
          <cell r="AS386">
            <v>45565</v>
          </cell>
          <cell r="AT386">
            <v>2</v>
          </cell>
          <cell r="AU386" t="str">
            <v>VMAMADOM</v>
          </cell>
        </row>
        <row r="387">
          <cell r="C387">
            <v>606736</v>
          </cell>
          <cell r="D387" t="str">
            <v>GOTTSCHLICH CAMILA</v>
          </cell>
          <cell r="E387" t="str">
            <v>14:00 - 20:00</v>
          </cell>
          <cell r="F387" t="str">
            <v>TARDE</v>
          </cell>
          <cell r="G387" t="str">
            <v>SAB Y DOM</v>
          </cell>
          <cell r="H387" t="str">
            <v>ROJAS, LUCAS</v>
          </cell>
          <cell r="I387" t="str">
            <v>Romandetto Carlos</v>
          </cell>
          <cell r="J387" t="str">
            <v>x</v>
          </cell>
          <cell r="K387"/>
          <cell r="L387" t="str">
            <v>x</v>
          </cell>
          <cell r="M387" t="str">
            <v>x</v>
          </cell>
          <cell r="N387" t="str">
            <v>x</v>
          </cell>
          <cell r="O387"/>
          <cell r="P387"/>
          <cell r="Q387"/>
          <cell r="R387"/>
          <cell r="S387"/>
          <cell r="T387"/>
          <cell r="U387"/>
          <cell r="V387"/>
          <cell r="W387"/>
          <cell r="X387"/>
          <cell r="Y387"/>
          <cell r="Z387"/>
          <cell r="AA387"/>
          <cell r="AB387"/>
          <cell r="AC387"/>
          <cell r="AD387"/>
          <cell r="AE387"/>
          <cell r="AF387"/>
          <cell r="AG387"/>
          <cell r="AH387"/>
          <cell r="AI387"/>
          <cell r="AJ387"/>
          <cell r="AK387"/>
          <cell r="AL387"/>
          <cell r="AM387"/>
          <cell r="AN387"/>
          <cell r="AO387"/>
          <cell r="AP387"/>
          <cell r="AQ387">
            <v>45525</v>
          </cell>
          <cell r="AR387">
            <v>42</v>
          </cell>
          <cell r="AS387">
            <v>45565</v>
          </cell>
          <cell r="AT387">
            <v>2</v>
          </cell>
          <cell r="AU387" t="str">
            <v>VMACAGOT</v>
          </cell>
        </row>
        <row r="388">
          <cell r="C388">
            <v>606737</v>
          </cell>
          <cell r="D388" t="str">
            <v>ALFONSO IVAN OMAR</v>
          </cell>
          <cell r="E388" t="str">
            <v>14:00 - 20:00</v>
          </cell>
          <cell r="F388" t="str">
            <v>TARDE</v>
          </cell>
          <cell r="G388" t="str">
            <v>SAB Y DOM</v>
          </cell>
          <cell r="H388" t="str">
            <v>ROJAS, LUCAS</v>
          </cell>
          <cell r="I388" t="str">
            <v>Romandetto Carlos</v>
          </cell>
          <cell r="J388" t="str">
            <v>x</v>
          </cell>
          <cell r="K388"/>
          <cell r="L388" t="str">
            <v>x</v>
          </cell>
          <cell r="M388" t="str">
            <v>x</v>
          </cell>
          <cell r="N388" t="str">
            <v>x</v>
          </cell>
          <cell r="O388"/>
          <cell r="P388"/>
          <cell r="Q388"/>
          <cell r="R388"/>
          <cell r="S388"/>
          <cell r="T388"/>
          <cell r="U388"/>
          <cell r="V388"/>
          <cell r="W388"/>
          <cell r="X388"/>
          <cell r="Y388"/>
          <cell r="Z388"/>
          <cell r="AA388"/>
          <cell r="AB388"/>
          <cell r="AC388"/>
          <cell r="AD388"/>
          <cell r="AE388"/>
          <cell r="AF388"/>
          <cell r="AG388"/>
          <cell r="AH388"/>
          <cell r="AI388"/>
          <cell r="AJ388"/>
          <cell r="AK388"/>
          <cell r="AL388"/>
          <cell r="AM388"/>
          <cell r="AN388"/>
          <cell r="AO388"/>
          <cell r="AP388"/>
          <cell r="AQ388">
            <v>45525</v>
          </cell>
          <cell r="AR388">
            <v>42</v>
          </cell>
          <cell r="AS388">
            <v>45565</v>
          </cell>
          <cell r="AT388">
            <v>2</v>
          </cell>
          <cell r="AU388" t="str">
            <v>VMAIVALF</v>
          </cell>
        </row>
        <row r="389">
          <cell r="C389">
            <v>606738</v>
          </cell>
          <cell r="D389" t="str">
            <v>PAZDERA ALDANA SOLEDAD</v>
          </cell>
          <cell r="E389" t="str">
            <v>14:00 - 20:00</v>
          </cell>
          <cell r="F389" t="str">
            <v>TARDE</v>
          </cell>
          <cell r="G389" t="str">
            <v>SAB Y DOM</v>
          </cell>
          <cell r="H389" t="str">
            <v>SOLER, SANTIAGO MAXIMILIANO</v>
          </cell>
          <cell r="I389" t="str">
            <v>Romandetto Carlos</v>
          </cell>
          <cell r="J389" t="str">
            <v>x</v>
          </cell>
          <cell r="K389"/>
          <cell r="L389" t="str">
            <v>x</v>
          </cell>
          <cell r="M389" t="str">
            <v>x</v>
          </cell>
          <cell r="N389" t="str">
            <v>x</v>
          </cell>
          <cell r="O389"/>
          <cell r="P389"/>
          <cell r="Q389"/>
          <cell r="R389"/>
          <cell r="S389"/>
          <cell r="T389"/>
          <cell r="U389"/>
          <cell r="V389"/>
          <cell r="W389"/>
          <cell r="X389"/>
          <cell r="Y389"/>
          <cell r="Z389"/>
          <cell r="AA389"/>
          <cell r="AB389"/>
          <cell r="AC389"/>
          <cell r="AD389"/>
          <cell r="AE389"/>
          <cell r="AF389"/>
          <cell r="AG389"/>
          <cell r="AH389"/>
          <cell r="AI389"/>
          <cell r="AJ389"/>
          <cell r="AK389"/>
          <cell r="AL389"/>
          <cell r="AM389"/>
          <cell r="AN389"/>
          <cell r="AO389"/>
          <cell r="AP389"/>
          <cell r="AQ389">
            <v>45525</v>
          </cell>
          <cell r="AR389">
            <v>42</v>
          </cell>
          <cell r="AS389">
            <v>45565</v>
          </cell>
          <cell r="AT389">
            <v>2</v>
          </cell>
          <cell r="AU389" t="str">
            <v>VMAALPAZ</v>
          </cell>
        </row>
        <row r="390">
          <cell r="C390">
            <v>606703</v>
          </cell>
          <cell r="D390" t="str">
            <v>MANGIONE LUCAS NICOLAS</v>
          </cell>
          <cell r="E390" t="str">
            <v>15:00 - 21:00</v>
          </cell>
          <cell r="F390" t="str">
            <v>TARDE</v>
          </cell>
          <cell r="G390" t="str">
            <v>SAB Y DOM</v>
          </cell>
          <cell r="H390" t="str">
            <v>GARZON, ROCIO BELEN</v>
          </cell>
          <cell r="I390" t="str">
            <v>Romandetto Carlos</v>
          </cell>
          <cell r="J390" t="str">
            <v>x</v>
          </cell>
          <cell r="K390"/>
          <cell r="L390" t="str">
            <v>x</v>
          </cell>
          <cell r="M390" t="str">
            <v>x</v>
          </cell>
          <cell r="N390" t="str">
            <v>x</v>
          </cell>
          <cell r="O390"/>
          <cell r="P390"/>
          <cell r="Q390"/>
          <cell r="R390"/>
          <cell r="S390"/>
          <cell r="T390"/>
          <cell r="U390"/>
          <cell r="V390"/>
          <cell r="W390"/>
          <cell r="X390"/>
          <cell r="Y390"/>
          <cell r="Z390"/>
          <cell r="AA390"/>
          <cell r="AB390"/>
          <cell r="AC390"/>
          <cell r="AD390"/>
          <cell r="AE390"/>
          <cell r="AF390"/>
          <cell r="AG390"/>
          <cell r="AH390"/>
          <cell r="AI390"/>
          <cell r="AJ390"/>
          <cell r="AK390"/>
          <cell r="AL390"/>
          <cell r="AM390"/>
          <cell r="AN390"/>
          <cell r="AO390"/>
          <cell r="AP390"/>
          <cell r="AQ390">
            <v>45525</v>
          </cell>
          <cell r="AR390">
            <v>42</v>
          </cell>
          <cell r="AS390">
            <v>45565</v>
          </cell>
          <cell r="AT390">
            <v>2</v>
          </cell>
          <cell r="AU390" t="str">
            <v>VMALUMAN</v>
          </cell>
        </row>
        <row r="391">
          <cell r="C391">
            <v>606707</v>
          </cell>
          <cell r="D391" t="str">
            <v>MUÑOZ CLAVIJO DAVID STIVEN</v>
          </cell>
          <cell r="E391" t="str">
            <v>18:00 - 00:00</v>
          </cell>
          <cell r="F391" t="str">
            <v>NOCHE</v>
          </cell>
          <cell r="G391" t="str">
            <v>SAB Y DOM</v>
          </cell>
          <cell r="H391" t="str">
            <v>MIR, TOMAS MAURICIO</v>
          </cell>
          <cell r="I391" t="str">
            <v>Romandetto Carlos</v>
          </cell>
          <cell r="J391" t="str">
            <v>x</v>
          </cell>
          <cell r="K391"/>
          <cell r="L391" t="str">
            <v>x</v>
          </cell>
          <cell r="M391" t="str">
            <v>x</v>
          </cell>
          <cell r="N391" t="str">
            <v>x</v>
          </cell>
          <cell r="O391"/>
          <cell r="P391"/>
          <cell r="Q391"/>
          <cell r="R391"/>
          <cell r="S391"/>
          <cell r="T391"/>
          <cell r="U391"/>
          <cell r="V391"/>
          <cell r="W391"/>
          <cell r="X391"/>
          <cell r="Y391"/>
          <cell r="Z391"/>
          <cell r="AA391"/>
          <cell r="AB391"/>
          <cell r="AC391"/>
          <cell r="AD391"/>
          <cell r="AE391"/>
          <cell r="AF391"/>
          <cell r="AG391"/>
          <cell r="AH391"/>
          <cell r="AI391"/>
          <cell r="AJ391"/>
          <cell r="AK391"/>
          <cell r="AL391"/>
          <cell r="AM391"/>
          <cell r="AN391"/>
          <cell r="AO391"/>
          <cell r="AP391"/>
          <cell r="AQ391">
            <v>45525</v>
          </cell>
          <cell r="AR391">
            <v>42</v>
          </cell>
          <cell r="AS391">
            <v>45565</v>
          </cell>
          <cell r="AT391">
            <v>2</v>
          </cell>
          <cell r="AU391" t="str">
            <v>VMADAMUN</v>
          </cell>
        </row>
        <row r="392">
          <cell r="C392">
            <v>606708</v>
          </cell>
          <cell r="D392" t="str">
            <v>VELIZ MARIANA GABRIELA</v>
          </cell>
          <cell r="E392" t="str">
            <v>18:00 - 00:00</v>
          </cell>
          <cell r="F392" t="str">
            <v>NOCHE</v>
          </cell>
          <cell r="G392" t="str">
            <v>SAB Y DOM</v>
          </cell>
          <cell r="H392" t="str">
            <v>MIR, TOMAS MAURICIO</v>
          </cell>
          <cell r="I392" t="str">
            <v>Romandetto Carlos</v>
          </cell>
          <cell r="J392" t="str">
            <v>x</v>
          </cell>
          <cell r="K392"/>
          <cell r="L392" t="str">
            <v>x</v>
          </cell>
          <cell r="M392" t="str">
            <v>x</v>
          </cell>
          <cell r="N392" t="str">
            <v>x</v>
          </cell>
          <cell r="O392"/>
          <cell r="P392"/>
          <cell r="Q392"/>
          <cell r="R392"/>
          <cell r="S392"/>
          <cell r="T392"/>
          <cell r="U392"/>
          <cell r="V392"/>
          <cell r="W392"/>
          <cell r="X392"/>
          <cell r="Y392"/>
          <cell r="Z392"/>
          <cell r="AA392"/>
          <cell r="AB392"/>
          <cell r="AC392"/>
          <cell r="AD392"/>
          <cell r="AE392"/>
          <cell r="AF392"/>
          <cell r="AG392"/>
          <cell r="AH392"/>
          <cell r="AI392"/>
          <cell r="AJ392"/>
          <cell r="AK392"/>
          <cell r="AL392"/>
          <cell r="AM392"/>
          <cell r="AN392"/>
          <cell r="AO392"/>
          <cell r="AP392"/>
          <cell r="AQ392">
            <v>45525</v>
          </cell>
          <cell r="AR392">
            <v>42</v>
          </cell>
          <cell r="AS392">
            <v>45565</v>
          </cell>
          <cell r="AT392">
            <v>2</v>
          </cell>
          <cell r="AU392" t="str">
            <v>VMAMAVEL</v>
          </cell>
        </row>
        <row r="393">
          <cell r="C393">
            <v>606709</v>
          </cell>
          <cell r="D393" t="str">
            <v>GUTIERREZ TOBIAS ANDRES</v>
          </cell>
          <cell r="E393" t="str">
            <v>18:00 - 00:00</v>
          </cell>
          <cell r="F393" t="str">
            <v>NOCHE</v>
          </cell>
          <cell r="G393" t="str">
            <v>SAB Y DOM</v>
          </cell>
          <cell r="H393" t="str">
            <v>MIR, TOMAS MAURICIO</v>
          </cell>
          <cell r="I393" t="str">
            <v>Romandetto Carlos</v>
          </cell>
          <cell r="J393" t="str">
            <v>x</v>
          </cell>
          <cell r="K393"/>
          <cell r="L393" t="str">
            <v>x</v>
          </cell>
          <cell r="M393" t="str">
            <v>x</v>
          </cell>
          <cell r="N393" t="str">
            <v>x</v>
          </cell>
          <cell r="O393"/>
          <cell r="P393"/>
          <cell r="Q393"/>
          <cell r="R393"/>
          <cell r="S393"/>
          <cell r="T393"/>
          <cell r="U393"/>
          <cell r="V393"/>
          <cell r="W393"/>
          <cell r="X393"/>
          <cell r="Y393"/>
          <cell r="Z393"/>
          <cell r="AA393"/>
          <cell r="AB393"/>
          <cell r="AC393"/>
          <cell r="AD393"/>
          <cell r="AE393"/>
          <cell r="AF393"/>
          <cell r="AG393"/>
          <cell r="AH393"/>
          <cell r="AI393"/>
          <cell r="AJ393"/>
          <cell r="AK393"/>
          <cell r="AL393"/>
          <cell r="AM393"/>
          <cell r="AN393"/>
          <cell r="AO393"/>
          <cell r="AP393"/>
          <cell r="AQ393">
            <v>45525</v>
          </cell>
          <cell r="AR393">
            <v>42</v>
          </cell>
          <cell r="AS393">
            <v>45565</v>
          </cell>
          <cell r="AT393">
            <v>2</v>
          </cell>
          <cell r="AU393" t="str">
            <v>VMATOGUT</v>
          </cell>
        </row>
        <row r="394">
          <cell r="C394">
            <v>606712</v>
          </cell>
          <cell r="D394" t="str">
            <v>SOSA OSCAR RICARDO</v>
          </cell>
          <cell r="E394" t="str">
            <v>18:00 - 00:00</v>
          </cell>
          <cell r="F394" t="str">
            <v>NOCHE</v>
          </cell>
          <cell r="G394" t="str">
            <v>SAB Y DOM</v>
          </cell>
          <cell r="H394" t="str">
            <v>MIR, TOMAS MAURICIO</v>
          </cell>
          <cell r="I394" t="str">
            <v>Romandetto Carlos</v>
          </cell>
          <cell r="J394" t="str">
            <v>x</v>
          </cell>
          <cell r="K394"/>
          <cell r="L394" t="str">
            <v>x</v>
          </cell>
          <cell r="M394" t="str">
            <v>x</v>
          </cell>
          <cell r="N394" t="str">
            <v>x</v>
          </cell>
          <cell r="O394"/>
          <cell r="P394"/>
          <cell r="Q394"/>
          <cell r="R394"/>
          <cell r="S394"/>
          <cell r="T394"/>
          <cell r="U394"/>
          <cell r="V394"/>
          <cell r="W394"/>
          <cell r="X394"/>
          <cell r="Y394"/>
          <cell r="Z394"/>
          <cell r="AA394"/>
          <cell r="AB394"/>
          <cell r="AC394"/>
          <cell r="AD394"/>
          <cell r="AE394"/>
          <cell r="AF394"/>
          <cell r="AG394"/>
          <cell r="AH394"/>
          <cell r="AI394"/>
          <cell r="AJ394"/>
          <cell r="AK394"/>
          <cell r="AL394"/>
          <cell r="AM394"/>
          <cell r="AN394"/>
          <cell r="AO394"/>
          <cell r="AP394"/>
          <cell r="AQ394">
            <v>45525</v>
          </cell>
          <cell r="AR394">
            <v>42</v>
          </cell>
          <cell r="AS394">
            <v>45565</v>
          </cell>
          <cell r="AT394">
            <v>2</v>
          </cell>
          <cell r="AU394" t="str">
            <v>VMARISOS</v>
          </cell>
        </row>
        <row r="395">
          <cell r="C395">
            <v>600535</v>
          </cell>
          <cell r="D395" t="str">
            <v>VILLALBA MALENA QUIMEY</v>
          </cell>
          <cell r="E395" t="str">
            <v>15:00 - 21:00</v>
          </cell>
          <cell r="F395" t="str">
            <v>TARDE</v>
          </cell>
          <cell r="G395" t="str">
            <v>SAB Y DOM</v>
          </cell>
          <cell r="H395" t="str">
            <v>YBARRA, LUCIA ALDANA</v>
          </cell>
          <cell r="I395" t="str">
            <v>Romandetto Carlos</v>
          </cell>
          <cell r="J395" t="str">
            <v>x</v>
          </cell>
          <cell r="K395"/>
          <cell r="L395" t="str">
            <v>x</v>
          </cell>
          <cell r="M395" t="str">
            <v>x</v>
          </cell>
          <cell r="N395" t="str">
            <v>x</v>
          </cell>
          <cell r="O395"/>
          <cell r="P395"/>
          <cell r="Q395"/>
          <cell r="R395"/>
          <cell r="S395"/>
          <cell r="T395"/>
          <cell r="U395"/>
          <cell r="V395"/>
          <cell r="W395"/>
          <cell r="X395"/>
          <cell r="Y395"/>
          <cell r="Z395"/>
          <cell r="AA395"/>
          <cell r="AB395"/>
          <cell r="AC395"/>
          <cell r="AD395"/>
          <cell r="AE395"/>
          <cell r="AF395"/>
          <cell r="AG395"/>
          <cell r="AH395"/>
          <cell r="AI395"/>
          <cell r="AJ395"/>
          <cell r="AK395"/>
          <cell r="AL395"/>
          <cell r="AM395"/>
          <cell r="AN395"/>
          <cell r="AO395"/>
          <cell r="AP395"/>
          <cell r="AQ395">
            <v>45525</v>
          </cell>
          <cell r="AR395">
            <v>42</v>
          </cell>
          <cell r="AS395">
            <v>45565</v>
          </cell>
          <cell r="AT395">
            <v>2</v>
          </cell>
          <cell r="AU395" t="str">
            <v>VMAMALVI</v>
          </cell>
        </row>
        <row r="396">
          <cell r="C396">
            <v>600534</v>
          </cell>
          <cell r="D396" t="str">
            <v>IRRAZABAL AXEL EMANUEL</v>
          </cell>
          <cell r="E396" t="str">
            <v>15:00 - 21:00</v>
          </cell>
          <cell r="F396" t="str">
            <v>TARDE</v>
          </cell>
          <cell r="G396" t="str">
            <v>SAB Y DOM</v>
          </cell>
          <cell r="H396" t="str">
            <v>GOMEZ, SASHA</v>
          </cell>
          <cell r="I396" t="str">
            <v>Romandetto Carlos</v>
          </cell>
          <cell r="J396" t="str">
            <v>x</v>
          </cell>
          <cell r="K396"/>
          <cell r="L396" t="str">
            <v>x</v>
          </cell>
          <cell r="M396" t="str">
            <v>x</v>
          </cell>
          <cell r="N396" t="str">
            <v>x</v>
          </cell>
          <cell r="O396"/>
          <cell r="P396"/>
          <cell r="Q396"/>
          <cell r="R396"/>
          <cell r="S396"/>
          <cell r="T396"/>
          <cell r="U396"/>
          <cell r="V396"/>
          <cell r="W396"/>
          <cell r="X396"/>
          <cell r="Y396"/>
          <cell r="Z396"/>
          <cell r="AA396"/>
          <cell r="AB396"/>
          <cell r="AC396"/>
          <cell r="AD396"/>
          <cell r="AE396"/>
          <cell r="AF396"/>
          <cell r="AG396"/>
          <cell r="AH396"/>
          <cell r="AI396"/>
          <cell r="AJ396"/>
          <cell r="AK396"/>
          <cell r="AL396"/>
          <cell r="AM396"/>
          <cell r="AN396"/>
          <cell r="AO396"/>
          <cell r="AP396"/>
          <cell r="AQ396">
            <v>45525</v>
          </cell>
          <cell r="AR396">
            <v>42</v>
          </cell>
          <cell r="AS396">
            <v>45565</v>
          </cell>
          <cell r="AT396">
            <v>2</v>
          </cell>
          <cell r="AU396" t="str">
            <v>VMAAXIRR</v>
          </cell>
        </row>
        <row r="397">
          <cell r="C397">
            <v>600536</v>
          </cell>
          <cell r="D397" t="str">
            <v>CENTURION GONZALEZ MELINA NOEMI</v>
          </cell>
          <cell r="E397" t="str">
            <v>15:00 - 21:00</v>
          </cell>
          <cell r="F397" t="str">
            <v>TARDE</v>
          </cell>
          <cell r="G397" t="str">
            <v>SAB Y DOM</v>
          </cell>
          <cell r="H397" t="str">
            <v>YBARRA, LUCIA ALDANA</v>
          </cell>
          <cell r="I397" t="str">
            <v>Romandetto Carlos</v>
          </cell>
          <cell r="J397" t="str">
            <v>x</v>
          </cell>
          <cell r="K397"/>
          <cell r="L397" t="str">
            <v>x</v>
          </cell>
          <cell r="M397" t="str">
            <v>x</v>
          </cell>
          <cell r="N397" t="str">
            <v>x</v>
          </cell>
          <cell r="O397"/>
          <cell r="P397"/>
          <cell r="Q397"/>
          <cell r="R397"/>
          <cell r="S397"/>
          <cell r="T397"/>
          <cell r="U397"/>
          <cell r="V397"/>
          <cell r="W397"/>
          <cell r="X397"/>
          <cell r="Y397"/>
          <cell r="Z397"/>
          <cell r="AA397"/>
          <cell r="AB397"/>
          <cell r="AC397"/>
          <cell r="AD397"/>
          <cell r="AE397"/>
          <cell r="AF397"/>
          <cell r="AG397"/>
          <cell r="AH397"/>
          <cell r="AI397"/>
          <cell r="AJ397"/>
          <cell r="AK397"/>
          <cell r="AL397"/>
          <cell r="AM397"/>
          <cell r="AN397"/>
          <cell r="AO397"/>
          <cell r="AP397"/>
          <cell r="AQ397">
            <v>45525</v>
          </cell>
          <cell r="AR397">
            <v>42</v>
          </cell>
          <cell r="AS397">
            <v>45565</v>
          </cell>
          <cell r="AT397">
            <v>2</v>
          </cell>
          <cell r="AU397" t="str">
            <v>VMAMELCE</v>
          </cell>
        </row>
        <row r="398">
          <cell r="C398">
            <v>606717</v>
          </cell>
          <cell r="D398" t="str">
            <v>MAMONE MALENA AZUL</v>
          </cell>
          <cell r="E398" t="str">
            <v>09:00 - 15:00</v>
          </cell>
          <cell r="F398" t="str">
            <v>MAÑANA</v>
          </cell>
          <cell r="G398" t="str">
            <v>SAB Y DOM</v>
          </cell>
          <cell r="H398" t="str">
            <v>VILLALBA, VICTORIA</v>
          </cell>
          <cell r="I398" t="str">
            <v>Romandetto Carlos</v>
          </cell>
          <cell r="J398" t="str">
            <v>x</v>
          </cell>
          <cell r="K398"/>
          <cell r="L398" t="str">
            <v>x</v>
          </cell>
          <cell r="M398" t="str">
            <v>x</v>
          </cell>
          <cell r="N398" t="str">
            <v>x</v>
          </cell>
          <cell r="O398"/>
          <cell r="P398"/>
          <cell r="Q398"/>
          <cell r="R398"/>
          <cell r="S398"/>
          <cell r="T398"/>
          <cell r="U398"/>
          <cell r="V398"/>
          <cell r="W398"/>
          <cell r="X398"/>
          <cell r="Y398"/>
          <cell r="Z398"/>
          <cell r="AA398"/>
          <cell r="AB398"/>
          <cell r="AC398"/>
          <cell r="AD398"/>
          <cell r="AE398"/>
          <cell r="AF398"/>
          <cell r="AG398"/>
          <cell r="AH398"/>
          <cell r="AI398"/>
          <cell r="AJ398"/>
          <cell r="AK398"/>
          <cell r="AL398"/>
          <cell r="AM398"/>
          <cell r="AN398"/>
          <cell r="AO398"/>
          <cell r="AP398"/>
          <cell r="AQ398">
            <v>45525</v>
          </cell>
          <cell r="AR398">
            <v>42</v>
          </cell>
          <cell r="AS398">
            <v>45565</v>
          </cell>
          <cell r="AT398">
            <v>2</v>
          </cell>
          <cell r="AU398" t="str">
            <v>VMAAZMAM</v>
          </cell>
        </row>
        <row r="399">
          <cell r="C399">
            <v>606715</v>
          </cell>
          <cell r="D399" t="str">
            <v>SBARBARO VILCHEZ GABRIELA LUJAN</v>
          </cell>
          <cell r="E399" t="str">
            <v>09:00 - 15:00</v>
          </cell>
          <cell r="F399" t="str">
            <v>MAÑANA</v>
          </cell>
          <cell r="G399" t="str">
            <v>SAB Y DOM</v>
          </cell>
          <cell r="H399" t="str">
            <v>ROBLEDO, YESICA DANIELA</v>
          </cell>
          <cell r="I399" t="str">
            <v>Romandetto Carlos</v>
          </cell>
          <cell r="J399" t="str">
            <v>x</v>
          </cell>
          <cell r="K399"/>
          <cell r="L399" t="str">
            <v>x</v>
          </cell>
          <cell r="M399" t="str">
            <v>x</v>
          </cell>
          <cell r="N399" t="str">
            <v>x</v>
          </cell>
          <cell r="O399"/>
          <cell r="P399"/>
          <cell r="Q399"/>
          <cell r="R399"/>
          <cell r="S399"/>
          <cell r="T399"/>
          <cell r="U399"/>
          <cell r="V399"/>
          <cell r="W399"/>
          <cell r="X399"/>
          <cell r="Y399"/>
          <cell r="Z399"/>
          <cell r="AA399"/>
          <cell r="AB399"/>
          <cell r="AC399"/>
          <cell r="AD399"/>
          <cell r="AE399"/>
          <cell r="AF399"/>
          <cell r="AG399"/>
          <cell r="AH399"/>
          <cell r="AI399"/>
          <cell r="AJ399"/>
          <cell r="AK399"/>
          <cell r="AL399"/>
          <cell r="AM399"/>
          <cell r="AN399"/>
          <cell r="AO399"/>
          <cell r="AP399"/>
          <cell r="AQ399">
            <v>45525</v>
          </cell>
          <cell r="AR399">
            <v>42</v>
          </cell>
          <cell r="AS399">
            <v>45565</v>
          </cell>
          <cell r="AT399">
            <v>2</v>
          </cell>
          <cell r="AU399" t="str">
            <v>VMAGASBA</v>
          </cell>
        </row>
        <row r="400">
          <cell r="C400">
            <v>600533</v>
          </cell>
          <cell r="D400" t="str">
            <v>FERNANDEZ BORELLO ANGELINA ABRIL</v>
          </cell>
          <cell r="E400" t="str">
            <v>15:00 - 21:00</v>
          </cell>
          <cell r="F400" t="str">
            <v>TARDE</v>
          </cell>
          <cell r="G400" t="str">
            <v>SAB Y DOM</v>
          </cell>
          <cell r="H400" t="str">
            <v>GOMEZ, SASHA</v>
          </cell>
          <cell r="I400" t="str">
            <v>Romandetto Carlos</v>
          </cell>
          <cell r="J400" t="str">
            <v>x</v>
          </cell>
          <cell r="K400"/>
          <cell r="L400" t="str">
            <v>x</v>
          </cell>
          <cell r="M400" t="str">
            <v>x</v>
          </cell>
          <cell r="N400" t="str">
            <v>x</v>
          </cell>
          <cell r="O400"/>
          <cell r="P400"/>
          <cell r="Q400"/>
          <cell r="R400"/>
          <cell r="S400"/>
          <cell r="T400"/>
          <cell r="U400"/>
          <cell r="V400"/>
          <cell r="W400"/>
          <cell r="X400"/>
          <cell r="Y400"/>
          <cell r="Z400"/>
          <cell r="AA400"/>
          <cell r="AB400"/>
          <cell r="AC400"/>
          <cell r="AD400"/>
          <cell r="AE400"/>
          <cell r="AF400"/>
          <cell r="AG400"/>
          <cell r="AH400"/>
          <cell r="AI400"/>
          <cell r="AJ400"/>
          <cell r="AK400"/>
          <cell r="AL400"/>
          <cell r="AM400"/>
          <cell r="AN400"/>
          <cell r="AO400"/>
          <cell r="AP400"/>
          <cell r="AQ400">
            <v>45525</v>
          </cell>
          <cell r="AR400">
            <v>42</v>
          </cell>
          <cell r="AS400">
            <v>45565</v>
          </cell>
          <cell r="AT400">
            <v>2</v>
          </cell>
          <cell r="AU400" t="str">
            <v>VMAANFER</v>
          </cell>
        </row>
        <row r="401">
          <cell r="C401">
            <v>600532</v>
          </cell>
          <cell r="D401" t="str">
            <v>CHAZARRETA MAITENA VALENTINA</v>
          </cell>
          <cell r="E401" t="str">
            <v>15:00 - 21:00</v>
          </cell>
          <cell r="F401" t="str">
            <v>TARDE</v>
          </cell>
          <cell r="G401" t="str">
            <v>SAB Y DOM</v>
          </cell>
          <cell r="H401" t="str">
            <v>PELOC, MARIA SOLEDAD</v>
          </cell>
          <cell r="I401" t="str">
            <v>Romandetto Carlos</v>
          </cell>
          <cell r="J401" t="str">
            <v>x</v>
          </cell>
          <cell r="K401"/>
          <cell r="L401" t="str">
            <v>x</v>
          </cell>
          <cell r="M401" t="str">
            <v>x</v>
          </cell>
          <cell r="N401" t="str">
            <v>x</v>
          </cell>
          <cell r="O401"/>
          <cell r="P401"/>
          <cell r="Q401"/>
          <cell r="R401"/>
          <cell r="S401"/>
          <cell r="T401"/>
          <cell r="U401"/>
          <cell r="V401"/>
          <cell r="W401"/>
          <cell r="X401"/>
          <cell r="Y401"/>
          <cell r="Z401"/>
          <cell r="AA401"/>
          <cell r="AB401"/>
          <cell r="AC401"/>
          <cell r="AD401"/>
          <cell r="AE401"/>
          <cell r="AF401"/>
          <cell r="AG401"/>
          <cell r="AH401"/>
          <cell r="AI401"/>
          <cell r="AJ401"/>
          <cell r="AK401"/>
          <cell r="AL401"/>
          <cell r="AM401"/>
          <cell r="AN401"/>
          <cell r="AO401"/>
          <cell r="AP401"/>
          <cell r="AQ401">
            <v>45525</v>
          </cell>
          <cell r="AR401">
            <v>42</v>
          </cell>
          <cell r="AS401">
            <v>45565</v>
          </cell>
          <cell r="AT401">
            <v>2</v>
          </cell>
          <cell r="AU401" t="str">
            <v>VMAMACHA</v>
          </cell>
        </row>
        <row r="402">
          <cell r="C402">
            <v>606714</v>
          </cell>
          <cell r="D402" t="str">
            <v>CISNEROS BELEN NATALIE</v>
          </cell>
          <cell r="E402" t="str">
            <v>09:00 - 15:00</v>
          </cell>
          <cell r="F402" t="str">
            <v>MAÑANA</v>
          </cell>
          <cell r="G402" t="str">
            <v>SAB Y DOM</v>
          </cell>
          <cell r="H402" t="str">
            <v>MOYANO, DAIANA SOLEDAD</v>
          </cell>
          <cell r="I402" t="str">
            <v>Romandetto Carlos</v>
          </cell>
          <cell r="J402" t="str">
            <v>x</v>
          </cell>
          <cell r="K402"/>
          <cell r="L402" t="str">
            <v>x</v>
          </cell>
          <cell r="M402" t="str">
            <v>x</v>
          </cell>
          <cell r="N402" t="str">
            <v>x</v>
          </cell>
          <cell r="O402"/>
          <cell r="P402"/>
          <cell r="Q402"/>
          <cell r="R402"/>
          <cell r="S402"/>
          <cell r="T402"/>
          <cell r="U402"/>
          <cell r="V402"/>
          <cell r="W402"/>
          <cell r="X402"/>
          <cell r="Y402"/>
          <cell r="Z402"/>
          <cell r="AA402"/>
          <cell r="AB402"/>
          <cell r="AC402"/>
          <cell r="AD402"/>
          <cell r="AE402"/>
          <cell r="AF402"/>
          <cell r="AG402"/>
          <cell r="AH402"/>
          <cell r="AI402"/>
          <cell r="AJ402"/>
          <cell r="AK402"/>
          <cell r="AL402"/>
          <cell r="AM402"/>
          <cell r="AN402"/>
          <cell r="AO402"/>
          <cell r="AP402"/>
          <cell r="AQ402">
            <v>45525</v>
          </cell>
          <cell r="AR402">
            <v>42</v>
          </cell>
          <cell r="AS402">
            <v>45565</v>
          </cell>
          <cell r="AT402">
            <v>2</v>
          </cell>
          <cell r="AU402" t="str">
            <v>VMABECIS</v>
          </cell>
        </row>
        <row r="403">
          <cell r="C403">
            <v>606718</v>
          </cell>
          <cell r="D403" t="str">
            <v>SCHULTHEIS SEBASTIAN HERNAN</v>
          </cell>
          <cell r="E403" t="str">
            <v>10:00 - 16:00</v>
          </cell>
          <cell r="F403" t="str">
            <v>MAÑANA</v>
          </cell>
          <cell r="G403" t="str">
            <v>SAB Y DOM</v>
          </cell>
          <cell r="H403" t="str">
            <v>RUIZ, TOMAS EMANUEL</v>
          </cell>
          <cell r="I403" t="str">
            <v>Romandetto Carlos</v>
          </cell>
          <cell r="J403" t="str">
            <v>x</v>
          </cell>
          <cell r="K403"/>
          <cell r="L403" t="str">
            <v>x</v>
          </cell>
          <cell r="M403" t="str">
            <v>x</v>
          </cell>
          <cell r="N403" t="str">
            <v>x</v>
          </cell>
          <cell r="O403"/>
          <cell r="P403"/>
          <cell r="Q403"/>
          <cell r="R403"/>
          <cell r="S403"/>
          <cell r="T403"/>
          <cell r="U403"/>
          <cell r="V403"/>
          <cell r="W403"/>
          <cell r="X403"/>
          <cell r="Y403"/>
          <cell r="Z403"/>
          <cell r="AA403"/>
          <cell r="AB403"/>
          <cell r="AC403"/>
          <cell r="AD403"/>
          <cell r="AE403"/>
          <cell r="AF403"/>
          <cell r="AG403"/>
          <cell r="AH403"/>
          <cell r="AI403"/>
          <cell r="AJ403"/>
          <cell r="AK403"/>
          <cell r="AL403"/>
          <cell r="AM403"/>
          <cell r="AN403"/>
          <cell r="AO403"/>
          <cell r="AP403"/>
          <cell r="AQ403">
            <v>45525</v>
          </cell>
          <cell r="AR403">
            <v>42</v>
          </cell>
          <cell r="AS403">
            <v>45565</v>
          </cell>
          <cell r="AT403">
            <v>2</v>
          </cell>
          <cell r="AU403" t="str">
            <v>VMASESCH</v>
          </cell>
        </row>
        <row r="404">
          <cell r="C404">
            <v>600528</v>
          </cell>
          <cell r="D404" t="str">
            <v>ROJAS SOFIA BELEN</v>
          </cell>
          <cell r="E404" t="str">
            <v>14:00 - 20:00</v>
          </cell>
          <cell r="F404" t="str">
            <v>TARDE</v>
          </cell>
          <cell r="G404" t="str">
            <v>SAB Y DOM</v>
          </cell>
          <cell r="H404" t="str">
            <v>ONETTO, MARIA DE LOS MILAGROS</v>
          </cell>
          <cell r="I404" t="str">
            <v>Romandetto Carlos</v>
          </cell>
          <cell r="J404" t="str">
            <v>x</v>
          </cell>
          <cell r="K404"/>
          <cell r="L404" t="str">
            <v>x</v>
          </cell>
          <cell r="M404" t="str">
            <v>x</v>
          </cell>
          <cell r="N404" t="str">
            <v>x</v>
          </cell>
          <cell r="O404"/>
          <cell r="P404"/>
          <cell r="Q404"/>
          <cell r="R404"/>
          <cell r="S404"/>
          <cell r="T404"/>
          <cell r="U404"/>
          <cell r="V404"/>
          <cell r="W404"/>
          <cell r="X404"/>
          <cell r="Y404"/>
          <cell r="Z404"/>
          <cell r="AA404"/>
          <cell r="AB404"/>
          <cell r="AC404"/>
          <cell r="AD404"/>
          <cell r="AE404"/>
          <cell r="AF404"/>
          <cell r="AG404"/>
          <cell r="AH404"/>
          <cell r="AI404"/>
          <cell r="AJ404"/>
          <cell r="AK404"/>
          <cell r="AL404"/>
          <cell r="AM404"/>
          <cell r="AN404"/>
          <cell r="AO404"/>
          <cell r="AP404"/>
          <cell r="AQ404">
            <v>45525</v>
          </cell>
          <cell r="AR404">
            <v>42</v>
          </cell>
          <cell r="AS404">
            <v>45565</v>
          </cell>
          <cell r="AT404">
            <v>2</v>
          </cell>
          <cell r="AU404" t="str">
            <v>VMASOFRO</v>
          </cell>
        </row>
        <row r="405">
          <cell r="C405">
            <v>600530</v>
          </cell>
          <cell r="D405" t="str">
            <v>RODRIGUEZ IVANNA KEILA BELEN</v>
          </cell>
          <cell r="E405" t="str">
            <v>15:00 - 21:00</v>
          </cell>
          <cell r="F405" t="str">
            <v>TARDE</v>
          </cell>
          <cell r="G405" t="str">
            <v>SAB Y DOM</v>
          </cell>
          <cell r="H405" t="str">
            <v>PELOC, MARIA SOLEDAD</v>
          </cell>
          <cell r="I405" t="str">
            <v>Romandetto Carlos</v>
          </cell>
          <cell r="J405" t="str">
            <v>x</v>
          </cell>
          <cell r="K405"/>
          <cell r="L405" t="str">
            <v>x</v>
          </cell>
          <cell r="M405" t="str">
            <v>x</v>
          </cell>
          <cell r="N405" t="str">
            <v>x</v>
          </cell>
          <cell r="O405"/>
          <cell r="P405"/>
          <cell r="Q405"/>
          <cell r="R405"/>
          <cell r="S405"/>
          <cell r="T405"/>
          <cell r="U405"/>
          <cell r="V405"/>
          <cell r="W405"/>
          <cell r="X405"/>
          <cell r="Y405"/>
          <cell r="Z405"/>
          <cell r="AA405"/>
          <cell r="AB405"/>
          <cell r="AC405"/>
          <cell r="AD405"/>
          <cell r="AE405"/>
          <cell r="AF405"/>
          <cell r="AG405"/>
          <cell r="AH405"/>
          <cell r="AI405"/>
          <cell r="AJ405"/>
          <cell r="AK405"/>
          <cell r="AL405"/>
          <cell r="AM405"/>
          <cell r="AN405"/>
          <cell r="AO405"/>
          <cell r="AP405"/>
          <cell r="AQ405">
            <v>45525</v>
          </cell>
          <cell r="AR405">
            <v>42</v>
          </cell>
          <cell r="AS405">
            <v>45565</v>
          </cell>
          <cell r="AT405">
            <v>2</v>
          </cell>
          <cell r="AU405" t="str">
            <v>VMAIVROD</v>
          </cell>
        </row>
        <row r="406">
          <cell r="C406">
            <v>606719</v>
          </cell>
          <cell r="D406" t="str">
            <v>SAFFUAN LUCIANA CELESTE</v>
          </cell>
          <cell r="E406" t="str">
            <v>10:00 - 16:00</v>
          </cell>
          <cell r="F406" t="str">
            <v>MAÑANA</v>
          </cell>
          <cell r="G406" t="str">
            <v>SAB Y DOM</v>
          </cell>
          <cell r="H406" t="str">
            <v>SORIA, ANA PAULA</v>
          </cell>
          <cell r="I406" t="str">
            <v>Romandetto Carlos</v>
          </cell>
          <cell r="J406" t="str">
            <v>x</v>
          </cell>
          <cell r="K406"/>
          <cell r="L406" t="str">
            <v>x</v>
          </cell>
          <cell r="M406" t="str">
            <v>x</v>
          </cell>
          <cell r="N406" t="str">
            <v>x</v>
          </cell>
          <cell r="O406"/>
          <cell r="P406"/>
          <cell r="Q406"/>
          <cell r="R406"/>
          <cell r="S406"/>
          <cell r="T406"/>
          <cell r="U406"/>
          <cell r="V406"/>
          <cell r="W406"/>
          <cell r="X406"/>
          <cell r="Y406"/>
          <cell r="Z406"/>
          <cell r="AA406"/>
          <cell r="AB406"/>
          <cell r="AC406"/>
          <cell r="AD406"/>
          <cell r="AE406"/>
          <cell r="AF406"/>
          <cell r="AG406"/>
          <cell r="AH406"/>
          <cell r="AI406"/>
          <cell r="AJ406"/>
          <cell r="AK406"/>
          <cell r="AL406"/>
          <cell r="AM406"/>
          <cell r="AN406"/>
          <cell r="AO406"/>
          <cell r="AP406"/>
          <cell r="AQ406">
            <v>45525</v>
          </cell>
          <cell r="AR406">
            <v>42</v>
          </cell>
          <cell r="AS406">
            <v>45565</v>
          </cell>
          <cell r="AT406">
            <v>2</v>
          </cell>
          <cell r="AU406" t="str">
            <v>VMALUSAF</v>
          </cell>
        </row>
        <row r="407">
          <cell r="C407">
            <v>606716</v>
          </cell>
          <cell r="D407" t="str">
            <v>CASA SERENA</v>
          </cell>
          <cell r="E407" t="str">
            <v>09:00 - 15:00</v>
          </cell>
          <cell r="F407" t="str">
            <v>MAÑANA</v>
          </cell>
          <cell r="G407" t="str">
            <v>SAB Y DOM</v>
          </cell>
          <cell r="H407" t="str">
            <v>LOUREIRO, FLORENCIA CANDELA</v>
          </cell>
          <cell r="I407" t="str">
            <v>Romandetto Carlos</v>
          </cell>
          <cell r="J407" t="str">
            <v>x</v>
          </cell>
          <cell r="K407"/>
          <cell r="L407" t="str">
            <v>x</v>
          </cell>
          <cell r="M407" t="str">
            <v>x</v>
          </cell>
          <cell r="N407" t="str">
            <v>x</v>
          </cell>
          <cell r="O407"/>
          <cell r="P407"/>
          <cell r="Q407"/>
          <cell r="R407"/>
          <cell r="S407"/>
          <cell r="T407"/>
          <cell r="U407"/>
          <cell r="V407"/>
          <cell r="W407"/>
          <cell r="X407"/>
          <cell r="Y407"/>
          <cell r="Z407"/>
          <cell r="AA407"/>
          <cell r="AB407"/>
          <cell r="AC407"/>
          <cell r="AD407"/>
          <cell r="AE407"/>
          <cell r="AF407"/>
          <cell r="AG407"/>
          <cell r="AH407"/>
          <cell r="AI407"/>
          <cell r="AJ407"/>
          <cell r="AK407"/>
          <cell r="AL407"/>
          <cell r="AM407"/>
          <cell r="AN407"/>
          <cell r="AO407"/>
          <cell r="AP407"/>
          <cell r="AQ407">
            <v>45525</v>
          </cell>
          <cell r="AR407">
            <v>42</v>
          </cell>
          <cell r="AS407">
            <v>45565</v>
          </cell>
          <cell r="AT407">
            <v>2</v>
          </cell>
          <cell r="AU407" t="str">
            <v>VMASECAS</v>
          </cell>
        </row>
        <row r="408">
          <cell r="C408">
            <v>606720</v>
          </cell>
          <cell r="D408" t="str">
            <v>ACOSTA ORIANA</v>
          </cell>
          <cell r="E408" t="str">
            <v>14:00 - 20:00</v>
          </cell>
          <cell r="F408" t="str">
            <v>TARDE</v>
          </cell>
          <cell r="G408" t="str">
            <v>SAB Y DOM</v>
          </cell>
          <cell r="H408" t="str">
            <v>GOMEZ, AYLEN MILAGROS</v>
          </cell>
          <cell r="I408" t="str">
            <v>Romandetto Carlos</v>
          </cell>
          <cell r="J408" t="str">
            <v>x</v>
          </cell>
          <cell r="K408"/>
          <cell r="L408" t="str">
            <v>x</v>
          </cell>
          <cell r="M408" t="str">
            <v>x</v>
          </cell>
          <cell r="N408" t="str">
            <v>x</v>
          </cell>
          <cell r="O408"/>
          <cell r="P408"/>
          <cell r="Q408"/>
          <cell r="R408"/>
          <cell r="S408"/>
          <cell r="T408"/>
          <cell r="U408"/>
          <cell r="V408"/>
          <cell r="W408"/>
          <cell r="X408"/>
          <cell r="Y408"/>
          <cell r="Z408"/>
          <cell r="AA408"/>
          <cell r="AB408"/>
          <cell r="AC408"/>
          <cell r="AD408"/>
          <cell r="AE408"/>
          <cell r="AF408"/>
          <cell r="AG408"/>
          <cell r="AH408"/>
          <cell r="AI408"/>
          <cell r="AJ408"/>
          <cell r="AK408"/>
          <cell r="AL408"/>
          <cell r="AM408"/>
          <cell r="AN408"/>
          <cell r="AO408"/>
          <cell r="AP408"/>
          <cell r="AQ408">
            <v>45525</v>
          </cell>
          <cell r="AR408">
            <v>42</v>
          </cell>
          <cell r="AS408">
            <v>45565</v>
          </cell>
          <cell r="AT408">
            <v>2</v>
          </cell>
          <cell r="AU408" t="str">
            <v>VMAORACO</v>
          </cell>
        </row>
        <row r="409">
          <cell r="C409">
            <v>606704</v>
          </cell>
          <cell r="D409" t="str">
            <v>POLITO MATIAS GIANCARLO</v>
          </cell>
          <cell r="E409" t="str">
            <v>15:00 - 21:00</v>
          </cell>
          <cell r="F409" t="str">
            <v>TARDE</v>
          </cell>
          <cell r="G409" t="str">
            <v>SAB Y DOM</v>
          </cell>
          <cell r="H409" t="str">
            <v>GARZON, ROCIO BELEN</v>
          </cell>
          <cell r="I409" t="str">
            <v>Romandetto Carlos</v>
          </cell>
          <cell r="J409" t="str">
            <v>x</v>
          </cell>
          <cell r="K409"/>
          <cell r="L409" t="str">
            <v>x</v>
          </cell>
          <cell r="M409" t="str">
            <v>x</v>
          </cell>
          <cell r="N409" t="str">
            <v>x</v>
          </cell>
          <cell r="O409"/>
          <cell r="P409"/>
          <cell r="Q409"/>
          <cell r="R409"/>
          <cell r="S409"/>
          <cell r="T409"/>
          <cell r="U409"/>
          <cell r="V409"/>
          <cell r="W409"/>
          <cell r="X409"/>
          <cell r="Y409"/>
          <cell r="Z409"/>
          <cell r="AA409"/>
          <cell r="AB409"/>
          <cell r="AC409"/>
          <cell r="AD409"/>
          <cell r="AE409"/>
          <cell r="AF409"/>
          <cell r="AG409"/>
          <cell r="AH409"/>
          <cell r="AI409"/>
          <cell r="AJ409"/>
          <cell r="AK409"/>
          <cell r="AL409"/>
          <cell r="AM409"/>
          <cell r="AN409"/>
          <cell r="AO409"/>
          <cell r="AP409"/>
          <cell r="AQ409">
            <v>45525</v>
          </cell>
          <cell r="AR409">
            <v>42</v>
          </cell>
          <cell r="AS409">
            <v>45565</v>
          </cell>
          <cell r="AT409">
            <v>2</v>
          </cell>
          <cell r="AU409" t="str">
            <v>VMAMAPOL</v>
          </cell>
        </row>
        <row r="410">
          <cell r="C410">
            <v>606726</v>
          </cell>
          <cell r="D410" t="str">
            <v>FERRARI CELESTE ABRIL</v>
          </cell>
          <cell r="E410" t="str">
            <v>09:00 - 15:00</v>
          </cell>
          <cell r="F410" t="str">
            <v>MAÑANA</v>
          </cell>
          <cell r="G410" t="str">
            <v>SAB Y DOM</v>
          </cell>
          <cell r="H410" t="str">
            <v>DIAZ, PAULA</v>
          </cell>
          <cell r="I410" t="str">
            <v>Romandetto Carlos</v>
          </cell>
          <cell r="J410" t="str">
            <v>x</v>
          </cell>
          <cell r="K410"/>
          <cell r="L410" t="str">
            <v>x</v>
          </cell>
          <cell r="M410" t="str">
            <v>x</v>
          </cell>
          <cell r="N410" t="str">
            <v>x</v>
          </cell>
          <cell r="O410"/>
          <cell r="P410"/>
          <cell r="Q410"/>
          <cell r="R410"/>
          <cell r="S410"/>
          <cell r="T410"/>
          <cell r="U410"/>
          <cell r="V410"/>
          <cell r="W410"/>
          <cell r="X410"/>
          <cell r="Y410"/>
          <cell r="Z410"/>
          <cell r="AA410"/>
          <cell r="AB410"/>
          <cell r="AC410"/>
          <cell r="AD410"/>
          <cell r="AE410"/>
          <cell r="AF410"/>
          <cell r="AG410"/>
          <cell r="AH410"/>
          <cell r="AI410"/>
          <cell r="AJ410"/>
          <cell r="AK410"/>
          <cell r="AL410"/>
          <cell r="AM410"/>
          <cell r="AN410"/>
          <cell r="AO410"/>
          <cell r="AP410"/>
          <cell r="AQ410">
            <v>45525</v>
          </cell>
          <cell r="AR410">
            <v>42</v>
          </cell>
          <cell r="AS410">
            <v>45565</v>
          </cell>
          <cell r="AT410">
            <v>2</v>
          </cell>
          <cell r="AU410" t="str">
            <v>VMACEFER</v>
          </cell>
        </row>
        <row r="411">
          <cell r="C411">
            <v>606732</v>
          </cell>
          <cell r="D411" t="str">
            <v>LOPEZ OTAOLA MARIA VICTORIA</v>
          </cell>
          <cell r="E411" t="str">
            <v>10:00 - 16:00</v>
          </cell>
          <cell r="F411" t="str">
            <v>MAÑANA</v>
          </cell>
          <cell r="G411" t="str">
            <v>SAB Y DOM</v>
          </cell>
          <cell r="H411" t="str">
            <v>ROBLEDO, LEANDRO JAVIER</v>
          </cell>
          <cell r="I411" t="str">
            <v>Romandetto Carlos</v>
          </cell>
          <cell r="J411" t="str">
            <v>x</v>
          </cell>
          <cell r="K411"/>
          <cell r="L411" t="str">
            <v>x</v>
          </cell>
          <cell r="M411" t="str">
            <v>x</v>
          </cell>
          <cell r="N411" t="str">
            <v>x</v>
          </cell>
          <cell r="O411"/>
          <cell r="P411"/>
          <cell r="Q411"/>
          <cell r="R411"/>
          <cell r="S411"/>
          <cell r="T411"/>
          <cell r="U411"/>
          <cell r="V411"/>
          <cell r="W411"/>
          <cell r="X411"/>
          <cell r="Y411"/>
          <cell r="Z411"/>
          <cell r="AA411"/>
          <cell r="AB411"/>
          <cell r="AC411"/>
          <cell r="AD411"/>
          <cell r="AE411"/>
          <cell r="AF411"/>
          <cell r="AG411"/>
          <cell r="AH411"/>
          <cell r="AI411"/>
          <cell r="AJ411"/>
          <cell r="AK411"/>
          <cell r="AL411"/>
          <cell r="AM411"/>
          <cell r="AN411"/>
          <cell r="AO411"/>
          <cell r="AP411"/>
          <cell r="AQ411">
            <v>45525</v>
          </cell>
          <cell r="AR411">
            <v>42</v>
          </cell>
          <cell r="AS411">
            <v>45565</v>
          </cell>
          <cell r="AT411">
            <v>2</v>
          </cell>
          <cell r="AU411" t="str">
            <v>VMAMALOP</v>
          </cell>
        </row>
        <row r="412">
          <cell r="C412">
            <v>606734</v>
          </cell>
          <cell r="D412" t="str">
            <v>BENITEZ AGUIAR FRANCO TOMAS LEONEL</v>
          </cell>
          <cell r="E412" t="str">
            <v>10:00 - 16:00</v>
          </cell>
          <cell r="F412" t="str">
            <v>MAÑANA</v>
          </cell>
          <cell r="G412" t="str">
            <v>SAB Y DOM</v>
          </cell>
          <cell r="H412" t="str">
            <v>ROBLEDO, LEANDRO JAVIER</v>
          </cell>
          <cell r="I412" t="str">
            <v>Romandetto Carlos</v>
          </cell>
          <cell r="J412" t="str">
            <v>x</v>
          </cell>
          <cell r="K412"/>
          <cell r="L412" t="str">
            <v>x</v>
          </cell>
          <cell r="M412" t="str">
            <v>x</v>
          </cell>
          <cell r="N412" t="str">
            <v>x</v>
          </cell>
          <cell r="O412"/>
          <cell r="P412"/>
          <cell r="Q412"/>
          <cell r="R412"/>
          <cell r="S412"/>
          <cell r="T412"/>
          <cell r="U412"/>
          <cell r="V412"/>
          <cell r="W412"/>
          <cell r="X412"/>
          <cell r="Y412"/>
          <cell r="Z412"/>
          <cell r="AA412"/>
          <cell r="AB412"/>
          <cell r="AC412"/>
          <cell r="AD412"/>
          <cell r="AE412"/>
          <cell r="AF412"/>
          <cell r="AG412"/>
          <cell r="AH412"/>
          <cell r="AI412"/>
          <cell r="AJ412"/>
          <cell r="AK412"/>
          <cell r="AL412"/>
          <cell r="AM412"/>
          <cell r="AN412"/>
          <cell r="AO412"/>
          <cell r="AP412"/>
          <cell r="AQ412">
            <v>45525</v>
          </cell>
          <cell r="AR412">
            <v>42</v>
          </cell>
          <cell r="AS412">
            <v>45565</v>
          </cell>
          <cell r="AT412">
            <v>2</v>
          </cell>
          <cell r="AU412" t="str">
            <v>VMAFRBEN</v>
          </cell>
        </row>
        <row r="413">
          <cell r="C413">
            <v>606695</v>
          </cell>
          <cell r="D413" t="str">
            <v>DECOFF YAZMIN</v>
          </cell>
          <cell r="E413" t="str">
            <v>10:00 - 16:00</v>
          </cell>
          <cell r="F413" t="str">
            <v>MAÑANA</v>
          </cell>
          <cell r="G413" t="str">
            <v>SAB Y DOM</v>
          </cell>
          <cell r="H413" t="str">
            <v>VILLALBA, MAITEN</v>
          </cell>
          <cell r="I413" t="str">
            <v>Romandetto Carlos</v>
          </cell>
          <cell r="J413" t="str">
            <v>x</v>
          </cell>
          <cell r="K413"/>
          <cell r="L413" t="str">
            <v>x</v>
          </cell>
          <cell r="M413" t="str">
            <v>x</v>
          </cell>
          <cell r="N413" t="str">
            <v>x</v>
          </cell>
          <cell r="O413"/>
          <cell r="P413"/>
          <cell r="Q413"/>
          <cell r="R413"/>
          <cell r="S413"/>
          <cell r="T413"/>
          <cell r="U413"/>
          <cell r="V413"/>
          <cell r="W413"/>
          <cell r="X413"/>
          <cell r="Y413"/>
          <cell r="Z413"/>
          <cell r="AA413"/>
          <cell r="AB413"/>
          <cell r="AC413"/>
          <cell r="AD413"/>
          <cell r="AE413"/>
          <cell r="AF413"/>
          <cell r="AG413"/>
          <cell r="AH413"/>
          <cell r="AI413"/>
          <cell r="AJ413"/>
          <cell r="AK413"/>
          <cell r="AL413"/>
          <cell r="AM413"/>
          <cell r="AN413"/>
          <cell r="AO413"/>
          <cell r="AP413"/>
          <cell r="AQ413">
            <v>45525</v>
          </cell>
          <cell r="AR413">
            <v>42</v>
          </cell>
          <cell r="AS413">
            <v>45565</v>
          </cell>
          <cell r="AT413">
            <v>2</v>
          </cell>
          <cell r="AU413" t="str">
            <v>VMAYADEC</v>
          </cell>
        </row>
        <row r="414">
          <cell r="C414">
            <v>606728</v>
          </cell>
          <cell r="D414" t="str">
            <v>ORDOñEZ MALENA</v>
          </cell>
          <cell r="E414" t="str">
            <v>10:00 - 16:00</v>
          </cell>
          <cell r="F414" t="str">
            <v>MAÑANA</v>
          </cell>
          <cell r="G414" t="str">
            <v>SAB Y DOM</v>
          </cell>
          <cell r="H414" t="str">
            <v>DIAZ, PAULA</v>
          </cell>
          <cell r="I414" t="str">
            <v>Romandetto Carlos</v>
          </cell>
          <cell r="J414" t="str">
            <v>x</v>
          </cell>
          <cell r="K414"/>
          <cell r="L414" t="str">
            <v>x</v>
          </cell>
          <cell r="M414" t="str">
            <v>x</v>
          </cell>
          <cell r="N414" t="str">
            <v>x</v>
          </cell>
          <cell r="O414"/>
          <cell r="P414"/>
          <cell r="Q414"/>
          <cell r="R414"/>
          <cell r="S414"/>
          <cell r="T414"/>
          <cell r="U414"/>
          <cell r="V414"/>
          <cell r="W414"/>
          <cell r="X414"/>
          <cell r="Y414"/>
          <cell r="Z414"/>
          <cell r="AA414"/>
          <cell r="AB414"/>
          <cell r="AC414"/>
          <cell r="AD414"/>
          <cell r="AE414"/>
          <cell r="AF414"/>
          <cell r="AG414"/>
          <cell r="AH414"/>
          <cell r="AI414"/>
          <cell r="AJ414"/>
          <cell r="AK414"/>
          <cell r="AL414"/>
          <cell r="AM414"/>
          <cell r="AN414"/>
          <cell r="AO414"/>
          <cell r="AP414"/>
          <cell r="AQ414">
            <v>45525</v>
          </cell>
          <cell r="AR414">
            <v>42</v>
          </cell>
          <cell r="AS414">
            <v>45565</v>
          </cell>
          <cell r="AT414">
            <v>2</v>
          </cell>
          <cell r="AU414" t="str">
            <v>VMAMAORD</v>
          </cell>
        </row>
        <row r="415">
          <cell r="C415">
            <v>606727</v>
          </cell>
          <cell r="D415" t="str">
            <v>GIMENEZ MAYRA LUZ</v>
          </cell>
          <cell r="E415" t="str">
            <v>09:00 - 15:00</v>
          </cell>
          <cell r="F415" t="str">
            <v>MAÑANA</v>
          </cell>
          <cell r="G415" t="str">
            <v>SAB Y DOM</v>
          </cell>
          <cell r="H415" t="str">
            <v>GOYECHEA, AGUSTINA LOURDES</v>
          </cell>
          <cell r="I415" t="str">
            <v>Romandetto Carlos</v>
          </cell>
          <cell r="J415" t="str">
            <v>x</v>
          </cell>
          <cell r="K415"/>
          <cell r="L415" t="str">
            <v>x</v>
          </cell>
          <cell r="M415" t="str">
            <v>x</v>
          </cell>
          <cell r="N415" t="str">
            <v>x</v>
          </cell>
          <cell r="O415"/>
          <cell r="P415"/>
          <cell r="Q415"/>
          <cell r="R415"/>
          <cell r="S415"/>
          <cell r="T415"/>
          <cell r="U415"/>
          <cell r="V415"/>
          <cell r="W415"/>
          <cell r="X415"/>
          <cell r="Y415"/>
          <cell r="Z415"/>
          <cell r="AA415"/>
          <cell r="AB415"/>
          <cell r="AC415"/>
          <cell r="AD415"/>
          <cell r="AE415"/>
          <cell r="AF415"/>
          <cell r="AG415"/>
          <cell r="AH415"/>
          <cell r="AI415"/>
          <cell r="AJ415"/>
          <cell r="AK415"/>
          <cell r="AL415"/>
          <cell r="AM415"/>
          <cell r="AN415"/>
          <cell r="AO415"/>
          <cell r="AP415"/>
          <cell r="AQ415">
            <v>45525</v>
          </cell>
          <cell r="AR415">
            <v>42</v>
          </cell>
          <cell r="AS415">
            <v>45565</v>
          </cell>
          <cell r="AT415">
            <v>2</v>
          </cell>
          <cell r="AU415" t="str">
            <v>VMAMAGIM</v>
          </cell>
        </row>
        <row r="416">
          <cell r="C416">
            <v>606731</v>
          </cell>
          <cell r="D416" t="str">
            <v>FLORES ORNELLA LUCIANA JEZABEL</v>
          </cell>
          <cell r="E416" t="str">
            <v>10:00 - 16:00</v>
          </cell>
          <cell r="F416" t="str">
            <v>MAÑANA</v>
          </cell>
          <cell r="G416" t="str">
            <v>SAB Y DOM</v>
          </cell>
          <cell r="H416" t="str">
            <v>DIAZ, PAULA</v>
          </cell>
          <cell r="I416" t="str">
            <v>Romandetto Carlos</v>
          </cell>
          <cell r="J416" t="str">
            <v>x</v>
          </cell>
          <cell r="K416"/>
          <cell r="L416" t="str">
            <v>x</v>
          </cell>
          <cell r="M416" t="str">
            <v>x</v>
          </cell>
          <cell r="N416" t="str">
            <v>x</v>
          </cell>
          <cell r="O416"/>
          <cell r="P416"/>
          <cell r="Q416"/>
          <cell r="R416"/>
          <cell r="S416"/>
          <cell r="T416"/>
          <cell r="U416"/>
          <cell r="V416"/>
          <cell r="W416"/>
          <cell r="X416"/>
          <cell r="Y416"/>
          <cell r="Z416"/>
          <cell r="AA416"/>
          <cell r="AB416"/>
          <cell r="AC416"/>
          <cell r="AD416"/>
          <cell r="AE416"/>
          <cell r="AF416"/>
          <cell r="AG416"/>
          <cell r="AH416"/>
          <cell r="AI416"/>
          <cell r="AJ416"/>
          <cell r="AK416"/>
          <cell r="AL416"/>
          <cell r="AM416"/>
          <cell r="AN416"/>
          <cell r="AO416"/>
          <cell r="AP416"/>
          <cell r="AQ416">
            <v>45525</v>
          </cell>
          <cell r="AR416">
            <v>42</v>
          </cell>
          <cell r="AS416">
            <v>45565</v>
          </cell>
          <cell r="AT416">
            <v>2</v>
          </cell>
          <cell r="AU416" t="str">
            <v>VMAORFLO</v>
          </cell>
        </row>
        <row r="417">
          <cell r="C417">
            <v>606729</v>
          </cell>
          <cell r="D417" t="str">
            <v>RUEDA FACUNDO CRISTIAN</v>
          </cell>
          <cell r="E417" t="str">
            <v>10:00 - 16:00</v>
          </cell>
          <cell r="F417" t="str">
            <v>MAÑANA</v>
          </cell>
          <cell r="G417" t="str">
            <v>SAB Y DOM</v>
          </cell>
          <cell r="H417" t="str">
            <v>DIAZ, PAULA</v>
          </cell>
          <cell r="I417" t="str">
            <v>Romandetto Carlos</v>
          </cell>
          <cell r="J417" t="str">
            <v>x</v>
          </cell>
          <cell r="K417"/>
          <cell r="L417" t="str">
            <v>x</v>
          </cell>
          <cell r="M417" t="str">
            <v>x</v>
          </cell>
          <cell r="N417" t="str">
            <v>x</v>
          </cell>
          <cell r="O417"/>
          <cell r="P417"/>
          <cell r="Q417"/>
          <cell r="R417"/>
          <cell r="S417"/>
          <cell r="T417"/>
          <cell r="U417"/>
          <cell r="V417"/>
          <cell r="W417"/>
          <cell r="X417"/>
          <cell r="Y417"/>
          <cell r="Z417"/>
          <cell r="AA417"/>
          <cell r="AB417"/>
          <cell r="AC417"/>
          <cell r="AD417"/>
          <cell r="AE417"/>
          <cell r="AF417"/>
          <cell r="AG417"/>
          <cell r="AH417"/>
          <cell r="AI417"/>
          <cell r="AJ417"/>
          <cell r="AK417"/>
          <cell r="AL417"/>
          <cell r="AM417"/>
          <cell r="AN417"/>
          <cell r="AO417"/>
          <cell r="AP417"/>
          <cell r="AQ417">
            <v>45525</v>
          </cell>
          <cell r="AR417">
            <v>42</v>
          </cell>
          <cell r="AS417">
            <v>45565</v>
          </cell>
          <cell r="AT417">
            <v>2</v>
          </cell>
          <cell r="AU417" t="str">
            <v>VMAFARUE</v>
          </cell>
        </row>
        <row r="418">
          <cell r="C418">
            <v>606735</v>
          </cell>
          <cell r="D418" t="str">
            <v>CARRANZA GIMENA LARA</v>
          </cell>
          <cell r="E418" t="str">
            <v>10:00 - 16:00</v>
          </cell>
          <cell r="F418" t="str">
            <v>MAÑANA</v>
          </cell>
          <cell r="G418" t="str">
            <v>SAB Y DOM</v>
          </cell>
          <cell r="H418" t="str">
            <v>GOYECHEA, AGUSTINA LOURDES</v>
          </cell>
          <cell r="I418" t="str">
            <v>Romandetto Carlos</v>
          </cell>
          <cell r="J418" t="str">
            <v>x</v>
          </cell>
          <cell r="K418"/>
          <cell r="L418" t="str">
            <v>x</v>
          </cell>
          <cell r="M418" t="str">
            <v>x</v>
          </cell>
          <cell r="N418" t="str">
            <v>x</v>
          </cell>
          <cell r="O418"/>
          <cell r="P418"/>
          <cell r="Q418"/>
          <cell r="R418"/>
          <cell r="S418"/>
          <cell r="T418"/>
          <cell r="U418"/>
          <cell r="V418"/>
          <cell r="W418"/>
          <cell r="X418"/>
          <cell r="Y418"/>
          <cell r="Z418"/>
          <cell r="AA418"/>
          <cell r="AB418"/>
          <cell r="AC418"/>
          <cell r="AD418"/>
          <cell r="AE418"/>
          <cell r="AF418"/>
          <cell r="AG418"/>
          <cell r="AH418"/>
          <cell r="AI418"/>
          <cell r="AJ418"/>
          <cell r="AK418"/>
          <cell r="AL418"/>
          <cell r="AM418"/>
          <cell r="AN418"/>
          <cell r="AO418"/>
          <cell r="AP418"/>
          <cell r="AQ418">
            <v>45525</v>
          </cell>
          <cell r="AR418">
            <v>42</v>
          </cell>
          <cell r="AS418">
            <v>45565</v>
          </cell>
          <cell r="AT418">
            <v>2</v>
          </cell>
          <cell r="AU418" t="str">
            <v>VMAGICAR</v>
          </cell>
        </row>
        <row r="419">
          <cell r="C419">
            <v>606700</v>
          </cell>
          <cell r="D419" t="str">
            <v>MENCIA ALISSON REBECA</v>
          </cell>
          <cell r="E419" t="str">
            <v>14:00 - 20:00</v>
          </cell>
          <cell r="F419" t="str">
            <v>TARDE</v>
          </cell>
          <cell r="G419" t="str">
            <v>SAB Y DOM</v>
          </cell>
          <cell r="H419" t="str">
            <v>GARZON, ROCIO BELEN</v>
          </cell>
          <cell r="I419" t="str">
            <v>Romandetto Carlos</v>
          </cell>
          <cell r="J419" t="str">
            <v>x</v>
          </cell>
          <cell r="K419"/>
          <cell r="L419" t="str">
            <v>x</v>
          </cell>
          <cell r="M419" t="str">
            <v>x</v>
          </cell>
          <cell r="N419" t="str">
            <v>x</v>
          </cell>
          <cell r="O419"/>
          <cell r="P419"/>
          <cell r="Q419"/>
          <cell r="R419"/>
          <cell r="S419"/>
          <cell r="T419"/>
          <cell r="U419"/>
          <cell r="V419"/>
          <cell r="W419"/>
          <cell r="X419"/>
          <cell r="Y419"/>
          <cell r="Z419"/>
          <cell r="AA419"/>
          <cell r="AB419"/>
          <cell r="AC419"/>
          <cell r="AD419"/>
          <cell r="AE419"/>
          <cell r="AF419"/>
          <cell r="AG419"/>
          <cell r="AH419"/>
          <cell r="AI419"/>
          <cell r="AJ419"/>
          <cell r="AK419"/>
          <cell r="AL419"/>
          <cell r="AM419"/>
          <cell r="AN419"/>
          <cell r="AO419"/>
          <cell r="AP419"/>
          <cell r="AQ419">
            <v>45525</v>
          </cell>
          <cell r="AR419">
            <v>42</v>
          </cell>
          <cell r="AS419">
            <v>45565</v>
          </cell>
          <cell r="AT419">
            <v>2</v>
          </cell>
          <cell r="AU419" t="str">
            <v>VMAALMEN</v>
          </cell>
        </row>
        <row r="420">
          <cell r="C420">
            <v>606711</v>
          </cell>
          <cell r="D420" t="str">
            <v>PUENTE OZAETA RODRIGO</v>
          </cell>
          <cell r="E420" t="str">
            <v>18:00 - 00:00</v>
          </cell>
          <cell r="F420" t="str">
            <v>NOCHE</v>
          </cell>
          <cell r="G420" t="str">
            <v>SAB Y DOM</v>
          </cell>
          <cell r="H420" t="str">
            <v>MIR, TOMAS MAURICIO</v>
          </cell>
          <cell r="I420" t="str">
            <v>Romandetto Carlos</v>
          </cell>
          <cell r="J420" t="str">
            <v>x</v>
          </cell>
          <cell r="K420"/>
          <cell r="L420" t="str">
            <v>x</v>
          </cell>
          <cell r="M420" t="str">
            <v>x</v>
          </cell>
          <cell r="N420" t="str">
            <v>x</v>
          </cell>
          <cell r="O420"/>
          <cell r="P420"/>
          <cell r="Q420"/>
          <cell r="R420"/>
          <cell r="S420"/>
          <cell r="T420"/>
          <cell r="U420"/>
          <cell r="V420"/>
          <cell r="W420"/>
          <cell r="X420"/>
          <cell r="Y420"/>
          <cell r="Z420"/>
          <cell r="AA420"/>
          <cell r="AB420"/>
          <cell r="AC420"/>
          <cell r="AD420"/>
          <cell r="AE420"/>
          <cell r="AF420"/>
          <cell r="AG420"/>
          <cell r="AH420"/>
          <cell r="AI420"/>
          <cell r="AJ420"/>
          <cell r="AK420"/>
          <cell r="AL420"/>
          <cell r="AM420"/>
          <cell r="AN420"/>
          <cell r="AO420"/>
          <cell r="AP420"/>
          <cell r="AQ420">
            <v>45525</v>
          </cell>
          <cell r="AR420">
            <v>42</v>
          </cell>
          <cell r="AS420">
            <v>45565</v>
          </cell>
          <cell r="AT420">
            <v>2</v>
          </cell>
          <cell r="AU420" t="str">
            <v>VMAROPUE</v>
          </cell>
        </row>
        <row r="421">
          <cell r="C421">
            <v>605000</v>
          </cell>
          <cell r="D421" t="str">
            <v>VALLEJO JULIANA</v>
          </cell>
          <cell r="E421" t="str">
            <v>08:00 - 14:00</v>
          </cell>
          <cell r="F421" t="str">
            <v>MAÑANA</v>
          </cell>
          <cell r="G421" t="str">
            <v>SAB Y DOM</v>
          </cell>
          <cell r="H421" t="str">
            <v>SUPERVISOR, POSTCURSO</v>
          </cell>
          <cell r="I421" t="str">
            <v>-</v>
          </cell>
          <cell r="J421" t="str">
            <v>x</v>
          </cell>
          <cell r="K421"/>
          <cell r="L421" t="str">
            <v>x</v>
          </cell>
          <cell r="M421" t="str">
            <v>x</v>
          </cell>
          <cell r="N421" t="str">
            <v>x</v>
          </cell>
          <cell r="O421"/>
          <cell r="P421"/>
          <cell r="Q421"/>
          <cell r="R421"/>
          <cell r="S421"/>
          <cell r="T421"/>
          <cell r="U421"/>
          <cell r="V421"/>
          <cell r="W421"/>
          <cell r="X421"/>
          <cell r="Y421"/>
          <cell r="Z421"/>
          <cell r="AA421"/>
          <cell r="AB421"/>
          <cell r="AC421"/>
          <cell r="AD421"/>
          <cell r="AE421"/>
          <cell r="AF421"/>
          <cell r="AG421"/>
          <cell r="AH421"/>
          <cell r="AI421"/>
          <cell r="AJ421"/>
          <cell r="AK421"/>
          <cell r="AL421"/>
          <cell r="AM421"/>
          <cell r="AN421"/>
          <cell r="AO421"/>
          <cell r="AP421"/>
          <cell r="AQ421">
            <v>45525</v>
          </cell>
          <cell r="AR421">
            <v>42</v>
          </cell>
          <cell r="AS421">
            <v>45565</v>
          </cell>
          <cell r="AT421">
            <v>2</v>
          </cell>
          <cell r="AU421" t="str">
            <v>VMAJUVAL</v>
          </cell>
        </row>
        <row r="422">
          <cell r="C422"/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/>
          <cell r="S422"/>
          <cell r="T422"/>
          <cell r="U422"/>
          <cell r="V422"/>
          <cell r="W422"/>
          <cell r="X422"/>
          <cell r="Y422"/>
          <cell r="Z422"/>
          <cell r="AA422"/>
          <cell r="AB422"/>
          <cell r="AC422"/>
          <cell r="AD422"/>
          <cell r="AE422"/>
          <cell r="AF422"/>
          <cell r="AG422"/>
          <cell r="AH422"/>
          <cell r="AI422"/>
          <cell r="AJ422"/>
          <cell r="AK422"/>
          <cell r="AL422"/>
          <cell r="AM422"/>
          <cell r="AN422"/>
          <cell r="AO422"/>
          <cell r="AP422"/>
          <cell r="AQ422"/>
          <cell r="AR422"/>
          <cell r="AS422"/>
          <cell r="AT422"/>
          <cell r="AU42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Nicolás G. Castro" refreshedDate="45567.83598738426" createdVersion="8" refreshedVersion="8" minRefreshableVersion="3" recordCount="1230" r:id="rId1">
  <cacheSource type="worksheet">
    <worksheetSource ref="A1:AG1048576" sheet="Base Avaya"/>
  </cacheSource>
  <cacheFields count="33">
    <cacheField name="Fecha" uniqueList="1" numFmtId="0" sqlType="0" hierarchy="0" level="0" databaseField="1">
      <sharedItems count="0" containsBlank="1" containsDate="1" containsNonDate="0" containsString="0" minDate="2024-10-02T00:00:00" maxDate="2024-10-03T00:00:00"/>
    </cacheField>
    <cacheField name="Skill" uniqueList="1" numFmtId="0" sqlType="0" hierarchy="0" level="0" databaseField="1">
      <sharedItems count="0" containsBlank="1" containsInteger="1" containsNumber="1" containsString="0" minValue="924" maxValue="925"/>
    </cacheField>
    <cacheField name="Nombre Skill" uniqueList="1" numFmtId="0" sqlType="0" hierarchy="0" level="0" databaseField="1">
      <sharedItems count="0" containsBlank="1"/>
    </cacheField>
    <cacheField name="Nombre Agente" uniqueList="1" numFmtId="0" sqlType="0" hierarchy="0" level="0" databaseField="1">
      <sharedItems count="0" containsBlank="1"/>
    </cacheField>
    <cacheField name="Cod. Agente" uniqueList="1" numFmtId="0" sqlType="0" hierarchy="0" level="0" databaseField="1">
      <sharedItems count="644" containsBlank="1" containsInteger="1" containsNumber="1" containsString="0" minValue="58425" maxValue="665678">
        <n v="605502"/>
        <n v="605503"/>
        <n v="605508"/>
        <n v="605511"/>
        <n v="605513"/>
        <n v="605545"/>
        <n v="605580"/>
        <n v="605589"/>
        <n v="605591"/>
        <n v="605611"/>
        <n v="605612"/>
        <n v="605617"/>
        <n v="605632"/>
        <n v="605676"/>
        <n v="605694"/>
        <n v="605696"/>
        <n v="605698"/>
        <n v="605760"/>
        <n v="605763"/>
        <n v="605766"/>
        <n v="605768"/>
        <n v="605769"/>
        <n v="605774"/>
        <n v="605794"/>
        <n v="605826"/>
        <n v="605882"/>
        <n v="605901"/>
        <n v="605911"/>
        <n v="605912"/>
        <n v="605957"/>
        <n v="605969"/>
        <n v="605982"/>
        <n v="605986"/>
        <n v="606019"/>
        <n v="606026"/>
        <n v="606030"/>
        <n v="606031"/>
        <n v="606039"/>
        <n v="606049"/>
        <n v="606058"/>
        <n v="606123"/>
        <n v="606142"/>
        <n v="606210"/>
        <n v="606216"/>
        <n v="606219"/>
        <n v="606227"/>
        <n v="606239"/>
        <n v="606249"/>
        <n v="606264"/>
        <n v="606285"/>
        <n v="606286"/>
        <n v="606288"/>
        <n v="606291"/>
        <n v="606306"/>
        <n v="606309"/>
        <n v="606330"/>
        <n v="606331"/>
        <n v="606338"/>
        <n v="606348"/>
        <n v="606359"/>
        <n v="606370"/>
        <n v="606371"/>
        <n v="606391"/>
        <n v="606401"/>
        <n v="606408"/>
        <n v="606411"/>
        <n v="606436"/>
        <n v="606437"/>
        <n v="606443"/>
        <n v="606445"/>
        <n v="606457"/>
        <n v="606463"/>
        <n v="606470"/>
        <n v="606475"/>
        <n v="606478"/>
        <n v="606481"/>
        <n v="606488"/>
        <n v="606492"/>
        <n v="606498"/>
        <n v="606501"/>
        <n v="606507"/>
        <n v="606528"/>
        <n v="606536"/>
        <n v="606550"/>
        <n v="606558"/>
        <n v="606577"/>
        <n v="606614"/>
        <n v="606616"/>
        <n v="606623"/>
        <n v="606644"/>
        <n v="606645"/>
        <n v="606646"/>
        <n v="606649"/>
        <n v="609727"/>
        <n v="616002"/>
        <n v="616090"/>
        <n v="616102"/>
        <n v="616206"/>
        <n v="616221"/>
        <n v="616238"/>
        <n v="616261"/>
        <n v="616336"/>
        <n v="616370"/>
        <n v="616413"/>
        <n v="616414"/>
        <n v="616423"/>
        <n v="616433"/>
        <n v="616438"/>
        <n v="616457"/>
        <n v="616481"/>
        <n v="616483"/>
        <n v="616491"/>
        <n v="616494"/>
        <n v="616517"/>
        <n v="616518"/>
        <n v="616520"/>
        <n v="616522"/>
        <n v="616528"/>
        <n v="616530"/>
        <n v="616590"/>
        <n v="616597"/>
        <n v="616602"/>
        <n v="616605"/>
        <n v="625572"/>
        <n v="628010"/>
        <n v="628026"/>
        <n v="628032"/>
        <n v="628034"/>
        <n v="628044"/>
        <n v="628070"/>
        <n v="628092"/>
        <n v="628094"/>
        <n v="628100"/>
        <n v="628107"/>
        <n v="628159"/>
        <n v="628233"/>
        <n v="628237"/>
        <n v="628253"/>
        <n v="628262"/>
        <n v="628263"/>
        <n v="628286"/>
        <n v="628292"/>
        <n v="628294"/>
        <n v="628297"/>
        <n v="628300"/>
        <n v="628315"/>
        <n v="628345"/>
        <n v="628352"/>
        <n v="628356"/>
        <n v="628362"/>
        <n v="628373"/>
        <n v="628382"/>
        <n v="628386"/>
        <n v="628388"/>
        <n v="628391"/>
        <n v="628392"/>
        <n v="628394"/>
        <n v="628395"/>
        <n v="628397"/>
        <n v="628400"/>
        <n v="628411"/>
        <n v="628412"/>
        <n v="628419"/>
        <n v="628423"/>
        <n v="628424"/>
        <n v="628431"/>
        <n v="628433"/>
        <n v="628434"/>
        <n v="628450"/>
        <n v="628452"/>
        <n v="628455"/>
        <n v="628458"/>
        <n v="628460"/>
        <n v="628468"/>
        <n v="628479"/>
        <n v="628496"/>
        <n v="628507"/>
        <n v="628512"/>
        <n v="628531"/>
        <n v="628540"/>
        <n v="663252"/>
        <n v="663281"/>
        <n v="663283"/>
        <n v="663285"/>
        <n v="663301"/>
        <n v="663310"/>
        <n v="663324"/>
        <n v="663334"/>
        <n v="663385"/>
        <n v="663419"/>
        <n v="663456"/>
        <n v="663510"/>
        <n v="663591"/>
        <n v="663648"/>
        <n v="663649"/>
        <n v="663802"/>
        <n v="663807"/>
        <n v="664048"/>
        <n v="664084"/>
        <n v="664495"/>
        <n v="664507"/>
        <n v="664517"/>
        <n v="664594"/>
        <n v="665501"/>
        <n v="665626"/>
        <n v="665673"/>
        <n v="69430"/>
        <n v="69994"/>
        <m/>
        <n v="605643" u="1"/>
        <n v="605660" u="1"/>
        <n v="605670" u="1"/>
        <n v="605672" u="1"/>
        <n v="605681" u="1"/>
        <n v="605778" u="1"/>
        <n v="605990" u="1"/>
        <n v="606202" u="1"/>
        <n v="606267" u="1"/>
        <n v="606287" u="1"/>
        <n v="606300" u="1"/>
        <n v="606320" u="1"/>
        <n v="606349" u="1"/>
        <n v="606357" u="1"/>
        <n v="606368" u="1"/>
        <n v="606369" u="1"/>
        <n v="606378" u="1"/>
        <n v="606398" u="1"/>
        <n v="606399" u="1"/>
        <n v="606461" u="1"/>
        <n v="606476" u="1"/>
        <n v="606495" u="1"/>
        <n v="609919" u="1"/>
        <n v="665678" u="1"/>
        <n v="605592" u="1"/>
        <n v="605762" u="1"/>
        <n v="605811" u="1"/>
        <n v="605818" u="1"/>
        <n v="606066" u="1"/>
        <n v="606233" u="1"/>
        <n v="606301" u="1"/>
        <n v="606315" u="1"/>
        <n v="606601" u="1"/>
        <n v="606603" u="1"/>
        <n v="616489" u="1"/>
        <n v="628030" u="1"/>
        <n v="628242" u="1"/>
        <n v="628368" u="1"/>
        <n v="628372" u="1"/>
        <n v="628383" u="1"/>
        <n v="628416" u="1"/>
        <n v="628427" u="1"/>
        <n v="628474" u="1"/>
        <n v="628506" u="1"/>
        <n v="628511" u="1"/>
        <n v="628539" u="1"/>
        <n v="628554" u="1"/>
        <n v="628562" u="1"/>
        <n v="663007" u="1"/>
        <n v="663347" u="1"/>
        <n v="663583" u="1"/>
        <n v="663821" u="1"/>
        <n v="663830" u="1"/>
        <n v="664499" u="1"/>
        <n v="664506" u="1"/>
        <n v="605665" u="1"/>
        <n v="606085" u="1"/>
        <n v="628037" u="1"/>
        <n v="628055" u="1"/>
        <n v="628088" u="1"/>
        <n v="628102" u="1"/>
        <n v="628158" u="1"/>
        <n v="628282" u="1"/>
        <n v="628367" u="1"/>
        <n v="628378" u="1"/>
        <n v="628410" u="1"/>
        <n v="628428" u="1"/>
        <n v="628430" u="1"/>
        <n v="628438" u="1"/>
        <n v="628448" u="1"/>
        <n v="628466" u="1"/>
        <n v="628482" u="1"/>
        <n v="628557" u="1"/>
        <n v="628558" u="1"/>
        <n v="628583" u="1"/>
        <n v="663133" u="1"/>
        <n v="663270" u="1"/>
        <n v="663273" u="1"/>
        <n v="663278" u="1"/>
        <n v="663287" u="1"/>
        <n v="663364" u="1"/>
        <n v="663441" u="1"/>
        <n v="663670" u="1"/>
        <n v="663827" u="1"/>
        <n v="664511" u="1"/>
        <n v="664577" u="1"/>
        <n v="664581" u="1"/>
        <n v="605530" u="1"/>
        <n v="605532" u="1"/>
        <n v="605610" u="1"/>
        <n v="605642" u="1"/>
        <n v="605662" u="1"/>
        <n v="605668" u="1"/>
        <n v="605711" u="1"/>
        <n v="605722" u="1"/>
        <n v="605813" u="1"/>
        <n v="605837" u="1"/>
        <n v="605876" u="1"/>
        <n v="605881" u="1"/>
        <n v="606115" u="1"/>
        <n v="606163" u="1"/>
        <n v="606204" u="1"/>
        <n v="606214" u="1"/>
        <n v="606292" u="1"/>
        <n v="606296" u="1"/>
        <n v="606326" u="1"/>
        <n v="606335" u="1"/>
        <n v="606366" u="1"/>
        <n v="606410" u="1"/>
        <n v="606416" u="1"/>
        <n v="606431" u="1"/>
        <n v="606444" u="1"/>
        <n v="606449" u="1"/>
        <n v="606451" u="1"/>
        <n v="606549" u="1"/>
        <n v="606561" u="1"/>
        <n v="606588" u="1"/>
        <n v="606591" u="1"/>
        <n v="606620" u="1"/>
        <n v="628268" u="1"/>
        <n v="628440" u="1"/>
        <n v="662182" u="1"/>
        <n v="665612" u="1"/>
        <n v="605927" u="1"/>
        <n v="606065" u="1"/>
        <n v="606116" u="1"/>
        <n v="606334" u="1"/>
        <n v="606340" u="1"/>
        <n v="606430" u="1"/>
        <n v="606453" u="1"/>
        <n v="606471" u="1"/>
        <n v="606547" u="1"/>
        <n v="606587" u="1"/>
        <n v="628028" u="1"/>
        <n v="628049" u="1"/>
        <n v="628099" u="1"/>
        <n v="628306" u="1"/>
        <n v="628311" u="1"/>
        <n v="628520" u="1"/>
        <n v="628522" u="1"/>
        <n v="628636" u="1"/>
        <n v="663443" u="1"/>
        <n v="606278" u="1"/>
        <n v="606321" u="1"/>
        <n v="628024" u="1"/>
        <n v="628446" u="1"/>
        <n v="628518" u="1"/>
        <n v="628624" u="1"/>
        <n v="628629" u="1"/>
        <n v="628635" u="1"/>
        <n v="628639" u="1"/>
        <n v="628641" u="1"/>
        <n v="663847" u="1"/>
        <n v="663861" u="1"/>
        <n v="605996" u="1"/>
        <n v="606297" u="1"/>
        <n v="628365" u="1"/>
        <n v="628375" u="1"/>
        <n v="663141" u="1"/>
        <n v="663226" u="1"/>
        <n v="663355" u="1"/>
        <n v="663806" u="1"/>
        <n v="664057" u="1"/>
        <n v="605677" u="1"/>
        <n v="663293" u="1"/>
        <n v="606035" u="1"/>
        <n v="606352" u="1"/>
        <n v="628307" u="1"/>
        <n v="628399" u="1"/>
        <n v="628436" u="1"/>
        <n v="628476" u="1"/>
        <n v="628485" u="1"/>
        <n v="628487" u="1"/>
        <n v="628590" u="1"/>
        <n v="628616" u="1"/>
        <n v="663311" u="1"/>
        <n v="628065" u="1"/>
        <n v="628251" u="1"/>
        <n v="628289" u="1"/>
        <n v="628406" u="1"/>
        <n v="628459" u="1"/>
        <n v="628475" u="1"/>
        <n v="663810" u="1"/>
        <n v="628304" u="1"/>
        <n v="663753" u="1"/>
        <n v="628556" u="1"/>
        <n v="606396" u="1"/>
        <n v="606532" u="1"/>
        <n v="606642" u="1"/>
        <n v="628283" u="1"/>
        <n v="628465" u="1"/>
        <n v="628625" u="1"/>
        <n v="663587" u="1"/>
        <n v="664487" u="1"/>
        <n v="606509" u="1"/>
        <n v="605684" u="1"/>
        <n v="605669" u="1"/>
        <n v="663598" u="1"/>
        <n v="605523" u="1"/>
        <n v="605639" u="1"/>
        <n v="605651" u="1"/>
        <n v="605664" u="1"/>
        <n v="606064" u="1"/>
        <n v="606615" u="1"/>
        <n v="605600" u="1"/>
        <n v="605704" u="1"/>
        <n v="606075" u="1"/>
        <n v="606109" u="1"/>
        <n v="606138" u="1"/>
        <n v="606141" u="1"/>
        <n v="609708" u="1"/>
        <n v="628384" u="1"/>
        <n v="661783" u="1"/>
        <n v="606135" u="1"/>
        <n v="628528" u="1"/>
        <n v="628437" u="1"/>
        <n v="606524" u="1"/>
        <n v="606040" u="1"/>
        <n v="605667" u="1"/>
        <n v="605866" u="1"/>
        <n v="605641" u="1"/>
        <n v="606625" u="1"/>
        <n v="606420" u="1"/>
        <n v="606305" u="1"/>
        <n v="605597" u="1"/>
        <n v="605827" u="1"/>
        <n v="606125" u="1"/>
        <n v="605702" u="1"/>
        <n v="606439" u="1"/>
        <n v="605958" u="1"/>
        <n v="606063" u="1"/>
        <n v="628376" u="1"/>
        <n v="628380" u="1"/>
        <n v="628422" u="1"/>
        <n v="628456" u="1"/>
        <n v="628498" u="1"/>
        <n v="628542" u="1"/>
        <n v="606570" u="1"/>
        <n v="606137" u="1"/>
        <n v="606624" u="1"/>
        <n v="606633" u="1"/>
        <n v="606628" u="1"/>
        <n v="606626" u="1"/>
        <n v="605830" u="1"/>
        <n v="605915" u="1"/>
        <n v="605932" u="1"/>
        <n v="606096" u="1"/>
        <n v="606329" u="1"/>
        <n v="605674" u="1"/>
        <n v="605764" u="1"/>
        <n v="605804" u="1"/>
        <n v="605934" u="1"/>
        <n v="605944" u="1"/>
        <n v="605981" u="1"/>
        <n v="606139" u="1"/>
        <n v="606225" u="1"/>
        <n v="606243" u="1"/>
        <n v="606279" u="1"/>
        <n v="606280" u="1"/>
        <n v="606383" u="1"/>
        <n v="606392" u="1"/>
        <n v="606409" u="1"/>
        <n v="606424" u="1"/>
        <n v="606479" u="1"/>
        <n v="606480" u="1"/>
        <n v="606499" u="1"/>
        <n v="606504" u="1"/>
        <n v="606519" u="1"/>
        <n v="606617" u="1"/>
        <n v="606660" u="1"/>
        <n v="628285" u="1"/>
        <n v="628414" u="1"/>
        <n v="628514" u="1"/>
        <n v="628537" u="1"/>
        <n v="628552" u="1"/>
        <n v="628256" u="1"/>
        <n v="628290" u="1"/>
        <n v="628385" u="1"/>
        <n v="628517" u="1"/>
        <n v="628563" u="1"/>
        <n v="628565" u="1"/>
        <n v="628566" u="1"/>
        <n v="664136" u="1"/>
        <n v="605622" u="1"/>
        <n v="606434" u="1"/>
        <n v="606438" u="1"/>
        <n v="606482" u="1"/>
        <n v="606487" u="1"/>
        <n v="606505" u="1"/>
        <n v="606535" u="1"/>
        <n v="628106" u="1"/>
        <n v="605666" u="1"/>
        <n v="605874" u="1"/>
        <n v="606054" u="1"/>
        <n v="606244" u="1"/>
        <n v="606270" u="1"/>
        <n v="606489" u="1"/>
        <n v="605656" u="1"/>
        <n v="605692" u="1"/>
        <n v="605867" u="1"/>
        <n v="628451" u="1"/>
        <n v="605547" u="1"/>
        <n v="605565" u="1"/>
        <n v="606145" u="1"/>
        <n v="606466" u="1"/>
        <n v="606508" u="1"/>
        <n v="606654" u="1"/>
        <n v="618600" u="1"/>
        <n v="628426" u="1"/>
        <n v="628484" u="1"/>
        <n v="628605" u="1"/>
        <n v="663557" u="1"/>
        <n v="605871" u="1"/>
        <n v="606317" u="1"/>
        <n v="661767" u="1"/>
        <n v="605902" u="1"/>
        <n v="605926" u="1"/>
        <n v="628036" u="1"/>
        <n v="628071" u="1"/>
        <n v="628091" u="1"/>
        <n v="628439" u="1"/>
        <n v="628536" u="1"/>
        <n v="628555" u="1"/>
        <n v="663014" u="1"/>
        <n v="663265" u="1"/>
        <n v="663327" u="1"/>
        <n v="664050" u="1"/>
        <n v="605843" u="1"/>
        <n v="606341" u="1"/>
        <n v="605631" u="1"/>
        <n v="605675" u="1"/>
        <n v="628079" u="1"/>
        <n v="628039" u="1"/>
        <n v="606053" u="1"/>
        <n v="628532" u="1"/>
        <n v="628570" u="1"/>
        <n v="628453" u="1"/>
        <n v="628521" u="1"/>
        <n v="628524" u="1"/>
        <n v="606610" u="1"/>
        <n v="606397" u="1"/>
        <n v="606629" u="1"/>
        <n v="605678" u="1"/>
        <n v="606635" u="1"/>
        <n v="616629" u="1"/>
        <n v="616633" u="1"/>
        <n v="616634" u="1"/>
        <n v="616635" u="1"/>
        <n v="616636" u="1"/>
        <n v="616637" u="1"/>
        <n v="606448" u="1"/>
        <n v="605615" u="1"/>
        <n v="606275" u="1"/>
        <n v="606248" u="1"/>
        <n v="662816" u="1"/>
        <n v="606327" u="1"/>
        <n v="606386" u="1"/>
        <n v="606446" u="1"/>
        <n v="58425" u="1"/>
        <n v="58515" u="1"/>
        <n v="58551" u="1"/>
        <n v="618542" u="1"/>
        <n v="605515" u="1"/>
        <n v="605638" u="1"/>
        <n v="606333" u="1"/>
        <n v="606441" u="1"/>
        <n v="628072" u="1"/>
        <n v="628249" u="1"/>
        <n v="628535" u="1"/>
        <n v="628541" u="1"/>
        <n v="628579" u="1"/>
        <n v="628643" u="1"/>
        <n v="628644" u="1"/>
        <n v="663843" u="1"/>
        <n v="605635" u="1"/>
        <n v="606404" u="1"/>
        <n v="606506" u="1"/>
        <n v="605942" u="1"/>
        <n v="606560" u="1"/>
        <n v="628527" u="1"/>
        <n v="663932" u="1"/>
        <n v="628078" u="1"/>
        <n v="628499" u="1"/>
        <n v="628628" u="1"/>
        <n v="605514" u="1"/>
        <n v="606363" u="1"/>
        <n v="606473" u="1"/>
        <n v="606167" u="1"/>
        <n v="628632" u="1"/>
        <n v="606559" u="1"/>
        <n v="606070" u="1"/>
        <n v="606310" u="1"/>
        <n v="662596" u="1"/>
        <n v="605636" u="1"/>
        <n v="606254" u="1"/>
        <n v="606462" u="1"/>
        <n v="606491" u="1"/>
        <n v="605963" u="1"/>
        <n v="605886" u="1"/>
        <n v="606046" u="1"/>
        <n v="606377" u="1"/>
        <n v="664593" u="1"/>
        <n v="606353" u="1"/>
        <n v="606427" u="1"/>
        <n v="605520" u="1"/>
        <n v="606052" u="1"/>
        <n v="628023" u="1"/>
        <n v="628271" u="1"/>
        <n v="628276" u="1"/>
        <n v="628313" u="1"/>
        <n v="628359" u="1"/>
        <n v="628585" u="1"/>
        <n v="628586" u="1"/>
        <n v="628587" u="1"/>
        <n v="628591" u="1"/>
        <n v="628594" u="1"/>
        <n v="628595" u="1"/>
        <n v="628604" u="1"/>
        <n v="628610" u="1"/>
        <n v="628614" u="1"/>
        <n v="628615" u="1"/>
        <n v="628618" u="1"/>
        <n v="628623" u="1"/>
        <n v="628509" u="1"/>
        <n v="628510" u="1"/>
        <n v="628488" u="1"/>
        <n v="628048" u="1"/>
        <n v="628284" u="1"/>
        <n v="663078" u="1"/>
        <n v="663336" u="1"/>
        <n v="606412" u="1"/>
        <n v="628432" u="1"/>
        <n v="628486" u="1"/>
        <n v="628598" u="1"/>
        <n v="606418" u="1"/>
      </sharedItems>
    </cacheField>
    <cacheField name="Hora Inicio Intervalo" uniqueList="1" numFmtId="0" sqlType="0" hierarchy="0" level="0" databaseField="1">
      <sharedItems count="0" containsBlank="1" containsDate="1" containsNonDate="0" containsString="0" minDate="1899-12-30T14:00:00" maxDate="1899-12-30T19:30:00"/>
    </cacheField>
    <cacheField name="-" uniqueList="1" numFmtId="0" sqlType="0" hierarchy="0" level="0" databaseField="1">
      <sharedItems count="0" containsBlank="1"/>
    </cacheField>
    <cacheField name="Hora Fin Intervalo" uniqueList="1" numFmtId="0" sqlType="0" hierarchy="0" level="0" databaseField="1">
      <sharedItems count="0" containsBlank="1" containsDate="1" containsNonDate="0" containsString="0" minDate="1899-12-30T14:30:00" maxDate="1899-12-30T20:00:00"/>
    </cacheField>
    <cacheField name="Tiempo ACD" uniqueList="1" numFmtId="0" sqlType="0" hierarchy="0" level="0" databaseField="1">
      <sharedItems count="0" containsBlank="1" containsInteger="1" containsNumber="1" containsString="0" minValue="0" maxValue="1772"/>
    </cacheField>
    <cacheField name="Tiempo ACW" uniqueList="1" numFmtId="0" sqlType="0" hierarchy="0" level="0" databaseField="1">
      <sharedItems count="0" containsBlank="1" containsInteger="1" containsNumber="1" containsString="0" minValue="0" maxValue="1201"/>
    </cacheField>
    <cacheField name="Otra hora" uniqueList="1" numFmtId="0" sqlType="0" hierarchy="0" level="0" databaseField="1">
      <sharedItems count="0" containsBlank="1" containsInteger="1" containsNumber="1" containsString="0" minValue="0" maxValue="0"/>
    </cacheField>
    <cacheField name="Ring Time" uniqueList="1" numFmtId="0" sqlType="0" hierarchy="0" level="0" databaseField="1">
      <sharedItems count="0" containsBlank="1" containsInteger="1" containsNumber="1" containsString="0" minValue="0" maxValue="100"/>
    </cacheField>
    <cacheField name="Tiempo AUX" uniqueList="1" numFmtId="0" sqlType="0" hierarchy="0" level="0" databaseField="1">
      <sharedItems count="0" containsBlank="1" containsInteger="1" containsNumber="1" containsString="0" minValue="0" maxValue="0"/>
    </cacheField>
    <cacheField name="Tiempo dispon." uniqueList="1" numFmtId="0" sqlType="0" hierarchy="0" level="0" databaseField="1">
      <sharedItems count="0" containsBlank="1" containsInteger="1" containsNumber="1" containsString="0" minValue="0" maxValue="0"/>
    </cacheField>
    <cacheField name="Tiempo con personal" uniqueList="1" numFmtId="0" sqlType="0" hierarchy="0" level="0" databaseField="1">
      <sharedItems count="0" containsBlank="1" containsInteger="1" containsNumber="1" containsString="0" minValue="0" maxValue="0"/>
    </cacheField>
    <cacheField name="Tiempo de reten." uniqueList="1" numFmtId="0" sqlType="0" hierarchy="0" level="0" databaseField="1">
      <sharedItems count="0" containsBlank="1" containsInteger="1" containsNumber="1" containsString="0" minValue="0" maxValue="1169"/>
    </cacheField>
    <cacheField name="Tiempo Sa. de Ext" uniqueList="1" numFmtId="0" sqlType="0" hierarchy="0" level="0" databaseField="1">
      <sharedItems count="0" containsBlank="1" containsInteger="1" containsNumber="1" containsString="0" minValue="0" maxValue="996"/>
    </cacheField>
    <cacheField name="Auxtime 0" uniqueList="1" numFmtId="0" sqlType="0" hierarchy="0" level="0" databaseField="1">
      <sharedItems count="0" containsBlank="1" containsInteger="1" containsNumber="1" containsString="0" minValue="0" maxValue="0"/>
    </cacheField>
    <cacheField name="Auxtime 1" uniqueList="1" numFmtId="0" sqlType="0" hierarchy="0" level="0" databaseField="1">
      <sharedItems count="0" containsBlank="1" containsInteger="1" containsNumber="1" containsString="0" minValue="0" maxValue="0"/>
    </cacheField>
    <cacheField name="Auxtime 2" uniqueList="1" numFmtId="0" sqlType="0" hierarchy="0" level="0" databaseField="1">
      <sharedItems count="0" containsBlank="1" containsInteger="1" containsNumber="1" containsString="0" minValue="0" maxValue="0"/>
    </cacheField>
    <cacheField name="Auxtime 3" uniqueList="1" numFmtId="0" sqlType="0" hierarchy="0" level="0" databaseField="1">
      <sharedItems count="0" containsBlank="1" containsInteger="1" containsNumber="1" containsString="0" minValue="0" maxValue="0"/>
    </cacheField>
    <cacheField name="Auxtime 4" uniqueList="1" numFmtId="0" sqlType="0" hierarchy="0" level="0" databaseField="1">
      <sharedItems count="0" containsBlank="1" containsInteger="1" containsNumber="1" containsString="0" minValue="0" maxValue="0"/>
    </cacheField>
    <cacheField name="Auxtime 5" uniqueList="1" numFmtId="0" sqlType="0" hierarchy="0" level="0" databaseField="1">
      <sharedItems count="0" containsBlank="1" containsInteger="1" containsNumber="1" containsString="0" minValue="0" maxValue="0"/>
    </cacheField>
    <cacheField name="Auxtime 6" uniqueList="1" numFmtId="0" sqlType="0" hierarchy="0" level="0" databaseField="1">
      <sharedItems count="0" containsBlank="1" containsInteger="1" containsNumber="1" containsString="0" minValue="0" maxValue="0"/>
    </cacheField>
    <cacheField name="Auxtime 7" uniqueList="1" numFmtId="0" sqlType="0" hierarchy="0" level="0" databaseField="1">
      <sharedItems count="0" containsBlank="1" containsInteger="1" containsNumber="1" containsString="0" minValue="0" maxValue="0"/>
    </cacheField>
    <cacheField name="Auxtime 8" uniqueList="1" numFmtId="0" sqlType="0" hierarchy="0" level="0" databaseField="1">
      <sharedItems count="0" containsBlank="1" containsInteger="1" containsNumber="1" containsString="0" minValue="0" maxValue="0"/>
    </cacheField>
    <cacheField name="Auxtime 9" uniqueList="1" numFmtId="0" sqlType="0" hierarchy="0" level="0" databaseField="1">
      <sharedItems count="0" containsBlank="1" containsInteger="1" containsNumber="1" containsString="0" minValue="0" maxValue="0"/>
    </cacheField>
    <cacheField name="Llamadas ACD" uniqueList="1" numFmtId="0" sqlType="0" hierarchy="0" level="0" databaseField="1">
      <sharedItems count="0" containsBlank="1" containsInteger="1" containsNumber="1" containsString="0" minValue="0" maxValue="9"/>
    </cacheField>
    <cacheField name="Llamadas Liberadas" uniqueList="1" numFmtId="0" sqlType="0" hierarchy="0" level="0" databaseField="1">
      <sharedItems count="0" containsBlank="1" containsInteger="1" containsNumber="1" containsString="0" minValue="0" maxValue="8"/>
    </cacheField>
    <cacheField name="PCRC" uniqueList="1" numFmtId="0" sqlType="0" hierarchy="0" level="0" databaseField="1">
      <sharedItems count="4" containsBlank="1">
        <s v="S2S NO PREMIUM"/>
        <s v="S2S PREMIUM"/>
        <m/>
        <s v="" u="1"/>
      </sharedItems>
    </cacheField>
    <cacheField name="OPERADOR" uniqueList="1" numFmtId="0" sqlType="0" hierarchy="0" level="0" databaseField="1">
      <sharedItems count="331" containsBlank="1">
        <s v="ACOSTA AYELEN"/>
        <s v="RUSSO ROCIO BELEN"/>
        <s v="TOLOZA ESTEFANIA KAREN"/>
        <s v="MENDOZA NATALIA ELIZABETH"/>
        <s v="MAIDANA MENDOZA MALENA MELISA"/>
        <s v="VALENZUELA MELINA GISELLE"/>
        <s v="FERREYRA TOMAS AGUSTIN"/>
        <s v="CASTILLO MICAELA TATIANA"/>
        <s v="BERTUCCI AGOSTINA"/>
        <s v="D AGOSTINO MARIA BIANCA"/>
        <s v="SOTOS LA IACONA ENZO SANTINO"/>
        <s v="DE VUONO FACUNDO SANTIAGO"/>
        <s v="MANFREDI RUTH MELINA"/>
        <s v="CUBILLA MARLENE ARACELI"/>
        <s v="GILLES MORENA"/>
        <s v="MARTINEZ IGNACIO"/>
        <s v="SOLIS MELINA ALEJANDRA"/>
        <s v="CUELLAR JOEL ADRIAN"/>
        <s v="FRAGA NICOLAS"/>
        <s v="ZAPATA VAGNINI MARTINA"/>
        <s v="FRIAS BRENDA ANTONELA"/>
        <s v="SOSA VALENTINA"/>
        <s v="CASTRO CRISTIAN NICOLAS"/>
        <s v="VAZQUEZ ROSSI SOFIA ANAHI"/>
        <s v="GONZALEZ CANDELA"/>
        <s v="ESPINOZA CIELO"/>
        <s v="CASTILLO CUEVA LUCIANA"/>
        <s v="INFANTE ENZO"/>
        <s v="SOSA LUCIA CELESTE"/>
        <s v="VARGAS CAROLINA MELANY"/>
        <s v="DEMARCO FIDEL"/>
        <s v="WETZEL IGNACIO EZEQUIEL"/>
        <s v="BENITEZ LOURDES ROCIO"/>
        <s v="VERGARA TAMARA"/>
        <s v="OLIVARES MIRIAM DANIELA"/>
        <s v="FONFRIA VALENTINO"/>
        <s v="CEJAS MAYRA"/>
        <s v="GOMEZ ENCISO MONICA"/>
        <s v="NAVARRO BRUNO OCTAVIO"/>
        <s v="PEREZ LOURDES"/>
        <s v="MENGUEZ LUKA PATRICIO"/>
        <s v="MARAZ AYELEN JACQUELINE"/>
        <s v="CANTEROS JOHANNA ANAHI"/>
        <s v="GOMEZ BRUNO NAHUEL"/>
        <s v="MAIZ CAMILA"/>
        <s v="NARBONA SUSAN ABRIL"/>
        <s v="TORRES LUNA"/>
        <s v="DURO CANDELA MILAGROS"/>
        <s v="ACOSTA SEBASTIAN"/>
        <s v="PAEZ LUCAS ENZO GREGORIO"/>
        <s v="ROMITO AGOSTINA BELEN"/>
        <s v="OJEDA MAYRA ALEJANDRA"/>
        <s v="LOPEZ CAROLINA"/>
        <s v="MOSQUEIRA HERNAN FEDERICO"/>
        <s v="DONZELLI ANGELICA"/>
        <s v="FRANCO SELENA ROCIO"/>
        <s v="MOREAU MICAELA VICTORIA"/>
        <s v="GONZALEZ CRISTIAN ALBERTO"/>
        <s v="ABALOS HEREDIA DAIANA BELEN"/>
        <s v="MARTINEZ NORBERTO GUSTAVO"/>
        <s v="PINO ELISA"/>
        <s v="CALAHUANA SILVANA"/>
        <s v="GONSALEZ EMILIANO SEBASTIAN"/>
        <s v="GAYO MATIAS FEDERICO"/>
        <s v="BELCHIOR MEDINACELLI LUZ MARIA"/>
        <s v="GOMEZ CESAR NAHUEL"/>
        <s v="SANJUAN LAURA"/>
        <s v="MIRAGAYA MARIA JOSE"/>
        <s v="BURSESE MAITE PILAR"/>
        <s v="GARRIGO CAROLINA"/>
        <s v="FUHR PATRICIO ALEJANDRO"/>
        <s v="MACHADO RIVERA ELIAS RAUL"/>
        <s v="ALMIRON LUCIANA AYELEN"/>
        <s v="VACA OROZCO ANDREA"/>
        <s v="QUISBERT ARUATA ANDREW ROBERT"/>
        <s v="GUTIERREZ BRISA CRISTAL"/>
        <s v="GIAVINO ALAN EMMANUEL"/>
        <s v="SANSO NOEMI"/>
        <s v="SANCHEZ ADRIAN ALEJANDRO"/>
        <s v="TOFFOLETTI SOTO EVELYN"/>
        <s v="BARROJO FEDERICO ALEJANDRO"/>
        <s v="CERVANTES LOURDES ABRIL"/>
        <s v="SOTELO SILVANA ANAHI"/>
        <s v="ROLON NANCY MAGALI"/>
        <s v="FRAGALE PABLO DANIEL"/>
        <s v="RIQUELME LUCIA"/>
        <s v="SOSA BERNAO MARTINA"/>
        <s v="SAGRADO NICOLAS"/>
        <s v="CORIA CANDELA"/>
        <s v="SALLES MATIAS"/>
        <s v="COLMENARES EMILY"/>
        <s v="SANCHEZ JUAN MARCELO"/>
        <s v="ANDRZEYEVSKI NICOLOSI CAMILA BELEN"/>
        <s v="ZALAZAR BRAIAN EDGARDO"/>
        <e v="#N/A"/>
        <s v="AMUNDARREY JOAQUIN LEONEL"/>
        <m/>
        <s v="SOTO JESUS AGUSTIN" u="1"/>
        <s v="GARRETTO MILAGROS BELEN" u="1"/>
        <s v="MUÑOZ NOELIA" u="1"/>
        <s v="FERNANDEZ HELENA" u="1"/>
        <s v="MACALELLO ROCIO MICAELA" u="1"/>
        <s v="NOGUEIRA CELESTE AYLEN" u="1"/>
        <s v="FALCON NAYLA" u="1"/>
        <s v="ALANIS LUCIANO AGUSTIN" u="1"/>
        <s v="FERREYRA CANDELA JAEL" u="1"/>
        <s v="ARIAS FRANCO" u="1"/>
        <s v="GONZALEZ GONZALO" u="1"/>
        <s v="RAMOS LASTRA PABLO" u="1"/>
        <s v="ROMERO FRANCO" u="1"/>
        <s v="PADILLA RUTH NOEMI" u="1"/>
        <s v="ROMERO ROMINA" u="1"/>
        <s v="BAREIRO JONATAN EMANUEL" u="1"/>
        <s v="CASTORO SOFIA ABRIL" u="1"/>
        <s v="MANFREDI AGOSTINA JIMENA" u="1"/>
        <s v="GONZALEZ ELIANA" u="1"/>
        <s v="CONDRATIUK MIGUEL AGUSTIN" u="1"/>
        <s v="BRUSCO JADE JOLIE" u="1"/>
        <s v="SERTORIO DAMARIS MARIA AILEN" u="1"/>
        <s v="CARDOSO LUDMILA PAMELA" u="1"/>
        <s v="GOMEZ ROCIO BELEN" u="1"/>
        <s v="FERNANDEZ PAULA DENISSE" u="1"/>
        <s v="VALDEZ GAMARRA NAHUEL" u="1"/>
        <s v="ESPINDOLA ROMERO MELODY BELEN" u="1"/>
        <s v="DUCHANDU ROMINA" u="1"/>
        <s v="PANIAGUA CARLA NOEMI" u="1"/>
        <s v="VIQUE JUAN MANUEL" u="1"/>
        <s v="AMARIA EVELYN NICOLE" u="1"/>
        <s v="MAMANI EVELIN ARAZELY" u="1"/>
        <s v="QUINTANA LUCIA BELEN" u="1"/>
        <s v="BALBUENA JOSE LUIS" u="1"/>
        <s v="BARRIOS CACERES BRISA DANIELA" u="1"/>
        <s v="CARDILLO MARIANELLA BIANCA" u="1"/>
        <s v="RUIZ ALEX IVAN" u="1"/>
        <s v="PANDOLFELLI FLORENCIA" u="1"/>
        <s v="REGUEIRO MARTINA ESTEFANIA" u="1"/>
        <s v="LEITO DOMINGUEZ JONATHAN" u="1"/>
        <s v="SAAVEDRA FRANCISCO JAVIER" u="1"/>
        <s v="LEMOS MARIA DE LOS ANGELES" u="1"/>
        <s v="FERREIRA AGUSTINA" u="1"/>
        <s v="REVOLLO DAIANA DENISE" u="1"/>
        <s v="CASIVA XIMENA MILAGROS" u="1"/>
        <s v="ROMAN BARRIENTOS JUAN EDUARDO" u="1"/>
        <s v="GAETANI LUCILA CATALINA" u="1"/>
        <s v="GONZALEZ RODRIGO ALEJANDRO" u="1"/>
        <s v="DELIA NAHOMI AURELIANO" u="1"/>
        <s v="FRANCO MICAELA AYLEN" u="1"/>
        <s v="CARRO AILEN ZOE" u="1"/>
        <s v="ENRRIQUE ARIADNA FELISA" u="1"/>
        <s v="FONCECA JOAQUIN JORGE" u="1"/>
        <s v="PALACIOS MAURA" u="1"/>
        <s v="SORMANI LUANA AILIN" u="1"/>
        <s v="MARTINEZ CAROLINA ANABELA" u="1"/>
        <s v="POSDELEY AILEN ABIGAIL" u="1"/>
        <s v="LIMACHI BRENDA DESIREE" u="1"/>
        <s v="FRANCO BRUNO EZEQUIEL" u="1"/>
        <s v="VARELA LAUTARO DAMIAN" u="1"/>
        <s v="GARCIA JULIETA SOLEDAD" u="1"/>
        <s v="FRETES ELIAS BLAS" u="1"/>
        <s v="ZAVALA NOELIA SUSANA" u="1"/>
        <s v="LUNA JENNIFER ALEJANDRA" u="1"/>
        <s v="HANGLIN CORREA CRISTIAN NOE" u="1"/>
        <s v="COLMENARES ISMADARAY" u="1"/>
        <s v="GUTIERREZ MARIA SOLEDAD" u="1"/>
        <s v="MOTTA ELVERDI MICAELA DANIELA" u="1"/>
        <s v="TARABINI CRISTINA" u="1"/>
        <s v="GOMEZ MICAELA AYLEN" u="1"/>
        <s v="SANTANA CONCEPCION DEL ROSARIO" u="1"/>
        <s v="ZARZA GONZALO IVAN" u="1"/>
        <s v="TORRENTE GABRIEL NICOLAS" u="1"/>
        <s v="GOMEZ MATIAS" u="1"/>
        <s v="ARMAS BERROCAL GUILLERMO JESUS" u="1"/>
        <s v="LEZAMETA MACUTELA CELESTE" u="1"/>
        <s v="CABELLO JULIETA LIBERTAD" u="1"/>
        <s v="FARIAS YASMIN AYELEN" u="1"/>
        <s v="PALOMINO GERALDINE CAROLYN" u="1"/>
        <s v="RIZZOLI EMILIANO" u="1"/>
        <s v="MEJIAS ARO YUDALY" u="1"/>
        <s v="FERNANDEZ KAREN SOFIA" u="1"/>
        <s v="AGUINAGA GOMEZ MARIA MAGALI" u="1"/>
        <s v="CASALES JUAN DE DIOS" u="1"/>
        <s v="TORRES BIANCA" u="1"/>
        <s v="LENTINI MELANIE NOEMI" u="1"/>
        <s v="RIVERO MAURICIO NAZARENO" u="1"/>
        <s v="MOYA MILAGROS MICAELA" u="1"/>
        <s v="MINO ARIADNA SOLANGE" u="1"/>
        <s v="CHAVEZ LEANDRO" u="1"/>
        <s v="GALOC RUBHY" u="1"/>
        <s v="CARRIZO DANIELA ANAHI" u="1"/>
        <s v="MAKOWSKI CAÑETE MILAGROS" u="1"/>
        <s v="NOGUEIRA MARIA EUGENIA" u="1"/>
        <s v="MELLANO FRANCO GABRIEL" u="1"/>
        <s v="GALLARDO CANDELA ANABEL" u="1"/>
        <s v="PALACIO JONATHAN" u="1"/>
        <s v="JARA KAREN" u="1"/>
        <s v="MORALES GONZALEZ MELISA" u="1"/>
        <s v="CASTRO MARIA MAGALI" u="1"/>
        <s v="RODRIGUEZ NANCY NATALI" u="1"/>
        <s v="CORPUS BARRIOS CANDELA GIOVANNA" u="1"/>
        <s v="SARAVIA CAROLINA" u="1"/>
        <s v="BORQUEZ NAZARENO" u="1"/>
        <s v="NAVARRETE JULIANA EDIT" u="1"/>
        <s v="CASCO NAHUEL MARTIN" u="1"/>
        <s v="SANDOVAL ANGELICA SALOME" u="1"/>
        <s v="GONZA DIEGO MAXIMILIANO" u="1"/>
        <s v="VAZQUEZ SOFIA MAGALI" u="1"/>
        <s v="SANCHEZ YAMILA" u="1"/>
        <s v="NIN MACARENA BEATRIZ" u="1"/>
        <s v="LEIVA BRENDA MARINA" u="1"/>
        <s v="PERALTA EMILIANO" u="1"/>
        <s v="MALDONADO FLORENCIA" u="1"/>
        <s v="GAUNA EVELYN DENISE" u="1"/>
        <s v="GOMEZ AGUSTINA TATIANA" u="1"/>
        <s v="LOPEZ FRANCO NICOLAS" u="1"/>
        <s v="QUINTEROS LUCIANA MARIBEL" u="1"/>
        <s v="BENITEZ MELANIE" u="1"/>
        <s v="GUTIERREZ YAEL" u="1"/>
        <s v="CASTILLO CINTIA BELEN" u="1"/>
        <s v="CEPELOVICH EVELYN MARIEL" u="1"/>
        <s v="DOMINGUEZ LAUTARO IVAN" u="1"/>
        <s v="NIETO MELINA AYLEN" u="1"/>
        <s v="ROJAS RICARDO ARIEL" u="1"/>
        <s v="FRAGALE AGOSTINA" u="1"/>
        <s v="BUSTAMANTE CAMILA" u="1"/>
        <s v="ROJAS SOFIA" u="1"/>
        <s v="RIVERO MELANIE" u="1"/>
        <s v="SALINA BRENDA" u="1"/>
        <s v="ABENDAÑO COLLAO ALEXIS DANIEL" u="1"/>
        <s v="LOPEZ BRUNO JORGE" u="1"/>
        <s v="TOGNOLE JORGE LEONARDO" u="1"/>
        <s v="FIORENCE IRMA" u="1"/>
        <s v="RIVERO PRISCILA ABIGAIL" u="1"/>
        <s v="LENCINA AGUSTIN" u="1"/>
        <s v="GODINO FEDERICO DANIEL" u="1"/>
        <s v="FLEITAS JUAN GABRIEL" u="1"/>
        <s v="LIZUÑA AGUSTIN" u="1"/>
        <s v="LEDESMA CAMPOS MATIAS" u="1"/>
        <s v="RAMOS HERNAN" u="1"/>
        <s v="TORANZO MILAGROS" u="1"/>
        <s v="GODOY FLORENCIA YAEL" u="1"/>
        <s v="GARAY RAZINI SILVIA ANAHI" u="1"/>
        <s v="CABRAL LUZ AYELEN" u="1"/>
        <s v="VALLEJOS LUDMILA IARA" u="1"/>
        <s v="PICALLO PRISCILA YASMIN" u="1"/>
        <s v="VINCENTI FLORENCIA" u="1"/>
        <s v="MARCOS MALENA" u="1"/>
        <s v="TOLOZA FLORENCIA SOFIA" u="1"/>
        <s v="BAEZ IGNACIO" u="1"/>
        <s v="MARCOTE JULIETA BELEN" u="1"/>
        <s v="BENEDETTI QUINTERO ALAN PEDRO" u="1"/>
        <s v="COLMAN VALENZUELA SOFIA SOLEDAD" u="1"/>
        <s v="QUINTANA ELIZABETH DENISE" u="1"/>
        <s v="PARRA ESTEFANIA SOLEDAD" u="1"/>
        <s v="MARQUES MAGALI" u="1"/>
        <s v="FLORES JESUS EMANUEL" u="1"/>
        <s v="PALOMO LEANDRO MARTIN" u="1"/>
        <s v="LUNA JONATHAN ANDRES" u="1"/>
        <s v="CANTERO TATIANA AGUSTINA" u="1"/>
        <s v="MOLINA AXEL YOEL" u="1"/>
        <s v="NIEVA JOHANNA ALEJANDRA MARIEL" u="1"/>
        <s v="BRIZUELA CELESTE" u="1"/>
        <s v="BARON AZUL LUDMILA" u="1"/>
        <s v="ROJAS ROCIO LUMILA" u="1"/>
        <s v="IVAN GOÑI MILAGROS LUZ" u="1"/>
        <s v="HEBERT CACERES JUNIOR ANIBAL" u="1"/>
        <s v="BREGLIA MELANIE IARA" u="1"/>
        <s v="DE VEGA BRISA DAIANA" u="1"/>
        <s v="LATORRE CANDELA" u="1"/>
        <s v="OVEJERO VANINA ALEJANDRA" u="1"/>
        <s v="PICCININI DANIELA SOLEDAD" u="1"/>
        <s v="AVENDAÑO ANGELES MICHELLE" u="1"/>
        <s v="SERRUDO VARGAS CAMILA MIKAL" u="1"/>
        <s v="ENRIQUE ORIANA" u="1"/>
        <s v="BARRICARTE MARIANO NICOLAS" u="1"/>
        <s v="RODRIGUEZ TOMAS AGUSTIN" u="1"/>
        <s v="QUIROGA VIOLETA JAZMIN" u="1"/>
        <s v="ROJAS MATIAS" u="1"/>
        <s v="AGUAYO IRALA ROCIO MAGALI" u="1"/>
        <s v="BARRIO MARTINEZ IARA MARIANELLA" u="1"/>
        <s v="PEREZ CAMILA AILEN" u="1"/>
        <s v="KORENBLUM BIRRIEL LAUTARO URIEL" u="1"/>
        <s v="MARTINEZ MARIA AGUSTINA" u="1"/>
        <s v="DOS SANTOS AGOSTINA" u="1"/>
        <s v="NAVARRO NICOLAS EZEQUIEL" u="1"/>
        <s v="SANCHEZ FLORENCIA ARIADNA" u="1"/>
        <s v="UGARTE DIEGO" u="1"/>
        <s v="LUNA SHEILA BEATRIZ" u="1"/>
        <s v="MERIDA GOMEZ MAXIMILIANO EZEQUIEL" u="1"/>
        <s v="AQUINO ALEJANDRA" u="1"/>
        <s v="LEDESMA NAZARENO DANIEL" u="1"/>
        <s v="ARRIGHI RUIZ TOBIAS FRANCISCO" u="1"/>
        <s v="FARFAN BELEN ROXANA" u="1"/>
        <s v="CRUZ DAMIAN ESTEBAN" u="1"/>
        <s v="RODRIGUEZ IARA NAIR" u="1"/>
        <s v="TARABINI GLORIA INES" u="1"/>
        <s v="QUINTERO DEMATTEI CAMILA" u="1"/>
        <s v="TRAVAGLINI PRISCILA ORIANA" u="1"/>
        <s v="PAEZ PAULA FLORENCIA" u="1"/>
        <s v="SALVI VALENTIN ALEJANDRO" u="1"/>
        <s v="LUTTER IARA CATARINA INES" u="1"/>
        <s v="IBARRA FRANCISCO" u="1"/>
        <s v="ROLON LUCILA DIAMELA" u="1"/>
        <s v="LEZAMETA ANGELICA MARIA" u="1"/>
        <s v="PALACIOS DAIRA DENISE" u="1"/>
        <s v="DAVIRAN CALDERON LUISA PEGGY" u="1"/>
        <s v="AYALA MARIA VALENTINA" u="1"/>
        <s v="VILLACORTA NATASHA NEREA" u="1"/>
        <s v="GARAY RAZINI SILVINA ANAHI" u="1"/>
        <s v="RODRIGUEZ JEMIMA VICTORIA" u="1"/>
        <s v="TARIFA PATRICIO HERNAN" u="1"/>
        <s v="CONTRERAS LUCIANO ZAIR" u="1"/>
        <s v="BENITEZ JOANA SOLEDAD" u="1"/>
        <s v="SALAZAR TOMAS" u="1"/>
        <s v="LOPEZ VICTORIA ABRIL" u="1"/>
        <s v="CABALLERO NIEVA AYLEN LUZ" u="1"/>
        <s v="CABITU MALENA" u="1"/>
        <s v="PROPATTO MARIANA AGUSTINA" u="1"/>
        <s v="ARANDA CHIAUDANO MICAELA DAIANA" u="1"/>
        <s v="RIOS EXEQUIEL ALEJANDRO" u="1"/>
        <s v="AGÜERO BRISA MILAGROS" u="1"/>
        <s v="GOMEZ LEANDRO AGUSTIN" u="1"/>
        <s v="MOYA GARRIDO THOMAS EMANUEL" u="1"/>
        <s v="LOPEZ CANDELA YAZMIN" u="1"/>
        <s v="MALDONADO PRISCILA" u="1"/>
        <s v="FLORES IGNACIO JUAN BAUTISTA" u="1"/>
        <s v="SILVA SOFIA INES" u="1"/>
        <s v="SEGUI CAMILA JACQUELINE" u="1"/>
        <s v="FRANCO DAVID AGUSTIN" u="1"/>
        <s v="SOSA LUCIA NAIARA" u="1"/>
        <s v="AGUIRRE SASSO NAZARENA" u="1"/>
        <s v="SUAREZ SANCHEZ MARIA AGOSTINA" u="1"/>
      </sharedItems>
    </cacheField>
    <cacheField name="Inicio" uniqueList="1" numFmtId="0" sqlType="0" hierarchy="0" level="0" databaseField="1">
      <sharedItems count="0" containsBlank="1" containsDate="1" containsNonDate="0" containsString="0" minDate="1899-12-30T14:00:00" maxDate="1899-12-30T19:30:00"/>
    </cacheField>
    <cacheField name="Fin" uniqueList="1" numFmtId="0" sqlType="0" hierarchy="0" level="0" databaseField="1">
      <sharedItems count="0" containsBlank="1" containsDate="1" containsNonDate="0" containsString="0" minDate="1899-12-30T14:30:00" maxDate="1899-12-30T20:00:00"/>
    </cacheField>
  </cacheFields>
</pivotCacheDefinition>
</file>

<file path=xl/pivotCache/pivotCacheRecords1.xml><?xml version="1.0" encoding="utf-8"?>
<pivotCacheRecords xmlns="http://schemas.openxmlformats.org/spreadsheetml/2006/main" count="1230">
  <r>
    <d v="2024-10-02T00:00:00"/>
    <n v="924"/>
    <s v="S2S No Premium"/>
    <s v="N2m_Acosta, Ayelen"/>
    <x v="0"/>
    <d v="1899-12-30T14:00:00"/>
    <s v="-"/>
    <d v="1899-12-30T14:30:0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0"/>
    <d v="1899-12-30T14:00:00"/>
    <d v="1899-12-30T14:30:00"/>
  </r>
  <r>
    <d v="2024-10-02T00:00:00"/>
    <n v="924"/>
    <s v="S2S No Premium"/>
    <s v="N2m_Acosta, Ayelen"/>
    <x v="0"/>
    <d v="1899-12-30T14:30:00"/>
    <s v="-"/>
    <d v="1899-12-30T15:00:00"/>
    <n v="791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0"/>
    <d v="1899-12-30T14:30:00"/>
    <d v="1899-12-30T15:00:00"/>
  </r>
  <r>
    <d v="2024-10-02T00:00:00"/>
    <n v="924"/>
    <s v="S2S No Premium"/>
    <s v="N2_Russo, Rocio"/>
    <x v="1"/>
    <d v="1899-12-30T15:30:00"/>
    <s v="-"/>
    <d v="1899-12-30T16:00:00"/>
    <n v="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1"/>
    <d v="1899-12-30T15:30:00"/>
    <d v="1899-12-30T16:00:00"/>
  </r>
  <r>
    <d v="2024-10-02T00:00:00"/>
    <n v="924"/>
    <s v="S2S No Premium"/>
    <s v="N2_Russo, Rocio"/>
    <x v="1"/>
    <d v="1899-12-30T14:30:00"/>
    <s v="-"/>
    <d v="1899-12-30T15:00:00"/>
    <n v="55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1"/>
    <d v="1899-12-30T14:30:00"/>
    <d v="1899-12-30T15:00:00"/>
  </r>
  <r>
    <d v="2024-10-02T00:00:00"/>
    <n v="924"/>
    <s v="S2S No Premium"/>
    <s v="N2_Russo, Rocio"/>
    <x v="1"/>
    <d v="1899-12-30T15:00:00"/>
    <s v="-"/>
    <d v="1899-12-30T15:30:00"/>
    <n v="930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1"/>
    <d v="1899-12-30T15:00:00"/>
    <d v="1899-12-30T15:30:00"/>
  </r>
  <r>
    <d v="2024-10-02T00:00:00"/>
    <n v="924"/>
    <s v="S2S No Premium"/>
    <s v="N2_Russo, Rocio"/>
    <x v="1"/>
    <d v="1899-12-30T14:00:00"/>
    <s v="-"/>
    <d v="1899-12-30T14:30:00"/>
    <n v="1107"/>
    <n v="0"/>
    <n v="0"/>
    <n v="14"/>
    <n v="0"/>
    <n v="0"/>
    <n v="0"/>
    <n v="96"/>
    <n v="59"/>
    <n v="0"/>
    <n v="0"/>
    <n v="0"/>
    <n v="0"/>
    <n v="0"/>
    <n v="0"/>
    <n v="0"/>
    <n v="0"/>
    <n v="0"/>
    <n v="0"/>
    <n v="3"/>
    <n v="3"/>
    <x v="0"/>
    <x v="1"/>
    <d v="1899-12-30T14:00:00"/>
    <d v="1899-12-30T14:30:00"/>
  </r>
  <r>
    <d v="2024-10-02T00:00:00"/>
    <n v="924"/>
    <s v="S2S No Premium"/>
    <s v="N2m_TolozaEstefania"/>
    <x v="2"/>
    <d v="1899-12-30T19:30:00"/>
    <s v="-"/>
    <d v="1899-12-30T20:00:00"/>
    <n v="284"/>
    <n v="0"/>
    <n v="0"/>
    <n v="8"/>
    <n v="0"/>
    <n v="0"/>
    <n v="0"/>
    <n v="4"/>
    <n v="0"/>
    <n v="0"/>
    <n v="0"/>
    <n v="0"/>
    <n v="0"/>
    <n v="0"/>
    <n v="0"/>
    <n v="0"/>
    <n v="0"/>
    <n v="0"/>
    <n v="0"/>
    <n v="2"/>
    <n v="1"/>
    <x v="0"/>
    <x v="2"/>
    <d v="1899-12-30T19:30:00"/>
    <d v="1899-12-30T20:00:00"/>
  </r>
  <r>
    <d v="2024-10-02T00:00:00"/>
    <n v="924"/>
    <s v="S2S No Premium"/>
    <s v="N2m_TolozaEstefania"/>
    <x v="2"/>
    <d v="1899-12-30T19:00:00"/>
    <s v="-"/>
    <d v="1899-12-30T19:30:00"/>
    <n v="362"/>
    <n v="0"/>
    <n v="0"/>
    <n v="4"/>
    <n v="0"/>
    <n v="0"/>
    <n v="0"/>
    <n v="3"/>
    <n v="0"/>
    <n v="0"/>
    <n v="0"/>
    <n v="0"/>
    <n v="0"/>
    <n v="0"/>
    <n v="0"/>
    <n v="0"/>
    <n v="0"/>
    <n v="0"/>
    <n v="0"/>
    <n v="1"/>
    <n v="1"/>
    <x v="0"/>
    <x v="2"/>
    <d v="1899-12-30T19:00:00"/>
    <d v="1899-12-30T19:30:00"/>
  </r>
  <r>
    <d v="2024-10-02T00:00:00"/>
    <n v="924"/>
    <s v="S2S No Premium"/>
    <s v="N2m_TolozaEstefania"/>
    <x v="2"/>
    <d v="1899-12-30T14:30:00"/>
    <s v="-"/>
    <d v="1899-12-30T15:00:00"/>
    <n v="667"/>
    <n v="0"/>
    <n v="0"/>
    <n v="18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2"/>
    <d v="1899-12-30T14:30:00"/>
    <d v="1899-12-30T15:00:00"/>
  </r>
  <r>
    <d v="2024-10-02T00:00:00"/>
    <n v="924"/>
    <s v="S2S No Premium"/>
    <s v="N2m_TolozaEstefania"/>
    <x v="2"/>
    <d v="1899-12-30T15:00:00"/>
    <s v="-"/>
    <d v="1899-12-30T15:30:00"/>
    <n v="724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"/>
    <d v="1899-12-30T15:00:00"/>
    <d v="1899-12-30T15:30:00"/>
  </r>
  <r>
    <d v="2024-10-02T00:00:00"/>
    <n v="924"/>
    <s v="S2S No Premium"/>
    <s v="N2m_TolozaEstefania"/>
    <x v="2"/>
    <d v="1899-12-30T14:00:00"/>
    <s v="-"/>
    <d v="1899-12-30T14:30:00"/>
    <n v="980"/>
    <n v="128"/>
    <n v="0"/>
    <n v="15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2"/>
    <d v="1899-12-30T14:00:00"/>
    <d v="1899-12-30T14:30:00"/>
  </r>
  <r>
    <d v="2024-10-02T00:00:00"/>
    <n v="924"/>
    <s v="S2S No Premium"/>
    <s v="N2m_TolozaEstefania"/>
    <x v="2"/>
    <d v="1899-12-30T18:30:00"/>
    <s v="-"/>
    <d v="1899-12-30T19:00:00"/>
    <n v="1029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3"/>
    <x v="0"/>
    <x v="2"/>
    <d v="1899-12-30T18:30:00"/>
    <d v="1899-12-30T19:00:00"/>
  </r>
  <r>
    <d v="2024-10-02T00:00:00"/>
    <n v="924"/>
    <s v="S2S No Premium"/>
    <s v="N2m_TolozaEstefania"/>
    <x v="2"/>
    <d v="1899-12-30T16:00:00"/>
    <s v="-"/>
    <d v="1899-12-30T16:30:00"/>
    <n v="1083"/>
    <n v="0"/>
    <n v="0"/>
    <n v="19"/>
    <n v="0"/>
    <n v="0"/>
    <n v="0"/>
    <n v="75"/>
    <n v="0"/>
    <n v="0"/>
    <n v="0"/>
    <n v="0"/>
    <n v="0"/>
    <n v="0"/>
    <n v="0"/>
    <n v="0"/>
    <n v="0"/>
    <n v="0"/>
    <n v="0"/>
    <n v="4"/>
    <n v="3"/>
    <x v="0"/>
    <x v="2"/>
    <d v="1899-12-30T16:00:00"/>
    <d v="1899-12-30T16:30:00"/>
  </r>
  <r>
    <d v="2024-10-02T00:00:00"/>
    <n v="924"/>
    <s v="S2S No Premium"/>
    <s v="N2m_TolozaEstefania"/>
    <x v="2"/>
    <d v="1899-12-30T15:30:00"/>
    <s v="-"/>
    <d v="1899-12-30T16:00:00"/>
    <n v="1087"/>
    <n v="0"/>
    <n v="0"/>
    <n v="17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2"/>
    <d v="1899-12-30T15:30:00"/>
    <d v="1899-12-30T16:00:00"/>
  </r>
  <r>
    <d v="2024-10-02T00:00:00"/>
    <n v="924"/>
    <s v="S2S No Premium"/>
    <s v="N2m_TolozaEstefania"/>
    <x v="2"/>
    <d v="1899-12-30T16:30:00"/>
    <s v="-"/>
    <d v="1899-12-30T17:00:00"/>
    <n v="1115"/>
    <n v="0"/>
    <n v="0"/>
    <n v="28"/>
    <n v="0"/>
    <n v="0"/>
    <n v="0"/>
    <n v="111"/>
    <n v="101"/>
    <n v="0"/>
    <n v="0"/>
    <n v="0"/>
    <n v="0"/>
    <n v="0"/>
    <n v="0"/>
    <n v="0"/>
    <n v="0"/>
    <n v="0"/>
    <n v="0"/>
    <n v="6"/>
    <n v="5"/>
    <x v="0"/>
    <x v="2"/>
    <d v="1899-12-30T16:30:00"/>
    <d v="1899-12-30T17:00:00"/>
  </r>
  <r>
    <d v="2024-10-02T00:00:00"/>
    <n v="924"/>
    <s v="S2S No Premium"/>
    <s v="N2m_TolozaEstefania"/>
    <x v="2"/>
    <d v="1899-12-30T17:00:00"/>
    <s v="-"/>
    <d v="1899-12-30T17:30:00"/>
    <n v="1260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2"/>
    <d v="1899-12-30T17:00:00"/>
    <d v="1899-12-30T17:30:00"/>
  </r>
  <r>
    <d v="2024-10-02T00:00:00"/>
    <n v="924"/>
    <s v="S2S No Premium"/>
    <s v="N2m_TolozaEstefania"/>
    <x v="2"/>
    <d v="1899-12-30T17:30:00"/>
    <s v="-"/>
    <d v="1899-12-30T18:00:00"/>
    <n v="1382"/>
    <n v="0"/>
    <n v="0"/>
    <n v="26"/>
    <n v="0"/>
    <n v="0"/>
    <n v="0"/>
    <n v="7"/>
    <n v="0"/>
    <n v="0"/>
    <n v="0"/>
    <n v="0"/>
    <n v="0"/>
    <n v="0"/>
    <n v="0"/>
    <n v="0"/>
    <n v="0"/>
    <n v="0"/>
    <n v="0"/>
    <n v="6"/>
    <n v="5"/>
    <x v="0"/>
    <x v="2"/>
    <d v="1899-12-30T17:30:00"/>
    <d v="1899-12-30T18:00:00"/>
  </r>
  <r>
    <d v="2024-10-02T00:00:00"/>
    <n v="924"/>
    <s v="S2S No Premium"/>
    <s v="N2m_TolozaEstefania"/>
    <x v="2"/>
    <d v="1899-12-30T18:00:00"/>
    <s v="-"/>
    <d v="1899-12-30T18:30:00"/>
    <n v="1678"/>
    <n v="6"/>
    <n v="0"/>
    <n v="18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"/>
    <d v="1899-12-30T18:00:00"/>
    <d v="1899-12-30T18:30:00"/>
  </r>
  <r>
    <d v="2024-10-02T00:00:00"/>
    <n v="924"/>
    <s v="S2S No Premium"/>
    <s v="N2_Mendoza, Natalia"/>
    <x v="3"/>
    <d v="1899-12-30T14:00:00"/>
    <s v="-"/>
    <d v="1899-12-30T14:30:00"/>
    <n v="109"/>
    <n v="0"/>
    <n v="0"/>
    <n v="5"/>
    <n v="0"/>
    <n v="0"/>
    <n v="0"/>
    <n v="3"/>
    <n v="1"/>
    <n v="0"/>
    <n v="0"/>
    <n v="0"/>
    <n v="0"/>
    <n v="0"/>
    <n v="0"/>
    <n v="0"/>
    <n v="0"/>
    <n v="0"/>
    <n v="0"/>
    <n v="2"/>
    <n v="1"/>
    <x v="0"/>
    <x v="3"/>
    <d v="1899-12-30T14:00:00"/>
    <d v="1899-12-30T14:30:00"/>
  </r>
  <r>
    <d v="2024-10-02T00:00:00"/>
    <n v="925"/>
    <s v="S2S Premium"/>
    <s v="P_Maidana, Malena"/>
    <x v="4"/>
    <d v="1899-12-30T17:30:00"/>
    <s v="-"/>
    <d v="1899-12-30T18:00:00"/>
    <n v="0"/>
    <n v="83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"/>
    <d v="1899-12-30T17:30:00"/>
    <d v="1899-12-30T18:00:00"/>
  </r>
  <r>
    <d v="2024-10-02T00:00:00"/>
    <n v="925"/>
    <s v="S2S Premium"/>
    <s v="P_Maidana, Malena"/>
    <x v="4"/>
    <d v="1899-12-30T15:30:00"/>
    <s v="-"/>
    <d v="1899-12-30T16:00:00"/>
    <n v="2"/>
    <n v="0"/>
    <n v="0"/>
    <n v="0"/>
    <n v="0"/>
    <n v="0"/>
    <n v="0"/>
    <n v="885"/>
    <n v="0"/>
    <n v="0"/>
    <n v="0"/>
    <n v="0"/>
    <n v="0"/>
    <n v="0"/>
    <n v="0"/>
    <n v="0"/>
    <n v="0"/>
    <n v="0"/>
    <n v="0"/>
    <n v="1"/>
    <n v="1"/>
    <x v="1"/>
    <x v="4"/>
    <d v="1899-12-30T15:30:00"/>
    <d v="1899-12-30T16:00:00"/>
  </r>
  <r>
    <d v="2024-10-02T00:00:00"/>
    <n v="925"/>
    <s v="S2S Premium"/>
    <s v="P_Maidana, Malena"/>
    <x v="4"/>
    <d v="1899-12-30T16:00:00"/>
    <s v="-"/>
    <d v="1899-12-30T16:30:00"/>
    <n v="329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"/>
    <d v="1899-12-30T16:00:00"/>
    <d v="1899-12-30T16:30:00"/>
  </r>
  <r>
    <d v="2024-10-02T00:00:00"/>
    <n v="925"/>
    <s v="S2S Premium"/>
    <s v="P_Maidana, Malena"/>
    <x v="4"/>
    <d v="1899-12-30T14:00:00"/>
    <s v="-"/>
    <d v="1899-12-30T14:30:00"/>
    <n v="646"/>
    <n v="85"/>
    <n v="0"/>
    <n v="19"/>
    <n v="0"/>
    <n v="0"/>
    <n v="0"/>
    <n v="261"/>
    <n v="140"/>
    <n v="0"/>
    <n v="0"/>
    <n v="0"/>
    <n v="0"/>
    <n v="0"/>
    <n v="0"/>
    <n v="0"/>
    <n v="0"/>
    <n v="0"/>
    <n v="0"/>
    <n v="2"/>
    <n v="2"/>
    <x v="1"/>
    <x v="4"/>
    <d v="1899-12-30T14:00:00"/>
    <d v="1899-12-30T14:30:00"/>
  </r>
  <r>
    <d v="2024-10-02T00:00:00"/>
    <n v="925"/>
    <s v="S2S Premium"/>
    <s v="P_Maidana, Malena"/>
    <x v="4"/>
    <d v="1899-12-30T15:00:00"/>
    <s v="-"/>
    <d v="1899-12-30T15:30:00"/>
    <n v="719"/>
    <n v="21"/>
    <n v="0"/>
    <n v="20"/>
    <n v="0"/>
    <n v="0"/>
    <n v="0"/>
    <n v="79"/>
    <n v="0"/>
    <n v="0"/>
    <n v="0"/>
    <n v="0"/>
    <n v="0"/>
    <n v="0"/>
    <n v="0"/>
    <n v="0"/>
    <n v="0"/>
    <n v="0"/>
    <n v="0"/>
    <n v="2"/>
    <n v="2"/>
    <x v="1"/>
    <x v="4"/>
    <d v="1899-12-30T15:00:00"/>
    <d v="1899-12-30T15:30:00"/>
  </r>
  <r>
    <d v="2024-10-02T00:00:00"/>
    <n v="925"/>
    <s v="S2S Premium"/>
    <s v="P_Maidana, Malena"/>
    <x v="4"/>
    <d v="1899-12-30T14:30:00"/>
    <s v="-"/>
    <d v="1899-12-30T15:00:00"/>
    <n v="771"/>
    <n v="271"/>
    <n v="0"/>
    <n v="35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4"/>
    <d v="1899-12-30T14:30:00"/>
    <d v="1899-12-30T15:00:00"/>
  </r>
  <r>
    <d v="2024-10-02T00:00:00"/>
    <n v="925"/>
    <s v="S2S Premium"/>
    <s v="P_Maidana, Malena"/>
    <x v="4"/>
    <d v="1899-12-30T17:00:00"/>
    <s v="-"/>
    <d v="1899-12-30T17:30:00"/>
    <n v="875"/>
    <n v="418"/>
    <n v="0"/>
    <n v="6"/>
    <n v="0"/>
    <n v="0"/>
    <n v="0"/>
    <n v="878"/>
    <n v="0"/>
    <n v="0"/>
    <n v="0"/>
    <n v="0"/>
    <n v="0"/>
    <n v="0"/>
    <n v="0"/>
    <n v="0"/>
    <n v="0"/>
    <n v="0"/>
    <n v="0"/>
    <n v="1"/>
    <n v="1"/>
    <x v="1"/>
    <x v="4"/>
    <d v="1899-12-30T17:00:00"/>
    <d v="1899-12-30T17:30:00"/>
  </r>
  <r>
    <d v="2024-10-02T00:00:00"/>
    <n v="925"/>
    <s v="S2S Premium"/>
    <s v="P_Maidana, Malena"/>
    <x v="4"/>
    <d v="1899-12-30T16:30:00"/>
    <s v="-"/>
    <d v="1899-12-30T17:00:00"/>
    <n v="1108"/>
    <n v="121"/>
    <n v="0"/>
    <n v="15"/>
    <n v="0"/>
    <n v="0"/>
    <n v="0"/>
    <n v="338"/>
    <n v="0"/>
    <n v="0"/>
    <n v="0"/>
    <n v="0"/>
    <n v="0"/>
    <n v="0"/>
    <n v="0"/>
    <n v="0"/>
    <n v="0"/>
    <n v="0"/>
    <n v="0"/>
    <n v="2"/>
    <n v="2"/>
    <x v="1"/>
    <x v="4"/>
    <d v="1899-12-30T16:30:00"/>
    <d v="1899-12-30T17:00:00"/>
  </r>
  <r>
    <d v="2024-10-02T00:00:00"/>
    <n v="925"/>
    <s v="S2S Premium"/>
    <s v="P_Valenzuela, Meli"/>
    <x v="5"/>
    <d v="1899-12-30T18:30:00"/>
    <s v="-"/>
    <d v="1899-12-30T19:00:00"/>
    <n v="684"/>
    <n v="0"/>
    <n v="0"/>
    <n v="12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5"/>
    <d v="1899-12-30T18:30:00"/>
    <d v="1899-12-30T19:00:00"/>
  </r>
  <r>
    <d v="2024-10-02T00:00:00"/>
    <n v="925"/>
    <s v="S2S Premium"/>
    <s v="P_Valenzuela, Meli"/>
    <x v="5"/>
    <d v="1899-12-30T18:00:00"/>
    <s v="-"/>
    <d v="1899-12-30T18:30:00"/>
    <n v="80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5"/>
    <d v="1899-12-30T18:00:00"/>
    <d v="1899-12-30T18:30:00"/>
  </r>
  <r>
    <d v="2024-10-02T00:00:00"/>
    <n v="925"/>
    <s v="S2S Premium"/>
    <s v="P_Valenzuela, Meli"/>
    <x v="5"/>
    <d v="1899-12-30T15:30:00"/>
    <s v="-"/>
    <d v="1899-12-30T16:00:00"/>
    <n v="839"/>
    <n v="0"/>
    <n v="0"/>
    <n v="13"/>
    <n v="0"/>
    <n v="0"/>
    <n v="0"/>
    <n v="106"/>
    <n v="0"/>
    <n v="0"/>
    <n v="0"/>
    <n v="0"/>
    <n v="0"/>
    <n v="0"/>
    <n v="0"/>
    <n v="0"/>
    <n v="0"/>
    <n v="0"/>
    <n v="0"/>
    <n v="3"/>
    <n v="3"/>
    <x v="1"/>
    <x v="5"/>
    <d v="1899-12-30T15:30:00"/>
    <d v="1899-12-30T16:00:00"/>
  </r>
  <r>
    <d v="2024-10-02T00:00:00"/>
    <n v="925"/>
    <s v="S2S Premium"/>
    <s v="P_Valenzuela, Meli"/>
    <x v="5"/>
    <d v="1899-12-30T15:00:00"/>
    <s v="-"/>
    <d v="1899-12-30T15:30:00"/>
    <n v="91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"/>
    <d v="1899-12-30T15:00:00"/>
    <d v="1899-12-30T15:30:00"/>
  </r>
  <r>
    <d v="2024-10-02T00:00:00"/>
    <n v="925"/>
    <s v="S2S Premium"/>
    <s v="P_Valenzuela, Meli"/>
    <x v="5"/>
    <d v="1899-12-30T19:00:00"/>
    <s v="-"/>
    <d v="1899-12-30T19:30:00"/>
    <n v="1259"/>
    <n v="0"/>
    <n v="0"/>
    <n v="24"/>
    <n v="0"/>
    <n v="0"/>
    <n v="0"/>
    <n v="6"/>
    <n v="0"/>
    <n v="0"/>
    <n v="0"/>
    <n v="0"/>
    <n v="0"/>
    <n v="0"/>
    <n v="0"/>
    <n v="0"/>
    <n v="0"/>
    <n v="0"/>
    <n v="0"/>
    <n v="6"/>
    <n v="6"/>
    <x v="1"/>
    <x v="5"/>
    <d v="1899-12-30T19:00:00"/>
    <d v="1899-12-30T19:30:00"/>
  </r>
  <r>
    <d v="2024-10-02T00:00:00"/>
    <n v="925"/>
    <s v="S2S Premium"/>
    <s v="P_Valenzuela, Meli"/>
    <x v="5"/>
    <d v="1899-12-30T19:30:00"/>
    <s v="-"/>
    <d v="1899-12-30T20:00:00"/>
    <n v="1360"/>
    <n v="0"/>
    <n v="0"/>
    <n v="23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5"/>
    <d v="1899-12-30T19:30:00"/>
    <d v="1899-12-30T20:00:00"/>
  </r>
  <r>
    <d v="2024-10-02T00:00:00"/>
    <n v="925"/>
    <s v="S2S Premium"/>
    <s v="P_Ferreyra, Tomas"/>
    <x v="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5:30:00"/>
    <d v="1899-12-30T16:00:00"/>
  </r>
  <r>
    <d v="2024-10-02T00:00:00"/>
    <n v="925"/>
    <s v="S2S Premium"/>
    <s v="P_Ferreyra, Tomas"/>
    <x v="6"/>
    <d v="1899-12-30T14:30:00"/>
    <s v="-"/>
    <d v="1899-12-30T15:00:00"/>
    <n v="0"/>
    <n v="0"/>
    <n v="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4:30:00"/>
    <d v="1899-12-30T15:00:00"/>
  </r>
  <r>
    <d v="2024-10-02T00:00:00"/>
    <n v="925"/>
    <s v="S2S Premium"/>
    <s v="P_Ferreyra, Tomas"/>
    <x v="6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4:00:00"/>
    <d v="1899-12-30T14:30:00"/>
  </r>
  <r>
    <d v="2024-10-02T00:00:00"/>
    <n v="925"/>
    <s v="S2S Premium"/>
    <s v="P_Ferreyra, Tomas"/>
    <x v="6"/>
    <d v="1899-12-30T15:00:00"/>
    <s v="-"/>
    <d v="1899-12-30T15:30:00"/>
    <n v="125"/>
    <n v="0"/>
    <n v="0"/>
    <n v="7"/>
    <n v="0"/>
    <n v="0"/>
    <n v="0"/>
    <n v="137"/>
    <n v="92"/>
    <n v="0"/>
    <n v="0"/>
    <n v="0"/>
    <n v="0"/>
    <n v="0"/>
    <n v="0"/>
    <n v="0"/>
    <n v="0"/>
    <n v="0"/>
    <n v="0"/>
    <n v="1"/>
    <n v="1"/>
    <x v="1"/>
    <x v="6"/>
    <d v="1899-12-30T15:00:00"/>
    <d v="1899-12-30T15:30:00"/>
  </r>
  <r>
    <d v="2024-10-02T00:00:00"/>
    <n v="925"/>
    <s v="S2S Premium"/>
    <s v="P_Castillo, Micaela"/>
    <x v="7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"/>
    <d v="1899-12-30T14:30:00"/>
    <d v="1899-12-30T15:00:00"/>
  </r>
  <r>
    <d v="2024-10-02T00:00:00"/>
    <n v="925"/>
    <s v="S2S Premium"/>
    <s v="P_Castillo, Micaela"/>
    <x v="7"/>
    <d v="1899-12-30T17:00:00"/>
    <s v="-"/>
    <d v="1899-12-30T17:30:00"/>
    <n v="431"/>
    <n v="0"/>
    <n v="0"/>
    <n v="9"/>
    <n v="0"/>
    <n v="0"/>
    <n v="0"/>
    <n v="323"/>
    <n v="46"/>
    <n v="0"/>
    <n v="0"/>
    <n v="0"/>
    <n v="0"/>
    <n v="0"/>
    <n v="0"/>
    <n v="0"/>
    <n v="0"/>
    <n v="0"/>
    <n v="0"/>
    <n v="2"/>
    <n v="2"/>
    <x v="1"/>
    <x v="7"/>
    <d v="1899-12-30T17:00:00"/>
    <d v="1899-12-30T17:30:00"/>
  </r>
  <r>
    <d v="2024-10-02T00:00:00"/>
    <n v="925"/>
    <s v="S2S Premium"/>
    <s v="P_Castillo, Micaela"/>
    <x v="7"/>
    <d v="1899-12-30T15:00:00"/>
    <s v="-"/>
    <d v="1899-12-30T15:30:00"/>
    <n v="504"/>
    <n v="0"/>
    <n v="0"/>
    <n v="21"/>
    <n v="0"/>
    <n v="0"/>
    <n v="0"/>
    <n v="106"/>
    <n v="72"/>
    <n v="0"/>
    <n v="0"/>
    <n v="0"/>
    <n v="0"/>
    <n v="0"/>
    <n v="0"/>
    <n v="0"/>
    <n v="0"/>
    <n v="0"/>
    <n v="0"/>
    <n v="4"/>
    <n v="3"/>
    <x v="1"/>
    <x v="7"/>
    <d v="1899-12-30T15:00:00"/>
    <d v="1899-12-30T15:30:00"/>
  </r>
  <r>
    <d v="2024-10-02T00:00:00"/>
    <n v="925"/>
    <s v="S2S Premium"/>
    <s v="P_Castillo, Micaela"/>
    <x v="7"/>
    <d v="1899-12-30T16:00:00"/>
    <s v="-"/>
    <d v="1899-12-30T16:30:00"/>
    <n v="542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7"/>
    <d v="1899-12-30T16:00:00"/>
    <d v="1899-12-30T16:30:00"/>
  </r>
  <r>
    <d v="2024-10-02T00:00:00"/>
    <n v="925"/>
    <s v="S2S Premium"/>
    <s v="P_Castillo, Micaela"/>
    <x v="7"/>
    <d v="1899-12-30T15:30:00"/>
    <s v="-"/>
    <d v="1899-12-30T16:00:00"/>
    <n v="618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7"/>
    <d v="1899-12-30T15:30:00"/>
    <d v="1899-12-30T16:00:00"/>
  </r>
  <r>
    <d v="2024-10-02T00:00:00"/>
    <n v="925"/>
    <s v="S2S Premium"/>
    <s v="P_Castillo, Micaela"/>
    <x v="7"/>
    <d v="1899-12-30T16:30:00"/>
    <s v="-"/>
    <d v="1899-12-30T17:00:00"/>
    <n v="1347"/>
    <n v="0"/>
    <n v="0"/>
    <n v="20"/>
    <n v="0"/>
    <n v="0"/>
    <n v="0"/>
    <n v="7"/>
    <n v="0"/>
    <n v="0"/>
    <n v="0"/>
    <n v="0"/>
    <n v="0"/>
    <n v="0"/>
    <n v="0"/>
    <n v="0"/>
    <n v="0"/>
    <n v="0"/>
    <n v="0"/>
    <n v="5"/>
    <n v="3"/>
    <x v="1"/>
    <x v="7"/>
    <d v="1899-12-30T16:30:00"/>
    <d v="1899-12-30T17:00:00"/>
  </r>
  <r>
    <d v="2024-10-02T00:00:00"/>
    <n v="924"/>
    <s v="S2S No Premium"/>
    <s v="N2m_Bertucci Agost"/>
    <x v="8"/>
    <d v="1899-12-30T15:00:00"/>
    <s v="-"/>
    <d v="1899-12-30T15:30:00"/>
    <n v="23"/>
    <n v="4"/>
    <n v="0"/>
    <n v="0"/>
    <n v="0"/>
    <n v="0"/>
    <n v="0"/>
    <n v="563"/>
    <n v="0"/>
    <n v="0"/>
    <n v="0"/>
    <n v="0"/>
    <n v="0"/>
    <n v="0"/>
    <n v="0"/>
    <n v="0"/>
    <n v="0"/>
    <n v="0"/>
    <n v="0"/>
    <n v="1"/>
    <n v="1"/>
    <x v="0"/>
    <x v="8"/>
    <d v="1899-12-30T15:00:00"/>
    <d v="1899-12-30T15:30:00"/>
  </r>
  <r>
    <d v="2024-10-02T00:00:00"/>
    <n v="924"/>
    <s v="S2S No Premium"/>
    <s v="N2m_Bertucci Agost"/>
    <x v="8"/>
    <d v="1899-12-30T14:30:00"/>
    <s v="-"/>
    <d v="1899-12-30T15:00:00"/>
    <n v="477"/>
    <n v="0"/>
    <n v="0"/>
    <n v="25"/>
    <n v="0"/>
    <n v="0"/>
    <n v="0"/>
    <n v="4"/>
    <n v="284"/>
    <n v="0"/>
    <n v="0"/>
    <n v="0"/>
    <n v="0"/>
    <n v="0"/>
    <n v="0"/>
    <n v="0"/>
    <n v="0"/>
    <n v="0"/>
    <n v="0"/>
    <n v="2"/>
    <n v="1"/>
    <x v="0"/>
    <x v="8"/>
    <d v="1899-12-30T14:30:00"/>
    <d v="1899-12-30T15:00:00"/>
  </r>
  <r>
    <d v="2024-10-02T00:00:00"/>
    <n v="924"/>
    <s v="S2S No Premium"/>
    <s v="N2m_Bertucci Agost"/>
    <x v="8"/>
    <d v="1899-12-30T14:00:00"/>
    <s v="-"/>
    <d v="1899-12-30T14:30:00"/>
    <n v="519"/>
    <n v="0"/>
    <n v="0"/>
    <n v="44"/>
    <n v="0"/>
    <n v="0"/>
    <n v="0"/>
    <n v="585"/>
    <n v="0"/>
    <n v="0"/>
    <n v="0"/>
    <n v="0"/>
    <n v="0"/>
    <n v="0"/>
    <n v="0"/>
    <n v="0"/>
    <n v="0"/>
    <n v="0"/>
    <n v="0"/>
    <n v="2"/>
    <n v="2"/>
    <x v="0"/>
    <x v="8"/>
    <d v="1899-12-30T14:00:00"/>
    <d v="1899-12-30T14:30:00"/>
  </r>
  <r>
    <d v="2024-10-02T00:00:00"/>
    <n v="925"/>
    <s v="S2S Premium"/>
    <s v="P_D agostino, María"/>
    <x v="9"/>
    <d v="1899-12-30T19:00:00"/>
    <s v="-"/>
    <d v="1899-12-30T19:30:00"/>
    <n v="148"/>
    <n v="0"/>
    <n v="0"/>
    <n v="0"/>
    <n v="0"/>
    <n v="0"/>
    <n v="0"/>
    <n v="245"/>
    <n v="0"/>
    <n v="0"/>
    <n v="0"/>
    <n v="0"/>
    <n v="0"/>
    <n v="0"/>
    <n v="0"/>
    <n v="0"/>
    <n v="0"/>
    <n v="0"/>
    <n v="0"/>
    <n v="1"/>
    <n v="0"/>
    <x v="1"/>
    <x v="9"/>
    <d v="1899-12-30T19:00:00"/>
    <d v="1899-12-30T19:30:00"/>
  </r>
  <r>
    <d v="2024-10-02T00:00:00"/>
    <n v="925"/>
    <s v="S2S Premium"/>
    <s v="P_D agostino, María"/>
    <x v="9"/>
    <d v="1899-12-30T14:30:00"/>
    <s v="-"/>
    <d v="1899-12-30T15:00:00"/>
    <n v="56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"/>
    <d v="1899-12-30T14:30:00"/>
    <d v="1899-12-30T15:00:00"/>
  </r>
  <r>
    <d v="2024-10-02T00:00:00"/>
    <n v="925"/>
    <s v="S2S Premium"/>
    <s v="P_D agostino, María"/>
    <x v="9"/>
    <d v="1899-12-30T19:30:00"/>
    <s v="-"/>
    <d v="1899-12-30T20:00:00"/>
    <n v="733"/>
    <n v="0"/>
    <n v="0"/>
    <n v="12"/>
    <n v="0"/>
    <n v="0"/>
    <n v="0"/>
    <n v="108"/>
    <n v="52"/>
    <n v="0"/>
    <n v="0"/>
    <n v="0"/>
    <n v="0"/>
    <n v="0"/>
    <n v="0"/>
    <n v="0"/>
    <n v="0"/>
    <n v="0"/>
    <n v="0"/>
    <n v="2"/>
    <n v="0"/>
    <x v="1"/>
    <x v="9"/>
    <d v="1899-12-30T19:30:00"/>
    <d v="1899-12-30T20:00:00"/>
  </r>
  <r>
    <d v="2024-10-02T00:00:00"/>
    <n v="925"/>
    <s v="S2S Premium"/>
    <s v="P_D agostino, María"/>
    <x v="9"/>
    <d v="1899-12-30T18:00:00"/>
    <s v="-"/>
    <d v="1899-12-30T18:30:00"/>
    <n v="832"/>
    <n v="0"/>
    <n v="0"/>
    <n v="16"/>
    <n v="0"/>
    <n v="0"/>
    <n v="0"/>
    <n v="187"/>
    <n v="77"/>
    <n v="0"/>
    <n v="0"/>
    <n v="0"/>
    <n v="0"/>
    <n v="0"/>
    <n v="0"/>
    <n v="0"/>
    <n v="0"/>
    <n v="0"/>
    <n v="0"/>
    <n v="4"/>
    <n v="4"/>
    <x v="1"/>
    <x v="9"/>
    <d v="1899-12-30T18:00:00"/>
    <d v="1899-12-30T18:30:00"/>
  </r>
  <r>
    <d v="2024-10-02T00:00:00"/>
    <n v="925"/>
    <s v="S2S Premium"/>
    <s v="P_D agostino, María"/>
    <x v="9"/>
    <d v="1899-12-30T18:30:00"/>
    <s v="-"/>
    <d v="1899-12-30T19:00:00"/>
    <n v="837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"/>
    <d v="1899-12-30T18:30:00"/>
    <d v="1899-12-30T19:00:00"/>
  </r>
  <r>
    <d v="2024-10-02T00:00:00"/>
    <n v="925"/>
    <s v="S2S Premium"/>
    <s v="P_D agostino, María"/>
    <x v="9"/>
    <d v="1899-12-30T15:00:00"/>
    <s v="-"/>
    <d v="1899-12-30T15:30:00"/>
    <n v="865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2"/>
    <n v="0"/>
    <x v="1"/>
    <x v="9"/>
    <d v="1899-12-30T15:00:00"/>
    <d v="1899-12-30T15:30:00"/>
  </r>
  <r>
    <d v="2024-10-02T00:00:00"/>
    <n v="925"/>
    <s v="S2S Premium"/>
    <s v="P_D agostino, María"/>
    <x v="9"/>
    <d v="1899-12-30T14:00:00"/>
    <s v="-"/>
    <d v="1899-12-30T14:30:00"/>
    <n v="880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"/>
    <d v="1899-12-30T14:00:00"/>
    <d v="1899-12-30T14:30:00"/>
  </r>
  <r>
    <d v="2024-10-02T00:00:00"/>
    <n v="925"/>
    <s v="S2S Premium"/>
    <s v="P_D agostino, María"/>
    <x v="9"/>
    <d v="1899-12-30T17:00:00"/>
    <s v="-"/>
    <d v="1899-12-30T17:30:00"/>
    <n v="952"/>
    <n v="0"/>
    <n v="0"/>
    <n v="16"/>
    <n v="0"/>
    <n v="0"/>
    <n v="0"/>
    <n v="94"/>
    <n v="66"/>
    <n v="0"/>
    <n v="0"/>
    <n v="0"/>
    <n v="0"/>
    <n v="0"/>
    <n v="0"/>
    <n v="0"/>
    <n v="0"/>
    <n v="0"/>
    <n v="0"/>
    <n v="4"/>
    <n v="2"/>
    <x v="1"/>
    <x v="9"/>
    <d v="1899-12-30T17:00:00"/>
    <d v="1899-12-30T17:30:00"/>
  </r>
  <r>
    <d v="2024-10-02T00:00:00"/>
    <n v="925"/>
    <s v="S2S Premium"/>
    <s v="P_D agostino, María"/>
    <x v="9"/>
    <d v="1899-12-30T17:30:00"/>
    <s v="-"/>
    <d v="1899-12-30T18:00:00"/>
    <n v="1024"/>
    <n v="0"/>
    <n v="0"/>
    <n v="23"/>
    <n v="0"/>
    <n v="0"/>
    <n v="0"/>
    <n v="5"/>
    <n v="53"/>
    <n v="0"/>
    <n v="0"/>
    <n v="0"/>
    <n v="0"/>
    <n v="0"/>
    <n v="0"/>
    <n v="0"/>
    <n v="0"/>
    <n v="0"/>
    <n v="0"/>
    <n v="6"/>
    <n v="6"/>
    <x v="1"/>
    <x v="9"/>
    <d v="1899-12-30T17:30:00"/>
    <d v="1899-12-30T18:00:00"/>
  </r>
  <r>
    <d v="2024-10-02T00:00:00"/>
    <n v="925"/>
    <s v="S2S Premium"/>
    <s v="P_D agostino, María"/>
    <x v="9"/>
    <d v="1899-12-30T16:00:00"/>
    <s v="-"/>
    <d v="1899-12-30T16:30:00"/>
    <n v="1097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"/>
    <d v="1899-12-30T16:00:00"/>
    <d v="1899-12-30T16:30:00"/>
  </r>
  <r>
    <d v="2024-10-02T00:00:00"/>
    <n v="925"/>
    <s v="S2S Premium"/>
    <s v="P_D agostino, María"/>
    <x v="9"/>
    <d v="1899-12-30T15:30:00"/>
    <s v="-"/>
    <d v="1899-12-30T16:00:00"/>
    <n v="1111"/>
    <n v="0"/>
    <n v="0"/>
    <n v="10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"/>
    <d v="1899-12-30T15:30:00"/>
    <d v="1899-12-30T16:00:00"/>
  </r>
  <r>
    <d v="2024-10-02T00:00:00"/>
    <n v="925"/>
    <s v="S2S Premium"/>
    <s v="P_D agostino, María"/>
    <x v="9"/>
    <d v="1899-12-30T16:30:00"/>
    <s v="-"/>
    <d v="1899-12-30T17:00:00"/>
    <n v="1354"/>
    <n v="54"/>
    <n v="0"/>
    <n v="16"/>
    <n v="0"/>
    <n v="0"/>
    <n v="0"/>
    <n v="96"/>
    <n v="0"/>
    <n v="0"/>
    <n v="0"/>
    <n v="0"/>
    <n v="0"/>
    <n v="0"/>
    <n v="0"/>
    <n v="0"/>
    <n v="0"/>
    <n v="0"/>
    <n v="0"/>
    <n v="3"/>
    <n v="2"/>
    <x v="1"/>
    <x v="9"/>
    <d v="1899-12-30T16:30:00"/>
    <d v="1899-12-30T17:00:00"/>
  </r>
  <r>
    <d v="2024-10-02T00:00:00"/>
    <n v="925"/>
    <s v="S2S Premium"/>
    <s v="P_Sotos, Enzo"/>
    <x v="1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"/>
    <d v="1899-12-30T14:30:00"/>
    <d v="1899-12-30T15:00:00"/>
  </r>
  <r>
    <d v="2024-10-02T00:00:00"/>
    <n v="925"/>
    <s v="S2S Premium"/>
    <s v="P_Sotos, Enzo"/>
    <x v="10"/>
    <d v="1899-12-30T15:30:00"/>
    <s v="-"/>
    <d v="1899-12-30T16:00:00"/>
    <n v="4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10"/>
    <d v="1899-12-30T15:30:00"/>
    <d v="1899-12-30T16:00:00"/>
  </r>
  <r>
    <d v="2024-10-02T00:00:00"/>
    <n v="925"/>
    <s v="S2S Premium"/>
    <s v="P_Sotos, Enzo"/>
    <x v="10"/>
    <d v="1899-12-30T15:00:00"/>
    <s v="-"/>
    <d v="1899-12-30T15:30:00"/>
    <n v="517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10"/>
    <d v="1899-12-30T15:00:00"/>
    <d v="1899-12-30T15:30:00"/>
  </r>
  <r>
    <d v="2024-10-02T00:00:00"/>
    <n v="925"/>
    <s v="S2S Premium"/>
    <s v="P_Sotos, Enzo"/>
    <x v="10"/>
    <d v="1899-12-30T16:00:00"/>
    <s v="-"/>
    <d v="1899-12-30T16:30:00"/>
    <n v="537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10"/>
    <d v="1899-12-30T16:00:00"/>
    <d v="1899-12-30T16:30:00"/>
  </r>
  <r>
    <d v="2024-10-02T00:00:00"/>
    <n v="925"/>
    <s v="S2S Premium"/>
    <s v="P_Sotos, Enzo"/>
    <x v="10"/>
    <d v="1899-12-30T17:00:00"/>
    <s v="-"/>
    <d v="1899-12-30T17:30:00"/>
    <n v="697"/>
    <n v="0"/>
    <n v="0"/>
    <n v="20"/>
    <n v="0"/>
    <n v="0"/>
    <n v="0"/>
    <n v="55"/>
    <n v="0"/>
    <n v="0"/>
    <n v="0"/>
    <n v="0"/>
    <n v="0"/>
    <n v="0"/>
    <n v="0"/>
    <n v="0"/>
    <n v="0"/>
    <n v="0"/>
    <n v="0"/>
    <n v="5"/>
    <n v="4"/>
    <x v="1"/>
    <x v="10"/>
    <d v="1899-12-30T17:00:00"/>
    <d v="1899-12-30T17:30:00"/>
  </r>
  <r>
    <d v="2024-10-02T00:00:00"/>
    <n v="925"/>
    <s v="S2S Premium"/>
    <s v="P_Sotos, Enzo"/>
    <x v="10"/>
    <d v="1899-12-30T16:30:00"/>
    <s v="-"/>
    <d v="1899-12-30T17:00:00"/>
    <n v="924"/>
    <n v="54"/>
    <n v="0"/>
    <n v="28"/>
    <n v="0"/>
    <n v="0"/>
    <n v="0"/>
    <n v="172"/>
    <n v="63"/>
    <n v="0"/>
    <n v="0"/>
    <n v="0"/>
    <n v="0"/>
    <n v="0"/>
    <n v="0"/>
    <n v="0"/>
    <n v="0"/>
    <n v="0"/>
    <n v="0"/>
    <n v="8"/>
    <n v="7"/>
    <x v="1"/>
    <x v="10"/>
    <d v="1899-12-30T16:30:00"/>
    <d v="1899-12-30T17:00:00"/>
  </r>
  <r>
    <d v="2024-10-02T00:00:00"/>
    <n v="925"/>
    <s v="S2S Premium"/>
    <s v="P_DeVuono, Facundo"/>
    <x v="11"/>
    <d v="1899-12-30T15:00:00"/>
    <s v="-"/>
    <d v="1899-12-30T15:30:00"/>
    <n v="524"/>
    <n v="0"/>
    <n v="0"/>
    <n v="15"/>
    <n v="0"/>
    <n v="0"/>
    <n v="0"/>
    <n v="74"/>
    <n v="0"/>
    <n v="0"/>
    <n v="0"/>
    <n v="0"/>
    <n v="0"/>
    <n v="0"/>
    <n v="0"/>
    <n v="0"/>
    <n v="0"/>
    <n v="0"/>
    <n v="0"/>
    <n v="2"/>
    <n v="2"/>
    <x v="1"/>
    <x v="11"/>
    <d v="1899-12-30T15:00:00"/>
    <d v="1899-12-30T15:30:00"/>
  </r>
  <r>
    <d v="2024-10-02T00:00:00"/>
    <n v="925"/>
    <s v="S2S Premium"/>
    <s v="P_DeVuono, Facundo"/>
    <x v="11"/>
    <d v="1899-12-30T15:30:00"/>
    <s v="-"/>
    <d v="1899-12-30T16:00:00"/>
    <n v="596"/>
    <n v="0"/>
    <n v="0"/>
    <n v="12"/>
    <n v="0"/>
    <n v="0"/>
    <n v="0"/>
    <n v="154"/>
    <n v="0"/>
    <n v="0"/>
    <n v="0"/>
    <n v="0"/>
    <n v="0"/>
    <n v="0"/>
    <n v="0"/>
    <n v="0"/>
    <n v="0"/>
    <n v="0"/>
    <n v="0"/>
    <n v="4"/>
    <n v="4"/>
    <x v="1"/>
    <x v="11"/>
    <d v="1899-12-30T15:30:00"/>
    <d v="1899-12-30T16:00:00"/>
  </r>
  <r>
    <d v="2024-10-02T00:00:00"/>
    <n v="925"/>
    <s v="S2S Premium"/>
    <s v="P_DeVuono, Facundo"/>
    <x v="11"/>
    <d v="1899-12-30T17:00:00"/>
    <s v="-"/>
    <d v="1899-12-30T17:30:00"/>
    <n v="596"/>
    <n v="0"/>
    <n v="0"/>
    <n v="12"/>
    <n v="0"/>
    <n v="0"/>
    <n v="0"/>
    <n v="239"/>
    <n v="0"/>
    <n v="0"/>
    <n v="0"/>
    <n v="0"/>
    <n v="0"/>
    <n v="0"/>
    <n v="0"/>
    <n v="0"/>
    <n v="0"/>
    <n v="0"/>
    <n v="0"/>
    <n v="4"/>
    <n v="4"/>
    <x v="1"/>
    <x v="11"/>
    <d v="1899-12-30T17:00:00"/>
    <d v="1899-12-30T17:30:00"/>
  </r>
  <r>
    <d v="2024-10-02T00:00:00"/>
    <n v="925"/>
    <s v="S2S Premium"/>
    <s v="P_DeVuono, Facundo"/>
    <x v="11"/>
    <d v="1899-12-30T16:00:00"/>
    <s v="-"/>
    <d v="1899-12-30T16:30:00"/>
    <n v="840"/>
    <n v="0"/>
    <n v="0"/>
    <n v="16"/>
    <n v="0"/>
    <n v="0"/>
    <n v="0"/>
    <n v="41"/>
    <n v="0"/>
    <n v="0"/>
    <n v="0"/>
    <n v="0"/>
    <n v="0"/>
    <n v="0"/>
    <n v="0"/>
    <n v="0"/>
    <n v="0"/>
    <n v="0"/>
    <n v="0"/>
    <n v="3"/>
    <n v="3"/>
    <x v="1"/>
    <x v="11"/>
    <d v="1899-12-30T16:00:00"/>
    <d v="1899-12-30T16:30:00"/>
  </r>
  <r>
    <d v="2024-10-02T00:00:00"/>
    <n v="925"/>
    <s v="S2S Premium"/>
    <s v="P_DeVuono, Facundo"/>
    <x v="11"/>
    <d v="1899-12-30T16:30:00"/>
    <s v="-"/>
    <d v="1899-12-30T17:00:00"/>
    <n v="870"/>
    <n v="0"/>
    <n v="0"/>
    <n v="12"/>
    <n v="0"/>
    <n v="0"/>
    <n v="0"/>
    <n v="659"/>
    <n v="0"/>
    <n v="0"/>
    <n v="0"/>
    <n v="0"/>
    <n v="0"/>
    <n v="0"/>
    <n v="0"/>
    <n v="0"/>
    <n v="0"/>
    <n v="0"/>
    <n v="0"/>
    <n v="3"/>
    <n v="3"/>
    <x v="1"/>
    <x v="11"/>
    <d v="1899-12-30T16:30:00"/>
    <d v="1899-12-30T17:00:00"/>
  </r>
  <r>
    <d v="2024-10-02T00:00:00"/>
    <n v="925"/>
    <s v="S2S Premium"/>
    <s v="P_Manfredi, Melina"/>
    <x v="1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2"/>
    <d v="1899-12-30T14:30:00"/>
    <d v="1899-12-30T15:00:00"/>
  </r>
  <r>
    <d v="2024-10-02T00:00:00"/>
    <n v="925"/>
    <s v="S2S Premium"/>
    <s v="P_Manfredi, Melina"/>
    <x v="12"/>
    <d v="1899-12-30T15:00:00"/>
    <s v="-"/>
    <d v="1899-12-30T15:30:00"/>
    <n v="442"/>
    <n v="0"/>
    <n v="0"/>
    <n v="23"/>
    <n v="0"/>
    <n v="0"/>
    <n v="0"/>
    <n v="36"/>
    <n v="0"/>
    <n v="0"/>
    <n v="0"/>
    <n v="0"/>
    <n v="0"/>
    <n v="0"/>
    <n v="0"/>
    <n v="0"/>
    <n v="0"/>
    <n v="0"/>
    <n v="0"/>
    <n v="5"/>
    <n v="3"/>
    <x v="1"/>
    <x v="12"/>
    <d v="1899-12-30T15:00:00"/>
    <d v="1899-12-30T15:30:00"/>
  </r>
  <r>
    <d v="2024-10-02T00:00:00"/>
    <n v="925"/>
    <s v="S2S Premium"/>
    <s v="P_Manfredi, Melina"/>
    <x v="12"/>
    <d v="1899-12-30T15:30:00"/>
    <s v="-"/>
    <d v="1899-12-30T16:00:00"/>
    <n v="572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4"/>
    <n v="0"/>
    <x v="1"/>
    <x v="12"/>
    <d v="1899-12-30T15:30:00"/>
    <d v="1899-12-30T16:00:00"/>
  </r>
  <r>
    <d v="2024-10-02T00:00:00"/>
    <n v="925"/>
    <s v="S2S Premium"/>
    <s v="P_Manfredi, Melina"/>
    <x v="12"/>
    <d v="1899-12-30T18:00:00"/>
    <s v="-"/>
    <d v="1899-12-30T18:30:00"/>
    <n v="642"/>
    <n v="0"/>
    <n v="0"/>
    <n v="12"/>
    <n v="0"/>
    <n v="0"/>
    <n v="0"/>
    <n v="140"/>
    <n v="115"/>
    <n v="0"/>
    <n v="0"/>
    <n v="0"/>
    <n v="0"/>
    <n v="0"/>
    <n v="0"/>
    <n v="0"/>
    <n v="0"/>
    <n v="0"/>
    <n v="0"/>
    <n v="3"/>
    <n v="3"/>
    <x v="1"/>
    <x v="12"/>
    <d v="1899-12-30T18:00:00"/>
    <d v="1899-12-30T18:30:00"/>
  </r>
  <r>
    <d v="2024-10-02T00:00:00"/>
    <n v="925"/>
    <s v="S2S Premium"/>
    <s v="P_Manfredi, Melina"/>
    <x v="12"/>
    <d v="1899-12-30T19:30:00"/>
    <s v="-"/>
    <d v="1899-12-30T20:00:00"/>
    <n v="727"/>
    <n v="0"/>
    <n v="0"/>
    <n v="22"/>
    <n v="0"/>
    <n v="0"/>
    <n v="0"/>
    <n v="84"/>
    <n v="75"/>
    <n v="0"/>
    <n v="0"/>
    <n v="0"/>
    <n v="0"/>
    <n v="0"/>
    <n v="0"/>
    <n v="0"/>
    <n v="0"/>
    <n v="0"/>
    <n v="0"/>
    <n v="6"/>
    <n v="6"/>
    <x v="1"/>
    <x v="12"/>
    <d v="1899-12-30T19:30:00"/>
    <d v="1899-12-30T20:00:00"/>
  </r>
  <r>
    <d v="2024-10-02T00:00:00"/>
    <n v="925"/>
    <s v="S2S Premium"/>
    <s v="P_Manfredi, Melina"/>
    <x v="12"/>
    <d v="1899-12-30T19:00:00"/>
    <s v="-"/>
    <d v="1899-12-30T19:30:00"/>
    <n v="727"/>
    <n v="0"/>
    <n v="0"/>
    <n v="16"/>
    <n v="0"/>
    <n v="0"/>
    <n v="0"/>
    <n v="253"/>
    <n v="209"/>
    <n v="0"/>
    <n v="0"/>
    <n v="0"/>
    <n v="0"/>
    <n v="0"/>
    <n v="0"/>
    <n v="0"/>
    <n v="0"/>
    <n v="0"/>
    <n v="0"/>
    <n v="5"/>
    <n v="5"/>
    <x v="1"/>
    <x v="12"/>
    <d v="1899-12-30T19:00:00"/>
    <d v="1899-12-30T19:30:00"/>
  </r>
  <r>
    <d v="2024-10-02T00:00:00"/>
    <n v="925"/>
    <s v="S2S Premium"/>
    <s v="P_Manfredi, Melina"/>
    <x v="12"/>
    <d v="1899-12-30T18:30:00"/>
    <s v="-"/>
    <d v="1899-12-30T19:00:00"/>
    <n v="838"/>
    <n v="0"/>
    <n v="0"/>
    <n v="20"/>
    <n v="0"/>
    <n v="0"/>
    <n v="0"/>
    <n v="297"/>
    <n v="0"/>
    <n v="0"/>
    <n v="0"/>
    <n v="0"/>
    <n v="0"/>
    <n v="0"/>
    <n v="0"/>
    <n v="0"/>
    <n v="0"/>
    <n v="0"/>
    <n v="0"/>
    <n v="4"/>
    <n v="2"/>
    <x v="1"/>
    <x v="12"/>
    <d v="1899-12-30T18:30:00"/>
    <d v="1899-12-30T19:00:00"/>
  </r>
  <r>
    <d v="2024-10-02T00:00:00"/>
    <n v="924"/>
    <s v="S2S No Premium"/>
    <s v="N2m_Cubilla Marlene"/>
    <x v="13"/>
    <d v="1899-12-30T14:00:00"/>
    <s v="-"/>
    <d v="1899-12-30T14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13"/>
    <d v="1899-12-30T14:00:00"/>
    <d v="1899-12-30T14:30:00"/>
  </r>
  <r>
    <d v="2024-10-02T00:00:00"/>
    <n v="925"/>
    <s v="S2S Premium"/>
    <s v="P_Gilles, Morena"/>
    <x v="14"/>
    <d v="1899-12-30T15:00:00"/>
    <s v="-"/>
    <d v="1899-12-30T15:30:00"/>
    <n v="587"/>
    <n v="0"/>
    <n v="0"/>
    <n v="9"/>
    <n v="0"/>
    <n v="0"/>
    <n v="0"/>
    <n v="33"/>
    <n v="0"/>
    <n v="0"/>
    <n v="0"/>
    <n v="0"/>
    <n v="0"/>
    <n v="0"/>
    <n v="0"/>
    <n v="0"/>
    <n v="0"/>
    <n v="0"/>
    <n v="0"/>
    <n v="2"/>
    <n v="2"/>
    <x v="1"/>
    <x v="14"/>
    <d v="1899-12-30T15:00:00"/>
    <d v="1899-12-30T15:30:00"/>
  </r>
  <r>
    <d v="2024-10-02T00:00:00"/>
    <n v="925"/>
    <s v="S2S Premium"/>
    <s v="P_Gilles, Morena"/>
    <x v="14"/>
    <d v="1899-12-30T14:00:00"/>
    <s v="-"/>
    <d v="1899-12-30T14:30:00"/>
    <n v="657"/>
    <n v="0"/>
    <n v="0"/>
    <n v="24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14"/>
    <d v="1899-12-30T14:00:00"/>
    <d v="1899-12-30T14:30:00"/>
  </r>
  <r>
    <d v="2024-10-02T00:00:00"/>
    <n v="925"/>
    <s v="S2S Premium"/>
    <s v="P_Gilles, Morena"/>
    <x v="14"/>
    <d v="1899-12-30T14:30:00"/>
    <s v="-"/>
    <d v="1899-12-30T15:00:00"/>
    <n v="803"/>
    <n v="0"/>
    <n v="0"/>
    <n v="15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14"/>
    <d v="1899-12-30T14:30:00"/>
    <d v="1899-12-30T15:00:00"/>
  </r>
  <r>
    <d v="2024-10-02T00:00:00"/>
    <n v="925"/>
    <s v="S2S Premium"/>
    <s v="P_Martinez Ignac"/>
    <x v="1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5"/>
    <d v="1899-12-30T15:00:00"/>
    <d v="1899-12-30T15:30:00"/>
  </r>
  <r>
    <d v="2024-10-02T00:00:00"/>
    <n v="925"/>
    <s v="S2S Premium"/>
    <s v="P_Martinez Ignac"/>
    <x v="15"/>
    <d v="1899-12-30T14:30:00"/>
    <s v="-"/>
    <d v="1899-12-30T15:00:00"/>
    <n v="172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1"/>
    <n v="1"/>
    <x v="1"/>
    <x v="15"/>
    <d v="1899-12-30T14:30:00"/>
    <d v="1899-12-30T15:00:00"/>
  </r>
  <r>
    <d v="2024-10-02T00:00:00"/>
    <n v="925"/>
    <s v="S2S Premium"/>
    <s v="P_Martinez Ignac"/>
    <x v="15"/>
    <d v="1899-12-30T14:00:00"/>
    <s v="-"/>
    <d v="1899-12-30T14:30:00"/>
    <n v="1077"/>
    <n v="0"/>
    <n v="0"/>
    <n v="11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15"/>
    <d v="1899-12-30T14:00:00"/>
    <d v="1899-12-30T14:30:00"/>
  </r>
  <r>
    <d v="2024-10-02T00:00:00"/>
    <n v="924"/>
    <s v="S2S No Premium"/>
    <s v="N2m_Solis Melina"/>
    <x v="1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6"/>
    <d v="1899-12-30T15:30:00"/>
    <d v="1899-12-30T16:00:00"/>
  </r>
  <r>
    <d v="2024-10-02T00:00:00"/>
    <n v="924"/>
    <s v="S2S No Premium"/>
    <s v="N2m_Solis Melina"/>
    <x v="16"/>
    <d v="1899-12-30T19:30:00"/>
    <s v="-"/>
    <d v="1899-12-30T20:00:00"/>
    <n v="530"/>
    <n v="0"/>
    <n v="0"/>
    <n v="15"/>
    <n v="0"/>
    <n v="0"/>
    <n v="0"/>
    <n v="116"/>
    <n v="73"/>
    <n v="0"/>
    <n v="0"/>
    <n v="0"/>
    <n v="0"/>
    <n v="0"/>
    <n v="0"/>
    <n v="0"/>
    <n v="0"/>
    <n v="0"/>
    <n v="0"/>
    <n v="4"/>
    <n v="4"/>
    <x v="0"/>
    <x v="16"/>
    <d v="1899-12-30T19:30:00"/>
    <d v="1899-12-30T20:00:00"/>
  </r>
  <r>
    <d v="2024-10-02T00:00:00"/>
    <n v="924"/>
    <s v="S2S No Premium"/>
    <s v="N2m_Solis Melina"/>
    <x v="16"/>
    <d v="1899-12-30T18:30:00"/>
    <s v="-"/>
    <d v="1899-12-30T19:00:00"/>
    <n v="652"/>
    <n v="131"/>
    <n v="0"/>
    <n v="15"/>
    <n v="0"/>
    <n v="0"/>
    <n v="0"/>
    <n v="43"/>
    <n v="0"/>
    <n v="0"/>
    <n v="0"/>
    <n v="0"/>
    <n v="0"/>
    <n v="0"/>
    <n v="0"/>
    <n v="0"/>
    <n v="0"/>
    <n v="0"/>
    <n v="0"/>
    <n v="4"/>
    <n v="3"/>
    <x v="0"/>
    <x v="16"/>
    <d v="1899-12-30T18:30:00"/>
    <d v="1899-12-30T19:00:00"/>
  </r>
  <r>
    <d v="2024-10-02T00:00:00"/>
    <n v="924"/>
    <s v="S2S No Premium"/>
    <s v="N2m_Solis Melina"/>
    <x v="16"/>
    <d v="1899-12-30T19:00:00"/>
    <s v="-"/>
    <d v="1899-12-30T19:30:00"/>
    <n v="853"/>
    <n v="168"/>
    <n v="0"/>
    <n v="15"/>
    <n v="0"/>
    <n v="0"/>
    <n v="0"/>
    <n v="150"/>
    <n v="0"/>
    <n v="0"/>
    <n v="0"/>
    <n v="0"/>
    <n v="0"/>
    <n v="0"/>
    <n v="0"/>
    <n v="0"/>
    <n v="0"/>
    <n v="0"/>
    <n v="0"/>
    <n v="3"/>
    <n v="2"/>
    <x v="0"/>
    <x v="16"/>
    <d v="1899-12-30T19:00:00"/>
    <d v="1899-12-30T19:30:00"/>
  </r>
  <r>
    <d v="2024-10-02T00:00:00"/>
    <n v="924"/>
    <s v="S2S No Premium"/>
    <s v="N2m_Solis Melina"/>
    <x v="16"/>
    <d v="1899-12-30T17:00:00"/>
    <s v="-"/>
    <d v="1899-12-30T17:30:00"/>
    <n v="923"/>
    <n v="278"/>
    <n v="0"/>
    <n v="26"/>
    <n v="0"/>
    <n v="0"/>
    <n v="0"/>
    <n v="289"/>
    <n v="0"/>
    <n v="0"/>
    <n v="0"/>
    <n v="0"/>
    <n v="0"/>
    <n v="0"/>
    <n v="0"/>
    <n v="0"/>
    <n v="0"/>
    <n v="0"/>
    <n v="0"/>
    <n v="7"/>
    <n v="7"/>
    <x v="0"/>
    <x v="16"/>
    <d v="1899-12-30T17:00:00"/>
    <d v="1899-12-30T17:30:00"/>
  </r>
  <r>
    <d v="2024-10-02T00:00:00"/>
    <n v="924"/>
    <s v="S2S No Premium"/>
    <s v="N2m_Solis Melina"/>
    <x v="16"/>
    <d v="1899-12-30T17:30:00"/>
    <s v="-"/>
    <d v="1899-12-30T18:00:00"/>
    <n v="1161"/>
    <n v="132"/>
    <n v="0"/>
    <n v="16"/>
    <n v="0"/>
    <n v="0"/>
    <n v="0"/>
    <n v="126"/>
    <n v="65"/>
    <n v="0"/>
    <n v="0"/>
    <n v="0"/>
    <n v="0"/>
    <n v="0"/>
    <n v="0"/>
    <n v="0"/>
    <n v="0"/>
    <n v="0"/>
    <n v="0"/>
    <n v="4"/>
    <n v="4"/>
    <x v="0"/>
    <x v="16"/>
    <d v="1899-12-30T17:30:00"/>
    <d v="1899-12-30T18:00:00"/>
  </r>
  <r>
    <d v="2024-10-02T00:00:00"/>
    <n v="924"/>
    <s v="S2S No Premium"/>
    <s v="N2m_Solis Melina"/>
    <x v="16"/>
    <d v="1899-12-30T18:00:00"/>
    <s v="-"/>
    <d v="1899-12-30T18:30:00"/>
    <n v="1221"/>
    <n v="262"/>
    <n v="0"/>
    <n v="18"/>
    <n v="0"/>
    <n v="0"/>
    <n v="0"/>
    <n v="53"/>
    <n v="0"/>
    <n v="0"/>
    <n v="0"/>
    <n v="0"/>
    <n v="0"/>
    <n v="0"/>
    <n v="0"/>
    <n v="0"/>
    <n v="0"/>
    <n v="0"/>
    <n v="0"/>
    <n v="6"/>
    <n v="6"/>
    <x v="0"/>
    <x v="16"/>
    <d v="1899-12-30T18:00:00"/>
    <d v="1899-12-30T18:30:00"/>
  </r>
  <r>
    <d v="2024-10-02T00:00:00"/>
    <n v="924"/>
    <s v="S2S No Premium"/>
    <s v="N2m_Solis Melina"/>
    <x v="16"/>
    <d v="1899-12-30T16:00:00"/>
    <s v="-"/>
    <d v="1899-12-30T16:30:00"/>
    <n v="1279"/>
    <n v="0"/>
    <n v="0"/>
    <n v="25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16"/>
    <d v="1899-12-30T16:00:00"/>
    <d v="1899-12-30T16:30:00"/>
  </r>
  <r>
    <d v="2024-10-02T00:00:00"/>
    <n v="924"/>
    <s v="S2S No Premium"/>
    <s v="N2m_Solis Melina"/>
    <x v="16"/>
    <d v="1899-12-30T16:30:00"/>
    <s v="-"/>
    <d v="1899-12-30T17:00:00"/>
    <n v="1307"/>
    <n v="93"/>
    <n v="0"/>
    <n v="12"/>
    <n v="0"/>
    <n v="0"/>
    <n v="0"/>
    <n v="57"/>
    <n v="0"/>
    <n v="0"/>
    <n v="0"/>
    <n v="0"/>
    <n v="0"/>
    <n v="0"/>
    <n v="0"/>
    <n v="0"/>
    <n v="0"/>
    <n v="0"/>
    <n v="0"/>
    <n v="3"/>
    <n v="2"/>
    <x v="0"/>
    <x v="16"/>
    <d v="1899-12-30T16:30:00"/>
    <d v="1899-12-30T17:00:00"/>
  </r>
  <r>
    <d v="2024-10-02T00:00:00"/>
    <n v="925"/>
    <s v="S2S Premium"/>
    <s v="Pm_Cuellar, Joel"/>
    <x v="1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7"/>
    <d v="1899-12-30T15:00:00"/>
    <d v="1899-12-30T15:30:00"/>
  </r>
  <r>
    <d v="2024-10-02T00:00:00"/>
    <n v="925"/>
    <s v="S2S Premium"/>
    <s v="Pm_Cuellar, Joel"/>
    <x v="17"/>
    <d v="1899-12-30T14:30:00"/>
    <s v="-"/>
    <d v="1899-12-30T15:00:00"/>
    <n v="568"/>
    <n v="0"/>
    <n v="0"/>
    <n v="8"/>
    <n v="0"/>
    <n v="0"/>
    <n v="0"/>
    <n v="4"/>
    <n v="0"/>
    <n v="0"/>
    <n v="0"/>
    <n v="0"/>
    <n v="0"/>
    <n v="0"/>
    <n v="0"/>
    <n v="0"/>
    <n v="0"/>
    <n v="0"/>
    <n v="0"/>
    <n v="3"/>
    <n v="3"/>
    <x v="1"/>
    <x v="17"/>
    <d v="1899-12-30T14:30:00"/>
    <d v="1899-12-30T15:00:00"/>
  </r>
  <r>
    <d v="2024-10-02T00:00:00"/>
    <n v="925"/>
    <s v="S2S Premium"/>
    <s v="Pm_Cuellar, Joel"/>
    <x v="17"/>
    <d v="1899-12-30T14:00:00"/>
    <s v="-"/>
    <d v="1899-12-30T14:30:00"/>
    <n v="914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17"/>
    <d v="1899-12-30T14:00:00"/>
    <d v="1899-12-30T14:30:00"/>
  </r>
  <r>
    <d v="2024-10-02T00:00:00"/>
    <n v="925"/>
    <s v="S2S Premium"/>
    <s v="P_Fraga, Nicolas"/>
    <x v="18"/>
    <d v="1899-12-30T15:30:00"/>
    <s v="-"/>
    <d v="1899-12-30T16:00:00"/>
    <n v="13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18"/>
    <d v="1899-12-30T15:30:00"/>
    <d v="1899-12-30T16:00:00"/>
  </r>
  <r>
    <d v="2024-10-02T00:00:00"/>
    <n v="925"/>
    <s v="S2S Premium"/>
    <s v="P_Fraga, Nicolas"/>
    <x v="18"/>
    <d v="1899-12-30T16:00:00"/>
    <s v="-"/>
    <d v="1899-12-30T16:30:00"/>
    <n v="776"/>
    <n v="0"/>
    <n v="0"/>
    <n v="12"/>
    <n v="0"/>
    <n v="0"/>
    <n v="0"/>
    <n v="30"/>
    <n v="0"/>
    <n v="0"/>
    <n v="0"/>
    <n v="0"/>
    <n v="0"/>
    <n v="0"/>
    <n v="0"/>
    <n v="0"/>
    <n v="0"/>
    <n v="0"/>
    <n v="0"/>
    <n v="3"/>
    <n v="3"/>
    <x v="1"/>
    <x v="18"/>
    <d v="1899-12-30T16:00:00"/>
    <d v="1899-12-30T16:30:00"/>
  </r>
  <r>
    <d v="2024-10-02T00:00:00"/>
    <n v="925"/>
    <s v="S2S Premium"/>
    <s v="P_Fraga, Nicolas"/>
    <x v="18"/>
    <d v="1899-12-30T14:00:00"/>
    <s v="-"/>
    <d v="1899-12-30T14:30:00"/>
    <n v="805"/>
    <n v="0"/>
    <n v="0"/>
    <n v="18"/>
    <n v="0"/>
    <n v="0"/>
    <n v="0"/>
    <n v="110"/>
    <n v="104"/>
    <n v="0"/>
    <n v="0"/>
    <n v="0"/>
    <n v="0"/>
    <n v="0"/>
    <n v="0"/>
    <n v="0"/>
    <n v="0"/>
    <n v="0"/>
    <n v="0"/>
    <n v="3"/>
    <n v="2"/>
    <x v="1"/>
    <x v="18"/>
    <d v="1899-12-30T14:00:00"/>
    <d v="1899-12-30T14:30:00"/>
  </r>
  <r>
    <d v="2024-10-02T00:00:00"/>
    <n v="925"/>
    <s v="S2S Premium"/>
    <s v="P_Fraga, Nicolas"/>
    <x v="18"/>
    <d v="1899-12-30T15:00:00"/>
    <s v="-"/>
    <d v="1899-12-30T15:30:00"/>
    <n v="839"/>
    <n v="0"/>
    <n v="0"/>
    <n v="17"/>
    <n v="0"/>
    <n v="0"/>
    <n v="0"/>
    <n v="113"/>
    <n v="58"/>
    <n v="0"/>
    <n v="0"/>
    <n v="0"/>
    <n v="0"/>
    <n v="0"/>
    <n v="0"/>
    <n v="0"/>
    <n v="0"/>
    <n v="0"/>
    <n v="0"/>
    <n v="4"/>
    <n v="3"/>
    <x v="1"/>
    <x v="18"/>
    <d v="1899-12-30T15:00:00"/>
    <d v="1899-12-30T15:30:00"/>
  </r>
  <r>
    <d v="2024-10-02T00:00:00"/>
    <n v="925"/>
    <s v="S2S Premium"/>
    <s v="P_Fraga, Nicolas"/>
    <x v="18"/>
    <d v="1899-12-30T17:00:00"/>
    <s v="-"/>
    <d v="1899-12-30T17:30:00"/>
    <n v="902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2"/>
    <x v="1"/>
    <x v="18"/>
    <d v="1899-12-30T17:00:00"/>
    <d v="1899-12-30T17:30:00"/>
  </r>
  <r>
    <d v="2024-10-02T00:00:00"/>
    <n v="925"/>
    <s v="S2S Premium"/>
    <s v="P_Fraga, Nicolas"/>
    <x v="18"/>
    <d v="1899-12-30T16:30:00"/>
    <s v="-"/>
    <d v="1899-12-30T17:00:00"/>
    <n v="1142"/>
    <n v="0"/>
    <n v="0"/>
    <n v="24"/>
    <n v="0"/>
    <n v="0"/>
    <n v="0"/>
    <n v="75"/>
    <n v="0"/>
    <n v="0"/>
    <n v="0"/>
    <n v="0"/>
    <n v="0"/>
    <n v="0"/>
    <n v="0"/>
    <n v="0"/>
    <n v="0"/>
    <n v="0"/>
    <n v="0"/>
    <n v="6"/>
    <n v="5"/>
    <x v="1"/>
    <x v="18"/>
    <d v="1899-12-30T16:30:00"/>
    <d v="1899-12-30T17:00:00"/>
  </r>
  <r>
    <d v="2024-10-02T00:00:00"/>
    <n v="925"/>
    <s v="S2S Premium"/>
    <s v="P_Fraga, Nicolas"/>
    <x v="18"/>
    <d v="1899-12-30T14:30:00"/>
    <s v="-"/>
    <d v="1899-12-30T15:00:00"/>
    <n v="1194"/>
    <n v="0"/>
    <n v="0"/>
    <n v="8"/>
    <n v="0"/>
    <n v="0"/>
    <n v="0"/>
    <n v="112"/>
    <n v="0"/>
    <n v="0"/>
    <n v="0"/>
    <n v="0"/>
    <n v="0"/>
    <n v="0"/>
    <n v="0"/>
    <n v="0"/>
    <n v="0"/>
    <n v="0"/>
    <n v="0"/>
    <n v="2"/>
    <n v="2"/>
    <x v="1"/>
    <x v="18"/>
    <d v="1899-12-30T14:30:00"/>
    <d v="1899-12-30T15:00:00"/>
  </r>
  <r>
    <d v="2024-10-02T00:00:00"/>
    <n v="924"/>
    <s v="S2S No Premium"/>
    <s v="N2m_Zapata Martina"/>
    <x v="19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9"/>
    <d v="1899-12-30T19:00:00"/>
    <d v="1899-12-30T19:30:00"/>
  </r>
  <r>
    <d v="2024-10-02T00:00:00"/>
    <n v="924"/>
    <s v="S2S No Premium"/>
    <s v="N2m_Zapata Martina"/>
    <x v="19"/>
    <d v="1899-12-30T19:30:00"/>
    <s v="-"/>
    <d v="1899-12-30T20:00:00"/>
    <n v="65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19"/>
    <d v="1899-12-30T19:30:00"/>
    <d v="1899-12-30T20:00:00"/>
  </r>
  <r>
    <d v="2024-10-02T00:00:00"/>
    <n v="924"/>
    <s v="S2S No Premium"/>
    <s v="N2m_Zapata Martina"/>
    <x v="19"/>
    <d v="1899-12-30T15:00:00"/>
    <s v="-"/>
    <d v="1899-12-30T15:30:00"/>
    <n v="757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19"/>
    <d v="1899-12-30T15:00:00"/>
    <d v="1899-12-30T15:30:00"/>
  </r>
  <r>
    <d v="2024-10-02T00:00:00"/>
    <n v="924"/>
    <s v="S2S No Premium"/>
    <s v="N2m_Zapata Martina"/>
    <x v="19"/>
    <d v="1899-12-30T18:30:00"/>
    <s v="-"/>
    <d v="1899-12-30T19:00:00"/>
    <n v="814"/>
    <n v="88"/>
    <n v="0"/>
    <n v="16"/>
    <n v="0"/>
    <n v="0"/>
    <n v="0"/>
    <n v="13"/>
    <n v="10"/>
    <n v="0"/>
    <n v="0"/>
    <n v="0"/>
    <n v="0"/>
    <n v="0"/>
    <n v="0"/>
    <n v="0"/>
    <n v="0"/>
    <n v="0"/>
    <n v="0"/>
    <n v="5"/>
    <n v="3"/>
    <x v="0"/>
    <x v="19"/>
    <d v="1899-12-30T18:30:00"/>
    <d v="1899-12-30T19:00:00"/>
  </r>
  <r>
    <d v="2024-10-02T00:00:00"/>
    <n v="924"/>
    <s v="S2S No Premium"/>
    <s v="N2m_Zapata Martina"/>
    <x v="19"/>
    <d v="1899-12-30T18:00:00"/>
    <s v="-"/>
    <d v="1899-12-30T18:30:00"/>
    <n v="99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19"/>
    <d v="1899-12-30T18:00:00"/>
    <d v="1899-12-30T18:30:00"/>
  </r>
  <r>
    <d v="2024-10-02T00:00:00"/>
    <n v="924"/>
    <s v="S2S No Premium"/>
    <s v="N2m_Zapata Martina"/>
    <x v="19"/>
    <d v="1899-12-30T15:30:00"/>
    <s v="-"/>
    <d v="1899-12-30T16:00:00"/>
    <n v="999"/>
    <n v="0"/>
    <n v="0"/>
    <n v="21"/>
    <n v="0"/>
    <n v="0"/>
    <n v="0"/>
    <n v="2"/>
    <n v="0"/>
    <n v="0"/>
    <n v="0"/>
    <n v="0"/>
    <n v="0"/>
    <n v="0"/>
    <n v="0"/>
    <n v="0"/>
    <n v="0"/>
    <n v="0"/>
    <n v="0"/>
    <n v="5"/>
    <n v="2"/>
    <x v="0"/>
    <x v="19"/>
    <d v="1899-12-30T15:30:00"/>
    <d v="1899-12-30T16:00:00"/>
  </r>
  <r>
    <d v="2024-10-02T00:00:00"/>
    <n v="924"/>
    <s v="S2S No Premium"/>
    <s v="N2m_Zapata Martina"/>
    <x v="19"/>
    <d v="1899-12-30T17:00:00"/>
    <s v="-"/>
    <d v="1899-12-30T17:30:00"/>
    <n v="1176"/>
    <n v="0"/>
    <n v="0"/>
    <n v="28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19"/>
    <d v="1899-12-30T17:00:00"/>
    <d v="1899-12-30T17:30:00"/>
  </r>
  <r>
    <d v="2024-10-02T00:00:00"/>
    <n v="924"/>
    <s v="S2S No Premium"/>
    <s v="N2m_Zapata Martina"/>
    <x v="19"/>
    <d v="1899-12-30T17:30:00"/>
    <s v="-"/>
    <d v="1899-12-30T18:00:00"/>
    <n v="1206"/>
    <n v="12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19"/>
    <d v="1899-12-30T17:30:00"/>
    <d v="1899-12-30T18:00:00"/>
  </r>
  <r>
    <d v="2024-10-02T00:00:00"/>
    <n v="924"/>
    <s v="S2S No Premium"/>
    <s v="N2m_Zapata Martina"/>
    <x v="19"/>
    <d v="1899-12-30T16:00:00"/>
    <s v="-"/>
    <d v="1899-12-30T16:30:00"/>
    <n v="1278"/>
    <n v="0"/>
    <n v="0"/>
    <n v="22"/>
    <n v="0"/>
    <n v="0"/>
    <n v="0"/>
    <n v="36"/>
    <n v="0"/>
    <n v="0"/>
    <n v="0"/>
    <n v="0"/>
    <n v="0"/>
    <n v="0"/>
    <n v="0"/>
    <n v="0"/>
    <n v="0"/>
    <n v="0"/>
    <n v="0"/>
    <n v="5"/>
    <n v="3"/>
    <x v="0"/>
    <x v="19"/>
    <d v="1899-12-30T16:00:00"/>
    <d v="1899-12-30T16:30:00"/>
  </r>
  <r>
    <d v="2024-10-02T00:00:00"/>
    <n v="924"/>
    <s v="S2S No Premium"/>
    <s v="N2m_Zapata Martina"/>
    <x v="19"/>
    <d v="1899-12-30T16:30:00"/>
    <s v="-"/>
    <d v="1899-12-30T17:00:00"/>
    <n v="1305"/>
    <n v="0"/>
    <n v="0"/>
    <n v="24"/>
    <n v="0"/>
    <n v="0"/>
    <n v="0"/>
    <n v="6"/>
    <n v="0"/>
    <n v="0"/>
    <n v="0"/>
    <n v="0"/>
    <n v="0"/>
    <n v="0"/>
    <n v="0"/>
    <n v="0"/>
    <n v="0"/>
    <n v="0"/>
    <n v="0"/>
    <n v="7"/>
    <n v="4"/>
    <x v="0"/>
    <x v="19"/>
    <d v="1899-12-30T16:30:00"/>
    <d v="1899-12-30T17:00:00"/>
  </r>
  <r>
    <d v="2024-10-02T00:00:00"/>
    <n v="924"/>
    <s v="S2S No Premium"/>
    <s v="N2_Frias, Brenda"/>
    <x v="20"/>
    <d v="1899-12-30T15:00:00"/>
    <s v="-"/>
    <d v="1899-12-30T15:30:00"/>
    <n v="1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0"/>
    <d v="1899-12-30T15:00:00"/>
    <d v="1899-12-30T15:30:00"/>
  </r>
  <r>
    <d v="2024-10-02T00:00:00"/>
    <n v="924"/>
    <s v="S2S No Premium"/>
    <s v="N2_Frias, Brenda"/>
    <x v="20"/>
    <d v="1899-12-30T14:30:00"/>
    <s v="-"/>
    <d v="1899-12-30T15:00:00"/>
    <n v="531"/>
    <n v="0"/>
    <n v="0"/>
    <n v="13"/>
    <n v="0"/>
    <n v="0"/>
    <n v="0"/>
    <n v="535"/>
    <n v="0"/>
    <n v="0"/>
    <n v="0"/>
    <n v="0"/>
    <n v="0"/>
    <n v="0"/>
    <n v="0"/>
    <n v="0"/>
    <n v="0"/>
    <n v="0"/>
    <n v="0"/>
    <n v="2"/>
    <n v="2"/>
    <x v="0"/>
    <x v="20"/>
    <d v="1899-12-30T14:30:00"/>
    <d v="1899-12-30T15:00:00"/>
  </r>
  <r>
    <d v="2024-10-02T00:00:00"/>
    <n v="924"/>
    <s v="S2S No Premium"/>
    <s v="N2_Frias, Brenda"/>
    <x v="20"/>
    <d v="1899-12-30T14:00:00"/>
    <s v="-"/>
    <d v="1899-12-30T14:30:00"/>
    <n v="721"/>
    <n v="0"/>
    <n v="0"/>
    <n v="12"/>
    <n v="0"/>
    <n v="0"/>
    <n v="0"/>
    <n v="181"/>
    <n v="0"/>
    <n v="0"/>
    <n v="0"/>
    <n v="0"/>
    <n v="0"/>
    <n v="0"/>
    <n v="0"/>
    <n v="0"/>
    <n v="0"/>
    <n v="0"/>
    <n v="0"/>
    <n v="3"/>
    <n v="2"/>
    <x v="0"/>
    <x v="20"/>
    <d v="1899-12-30T14:00:00"/>
    <d v="1899-12-30T14:30:00"/>
  </r>
  <r>
    <d v="2024-10-02T00:00:00"/>
    <n v="925"/>
    <s v="S2S Premium"/>
    <s v="P_Sosa, Valentina"/>
    <x v="21"/>
    <d v="1899-12-30T14:00:00"/>
    <s v="-"/>
    <d v="1899-12-30T14:30:00"/>
    <n v="59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21"/>
    <d v="1899-12-30T14:00:00"/>
    <d v="1899-12-30T14:30:00"/>
  </r>
  <r>
    <d v="2024-10-02T00:00:00"/>
    <n v="925"/>
    <s v="S2S Premium"/>
    <s v="P_Sosa, Valentina"/>
    <x v="21"/>
    <d v="1899-12-30T14:30:00"/>
    <s v="-"/>
    <d v="1899-12-30T15:00:00"/>
    <n v="788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3"/>
    <n v="2"/>
    <x v="1"/>
    <x v="21"/>
    <d v="1899-12-30T14:30:00"/>
    <d v="1899-12-30T15:00:00"/>
  </r>
  <r>
    <d v="2024-10-02T00:00:00"/>
    <n v="924"/>
    <s v="S2S No Premium"/>
    <s v="N2m_Castro Cristian"/>
    <x v="2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2"/>
    <d v="1899-12-30T14:30:00"/>
    <d v="1899-12-30T15:00:00"/>
  </r>
  <r>
    <d v="2024-10-02T00:00:00"/>
    <n v="924"/>
    <s v="S2S No Premium"/>
    <s v="N2m_Castro Cristian"/>
    <x v="22"/>
    <d v="1899-12-30T19:30:00"/>
    <s v="-"/>
    <d v="1899-12-30T20:00:00"/>
    <n v="649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22"/>
    <d v="1899-12-30T19:30:00"/>
    <d v="1899-12-30T20:00:00"/>
  </r>
  <r>
    <d v="2024-10-02T00:00:00"/>
    <n v="924"/>
    <s v="S2S No Premium"/>
    <s v="N2m_Castro Cristian"/>
    <x v="22"/>
    <d v="1899-12-30T15:00:00"/>
    <s v="-"/>
    <d v="1899-12-30T15:30:00"/>
    <n v="699"/>
    <n v="9"/>
    <n v="0"/>
    <n v="19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22"/>
    <d v="1899-12-30T15:00:00"/>
    <d v="1899-12-30T15:30:00"/>
  </r>
  <r>
    <d v="2024-10-02T00:00:00"/>
    <n v="924"/>
    <s v="S2S No Premium"/>
    <s v="N2m_Castro Cristian"/>
    <x v="22"/>
    <d v="1899-12-30T19:00:00"/>
    <s v="-"/>
    <d v="1899-12-30T19:30:00"/>
    <n v="90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2"/>
    <d v="1899-12-30T19:00:00"/>
    <d v="1899-12-30T19:30:00"/>
  </r>
  <r>
    <d v="2024-10-02T00:00:00"/>
    <n v="924"/>
    <s v="S2S No Premium"/>
    <s v="N2m_Castro Cristian"/>
    <x v="22"/>
    <d v="1899-12-30T15:30:00"/>
    <s v="-"/>
    <d v="1899-12-30T16:00:00"/>
    <n v="949"/>
    <n v="0"/>
    <n v="0"/>
    <n v="26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22"/>
    <d v="1899-12-30T15:30:00"/>
    <d v="1899-12-30T16:00:00"/>
  </r>
  <r>
    <d v="2024-10-02T00:00:00"/>
    <n v="924"/>
    <s v="S2S No Premium"/>
    <s v="N2m_Castro Cristian"/>
    <x v="22"/>
    <d v="1899-12-30T18:30:00"/>
    <s v="-"/>
    <d v="1899-12-30T19:00:00"/>
    <n v="1019"/>
    <n v="0"/>
    <n v="0"/>
    <n v="20"/>
    <n v="0"/>
    <n v="0"/>
    <n v="0"/>
    <n v="4"/>
    <n v="1"/>
    <n v="0"/>
    <n v="0"/>
    <n v="0"/>
    <n v="0"/>
    <n v="0"/>
    <n v="0"/>
    <n v="0"/>
    <n v="0"/>
    <n v="0"/>
    <n v="0"/>
    <n v="5"/>
    <n v="4"/>
    <x v="0"/>
    <x v="22"/>
    <d v="1899-12-30T18:30:00"/>
    <d v="1899-12-30T19:00:00"/>
  </r>
  <r>
    <d v="2024-10-02T00:00:00"/>
    <n v="924"/>
    <s v="S2S No Premium"/>
    <s v="N2m_Castro Cristian"/>
    <x v="22"/>
    <d v="1899-12-30T16:30:00"/>
    <s v="-"/>
    <d v="1899-12-30T17:00:00"/>
    <n v="1383"/>
    <n v="0"/>
    <n v="0"/>
    <n v="24"/>
    <n v="0"/>
    <n v="0"/>
    <n v="0"/>
    <n v="5"/>
    <n v="0"/>
    <n v="0"/>
    <n v="0"/>
    <n v="0"/>
    <n v="0"/>
    <n v="0"/>
    <n v="0"/>
    <n v="0"/>
    <n v="0"/>
    <n v="0"/>
    <n v="0"/>
    <n v="6"/>
    <n v="4"/>
    <x v="0"/>
    <x v="22"/>
    <d v="1899-12-30T16:30:00"/>
    <d v="1899-12-30T17:00:00"/>
  </r>
  <r>
    <d v="2024-10-02T00:00:00"/>
    <n v="924"/>
    <s v="S2S No Premium"/>
    <s v="N2m_Castro Cristian"/>
    <x v="22"/>
    <d v="1899-12-30T17:00:00"/>
    <s v="-"/>
    <d v="1899-12-30T17:30:00"/>
    <n v="1383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2"/>
    <d v="1899-12-30T17:00:00"/>
    <d v="1899-12-30T17:30:00"/>
  </r>
  <r>
    <d v="2024-10-02T00:00:00"/>
    <n v="924"/>
    <s v="S2S No Premium"/>
    <s v="N2m_Castro Cristian"/>
    <x v="22"/>
    <d v="1899-12-30T17:30:00"/>
    <s v="-"/>
    <d v="1899-12-30T18:00:00"/>
    <n v="1388"/>
    <n v="0"/>
    <n v="0"/>
    <n v="16"/>
    <n v="0"/>
    <n v="0"/>
    <n v="0"/>
    <n v="108"/>
    <n v="57"/>
    <n v="0"/>
    <n v="0"/>
    <n v="0"/>
    <n v="0"/>
    <n v="0"/>
    <n v="0"/>
    <n v="0"/>
    <n v="0"/>
    <n v="0"/>
    <n v="0"/>
    <n v="4"/>
    <n v="4"/>
    <x v="0"/>
    <x v="22"/>
    <d v="1899-12-30T17:30:00"/>
    <d v="1899-12-30T18:00:00"/>
  </r>
  <r>
    <d v="2024-10-02T00:00:00"/>
    <n v="924"/>
    <s v="S2S No Premium"/>
    <s v="N2m_Castro Cristian"/>
    <x v="22"/>
    <d v="1899-12-30T16:00:00"/>
    <s v="-"/>
    <d v="1899-12-30T16:30:00"/>
    <n v="1420"/>
    <n v="0"/>
    <n v="0"/>
    <n v="22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22"/>
    <d v="1899-12-30T16:00:00"/>
    <d v="1899-12-30T16:30:00"/>
  </r>
  <r>
    <d v="2024-10-02T00:00:00"/>
    <n v="924"/>
    <s v="S2S No Premium"/>
    <s v="N2m_Castro Cristian"/>
    <x v="22"/>
    <d v="1899-12-30T18:00:00"/>
    <s v="-"/>
    <d v="1899-12-30T18:30:00"/>
    <n v="1464"/>
    <n v="0"/>
    <n v="0"/>
    <n v="25"/>
    <n v="0"/>
    <n v="0"/>
    <n v="0"/>
    <n v="7"/>
    <n v="0"/>
    <n v="0"/>
    <n v="0"/>
    <n v="0"/>
    <n v="0"/>
    <n v="0"/>
    <n v="0"/>
    <n v="0"/>
    <n v="0"/>
    <n v="0"/>
    <n v="0"/>
    <n v="7"/>
    <n v="5"/>
    <x v="0"/>
    <x v="22"/>
    <d v="1899-12-30T18:00:00"/>
    <d v="1899-12-30T18:30:00"/>
  </r>
  <r>
    <d v="2024-10-02T00:00:00"/>
    <n v="925"/>
    <s v="S2S Premium"/>
    <s v="P_Vazquez, Sofia"/>
    <x v="23"/>
    <d v="1899-12-30T15:00:00"/>
    <s v="-"/>
    <d v="1899-12-30T15:30:00"/>
    <n v="626"/>
    <n v="0"/>
    <n v="0"/>
    <n v="20"/>
    <n v="0"/>
    <n v="0"/>
    <n v="0"/>
    <n v="60"/>
    <n v="41"/>
    <n v="0"/>
    <n v="0"/>
    <n v="0"/>
    <n v="0"/>
    <n v="0"/>
    <n v="0"/>
    <n v="0"/>
    <n v="0"/>
    <n v="0"/>
    <n v="0"/>
    <n v="4"/>
    <n v="3"/>
    <x v="1"/>
    <x v="23"/>
    <d v="1899-12-30T15:00:00"/>
    <d v="1899-12-30T15:30:00"/>
  </r>
  <r>
    <d v="2024-10-02T00:00:00"/>
    <n v="925"/>
    <s v="S2S Premium"/>
    <s v="P_Vazquez, Sofia"/>
    <x v="23"/>
    <d v="1899-12-30T15:30:00"/>
    <s v="-"/>
    <d v="1899-12-30T16:00:00"/>
    <n v="627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23"/>
    <d v="1899-12-30T15:30:00"/>
    <d v="1899-12-30T16:00:00"/>
  </r>
  <r>
    <d v="2024-10-02T00:00:00"/>
    <n v="925"/>
    <s v="S2S Premium"/>
    <s v="P_Vazquez, Sofia"/>
    <x v="23"/>
    <d v="1899-12-30T18:30:00"/>
    <s v="-"/>
    <d v="1899-12-30T19:00:00"/>
    <n v="697"/>
    <n v="0"/>
    <n v="0"/>
    <n v="24"/>
    <n v="0"/>
    <n v="0"/>
    <n v="0"/>
    <n v="238"/>
    <n v="136"/>
    <n v="0"/>
    <n v="0"/>
    <n v="0"/>
    <n v="0"/>
    <n v="0"/>
    <n v="0"/>
    <n v="0"/>
    <n v="0"/>
    <n v="0"/>
    <n v="0"/>
    <n v="5"/>
    <n v="5"/>
    <x v="1"/>
    <x v="23"/>
    <d v="1899-12-30T18:30:00"/>
    <d v="1899-12-30T19:00:00"/>
  </r>
  <r>
    <d v="2024-10-02T00:00:00"/>
    <n v="925"/>
    <s v="S2S Premium"/>
    <s v="P_Vazquez, Sofia"/>
    <x v="23"/>
    <d v="1899-12-30T19:00:00"/>
    <s v="-"/>
    <d v="1899-12-30T19:30:00"/>
    <n v="779"/>
    <n v="0"/>
    <n v="0"/>
    <n v="24"/>
    <n v="0"/>
    <n v="0"/>
    <n v="0"/>
    <n v="397"/>
    <n v="167"/>
    <n v="0"/>
    <n v="0"/>
    <n v="0"/>
    <n v="0"/>
    <n v="0"/>
    <n v="0"/>
    <n v="0"/>
    <n v="0"/>
    <n v="0"/>
    <n v="0"/>
    <n v="7"/>
    <n v="7"/>
    <x v="1"/>
    <x v="23"/>
    <d v="1899-12-30T19:00:00"/>
    <d v="1899-12-30T19:30:00"/>
  </r>
  <r>
    <d v="2024-10-02T00:00:00"/>
    <n v="925"/>
    <s v="S2S Premium"/>
    <s v="P_Vazquez, Sofia"/>
    <x v="23"/>
    <d v="1899-12-30T18:00:00"/>
    <s v="-"/>
    <d v="1899-12-30T18:30:00"/>
    <n v="796"/>
    <n v="0"/>
    <n v="0"/>
    <n v="14"/>
    <n v="0"/>
    <n v="0"/>
    <n v="0"/>
    <n v="101"/>
    <n v="0"/>
    <n v="0"/>
    <n v="0"/>
    <n v="0"/>
    <n v="0"/>
    <n v="0"/>
    <n v="0"/>
    <n v="0"/>
    <n v="0"/>
    <n v="0"/>
    <n v="0"/>
    <n v="3"/>
    <n v="3"/>
    <x v="1"/>
    <x v="23"/>
    <d v="1899-12-30T18:00:00"/>
    <d v="1899-12-30T18:30:00"/>
  </r>
  <r>
    <d v="2024-10-02T00:00:00"/>
    <n v="925"/>
    <s v="S2S Premium"/>
    <s v="P_Vazquez, Sofia"/>
    <x v="23"/>
    <d v="1899-12-30T19:30:00"/>
    <s v="-"/>
    <d v="1899-12-30T20:00:00"/>
    <n v="869"/>
    <n v="0"/>
    <n v="0"/>
    <n v="24"/>
    <n v="0"/>
    <n v="0"/>
    <n v="0"/>
    <n v="227"/>
    <n v="34"/>
    <n v="0"/>
    <n v="0"/>
    <n v="0"/>
    <n v="0"/>
    <n v="0"/>
    <n v="0"/>
    <n v="0"/>
    <n v="0"/>
    <n v="0"/>
    <n v="0"/>
    <n v="6"/>
    <n v="6"/>
    <x v="1"/>
    <x v="23"/>
    <d v="1899-12-30T19:30:00"/>
    <d v="1899-12-30T20:00:00"/>
  </r>
  <r>
    <d v="2024-10-02T00:00:00"/>
    <n v="925"/>
    <s v="S2S Premium"/>
    <s v="Pm_Gonzalez, Cande"/>
    <x v="24"/>
    <d v="1899-12-30T14:30:00"/>
    <s v="-"/>
    <d v="1899-12-30T15:00:00"/>
    <n v="566"/>
    <n v="72"/>
    <n v="0"/>
    <n v="12"/>
    <n v="0"/>
    <n v="0"/>
    <n v="0"/>
    <n v="90"/>
    <n v="0"/>
    <n v="0"/>
    <n v="0"/>
    <n v="0"/>
    <n v="0"/>
    <n v="0"/>
    <n v="0"/>
    <n v="0"/>
    <n v="0"/>
    <n v="0"/>
    <n v="0"/>
    <n v="3"/>
    <n v="2"/>
    <x v="1"/>
    <x v="24"/>
    <d v="1899-12-30T14:30:00"/>
    <d v="1899-12-30T15:00:00"/>
  </r>
  <r>
    <d v="2024-10-02T00:00:00"/>
    <n v="925"/>
    <s v="S2S Premium"/>
    <s v="Pm_Gonzalez, Cande"/>
    <x v="24"/>
    <d v="1899-12-30T14:00:00"/>
    <s v="-"/>
    <d v="1899-12-30T14:30:00"/>
    <n v="582"/>
    <n v="125"/>
    <n v="0"/>
    <n v="16"/>
    <n v="0"/>
    <n v="0"/>
    <n v="0"/>
    <n v="374"/>
    <n v="115"/>
    <n v="0"/>
    <n v="0"/>
    <n v="0"/>
    <n v="0"/>
    <n v="0"/>
    <n v="0"/>
    <n v="0"/>
    <n v="0"/>
    <n v="0"/>
    <n v="0"/>
    <n v="5"/>
    <n v="5"/>
    <x v="1"/>
    <x v="24"/>
    <d v="1899-12-30T14:00:00"/>
    <d v="1899-12-30T14:30:00"/>
  </r>
  <r>
    <d v="2024-10-02T00:00:00"/>
    <n v="924"/>
    <s v="S2S No Premium"/>
    <s v="N2m_Espinoza, Cielo"/>
    <x v="25"/>
    <d v="1899-12-30T18:30:00"/>
    <s v="-"/>
    <d v="1899-12-30T19:00:00"/>
    <n v="423"/>
    <n v="0"/>
    <n v="0"/>
    <n v="15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5"/>
    <d v="1899-12-30T18:30:00"/>
    <d v="1899-12-30T19:00:00"/>
  </r>
  <r>
    <d v="2024-10-02T00:00:00"/>
    <n v="924"/>
    <s v="S2S No Premium"/>
    <s v="N2m_Espinoza, Cielo"/>
    <x v="25"/>
    <d v="1899-12-30T19:30:00"/>
    <s v="-"/>
    <d v="1899-12-30T20:00:00"/>
    <n v="467"/>
    <n v="5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3"/>
    <x v="0"/>
    <x v="25"/>
    <d v="1899-12-30T19:30:00"/>
    <d v="1899-12-30T20:00:00"/>
  </r>
  <r>
    <d v="2024-10-02T00:00:00"/>
    <n v="924"/>
    <s v="S2S No Premium"/>
    <s v="N2m_Espinoza, Cielo"/>
    <x v="25"/>
    <d v="1899-12-30T18:00:00"/>
    <s v="-"/>
    <d v="1899-12-30T18:30:00"/>
    <n v="685"/>
    <n v="178"/>
    <n v="0"/>
    <n v="20"/>
    <n v="0"/>
    <n v="0"/>
    <n v="0"/>
    <n v="120"/>
    <n v="0"/>
    <n v="0"/>
    <n v="0"/>
    <n v="0"/>
    <n v="0"/>
    <n v="0"/>
    <n v="0"/>
    <n v="0"/>
    <n v="0"/>
    <n v="0"/>
    <n v="0"/>
    <n v="4"/>
    <n v="4"/>
    <x v="0"/>
    <x v="25"/>
    <d v="1899-12-30T18:00:00"/>
    <d v="1899-12-30T18:30:00"/>
  </r>
  <r>
    <d v="2024-10-02T00:00:00"/>
    <n v="924"/>
    <s v="S2S No Premium"/>
    <s v="N2m_Espinoza, Cielo"/>
    <x v="25"/>
    <d v="1899-12-30T19:00:00"/>
    <s v="-"/>
    <d v="1899-12-30T19:30:00"/>
    <n v="1100"/>
    <n v="5"/>
    <n v="0"/>
    <n v="15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5"/>
    <d v="1899-12-30T19:00:00"/>
    <d v="1899-12-30T19:30:00"/>
  </r>
  <r>
    <d v="2024-10-02T00:00:00"/>
    <n v="924"/>
    <s v="S2S No Premium"/>
    <s v="N2m_Castillo Lucian"/>
    <x v="26"/>
    <d v="1899-12-30T15:30:00"/>
    <s v="-"/>
    <d v="1899-12-30T16:00:00"/>
    <n v="220"/>
    <n v="131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6"/>
    <d v="1899-12-30T15:30:00"/>
    <d v="1899-12-30T16:00:00"/>
  </r>
  <r>
    <d v="2024-10-02T00:00:00"/>
    <n v="924"/>
    <s v="S2S No Premium"/>
    <s v="N2m_Castillo Lucian"/>
    <x v="26"/>
    <d v="1899-12-30T17:00:00"/>
    <s v="-"/>
    <d v="1899-12-30T17:30:00"/>
    <n v="23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6"/>
    <d v="1899-12-30T17:00:00"/>
    <d v="1899-12-30T17:30:00"/>
  </r>
  <r>
    <d v="2024-10-02T00:00:00"/>
    <n v="924"/>
    <s v="S2S No Premium"/>
    <s v="N2m_Castillo Lucian"/>
    <x v="26"/>
    <d v="1899-12-30T14:30:00"/>
    <s v="-"/>
    <d v="1899-12-30T15:00:00"/>
    <n v="855"/>
    <n v="0"/>
    <n v="0"/>
    <n v="19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26"/>
    <d v="1899-12-30T14:30:00"/>
    <d v="1899-12-30T15:00:00"/>
  </r>
  <r>
    <d v="2024-10-02T00:00:00"/>
    <n v="924"/>
    <s v="S2S No Premium"/>
    <s v="N2m_Castillo Lucian"/>
    <x v="26"/>
    <d v="1899-12-30T14:00:00"/>
    <s v="-"/>
    <d v="1899-12-30T14:30:00"/>
    <n v="897"/>
    <n v="107"/>
    <n v="0"/>
    <n v="31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6"/>
    <d v="1899-12-30T14:00:00"/>
    <d v="1899-12-30T14:30:00"/>
  </r>
  <r>
    <d v="2024-10-02T00:00:00"/>
    <n v="924"/>
    <s v="S2S No Premium"/>
    <s v="N2m_Castillo Lucian"/>
    <x v="26"/>
    <d v="1899-12-30T16:00:00"/>
    <s v="-"/>
    <d v="1899-12-30T16:30:00"/>
    <n v="1032"/>
    <n v="128"/>
    <n v="0"/>
    <n v="35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6"/>
    <d v="1899-12-30T16:00:00"/>
    <d v="1899-12-30T16:30:00"/>
  </r>
  <r>
    <d v="2024-10-02T00:00:00"/>
    <n v="924"/>
    <s v="S2S No Premium"/>
    <s v="N2m_Castillo Lucian"/>
    <x v="26"/>
    <d v="1899-12-30T16:30:00"/>
    <s v="-"/>
    <d v="1899-12-30T17:00:00"/>
    <n v="1142"/>
    <n v="0"/>
    <n v="0"/>
    <n v="30"/>
    <n v="0"/>
    <n v="0"/>
    <n v="0"/>
    <n v="2"/>
    <n v="0"/>
    <n v="0"/>
    <n v="0"/>
    <n v="0"/>
    <n v="0"/>
    <n v="0"/>
    <n v="0"/>
    <n v="0"/>
    <n v="0"/>
    <n v="0"/>
    <n v="0"/>
    <n v="5"/>
    <n v="2"/>
    <x v="0"/>
    <x v="26"/>
    <d v="1899-12-30T16:30:00"/>
    <d v="1899-12-30T17:00:00"/>
  </r>
  <r>
    <d v="2024-10-02T00:00:00"/>
    <n v="924"/>
    <s v="S2S No Premium"/>
    <s v="N2m_Castillo Lucian"/>
    <x v="26"/>
    <d v="1899-12-30T15:00:00"/>
    <s v="-"/>
    <d v="1899-12-30T15:30:00"/>
    <n v="1155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26"/>
    <d v="1899-12-30T15:00:00"/>
    <d v="1899-12-30T15:30:00"/>
  </r>
  <r>
    <d v="2024-10-02T00:00:00"/>
    <n v="925"/>
    <s v="S2S Premium"/>
    <s v="P_Infante, Enzo"/>
    <x v="27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7"/>
    <d v="1899-12-30T14:30:00"/>
    <d v="1899-12-30T15:00:00"/>
  </r>
  <r>
    <d v="2024-10-02T00:00:00"/>
    <n v="925"/>
    <s v="S2S Premium"/>
    <s v="P_Infante, Enzo"/>
    <x v="27"/>
    <d v="1899-12-30T19:00:00"/>
    <s v="-"/>
    <d v="1899-12-30T19:30:00"/>
    <n v="146"/>
    <n v="23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27"/>
    <d v="1899-12-30T19:00:00"/>
    <d v="1899-12-30T19:30:00"/>
  </r>
  <r>
    <d v="2024-10-02T00:00:00"/>
    <n v="925"/>
    <s v="S2S Premium"/>
    <s v="P_Infante, Enzo"/>
    <x v="27"/>
    <d v="1899-12-30T18:00:00"/>
    <s v="-"/>
    <d v="1899-12-30T18:30:00"/>
    <n v="350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2"/>
    <n v="1"/>
    <x v="1"/>
    <x v="27"/>
    <d v="1899-12-30T18:00:00"/>
    <d v="1899-12-30T18:30:00"/>
  </r>
  <r>
    <d v="2024-10-02T00:00:00"/>
    <n v="925"/>
    <s v="S2S Premium"/>
    <s v="P_Infante, Enzo"/>
    <x v="27"/>
    <d v="1899-12-30T15:30:00"/>
    <s v="-"/>
    <d v="1899-12-30T16:00:00"/>
    <n v="49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27"/>
    <d v="1899-12-30T15:30:00"/>
    <d v="1899-12-30T16:00:00"/>
  </r>
  <r>
    <d v="2024-10-02T00:00:00"/>
    <n v="925"/>
    <s v="S2S Premium"/>
    <s v="P_Infante, Enzo"/>
    <x v="27"/>
    <d v="1899-12-30T15:00:00"/>
    <s v="-"/>
    <d v="1899-12-30T15:30:00"/>
    <n v="577"/>
    <n v="0"/>
    <n v="0"/>
    <n v="9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27"/>
    <d v="1899-12-30T15:00:00"/>
    <d v="1899-12-30T15:30:00"/>
  </r>
  <r>
    <d v="2024-10-02T00:00:00"/>
    <n v="925"/>
    <s v="S2S Premium"/>
    <s v="P_Infante, Enzo"/>
    <x v="27"/>
    <d v="1899-12-30T18:30:00"/>
    <s v="-"/>
    <d v="1899-12-30T19:00:00"/>
    <n v="683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27"/>
    <d v="1899-12-30T18:30:00"/>
    <d v="1899-12-30T19:00:00"/>
  </r>
  <r>
    <d v="2024-10-02T00:00:00"/>
    <n v="925"/>
    <s v="S2S Premium"/>
    <s v="P_Infante, Enzo"/>
    <x v="27"/>
    <d v="1899-12-30T19:30:00"/>
    <s v="-"/>
    <d v="1899-12-30T20:00:00"/>
    <n v="687"/>
    <n v="3"/>
    <n v="0"/>
    <n v="15"/>
    <n v="0"/>
    <n v="0"/>
    <n v="0"/>
    <n v="68"/>
    <n v="36"/>
    <n v="0"/>
    <n v="0"/>
    <n v="0"/>
    <n v="0"/>
    <n v="0"/>
    <n v="0"/>
    <n v="0"/>
    <n v="0"/>
    <n v="0"/>
    <n v="0"/>
    <n v="3"/>
    <n v="3"/>
    <x v="1"/>
    <x v="27"/>
    <d v="1899-12-30T19:30:00"/>
    <d v="1899-12-30T20:00:00"/>
  </r>
  <r>
    <d v="2024-10-02T00:00:00"/>
    <n v="925"/>
    <s v="S2S Premium"/>
    <s v="Pm_Sosa,Lucia"/>
    <x v="28"/>
    <d v="1899-12-30T14:30:00"/>
    <s v="-"/>
    <d v="1899-12-30T15:00:00"/>
    <n v="489"/>
    <n v="43"/>
    <n v="0"/>
    <n v="27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28"/>
    <d v="1899-12-30T14:30:00"/>
    <d v="1899-12-30T15:00:00"/>
  </r>
  <r>
    <d v="2024-10-02T00:00:00"/>
    <n v="925"/>
    <s v="S2S Premium"/>
    <s v="Pm_Sosa,Lucia"/>
    <x v="28"/>
    <d v="1899-12-30T14:00:00"/>
    <s v="-"/>
    <d v="1899-12-30T14:30:00"/>
    <n v="598"/>
    <n v="86"/>
    <n v="0"/>
    <n v="20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28"/>
    <d v="1899-12-30T14:00:00"/>
    <d v="1899-12-30T14:30:00"/>
  </r>
  <r>
    <d v="2024-10-02T00:00:00"/>
    <n v="925"/>
    <s v="S2S Premium"/>
    <s v="P_Vargas, Carol"/>
    <x v="29"/>
    <d v="1899-12-30T15:00:00"/>
    <s v="-"/>
    <d v="1899-12-30T15:30:00"/>
    <n v="27"/>
    <n v="0"/>
    <n v="0"/>
    <n v="0"/>
    <n v="0"/>
    <n v="0"/>
    <n v="0"/>
    <n v="258"/>
    <n v="0"/>
    <n v="0"/>
    <n v="0"/>
    <n v="0"/>
    <n v="0"/>
    <n v="0"/>
    <n v="0"/>
    <n v="0"/>
    <n v="0"/>
    <n v="0"/>
    <n v="0"/>
    <n v="1"/>
    <n v="1"/>
    <x v="1"/>
    <x v="29"/>
    <d v="1899-12-30T15:00:00"/>
    <d v="1899-12-30T15:30:00"/>
  </r>
  <r>
    <d v="2024-10-02T00:00:00"/>
    <n v="925"/>
    <s v="S2S Premium"/>
    <s v="P_Vargas, Carol"/>
    <x v="29"/>
    <d v="1899-12-30T14:30:00"/>
    <s v="-"/>
    <d v="1899-12-30T15:00:00"/>
    <n v="674"/>
    <n v="0"/>
    <n v="0"/>
    <n v="13"/>
    <n v="0"/>
    <n v="0"/>
    <n v="0"/>
    <n v="99"/>
    <n v="278"/>
    <n v="0"/>
    <n v="0"/>
    <n v="0"/>
    <n v="0"/>
    <n v="0"/>
    <n v="0"/>
    <n v="0"/>
    <n v="0"/>
    <n v="0"/>
    <n v="0"/>
    <n v="3"/>
    <n v="1"/>
    <x v="1"/>
    <x v="29"/>
    <d v="1899-12-30T14:30:00"/>
    <d v="1899-12-30T15:00:00"/>
  </r>
  <r>
    <d v="2024-10-02T00:00:00"/>
    <n v="925"/>
    <s v="S2S Premium"/>
    <s v="P_Vargas, Carol"/>
    <x v="29"/>
    <d v="1899-12-30T14:00:00"/>
    <s v="-"/>
    <d v="1899-12-30T14:30:00"/>
    <n v="685"/>
    <n v="0"/>
    <n v="0"/>
    <n v="19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29"/>
    <d v="1899-12-30T14:00:00"/>
    <d v="1899-12-30T14:30:00"/>
  </r>
  <r>
    <d v="2024-10-02T00:00:00"/>
    <n v="925"/>
    <s v="S2S Premium"/>
    <s v="Pm_Demarco Fidel"/>
    <x v="30"/>
    <d v="1899-12-30T14:30:00"/>
    <s v="-"/>
    <d v="1899-12-30T15:00:00"/>
    <n v="541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30"/>
    <d v="1899-12-30T14:30:00"/>
    <d v="1899-12-30T15:00:00"/>
  </r>
  <r>
    <d v="2024-10-02T00:00:00"/>
    <n v="925"/>
    <s v="S2S Premium"/>
    <s v="Pm_Demarco Fidel"/>
    <x v="30"/>
    <d v="1899-12-30T14:00:00"/>
    <s v="-"/>
    <d v="1899-12-30T14:30:00"/>
    <n v="630"/>
    <n v="0"/>
    <n v="0"/>
    <n v="16"/>
    <n v="0"/>
    <n v="0"/>
    <n v="0"/>
    <n v="170"/>
    <n v="122"/>
    <n v="0"/>
    <n v="0"/>
    <n v="0"/>
    <n v="0"/>
    <n v="0"/>
    <n v="0"/>
    <n v="0"/>
    <n v="0"/>
    <n v="0"/>
    <n v="0"/>
    <n v="4"/>
    <n v="1"/>
    <x v="1"/>
    <x v="30"/>
    <d v="1899-12-30T14:00:00"/>
    <d v="1899-12-30T14:30:00"/>
  </r>
  <r>
    <d v="2024-10-02T00:00:00"/>
    <n v="924"/>
    <s v="S2S No Premium"/>
    <s v="N2_Wetzel, Ignacio"/>
    <x v="31"/>
    <d v="1899-12-30T14:30:00"/>
    <s v="-"/>
    <d v="1899-12-30T15:00:00"/>
    <n v="596"/>
    <n v="251"/>
    <n v="0"/>
    <n v="14"/>
    <n v="0"/>
    <n v="0"/>
    <n v="0"/>
    <n v="25"/>
    <n v="0"/>
    <n v="0"/>
    <n v="0"/>
    <n v="0"/>
    <n v="0"/>
    <n v="0"/>
    <n v="0"/>
    <n v="0"/>
    <n v="0"/>
    <n v="0"/>
    <n v="0"/>
    <n v="3"/>
    <n v="2"/>
    <x v="0"/>
    <x v="31"/>
    <d v="1899-12-30T14:30:00"/>
    <d v="1899-12-30T15:00:00"/>
  </r>
  <r>
    <d v="2024-10-02T00:00:00"/>
    <n v="924"/>
    <s v="S2S No Premium"/>
    <s v="N2_Wetzel, Ignacio"/>
    <x v="31"/>
    <d v="1899-12-30T15:00:00"/>
    <s v="-"/>
    <d v="1899-12-30T15:30:00"/>
    <n v="1038"/>
    <n v="0"/>
    <n v="0"/>
    <n v="9"/>
    <n v="0"/>
    <n v="0"/>
    <n v="0"/>
    <n v="137"/>
    <n v="0"/>
    <n v="0"/>
    <n v="0"/>
    <n v="0"/>
    <n v="0"/>
    <n v="0"/>
    <n v="0"/>
    <n v="0"/>
    <n v="0"/>
    <n v="0"/>
    <n v="0"/>
    <n v="3"/>
    <n v="0"/>
    <x v="0"/>
    <x v="31"/>
    <d v="1899-12-30T15:00:00"/>
    <d v="1899-12-30T15:30:00"/>
  </r>
  <r>
    <d v="2024-10-02T00:00:00"/>
    <n v="924"/>
    <s v="S2S No Premium"/>
    <s v="N2_Wetzel, Ignacio"/>
    <x v="31"/>
    <d v="1899-12-30T14:00:00"/>
    <s v="-"/>
    <d v="1899-12-30T14:30:00"/>
    <n v="1093"/>
    <n v="0"/>
    <n v="0"/>
    <n v="12"/>
    <n v="0"/>
    <n v="0"/>
    <n v="0"/>
    <n v="95"/>
    <n v="0"/>
    <n v="0"/>
    <n v="0"/>
    <n v="0"/>
    <n v="0"/>
    <n v="0"/>
    <n v="0"/>
    <n v="0"/>
    <n v="0"/>
    <n v="0"/>
    <n v="0"/>
    <n v="3"/>
    <n v="1"/>
    <x v="0"/>
    <x v="31"/>
    <d v="1899-12-30T14:00:00"/>
    <d v="1899-12-30T14:30:00"/>
  </r>
  <r>
    <d v="2024-10-02T00:00:00"/>
    <n v="925"/>
    <s v="S2S Premium"/>
    <s v="P_Benitez, Lou"/>
    <x v="32"/>
    <d v="1899-12-30T18:00:00"/>
    <s v="-"/>
    <d v="1899-12-30T18:30:00"/>
    <n v="132"/>
    <n v="0"/>
    <n v="0"/>
    <n v="4"/>
    <n v="0"/>
    <n v="0"/>
    <n v="0"/>
    <n v="200"/>
    <n v="184"/>
    <n v="0"/>
    <n v="0"/>
    <n v="0"/>
    <n v="0"/>
    <n v="0"/>
    <n v="0"/>
    <n v="0"/>
    <n v="0"/>
    <n v="0"/>
    <n v="0"/>
    <n v="1"/>
    <n v="0"/>
    <x v="1"/>
    <x v="32"/>
    <d v="1899-12-30T18:00:00"/>
    <d v="1899-12-30T18:30:00"/>
  </r>
  <r>
    <d v="2024-10-02T00:00:00"/>
    <n v="925"/>
    <s v="S2S Premium"/>
    <s v="P_Vergara, Tamara"/>
    <x v="33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d v="1899-12-30T14:00:00"/>
    <d v="1899-12-30T14:30:00"/>
  </r>
  <r>
    <d v="2024-10-02T00:00:00"/>
    <n v="925"/>
    <s v="S2S Premium"/>
    <s v="P_Vergara, Tamara"/>
    <x v="33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d v="1899-12-30T14:30:00"/>
    <d v="1899-12-30T15:00:00"/>
  </r>
  <r>
    <d v="2024-10-02T00:00:00"/>
    <n v="925"/>
    <s v="S2S Premium"/>
    <s v="P_Olivares, Miriam"/>
    <x v="34"/>
    <d v="1899-12-30T15:30:00"/>
    <s v="-"/>
    <d v="1899-12-30T16:00:00"/>
    <n v="522"/>
    <n v="0"/>
    <n v="0"/>
    <n v="16"/>
    <n v="0"/>
    <n v="0"/>
    <n v="0"/>
    <n v="174"/>
    <n v="46"/>
    <n v="0"/>
    <n v="0"/>
    <n v="0"/>
    <n v="0"/>
    <n v="0"/>
    <n v="0"/>
    <n v="0"/>
    <n v="0"/>
    <n v="0"/>
    <n v="0"/>
    <n v="5"/>
    <n v="4"/>
    <x v="1"/>
    <x v="34"/>
    <d v="1899-12-30T15:30:00"/>
    <d v="1899-12-30T16:00:00"/>
  </r>
  <r>
    <d v="2024-10-02T00:00:00"/>
    <n v="925"/>
    <s v="S2S Premium"/>
    <s v="P_Olivares, Miriam"/>
    <x v="34"/>
    <d v="1899-12-30T18:00:00"/>
    <s v="-"/>
    <d v="1899-12-30T18:30:00"/>
    <n v="808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4"/>
    <d v="1899-12-30T18:00:00"/>
    <d v="1899-12-30T18:30:00"/>
  </r>
  <r>
    <d v="2024-10-02T00:00:00"/>
    <n v="925"/>
    <s v="S2S Premium"/>
    <s v="P_Olivares, Miriam"/>
    <x v="34"/>
    <d v="1899-12-30T18:30:00"/>
    <s v="-"/>
    <d v="1899-12-30T19:00:00"/>
    <n v="944"/>
    <n v="0"/>
    <n v="0"/>
    <n v="24"/>
    <n v="0"/>
    <n v="0"/>
    <n v="0"/>
    <n v="5"/>
    <n v="0"/>
    <n v="0"/>
    <n v="0"/>
    <n v="0"/>
    <n v="0"/>
    <n v="0"/>
    <n v="0"/>
    <n v="0"/>
    <n v="0"/>
    <n v="0"/>
    <n v="0"/>
    <n v="5"/>
    <n v="4"/>
    <x v="1"/>
    <x v="34"/>
    <d v="1899-12-30T18:30:00"/>
    <d v="1899-12-30T19:00:00"/>
  </r>
  <r>
    <d v="2024-10-02T00:00:00"/>
    <n v="925"/>
    <s v="S2S Premium"/>
    <s v="P_Olivares, Miriam"/>
    <x v="34"/>
    <d v="1899-12-30T15:00:00"/>
    <s v="-"/>
    <d v="1899-12-30T15:30:00"/>
    <n v="1043"/>
    <n v="0"/>
    <n v="0"/>
    <n v="23"/>
    <n v="0"/>
    <n v="0"/>
    <n v="0"/>
    <n v="2"/>
    <n v="84"/>
    <n v="0"/>
    <n v="0"/>
    <n v="0"/>
    <n v="0"/>
    <n v="0"/>
    <n v="0"/>
    <n v="0"/>
    <n v="0"/>
    <n v="0"/>
    <n v="0"/>
    <n v="2"/>
    <n v="2"/>
    <x v="1"/>
    <x v="34"/>
    <d v="1899-12-30T15:00:00"/>
    <d v="1899-12-30T15:30:00"/>
  </r>
  <r>
    <d v="2024-10-02T00:00:00"/>
    <n v="925"/>
    <s v="S2S Premium"/>
    <s v="P_Olivares, Miriam"/>
    <x v="34"/>
    <d v="1899-12-30T19:00:00"/>
    <s v="-"/>
    <d v="1899-12-30T19:30:00"/>
    <n v="1086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34"/>
    <d v="1899-12-30T19:00:00"/>
    <d v="1899-12-30T19:30:00"/>
  </r>
  <r>
    <d v="2024-10-02T00:00:00"/>
    <n v="925"/>
    <s v="S2S Premium"/>
    <s v="P_Olivares, Miriam"/>
    <x v="34"/>
    <d v="1899-12-30T19:30:00"/>
    <s v="-"/>
    <d v="1899-12-30T20:00:00"/>
    <n v="1090"/>
    <n v="0"/>
    <n v="0"/>
    <n v="11"/>
    <n v="0"/>
    <n v="0"/>
    <n v="0"/>
    <n v="262"/>
    <n v="202"/>
    <n v="0"/>
    <n v="0"/>
    <n v="0"/>
    <n v="0"/>
    <n v="0"/>
    <n v="0"/>
    <n v="0"/>
    <n v="0"/>
    <n v="0"/>
    <n v="0"/>
    <n v="4"/>
    <n v="4"/>
    <x v="1"/>
    <x v="34"/>
    <d v="1899-12-30T19:30:00"/>
    <d v="1899-12-30T20:00:00"/>
  </r>
  <r>
    <d v="2024-10-02T00:00:00"/>
    <n v="924"/>
    <s v="S2S No Premium"/>
    <s v="N2m_Fonfria, Valen"/>
    <x v="35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5"/>
    <d v="1899-12-30T14:00:00"/>
    <d v="1899-12-30T14:30:00"/>
  </r>
  <r>
    <d v="2024-10-02T00:00:00"/>
    <n v="924"/>
    <s v="S2S No Premium"/>
    <s v="N2m_Fonfria, Valen"/>
    <x v="35"/>
    <d v="1899-12-30T15:00:00"/>
    <s v="-"/>
    <d v="1899-12-30T15:30:0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35"/>
    <d v="1899-12-30T15:00:00"/>
    <d v="1899-12-30T15:30:00"/>
  </r>
  <r>
    <d v="2024-10-02T00:00:00"/>
    <n v="924"/>
    <s v="S2S No Premium"/>
    <s v="N2m_Fonfria, Valen"/>
    <x v="35"/>
    <d v="1899-12-30T14:30:00"/>
    <s v="-"/>
    <d v="1899-12-30T15:00:00"/>
    <n v="93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35"/>
    <d v="1899-12-30T14:30:00"/>
    <d v="1899-12-30T15:00:00"/>
  </r>
  <r>
    <d v="2024-10-02T00:00:00"/>
    <n v="924"/>
    <s v="S2S No Premium"/>
    <s v="N2_Cejas, Mayra"/>
    <x v="36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d v="1899-12-30T19:30:00"/>
    <d v="1899-12-30T20:00:00"/>
  </r>
  <r>
    <d v="2024-10-02T00:00:00"/>
    <n v="924"/>
    <s v="S2S No Premium"/>
    <s v="N2_Cejas, Mayra"/>
    <x v="36"/>
    <d v="1899-12-30T19:00:00"/>
    <s v="-"/>
    <d v="1899-12-30T19:30:00"/>
    <n v="67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36"/>
    <d v="1899-12-30T19:00:00"/>
    <d v="1899-12-30T19:30:00"/>
  </r>
  <r>
    <d v="2024-10-02T00:00:00"/>
    <n v="924"/>
    <s v="S2S No Premium"/>
    <s v="N2_Cejas, Mayra"/>
    <x v="36"/>
    <d v="1899-12-30T15:00:00"/>
    <s v="-"/>
    <d v="1899-12-30T15:30:00"/>
    <n v="728"/>
    <n v="175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36"/>
    <d v="1899-12-30T15:00:00"/>
    <d v="1899-12-30T15:30:00"/>
  </r>
  <r>
    <d v="2024-10-02T00:00:00"/>
    <n v="924"/>
    <s v="S2S No Premium"/>
    <s v="N2_Cejas, Mayra"/>
    <x v="36"/>
    <d v="1899-12-30T18:30:00"/>
    <s v="-"/>
    <d v="1899-12-30T19:00:00"/>
    <n v="1202"/>
    <n v="0"/>
    <n v="0"/>
    <n v="8"/>
    <n v="0"/>
    <n v="0"/>
    <n v="0"/>
    <n v="76"/>
    <n v="0"/>
    <n v="0"/>
    <n v="0"/>
    <n v="0"/>
    <n v="0"/>
    <n v="0"/>
    <n v="0"/>
    <n v="0"/>
    <n v="0"/>
    <n v="0"/>
    <n v="0"/>
    <n v="3"/>
    <n v="2"/>
    <x v="0"/>
    <x v="36"/>
    <d v="1899-12-30T18:30:00"/>
    <d v="1899-12-30T19:00:00"/>
  </r>
  <r>
    <d v="2024-10-02T00:00:00"/>
    <n v="924"/>
    <s v="S2S No Premium"/>
    <s v="N2_Cejas, Mayra"/>
    <x v="36"/>
    <d v="1899-12-30T18:00:00"/>
    <s v="-"/>
    <d v="1899-12-30T18:30:00"/>
    <n v="1352"/>
    <n v="55"/>
    <n v="0"/>
    <n v="23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36"/>
    <d v="1899-12-30T18:00:00"/>
    <d v="1899-12-30T18:30:00"/>
  </r>
  <r>
    <d v="2024-10-02T00:00:00"/>
    <n v="925"/>
    <s v="S2S Premium"/>
    <s v="P_Gomez, Monica"/>
    <x v="37"/>
    <d v="1899-12-30T16:00:00"/>
    <s v="-"/>
    <d v="1899-12-30T16:30:00"/>
    <n v="9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37"/>
    <d v="1899-12-30T16:00:00"/>
    <d v="1899-12-30T16:30:00"/>
  </r>
  <r>
    <d v="2024-10-02T00:00:00"/>
    <n v="925"/>
    <s v="S2S Premium"/>
    <s v="P_Gomez, Monica"/>
    <x v="37"/>
    <d v="1899-12-30T15:00:00"/>
    <s v="-"/>
    <d v="1899-12-30T15:30:00"/>
    <n v="700"/>
    <n v="0"/>
    <n v="0"/>
    <n v="14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7"/>
    <d v="1899-12-30T15:00:00"/>
    <d v="1899-12-30T15:30:00"/>
  </r>
  <r>
    <d v="2024-10-02T00:00:00"/>
    <n v="925"/>
    <s v="S2S Premium"/>
    <s v="P_Gomez, Monica"/>
    <x v="37"/>
    <d v="1899-12-30T15:30:00"/>
    <s v="-"/>
    <d v="1899-12-30T16:00:00"/>
    <n v="728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7"/>
    <d v="1899-12-30T15:30:00"/>
    <d v="1899-12-30T16:00:00"/>
  </r>
  <r>
    <d v="2024-10-02T00:00:00"/>
    <n v="925"/>
    <s v="S2S Premium"/>
    <s v="P_Gomez, Monica"/>
    <x v="37"/>
    <d v="1899-12-30T18:00:00"/>
    <s v="-"/>
    <d v="1899-12-30T18:30:00"/>
    <n v="91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37"/>
    <d v="1899-12-30T18:00:00"/>
    <d v="1899-12-30T18:30:00"/>
  </r>
  <r>
    <d v="2024-10-02T00:00:00"/>
    <n v="925"/>
    <s v="S2S Premium"/>
    <s v="P_Gomez, Monica"/>
    <x v="37"/>
    <d v="1899-12-30T19:30:00"/>
    <s v="-"/>
    <d v="1899-12-30T20:00:00"/>
    <n v="1103"/>
    <n v="0"/>
    <n v="0"/>
    <n v="12"/>
    <n v="0"/>
    <n v="0"/>
    <n v="0"/>
    <n v="287"/>
    <n v="0"/>
    <n v="0"/>
    <n v="0"/>
    <n v="0"/>
    <n v="0"/>
    <n v="0"/>
    <n v="0"/>
    <n v="0"/>
    <n v="0"/>
    <n v="0"/>
    <n v="0"/>
    <n v="4"/>
    <n v="4"/>
    <x v="1"/>
    <x v="37"/>
    <d v="1899-12-30T19:30:00"/>
    <d v="1899-12-30T20:00:00"/>
  </r>
  <r>
    <d v="2024-10-02T00:00:00"/>
    <n v="925"/>
    <s v="S2S Premium"/>
    <s v="P_Gomez, Monica"/>
    <x v="37"/>
    <d v="1899-12-30T18:30:00"/>
    <s v="-"/>
    <d v="1899-12-30T19:00:00"/>
    <n v="1174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37"/>
    <d v="1899-12-30T18:30:00"/>
    <d v="1899-12-30T19:00:00"/>
  </r>
  <r>
    <d v="2024-10-02T00:00:00"/>
    <n v="925"/>
    <s v="S2S Premium"/>
    <s v="P_Gomez, Monica"/>
    <x v="37"/>
    <d v="1899-12-30T19:00:00"/>
    <s v="-"/>
    <d v="1899-12-30T19:30:00"/>
    <n v="1400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37"/>
    <d v="1899-12-30T19:00:00"/>
    <d v="1899-12-30T19:30:00"/>
  </r>
  <r>
    <d v="2024-10-02T00:00:00"/>
    <n v="925"/>
    <s v="S2S Premium"/>
    <s v="P_Navarro, Bruno"/>
    <x v="38"/>
    <d v="1899-12-30T14:30:00"/>
    <s v="-"/>
    <d v="1899-12-30T15:00:00"/>
    <n v="551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38"/>
    <d v="1899-12-30T14:30:00"/>
    <d v="1899-12-30T15:00:00"/>
  </r>
  <r>
    <d v="2024-10-02T00:00:00"/>
    <n v="925"/>
    <s v="S2S Premium"/>
    <s v="P_Navarro, Bruno"/>
    <x v="38"/>
    <d v="1899-12-30T14:00:00"/>
    <s v="-"/>
    <d v="1899-12-30T14:30:00"/>
    <n v="758"/>
    <n v="0"/>
    <n v="0"/>
    <n v="12"/>
    <n v="0"/>
    <n v="0"/>
    <n v="0"/>
    <n v="493"/>
    <n v="0"/>
    <n v="0"/>
    <n v="0"/>
    <n v="0"/>
    <n v="0"/>
    <n v="0"/>
    <n v="0"/>
    <n v="0"/>
    <n v="0"/>
    <n v="0"/>
    <n v="0"/>
    <n v="3"/>
    <n v="3"/>
    <x v="1"/>
    <x v="38"/>
    <d v="1899-12-30T14:00:00"/>
    <d v="1899-12-30T14:30:00"/>
  </r>
  <r>
    <d v="2024-10-02T00:00:00"/>
    <n v="925"/>
    <s v="S2S Premium"/>
    <s v="P_Perez, Lourdes"/>
    <x v="39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9"/>
    <d v="1899-12-30T15:30:00"/>
    <d v="1899-12-30T16:00:00"/>
  </r>
  <r>
    <d v="2024-10-02T00:00:00"/>
    <n v="925"/>
    <s v="S2S Premium"/>
    <s v="P_Perez, Lourdes"/>
    <x v="39"/>
    <d v="1899-12-30T18:30:00"/>
    <s v="-"/>
    <d v="1899-12-30T19:00:00"/>
    <n v="600"/>
    <n v="0"/>
    <n v="0"/>
    <n v="12"/>
    <n v="0"/>
    <n v="0"/>
    <n v="0"/>
    <n v="77"/>
    <n v="54"/>
    <n v="0"/>
    <n v="0"/>
    <n v="0"/>
    <n v="0"/>
    <n v="0"/>
    <n v="0"/>
    <n v="0"/>
    <n v="0"/>
    <n v="0"/>
    <n v="0"/>
    <n v="3"/>
    <n v="3"/>
    <x v="1"/>
    <x v="39"/>
    <d v="1899-12-30T18:30:00"/>
    <d v="1899-12-30T19:00:00"/>
  </r>
  <r>
    <d v="2024-10-02T00:00:00"/>
    <n v="925"/>
    <s v="S2S Premium"/>
    <s v="P_Perez, Lourdes"/>
    <x v="39"/>
    <d v="1899-12-30T18:00:00"/>
    <s v="-"/>
    <d v="1899-12-30T18:30:00"/>
    <n v="660"/>
    <n v="70"/>
    <n v="0"/>
    <n v="25"/>
    <n v="0"/>
    <n v="0"/>
    <n v="0"/>
    <n v="117"/>
    <n v="78"/>
    <n v="0"/>
    <n v="0"/>
    <n v="0"/>
    <n v="0"/>
    <n v="0"/>
    <n v="0"/>
    <n v="0"/>
    <n v="0"/>
    <n v="0"/>
    <n v="0"/>
    <n v="6"/>
    <n v="6"/>
    <x v="1"/>
    <x v="39"/>
    <d v="1899-12-30T18:00:00"/>
    <d v="1899-12-30T18:30:00"/>
  </r>
  <r>
    <d v="2024-10-02T00:00:00"/>
    <n v="925"/>
    <s v="S2S Premium"/>
    <s v="P_Perez, Lourdes"/>
    <x v="39"/>
    <d v="1899-12-30T19:30:00"/>
    <s v="-"/>
    <d v="1899-12-30T20:00:00"/>
    <n v="760"/>
    <n v="43"/>
    <n v="0"/>
    <n v="16"/>
    <n v="0"/>
    <n v="0"/>
    <n v="0"/>
    <n v="409"/>
    <n v="240"/>
    <n v="0"/>
    <n v="0"/>
    <n v="0"/>
    <n v="0"/>
    <n v="0"/>
    <n v="0"/>
    <n v="0"/>
    <n v="0"/>
    <n v="0"/>
    <n v="0"/>
    <n v="3"/>
    <n v="3"/>
    <x v="1"/>
    <x v="39"/>
    <d v="1899-12-30T19:30:00"/>
    <d v="1899-12-30T20:00:00"/>
  </r>
  <r>
    <d v="2024-10-02T00:00:00"/>
    <n v="925"/>
    <s v="S2S Premium"/>
    <s v="P_Perez, Lourdes"/>
    <x v="39"/>
    <d v="1899-12-30T17:00:00"/>
    <s v="-"/>
    <d v="1899-12-30T17:30:00"/>
    <n v="825"/>
    <n v="0"/>
    <n v="0"/>
    <n v="20"/>
    <n v="0"/>
    <n v="0"/>
    <n v="0"/>
    <n v="123"/>
    <n v="115"/>
    <n v="0"/>
    <n v="0"/>
    <n v="0"/>
    <n v="0"/>
    <n v="0"/>
    <n v="0"/>
    <n v="0"/>
    <n v="0"/>
    <n v="0"/>
    <n v="0"/>
    <n v="6"/>
    <n v="4"/>
    <x v="1"/>
    <x v="39"/>
    <d v="1899-12-30T17:00:00"/>
    <d v="1899-12-30T17:30:00"/>
  </r>
  <r>
    <d v="2024-10-02T00:00:00"/>
    <n v="925"/>
    <s v="S2S Premium"/>
    <s v="P_Perez, Lourdes"/>
    <x v="39"/>
    <d v="1899-12-30T16:00:00"/>
    <s v="-"/>
    <d v="1899-12-30T16:30:00"/>
    <n v="1035"/>
    <n v="0"/>
    <n v="0"/>
    <n v="14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9"/>
    <d v="1899-12-30T16:00:00"/>
    <d v="1899-12-30T16:30:00"/>
  </r>
  <r>
    <d v="2024-10-02T00:00:00"/>
    <n v="925"/>
    <s v="S2S Premium"/>
    <s v="P_Perez, Lourdes"/>
    <x v="39"/>
    <d v="1899-12-30T19:00:00"/>
    <s v="-"/>
    <d v="1899-12-30T19:30:00"/>
    <n v="1099"/>
    <n v="0"/>
    <n v="0"/>
    <n v="24"/>
    <n v="0"/>
    <n v="0"/>
    <n v="0"/>
    <n v="8"/>
    <n v="0"/>
    <n v="0"/>
    <n v="0"/>
    <n v="0"/>
    <n v="0"/>
    <n v="0"/>
    <n v="0"/>
    <n v="0"/>
    <n v="0"/>
    <n v="0"/>
    <n v="0"/>
    <n v="7"/>
    <n v="7"/>
    <x v="1"/>
    <x v="39"/>
    <d v="1899-12-30T19:00:00"/>
    <d v="1899-12-30T19:30:00"/>
  </r>
  <r>
    <d v="2024-10-02T00:00:00"/>
    <n v="925"/>
    <s v="S2S Premium"/>
    <s v="P_Perez, Lourdes"/>
    <x v="39"/>
    <d v="1899-12-30T16:30:00"/>
    <s v="-"/>
    <d v="1899-12-30T17:00:00"/>
    <n v="1269"/>
    <n v="84"/>
    <n v="0"/>
    <n v="17"/>
    <n v="0"/>
    <n v="0"/>
    <n v="0"/>
    <n v="52"/>
    <n v="0"/>
    <n v="0"/>
    <n v="0"/>
    <n v="0"/>
    <n v="0"/>
    <n v="0"/>
    <n v="0"/>
    <n v="0"/>
    <n v="0"/>
    <n v="0"/>
    <n v="0"/>
    <n v="3"/>
    <n v="2"/>
    <x v="1"/>
    <x v="39"/>
    <d v="1899-12-30T16:30:00"/>
    <d v="1899-12-30T17:00:00"/>
  </r>
  <r>
    <d v="2024-10-02T00:00:00"/>
    <n v="925"/>
    <s v="S2S Premium"/>
    <s v="P_Perez, Lourdes"/>
    <x v="39"/>
    <d v="1899-12-30T17:30:00"/>
    <s v="-"/>
    <d v="1899-12-30T18:00:00"/>
    <n v="1356"/>
    <n v="266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39"/>
    <d v="1899-12-30T17:30:00"/>
    <d v="1899-12-30T18:00:00"/>
  </r>
  <r>
    <d v="2024-10-02T00:00:00"/>
    <n v="925"/>
    <s v="S2S Premium"/>
    <s v="Pm_Menguez, Luka"/>
    <x v="40"/>
    <d v="1899-12-30T17:00:00"/>
    <s v="-"/>
    <d v="1899-12-30T17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0"/>
    <d v="1899-12-30T17:00:00"/>
    <d v="1899-12-30T17:30:00"/>
  </r>
  <r>
    <d v="2024-10-02T00:00:00"/>
    <n v="925"/>
    <s v="S2S Premium"/>
    <s v="Pm_Menguez, Luka"/>
    <x v="40"/>
    <d v="1899-12-30T16:00:00"/>
    <s v="-"/>
    <d v="1899-12-30T16:30:00"/>
    <n v="133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0"/>
    <d v="1899-12-30T16:00:00"/>
    <d v="1899-12-30T16:30:00"/>
  </r>
  <r>
    <d v="2024-10-02T00:00:00"/>
    <n v="925"/>
    <s v="S2S Premium"/>
    <s v="Pm_Menguez, Luka"/>
    <x v="40"/>
    <d v="1899-12-30T15:30:00"/>
    <s v="-"/>
    <d v="1899-12-30T16:00:00"/>
    <n v="275"/>
    <n v="0"/>
    <n v="0"/>
    <n v="0"/>
    <n v="0"/>
    <n v="0"/>
    <n v="0"/>
    <n v="84"/>
    <n v="0"/>
    <n v="0"/>
    <n v="0"/>
    <n v="0"/>
    <n v="0"/>
    <n v="0"/>
    <n v="0"/>
    <n v="0"/>
    <n v="0"/>
    <n v="0"/>
    <n v="0"/>
    <n v="1"/>
    <n v="1"/>
    <x v="1"/>
    <x v="40"/>
    <d v="1899-12-30T15:30:00"/>
    <d v="1899-12-30T16:00:00"/>
  </r>
  <r>
    <d v="2024-10-02T00:00:00"/>
    <n v="925"/>
    <s v="S2S Premium"/>
    <s v="Pm_Menguez, Luka"/>
    <x v="40"/>
    <d v="1899-12-30T14:30:00"/>
    <s v="-"/>
    <d v="1899-12-30T15:00:00"/>
    <n v="380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40"/>
    <d v="1899-12-30T14:30:00"/>
    <d v="1899-12-30T15:00:00"/>
  </r>
  <r>
    <d v="2024-10-02T00:00:00"/>
    <n v="925"/>
    <s v="S2S Premium"/>
    <s v="Pm_Menguez, Luka"/>
    <x v="40"/>
    <d v="1899-12-30T16:30:00"/>
    <s v="-"/>
    <d v="1899-12-30T17:00:00"/>
    <n v="398"/>
    <n v="0"/>
    <n v="0"/>
    <n v="12"/>
    <n v="0"/>
    <n v="0"/>
    <n v="0"/>
    <n v="49"/>
    <n v="44"/>
    <n v="0"/>
    <n v="0"/>
    <n v="0"/>
    <n v="0"/>
    <n v="0"/>
    <n v="0"/>
    <n v="0"/>
    <n v="0"/>
    <n v="0"/>
    <n v="0"/>
    <n v="3"/>
    <n v="3"/>
    <x v="1"/>
    <x v="40"/>
    <d v="1899-12-30T16:30:00"/>
    <d v="1899-12-30T17:00:00"/>
  </r>
  <r>
    <d v="2024-10-02T00:00:00"/>
    <n v="925"/>
    <s v="S2S Premium"/>
    <s v="Pm_Menguez, Luka"/>
    <x v="40"/>
    <d v="1899-12-30T14:00:00"/>
    <s v="-"/>
    <d v="1899-12-30T14:30:00"/>
    <n v="414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40"/>
    <d v="1899-12-30T14:00:00"/>
    <d v="1899-12-30T14:30:00"/>
  </r>
  <r>
    <d v="2024-10-02T00:00:00"/>
    <n v="925"/>
    <s v="S2S Premium"/>
    <s v="Pm_Menguez, Luka"/>
    <x v="40"/>
    <d v="1899-12-30T15:00:00"/>
    <s v="-"/>
    <d v="1899-12-30T15:30:00"/>
    <n v="597"/>
    <n v="0"/>
    <n v="0"/>
    <n v="13"/>
    <n v="0"/>
    <n v="0"/>
    <n v="0"/>
    <n v="212"/>
    <n v="0"/>
    <n v="0"/>
    <n v="0"/>
    <n v="0"/>
    <n v="0"/>
    <n v="0"/>
    <n v="0"/>
    <n v="0"/>
    <n v="0"/>
    <n v="0"/>
    <n v="0"/>
    <n v="2"/>
    <n v="2"/>
    <x v="1"/>
    <x v="40"/>
    <d v="1899-12-30T15:00:00"/>
    <d v="1899-12-30T15:30:00"/>
  </r>
  <r>
    <d v="2024-10-02T00:00:00"/>
    <n v="925"/>
    <s v="S2S Premium"/>
    <s v="Pm_Maraz, Ayelen"/>
    <x v="41"/>
    <d v="1899-12-30T14:30:00"/>
    <s v="-"/>
    <d v="1899-12-30T15:00:00"/>
    <n v="460"/>
    <n v="256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41"/>
    <d v="1899-12-30T14:30:00"/>
    <d v="1899-12-30T15:00:00"/>
  </r>
  <r>
    <d v="2024-10-02T00:00:00"/>
    <n v="925"/>
    <s v="S2S Premium"/>
    <s v="Pm_Maraz, Ayelen"/>
    <x v="41"/>
    <d v="1899-12-30T14:00:00"/>
    <s v="-"/>
    <d v="1899-12-30T14:30:00"/>
    <n v="1075"/>
    <n v="0"/>
    <n v="0"/>
    <n v="13"/>
    <n v="0"/>
    <n v="0"/>
    <n v="0"/>
    <n v="89"/>
    <n v="0"/>
    <n v="0"/>
    <n v="0"/>
    <n v="0"/>
    <n v="0"/>
    <n v="0"/>
    <n v="0"/>
    <n v="0"/>
    <n v="0"/>
    <n v="0"/>
    <n v="0"/>
    <n v="2"/>
    <n v="1"/>
    <x v="1"/>
    <x v="41"/>
    <d v="1899-12-30T14:00:00"/>
    <d v="1899-12-30T14:30:00"/>
  </r>
  <r>
    <d v="2024-10-02T00:00:00"/>
    <n v="924"/>
    <s v="S2S No Premium"/>
    <s v="N2_Canteros,Johanna"/>
    <x v="42"/>
    <d v="1899-12-30T15:30:00"/>
    <s v="-"/>
    <d v="1899-12-30T16:00:00"/>
    <n v="76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d v="1899-12-30T15:30:00"/>
    <d v="1899-12-30T16:00:00"/>
  </r>
  <r>
    <d v="2024-10-02T00:00:00"/>
    <n v="924"/>
    <s v="S2S No Premium"/>
    <s v="N2_Canteros,Johanna"/>
    <x v="42"/>
    <d v="1899-12-30T19:30:00"/>
    <s v="-"/>
    <d v="1899-12-30T20:00:00"/>
    <n v="659"/>
    <n v="0"/>
    <n v="0"/>
    <n v="22"/>
    <n v="0"/>
    <n v="0"/>
    <n v="0"/>
    <n v="1"/>
    <n v="114"/>
    <n v="0"/>
    <n v="0"/>
    <n v="0"/>
    <n v="0"/>
    <n v="0"/>
    <n v="0"/>
    <n v="0"/>
    <n v="0"/>
    <n v="0"/>
    <n v="0"/>
    <n v="1"/>
    <n v="1"/>
    <x v="0"/>
    <x v="42"/>
    <d v="1899-12-30T19:30:00"/>
    <d v="1899-12-30T20:00:00"/>
  </r>
  <r>
    <d v="2024-10-02T00:00:00"/>
    <n v="924"/>
    <s v="S2S No Premium"/>
    <s v="N2_Canteros,Johanna"/>
    <x v="42"/>
    <d v="1899-12-30T19:00:00"/>
    <s v="-"/>
    <d v="1899-12-30T19:30:00"/>
    <n v="775"/>
    <n v="0"/>
    <n v="0"/>
    <n v="41"/>
    <n v="0"/>
    <n v="0"/>
    <n v="0"/>
    <n v="5"/>
    <n v="0"/>
    <n v="0"/>
    <n v="0"/>
    <n v="0"/>
    <n v="0"/>
    <n v="0"/>
    <n v="0"/>
    <n v="0"/>
    <n v="0"/>
    <n v="0"/>
    <n v="0"/>
    <n v="4"/>
    <n v="4"/>
    <x v="0"/>
    <x v="42"/>
    <d v="1899-12-30T19:00:00"/>
    <d v="1899-12-30T19:30:00"/>
  </r>
  <r>
    <d v="2024-10-02T00:00:00"/>
    <n v="924"/>
    <s v="S2S No Premium"/>
    <s v="N2_Canteros,Johanna"/>
    <x v="42"/>
    <d v="1899-12-30T18:30:00"/>
    <s v="-"/>
    <d v="1899-12-30T19:00:00"/>
    <n v="834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42"/>
    <d v="1899-12-30T18:30:00"/>
    <d v="1899-12-30T19:00:00"/>
  </r>
  <r>
    <d v="2024-10-02T00:00:00"/>
    <n v="924"/>
    <s v="S2S No Premium"/>
    <s v="N2_Canteros,Johanna"/>
    <x v="42"/>
    <d v="1899-12-30T16:00:00"/>
    <s v="-"/>
    <d v="1899-12-30T16:30:00"/>
    <n v="1301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42"/>
    <d v="1899-12-30T16:00:00"/>
    <d v="1899-12-30T16:30:00"/>
  </r>
  <r>
    <d v="2024-10-02T00:00:00"/>
    <n v="924"/>
    <s v="S2S No Premium"/>
    <s v="N2_Canteros,Johanna"/>
    <x v="42"/>
    <d v="1899-12-30T17:30:00"/>
    <s v="-"/>
    <d v="1899-12-30T18:00:00"/>
    <n v="1419"/>
    <n v="0"/>
    <n v="0"/>
    <n v="20"/>
    <n v="0"/>
    <n v="0"/>
    <n v="0"/>
    <n v="78"/>
    <n v="0"/>
    <n v="0"/>
    <n v="0"/>
    <n v="0"/>
    <n v="0"/>
    <n v="0"/>
    <n v="0"/>
    <n v="0"/>
    <n v="0"/>
    <n v="0"/>
    <n v="0"/>
    <n v="5"/>
    <n v="4"/>
    <x v="0"/>
    <x v="42"/>
    <d v="1899-12-30T17:30:00"/>
    <d v="1899-12-30T18:00:00"/>
  </r>
  <r>
    <d v="2024-10-02T00:00:00"/>
    <n v="924"/>
    <s v="S2S No Premium"/>
    <s v="N2_Canteros,Johanna"/>
    <x v="42"/>
    <d v="1899-12-30T16:30:00"/>
    <s v="-"/>
    <d v="1899-12-30T17:00:00"/>
    <n v="1421"/>
    <n v="0"/>
    <n v="0"/>
    <n v="21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42"/>
    <d v="1899-12-30T16:30:00"/>
    <d v="1899-12-30T17:00:00"/>
  </r>
  <r>
    <d v="2024-10-02T00:00:00"/>
    <n v="924"/>
    <s v="S2S No Premium"/>
    <s v="N2_Canteros,Johanna"/>
    <x v="42"/>
    <d v="1899-12-30T17:00:00"/>
    <s v="-"/>
    <d v="1899-12-30T17:30:00"/>
    <n v="1452"/>
    <n v="0"/>
    <n v="0"/>
    <n v="13"/>
    <n v="0"/>
    <n v="0"/>
    <n v="0"/>
    <n v="47"/>
    <n v="0"/>
    <n v="0"/>
    <n v="0"/>
    <n v="0"/>
    <n v="0"/>
    <n v="0"/>
    <n v="0"/>
    <n v="0"/>
    <n v="0"/>
    <n v="0"/>
    <n v="0"/>
    <n v="3"/>
    <n v="3"/>
    <x v="0"/>
    <x v="42"/>
    <d v="1899-12-30T17:00:00"/>
    <d v="1899-12-30T17:30:00"/>
  </r>
  <r>
    <d v="2024-10-02T00:00:00"/>
    <n v="924"/>
    <s v="S2S No Premium"/>
    <s v="N2_Canteros,Johanna"/>
    <x v="42"/>
    <d v="1899-12-30T18:00:00"/>
    <s v="-"/>
    <d v="1899-12-30T18:30:00"/>
    <n v="1552"/>
    <n v="0"/>
    <n v="0"/>
    <n v="23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42"/>
    <d v="1899-12-30T18:00:00"/>
    <d v="1899-12-30T18:30:00"/>
  </r>
  <r>
    <d v="2024-10-02T00:00:00"/>
    <n v="924"/>
    <s v="S2S No Premium"/>
    <s v="N2m_Gomez, Bruno"/>
    <x v="43"/>
    <d v="1899-12-30T15:00:00"/>
    <s v="-"/>
    <d v="1899-12-30T15:30:00"/>
    <n v="377"/>
    <n v="0"/>
    <n v="0"/>
    <n v="17"/>
    <n v="0"/>
    <n v="0"/>
    <n v="0"/>
    <n v="93"/>
    <n v="0"/>
    <n v="0"/>
    <n v="0"/>
    <n v="0"/>
    <n v="0"/>
    <n v="0"/>
    <n v="0"/>
    <n v="0"/>
    <n v="0"/>
    <n v="0"/>
    <n v="0"/>
    <n v="3"/>
    <n v="3"/>
    <x v="0"/>
    <x v="43"/>
    <d v="1899-12-30T15:00:00"/>
    <d v="1899-12-30T15:30:00"/>
  </r>
  <r>
    <d v="2024-10-02T00:00:00"/>
    <n v="925"/>
    <s v="S2S Premium"/>
    <s v="P_Maiz, Camila"/>
    <x v="44"/>
    <d v="1899-12-30T15:30:00"/>
    <s v="-"/>
    <d v="1899-12-30T16:00:00"/>
    <n v="83"/>
    <n v="9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4"/>
    <d v="1899-12-30T15:30:00"/>
    <d v="1899-12-30T16:00:00"/>
  </r>
  <r>
    <d v="2024-10-02T00:00:00"/>
    <n v="925"/>
    <s v="S2S Premium"/>
    <s v="P_Maiz, Camila"/>
    <x v="44"/>
    <d v="1899-12-30T18:00:00"/>
    <s v="-"/>
    <d v="1899-12-30T18:30:00"/>
    <n v="219"/>
    <n v="46"/>
    <n v="0"/>
    <n v="8"/>
    <n v="0"/>
    <n v="0"/>
    <n v="0"/>
    <n v="143"/>
    <n v="52"/>
    <n v="0"/>
    <n v="0"/>
    <n v="0"/>
    <n v="0"/>
    <n v="0"/>
    <n v="0"/>
    <n v="0"/>
    <n v="0"/>
    <n v="0"/>
    <n v="0"/>
    <n v="2"/>
    <n v="2"/>
    <x v="1"/>
    <x v="44"/>
    <d v="1899-12-30T18:00:00"/>
    <d v="1899-12-30T18:30:00"/>
  </r>
  <r>
    <d v="2024-10-02T00:00:00"/>
    <n v="925"/>
    <s v="S2S Premium"/>
    <s v="P_Maiz, Camila"/>
    <x v="44"/>
    <d v="1899-12-30T19:30:00"/>
    <s v="-"/>
    <d v="1899-12-30T20:00:00"/>
    <n v="335"/>
    <n v="63"/>
    <n v="0"/>
    <n v="16"/>
    <n v="0"/>
    <n v="0"/>
    <n v="0"/>
    <n v="268"/>
    <n v="177"/>
    <n v="0"/>
    <n v="0"/>
    <n v="0"/>
    <n v="0"/>
    <n v="0"/>
    <n v="0"/>
    <n v="0"/>
    <n v="0"/>
    <n v="0"/>
    <n v="0"/>
    <n v="4"/>
    <n v="2"/>
    <x v="1"/>
    <x v="44"/>
    <d v="1899-12-30T19:30:00"/>
    <d v="1899-12-30T20:00:00"/>
  </r>
  <r>
    <d v="2024-10-02T00:00:00"/>
    <n v="925"/>
    <s v="S2S Premium"/>
    <s v="P_Maiz, Camila"/>
    <x v="44"/>
    <d v="1899-12-30T15:00:00"/>
    <s v="-"/>
    <d v="1899-12-30T15:30:00"/>
    <n v="446"/>
    <n v="123"/>
    <n v="0"/>
    <n v="8"/>
    <n v="0"/>
    <n v="0"/>
    <n v="0"/>
    <n v="121"/>
    <n v="0"/>
    <n v="0"/>
    <n v="0"/>
    <n v="0"/>
    <n v="0"/>
    <n v="0"/>
    <n v="0"/>
    <n v="0"/>
    <n v="0"/>
    <n v="0"/>
    <n v="0"/>
    <n v="2"/>
    <n v="1"/>
    <x v="1"/>
    <x v="44"/>
    <d v="1899-12-30T15:00:00"/>
    <d v="1899-12-30T15:30:00"/>
  </r>
  <r>
    <d v="2024-10-02T00:00:00"/>
    <n v="925"/>
    <s v="S2S Premium"/>
    <s v="P_Maiz, Camila"/>
    <x v="44"/>
    <d v="1899-12-30T18:30:00"/>
    <s v="-"/>
    <d v="1899-12-30T19:00:00"/>
    <n v="651"/>
    <n v="23"/>
    <n v="0"/>
    <n v="20"/>
    <n v="0"/>
    <n v="0"/>
    <n v="0"/>
    <n v="135"/>
    <n v="1"/>
    <n v="0"/>
    <n v="0"/>
    <n v="0"/>
    <n v="0"/>
    <n v="0"/>
    <n v="0"/>
    <n v="0"/>
    <n v="0"/>
    <n v="0"/>
    <n v="0"/>
    <n v="4"/>
    <n v="3"/>
    <x v="1"/>
    <x v="44"/>
    <d v="1899-12-30T18:30:00"/>
    <d v="1899-12-30T19:00:00"/>
  </r>
  <r>
    <d v="2024-10-02T00:00:00"/>
    <n v="925"/>
    <s v="S2S Premium"/>
    <s v="P_Maiz, Camila"/>
    <x v="44"/>
    <d v="1899-12-30T19:00:00"/>
    <s v="-"/>
    <d v="1899-12-30T19:30:00"/>
    <n v="771"/>
    <n v="202"/>
    <n v="0"/>
    <n v="24"/>
    <n v="0"/>
    <n v="0"/>
    <n v="0"/>
    <n v="60"/>
    <n v="1"/>
    <n v="0"/>
    <n v="0"/>
    <n v="0"/>
    <n v="0"/>
    <n v="0"/>
    <n v="0"/>
    <n v="0"/>
    <n v="0"/>
    <n v="0"/>
    <n v="0"/>
    <n v="7"/>
    <n v="3"/>
    <x v="1"/>
    <x v="44"/>
    <d v="1899-12-30T19:00:00"/>
    <d v="1899-12-30T19:30:00"/>
  </r>
  <r>
    <d v="2024-10-02T00:00:00"/>
    <n v="924"/>
    <s v="S2S No Premium"/>
    <s v="N2m_Narbona Susan"/>
    <x v="45"/>
    <d v="1899-12-30T15:00:00"/>
    <s v="-"/>
    <d v="1899-12-30T15:30:00"/>
    <n v="3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45"/>
    <d v="1899-12-30T15:00:00"/>
    <d v="1899-12-30T15:30:00"/>
  </r>
  <r>
    <d v="2024-10-02T00:00:00"/>
    <n v="924"/>
    <s v="S2S No Premium"/>
    <s v="N2m_Narbona Susan"/>
    <x v="45"/>
    <d v="1899-12-30T15:30:00"/>
    <s v="-"/>
    <d v="1899-12-30T16:00:00"/>
    <n v="116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45"/>
    <d v="1899-12-30T15:30:00"/>
    <d v="1899-12-30T16:00:00"/>
  </r>
  <r>
    <d v="2024-10-02T00:00:00"/>
    <n v="924"/>
    <s v="S2S No Premium"/>
    <s v="N2m_Narbona Susan"/>
    <x v="45"/>
    <d v="1899-12-30T16:30:00"/>
    <s v="-"/>
    <d v="1899-12-30T17:00:00"/>
    <n v="1236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6"/>
    <n v="3"/>
    <x v="0"/>
    <x v="45"/>
    <d v="1899-12-30T16:30:00"/>
    <d v="1899-12-30T17:00:00"/>
  </r>
  <r>
    <d v="2024-10-02T00:00:00"/>
    <n v="924"/>
    <s v="S2S No Premium"/>
    <s v="N2m_Narbona Susan"/>
    <x v="45"/>
    <d v="1899-12-30T14:30:00"/>
    <s v="-"/>
    <d v="1899-12-30T15:00:00"/>
    <n v="1267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45"/>
    <d v="1899-12-30T14:30:00"/>
    <d v="1899-12-30T15:00:00"/>
  </r>
  <r>
    <d v="2024-10-02T00:00:00"/>
    <n v="924"/>
    <s v="S2S No Premium"/>
    <s v="N2m_Narbona Susan"/>
    <x v="45"/>
    <d v="1899-12-30T14:00:00"/>
    <s v="-"/>
    <d v="1899-12-30T14:30:00"/>
    <n v="1267"/>
    <n v="72"/>
    <n v="0"/>
    <n v="13"/>
    <n v="0"/>
    <n v="0"/>
    <n v="0"/>
    <n v="1"/>
    <n v="1"/>
    <n v="0"/>
    <n v="0"/>
    <n v="0"/>
    <n v="0"/>
    <n v="0"/>
    <n v="0"/>
    <n v="0"/>
    <n v="0"/>
    <n v="0"/>
    <n v="0"/>
    <n v="3"/>
    <n v="1"/>
    <x v="0"/>
    <x v="45"/>
    <d v="1899-12-30T14:00:00"/>
    <d v="1899-12-30T14:30:00"/>
  </r>
  <r>
    <d v="2024-10-02T00:00:00"/>
    <n v="924"/>
    <s v="S2S No Premium"/>
    <s v="N2m_Narbona Susan"/>
    <x v="45"/>
    <d v="1899-12-30T16:00:00"/>
    <s v="-"/>
    <d v="1899-12-30T16:30:00"/>
    <n v="1417"/>
    <n v="0"/>
    <n v="0"/>
    <n v="17"/>
    <n v="0"/>
    <n v="0"/>
    <n v="0"/>
    <n v="67"/>
    <n v="61"/>
    <n v="0"/>
    <n v="0"/>
    <n v="0"/>
    <n v="0"/>
    <n v="0"/>
    <n v="0"/>
    <n v="0"/>
    <n v="0"/>
    <n v="0"/>
    <n v="0"/>
    <n v="4"/>
    <n v="3"/>
    <x v="0"/>
    <x v="45"/>
    <d v="1899-12-30T16:00:00"/>
    <d v="1899-12-30T16:30:00"/>
  </r>
  <r>
    <d v="2024-10-02T00:00:00"/>
    <n v="924"/>
    <s v="S2S No Premium"/>
    <s v="N2_Torres Luna"/>
    <x v="46"/>
    <d v="1899-12-30T14:30:00"/>
    <s v="-"/>
    <d v="1899-12-30T15:00:00"/>
    <n v="88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0"/>
    <x v="0"/>
    <x v="46"/>
    <d v="1899-12-30T14:30:00"/>
    <d v="1899-12-30T15:00:00"/>
  </r>
  <r>
    <d v="2024-10-02T00:00:00"/>
    <n v="924"/>
    <s v="S2S No Premium"/>
    <s v="N2_Torres Luna"/>
    <x v="46"/>
    <d v="1899-12-30T14:00:00"/>
    <s v="-"/>
    <d v="1899-12-30T14:30:00"/>
    <n v="413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46"/>
    <d v="1899-12-30T14:00:00"/>
    <d v="1899-12-30T14:30:00"/>
  </r>
  <r>
    <d v="2024-10-02T00:00:00"/>
    <n v="924"/>
    <s v="S2S No Premium"/>
    <s v="N2m_Duro, Candela"/>
    <x v="47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7"/>
    <d v="1899-12-30T19:00:00"/>
    <d v="1899-12-30T19:30:00"/>
  </r>
  <r>
    <d v="2024-10-02T00:00:00"/>
    <n v="924"/>
    <s v="S2S No Premium"/>
    <s v="N2m_Duro, Candela"/>
    <x v="47"/>
    <d v="1899-12-30T18:30:00"/>
    <s v="-"/>
    <d v="1899-12-30T19:00:00"/>
    <n v="32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47"/>
    <d v="1899-12-30T18:30:00"/>
    <d v="1899-12-30T19:00:00"/>
  </r>
  <r>
    <d v="2024-10-02T00:00:00"/>
    <n v="924"/>
    <s v="S2S No Premium"/>
    <s v="N2m_Duro, Candela"/>
    <x v="47"/>
    <d v="1899-12-30T17:30:00"/>
    <s v="-"/>
    <d v="1899-12-30T18:00:00"/>
    <n v="478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5"/>
    <n v="4"/>
    <x v="0"/>
    <x v="47"/>
    <d v="1899-12-30T17:30:00"/>
    <d v="1899-12-30T18:00:00"/>
  </r>
  <r>
    <d v="2024-10-02T00:00:00"/>
    <n v="924"/>
    <s v="S2S No Premium"/>
    <s v="N2m_Duro, Candela"/>
    <x v="47"/>
    <d v="1899-12-30T19:30:00"/>
    <s v="-"/>
    <d v="1899-12-30T20:00:00"/>
    <n v="515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47"/>
    <d v="1899-12-30T19:30:00"/>
    <d v="1899-12-30T20:00:00"/>
  </r>
  <r>
    <d v="2024-10-02T00:00:00"/>
    <n v="924"/>
    <s v="S2S No Premium"/>
    <s v="N2m_Duro, Candela"/>
    <x v="47"/>
    <d v="1899-12-30T15:00:00"/>
    <s v="-"/>
    <d v="1899-12-30T15:30:00"/>
    <n v="601"/>
    <n v="0"/>
    <n v="0"/>
    <n v="21"/>
    <n v="0"/>
    <n v="0"/>
    <n v="0"/>
    <n v="136"/>
    <n v="130"/>
    <n v="0"/>
    <n v="0"/>
    <n v="0"/>
    <n v="0"/>
    <n v="0"/>
    <n v="0"/>
    <n v="0"/>
    <n v="0"/>
    <n v="0"/>
    <n v="0"/>
    <n v="4"/>
    <n v="3"/>
    <x v="0"/>
    <x v="47"/>
    <d v="1899-12-30T15:00:00"/>
    <d v="1899-12-30T15:30:00"/>
  </r>
  <r>
    <d v="2024-10-02T00:00:00"/>
    <n v="924"/>
    <s v="S2S No Premium"/>
    <s v="N2m_Duro, Candela"/>
    <x v="47"/>
    <d v="1899-12-30T17:00:00"/>
    <s v="-"/>
    <d v="1899-12-30T17:30:00"/>
    <n v="779"/>
    <n v="0"/>
    <n v="0"/>
    <n v="26"/>
    <n v="0"/>
    <n v="0"/>
    <n v="0"/>
    <n v="5"/>
    <n v="0"/>
    <n v="0"/>
    <n v="0"/>
    <n v="0"/>
    <n v="0"/>
    <n v="0"/>
    <n v="0"/>
    <n v="0"/>
    <n v="0"/>
    <n v="0"/>
    <n v="0"/>
    <n v="6"/>
    <n v="5"/>
    <x v="0"/>
    <x v="47"/>
    <d v="1899-12-30T17:00:00"/>
    <d v="1899-12-30T17:30:00"/>
  </r>
  <r>
    <d v="2024-10-02T00:00:00"/>
    <n v="924"/>
    <s v="S2S No Premium"/>
    <s v="N2m_Duro, Candela"/>
    <x v="47"/>
    <d v="1899-12-30T15:30:00"/>
    <s v="-"/>
    <d v="1899-12-30T16:00:00"/>
    <n v="860"/>
    <n v="0"/>
    <n v="0"/>
    <n v="25"/>
    <n v="0"/>
    <n v="0"/>
    <n v="0"/>
    <n v="3"/>
    <n v="0"/>
    <n v="0"/>
    <n v="0"/>
    <n v="0"/>
    <n v="0"/>
    <n v="0"/>
    <n v="0"/>
    <n v="0"/>
    <n v="0"/>
    <n v="0"/>
    <n v="0"/>
    <n v="5"/>
    <n v="3"/>
    <x v="0"/>
    <x v="47"/>
    <d v="1899-12-30T15:30:00"/>
    <d v="1899-12-30T16:00:00"/>
  </r>
  <r>
    <d v="2024-10-02T00:00:00"/>
    <n v="924"/>
    <s v="S2S No Premium"/>
    <s v="N2m_Duro, Candela"/>
    <x v="47"/>
    <d v="1899-12-30T16:30:00"/>
    <s v="-"/>
    <d v="1899-12-30T17:00:00"/>
    <n v="1083"/>
    <n v="0"/>
    <n v="0"/>
    <n v="32"/>
    <n v="0"/>
    <n v="0"/>
    <n v="0"/>
    <n v="7"/>
    <n v="0"/>
    <n v="0"/>
    <n v="0"/>
    <n v="0"/>
    <n v="0"/>
    <n v="0"/>
    <n v="0"/>
    <n v="0"/>
    <n v="0"/>
    <n v="0"/>
    <n v="0"/>
    <n v="8"/>
    <n v="7"/>
    <x v="0"/>
    <x v="47"/>
    <d v="1899-12-30T16:30:00"/>
    <d v="1899-12-30T17:00:00"/>
  </r>
  <r>
    <d v="2024-10-02T00:00:00"/>
    <n v="924"/>
    <s v="S2S No Premium"/>
    <s v="N2m_Duro, Candela"/>
    <x v="47"/>
    <d v="1899-12-30T16:00:00"/>
    <s v="-"/>
    <d v="1899-12-30T16:30:00"/>
    <n v="1176"/>
    <n v="0"/>
    <n v="0"/>
    <n v="20"/>
    <n v="0"/>
    <n v="0"/>
    <n v="0"/>
    <n v="101"/>
    <n v="89"/>
    <n v="0"/>
    <n v="0"/>
    <n v="0"/>
    <n v="0"/>
    <n v="0"/>
    <n v="0"/>
    <n v="0"/>
    <n v="0"/>
    <n v="0"/>
    <n v="0"/>
    <n v="5"/>
    <n v="3"/>
    <x v="0"/>
    <x v="47"/>
    <d v="1899-12-30T16:00:00"/>
    <d v="1899-12-30T16:30:00"/>
  </r>
  <r>
    <d v="2024-10-02T00:00:00"/>
    <n v="924"/>
    <s v="S2S No Premium"/>
    <s v="N2m_Duro, Candela"/>
    <x v="47"/>
    <d v="1899-12-30T18:00:00"/>
    <s v="-"/>
    <d v="1899-12-30T18:30:00"/>
    <n v="1614"/>
    <n v="0"/>
    <n v="0"/>
    <n v="29"/>
    <n v="0"/>
    <n v="0"/>
    <n v="0"/>
    <n v="6"/>
    <n v="0"/>
    <n v="0"/>
    <n v="0"/>
    <n v="0"/>
    <n v="0"/>
    <n v="0"/>
    <n v="0"/>
    <n v="0"/>
    <n v="0"/>
    <n v="0"/>
    <n v="0"/>
    <n v="6"/>
    <n v="6"/>
    <x v="0"/>
    <x v="47"/>
    <d v="1899-12-30T18:00:00"/>
    <d v="1899-12-30T18:30:00"/>
  </r>
  <r>
    <d v="2024-10-02T00:00:00"/>
    <n v="924"/>
    <s v="S2S No Premium"/>
    <s v="N2_Acosta,Sebastian"/>
    <x v="48"/>
    <d v="1899-12-30T15:00:00"/>
    <s v="-"/>
    <d v="1899-12-30T15:30:00"/>
    <n v="750"/>
    <n v="0"/>
    <n v="0"/>
    <n v="13"/>
    <n v="0"/>
    <n v="0"/>
    <n v="0"/>
    <n v="63"/>
    <n v="58"/>
    <n v="0"/>
    <n v="0"/>
    <n v="0"/>
    <n v="0"/>
    <n v="0"/>
    <n v="0"/>
    <n v="0"/>
    <n v="0"/>
    <n v="0"/>
    <n v="0"/>
    <n v="4"/>
    <n v="4"/>
    <x v="0"/>
    <x v="48"/>
    <d v="1899-12-30T15:00:00"/>
    <d v="1899-12-30T15:30:00"/>
  </r>
  <r>
    <d v="2024-10-02T00:00:00"/>
    <n v="924"/>
    <s v="S2S No Premium"/>
    <s v="N2_Acosta,Sebastian"/>
    <x v="48"/>
    <d v="1899-12-30T14:30:00"/>
    <s v="-"/>
    <d v="1899-12-30T15:00:00"/>
    <n v="904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48"/>
    <d v="1899-12-30T14:30:00"/>
    <d v="1899-12-30T15:00:00"/>
  </r>
  <r>
    <d v="2024-10-02T00:00:00"/>
    <n v="924"/>
    <s v="S2S No Premium"/>
    <s v="N2_Acosta,Sebastian"/>
    <x v="48"/>
    <d v="1899-12-30T14:00:00"/>
    <s v="-"/>
    <d v="1899-12-30T14:30:00"/>
    <n v="976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48"/>
    <d v="1899-12-30T14:00:00"/>
    <d v="1899-12-30T14:30:00"/>
  </r>
  <r>
    <d v="2024-10-02T00:00:00"/>
    <n v="925"/>
    <s v="S2S Premium"/>
    <s v="P_Paez, Lucas"/>
    <x v="49"/>
    <d v="1899-12-30T15:30:00"/>
    <s v="-"/>
    <d v="1899-12-30T16:00:00"/>
    <n v="220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49"/>
    <d v="1899-12-30T15:30:00"/>
    <d v="1899-12-30T16:00:00"/>
  </r>
  <r>
    <d v="2024-10-02T00:00:00"/>
    <n v="925"/>
    <s v="S2S Premium"/>
    <s v="P_Paez, Lucas"/>
    <x v="49"/>
    <d v="1899-12-30T15:00:00"/>
    <s v="-"/>
    <d v="1899-12-30T15:30:00"/>
    <n v="366"/>
    <n v="0"/>
    <n v="0"/>
    <n v="16"/>
    <n v="0"/>
    <n v="0"/>
    <n v="0"/>
    <n v="192"/>
    <n v="147"/>
    <n v="0"/>
    <n v="0"/>
    <n v="0"/>
    <n v="0"/>
    <n v="0"/>
    <n v="0"/>
    <n v="0"/>
    <n v="0"/>
    <n v="0"/>
    <n v="0"/>
    <n v="3"/>
    <n v="2"/>
    <x v="1"/>
    <x v="49"/>
    <d v="1899-12-30T15:00:00"/>
    <d v="1899-12-30T15:30:00"/>
  </r>
  <r>
    <d v="2024-10-02T00:00:00"/>
    <n v="925"/>
    <s v="S2S Premium"/>
    <s v="P_Paez, Lucas"/>
    <x v="49"/>
    <d v="1899-12-30T18:00:00"/>
    <s v="-"/>
    <d v="1899-12-30T18:30:00"/>
    <n v="4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49"/>
    <d v="1899-12-30T18:00:00"/>
    <d v="1899-12-30T18:30:00"/>
  </r>
  <r>
    <d v="2024-10-02T00:00:00"/>
    <n v="925"/>
    <s v="S2S Premium"/>
    <s v="P_Paez, Lucas"/>
    <x v="49"/>
    <d v="1899-12-30T18:30:00"/>
    <s v="-"/>
    <d v="1899-12-30T19:00:00"/>
    <n v="573"/>
    <n v="0"/>
    <n v="0"/>
    <n v="8"/>
    <n v="0"/>
    <n v="0"/>
    <n v="0"/>
    <n v="110"/>
    <n v="0"/>
    <n v="0"/>
    <n v="0"/>
    <n v="0"/>
    <n v="0"/>
    <n v="0"/>
    <n v="0"/>
    <n v="0"/>
    <n v="0"/>
    <n v="0"/>
    <n v="0"/>
    <n v="2"/>
    <n v="1"/>
    <x v="1"/>
    <x v="49"/>
    <d v="1899-12-30T18:30:00"/>
    <d v="1899-12-30T19:00:00"/>
  </r>
  <r>
    <d v="2024-10-02T00:00:00"/>
    <n v="925"/>
    <s v="S2S Premium"/>
    <s v="P_Paez, Lucas"/>
    <x v="49"/>
    <d v="1899-12-30T19:30:00"/>
    <s v="-"/>
    <d v="1899-12-30T20:00:00"/>
    <n v="650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49"/>
    <d v="1899-12-30T19:30:00"/>
    <d v="1899-12-30T20:00:00"/>
  </r>
  <r>
    <d v="2024-10-02T00:00:00"/>
    <n v="925"/>
    <s v="S2S Premium"/>
    <s v="P_Paez, Lucas"/>
    <x v="49"/>
    <d v="1899-12-30T19:00:00"/>
    <s v="-"/>
    <d v="1899-12-30T19:30:00"/>
    <n v="733"/>
    <n v="77"/>
    <n v="0"/>
    <n v="16"/>
    <n v="0"/>
    <n v="0"/>
    <n v="0"/>
    <n v="1169"/>
    <n v="131"/>
    <n v="0"/>
    <n v="0"/>
    <n v="0"/>
    <n v="0"/>
    <n v="0"/>
    <n v="0"/>
    <n v="0"/>
    <n v="0"/>
    <n v="0"/>
    <n v="0"/>
    <n v="5"/>
    <n v="5"/>
    <x v="1"/>
    <x v="49"/>
    <d v="1899-12-30T19:00:00"/>
    <d v="1899-12-30T19:30:00"/>
  </r>
  <r>
    <d v="2024-10-02T00:00:00"/>
    <n v="924"/>
    <s v="S2S No Premium"/>
    <s v="N2m_Romito Agostina"/>
    <x v="50"/>
    <d v="1899-12-30T15:30:00"/>
    <s v="-"/>
    <d v="1899-12-30T16:00:00"/>
    <n v="4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0"/>
    <d v="1899-12-30T15:30:00"/>
    <d v="1899-12-30T16:00:00"/>
  </r>
  <r>
    <d v="2024-10-02T00:00:00"/>
    <n v="924"/>
    <s v="S2S No Premium"/>
    <s v="N2m_Romito Agostina"/>
    <x v="50"/>
    <d v="1899-12-30T15:00:00"/>
    <s v="-"/>
    <d v="1899-12-30T15:30:00"/>
    <n v="612"/>
    <n v="0"/>
    <n v="0"/>
    <n v="16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50"/>
    <d v="1899-12-30T15:00:00"/>
    <d v="1899-12-30T15:30:00"/>
  </r>
  <r>
    <d v="2024-10-02T00:00:00"/>
    <n v="925"/>
    <s v="S2S Premium"/>
    <s v="P_Ojeda Mayra"/>
    <x v="51"/>
    <d v="1899-12-30T19:30:00"/>
    <s v="-"/>
    <d v="1899-12-30T20:00:00"/>
    <n v="760"/>
    <n v="0"/>
    <n v="0"/>
    <n v="20"/>
    <n v="0"/>
    <n v="0"/>
    <n v="0"/>
    <n v="251"/>
    <n v="149"/>
    <n v="0"/>
    <n v="0"/>
    <n v="0"/>
    <n v="0"/>
    <n v="0"/>
    <n v="0"/>
    <n v="0"/>
    <n v="0"/>
    <n v="0"/>
    <n v="0"/>
    <n v="5"/>
    <n v="4"/>
    <x v="1"/>
    <x v="51"/>
    <d v="1899-12-30T19:30:00"/>
    <d v="1899-12-30T20:00:00"/>
  </r>
  <r>
    <d v="2024-10-02T00:00:00"/>
    <n v="925"/>
    <s v="S2S Premium"/>
    <s v="P_Ojeda Mayra"/>
    <x v="51"/>
    <d v="1899-12-30T18:00:00"/>
    <s v="-"/>
    <d v="1899-12-30T18:30:00"/>
    <n v="938"/>
    <n v="0"/>
    <n v="0"/>
    <n v="13"/>
    <n v="0"/>
    <n v="0"/>
    <n v="0"/>
    <n v="157"/>
    <n v="0"/>
    <n v="0"/>
    <n v="0"/>
    <n v="0"/>
    <n v="0"/>
    <n v="0"/>
    <n v="0"/>
    <n v="0"/>
    <n v="0"/>
    <n v="0"/>
    <n v="0"/>
    <n v="2"/>
    <n v="2"/>
    <x v="1"/>
    <x v="51"/>
    <d v="1899-12-30T18:00:00"/>
    <d v="1899-12-30T18:30:00"/>
  </r>
  <r>
    <d v="2024-10-02T00:00:00"/>
    <n v="925"/>
    <s v="S2S Premium"/>
    <s v="P_Ojeda Mayra"/>
    <x v="51"/>
    <d v="1899-12-30T19:00:00"/>
    <s v="-"/>
    <d v="1899-12-30T19:30:00"/>
    <n v="1092"/>
    <n v="0"/>
    <n v="0"/>
    <n v="16"/>
    <n v="0"/>
    <n v="0"/>
    <n v="0"/>
    <n v="245"/>
    <n v="59"/>
    <n v="0"/>
    <n v="0"/>
    <n v="0"/>
    <n v="0"/>
    <n v="0"/>
    <n v="0"/>
    <n v="0"/>
    <n v="0"/>
    <n v="0"/>
    <n v="0"/>
    <n v="4"/>
    <n v="3"/>
    <x v="1"/>
    <x v="51"/>
    <d v="1899-12-30T19:00:00"/>
    <d v="1899-12-30T19:30:00"/>
  </r>
  <r>
    <d v="2024-10-02T00:00:00"/>
    <n v="925"/>
    <s v="S2S Premium"/>
    <s v="P_Ojeda Mayra"/>
    <x v="51"/>
    <d v="1899-12-30T18:30:00"/>
    <s v="-"/>
    <d v="1899-12-30T19:00:00"/>
    <n v="1146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1"/>
    <d v="1899-12-30T18:30:00"/>
    <d v="1899-12-30T19:00:00"/>
  </r>
  <r>
    <d v="2024-10-02T00:00:00"/>
    <n v="924"/>
    <s v="S2S No Premium"/>
    <s v="N2m_Lopez, Caro"/>
    <x v="52"/>
    <d v="1899-12-30T16:00:00"/>
    <s v="-"/>
    <d v="1899-12-30T16:30:00"/>
    <n v="540"/>
    <n v="4"/>
    <n v="0"/>
    <n v="14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2"/>
    <d v="1899-12-30T16:00:00"/>
    <d v="1899-12-30T16:30:00"/>
  </r>
  <r>
    <d v="2024-10-02T00:00:00"/>
    <n v="924"/>
    <s v="S2S No Premium"/>
    <s v="N2m_Lopez, Caro"/>
    <x v="52"/>
    <d v="1899-12-30T16:30:00"/>
    <s v="-"/>
    <d v="1899-12-30T17:00:00"/>
    <n v="999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2"/>
    <n v="2"/>
    <x v="0"/>
    <x v="52"/>
    <d v="1899-12-30T16:30:00"/>
    <d v="1899-12-30T17:00:00"/>
  </r>
  <r>
    <d v="2024-10-02T00:00:00"/>
    <n v="924"/>
    <s v="S2S No Premium"/>
    <s v="N2m_Lopez, Caro"/>
    <x v="52"/>
    <d v="1899-12-30T14:30:00"/>
    <s v="-"/>
    <d v="1899-12-30T15:00:00"/>
    <n v="1008"/>
    <n v="192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52"/>
    <d v="1899-12-30T14:30:00"/>
    <d v="1899-12-30T15:00:00"/>
  </r>
  <r>
    <d v="2024-10-02T00:00:00"/>
    <n v="924"/>
    <s v="S2S No Premium"/>
    <s v="N2m_Lopez, Caro"/>
    <x v="52"/>
    <d v="1899-12-30T14:00:00"/>
    <s v="-"/>
    <d v="1899-12-30T14:30:00"/>
    <n v="1045"/>
    <n v="44"/>
    <n v="0"/>
    <n v="9"/>
    <n v="0"/>
    <n v="0"/>
    <n v="0"/>
    <n v="29"/>
    <n v="0"/>
    <n v="0"/>
    <n v="0"/>
    <n v="0"/>
    <n v="0"/>
    <n v="0"/>
    <n v="0"/>
    <n v="0"/>
    <n v="0"/>
    <n v="0"/>
    <n v="0"/>
    <n v="3"/>
    <n v="3"/>
    <x v="0"/>
    <x v="52"/>
    <d v="1899-12-30T14:00:00"/>
    <d v="1899-12-30T14:30:00"/>
  </r>
  <r>
    <d v="2024-10-02T00:00:00"/>
    <n v="924"/>
    <s v="S2S No Premium"/>
    <s v="N2m_Lopez, Caro"/>
    <x v="52"/>
    <d v="1899-12-30T17:30:00"/>
    <s v="-"/>
    <d v="1899-12-30T18:00:00"/>
    <n v="1055"/>
    <n v="301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52"/>
    <d v="1899-12-30T17:30:00"/>
    <d v="1899-12-30T18:00:00"/>
  </r>
  <r>
    <d v="2024-10-02T00:00:00"/>
    <n v="924"/>
    <s v="S2S No Premium"/>
    <s v="N2m_Lopez, Caro"/>
    <x v="52"/>
    <d v="1899-12-30T15:00:00"/>
    <s v="-"/>
    <d v="1899-12-30T15:30:00"/>
    <n v="1071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52"/>
    <d v="1899-12-30T15:00:00"/>
    <d v="1899-12-30T15:30:00"/>
  </r>
  <r>
    <d v="2024-10-02T00:00:00"/>
    <n v="924"/>
    <s v="S2S No Premium"/>
    <s v="N2m_Lopez, Caro"/>
    <x v="52"/>
    <d v="1899-12-30T17:00:00"/>
    <s v="-"/>
    <d v="1899-12-30T17:30:00"/>
    <n v="1086"/>
    <n v="128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52"/>
    <d v="1899-12-30T17:00:00"/>
    <d v="1899-12-30T17:30:00"/>
  </r>
  <r>
    <d v="2024-10-02T00:00:00"/>
    <n v="924"/>
    <s v="S2S No Premium"/>
    <s v="N2m_Lopez, Caro"/>
    <x v="52"/>
    <d v="1899-12-30T15:30:00"/>
    <s v="-"/>
    <d v="1899-12-30T16:00:00"/>
    <n v="1123"/>
    <n v="0"/>
    <n v="0"/>
    <n v="16"/>
    <n v="0"/>
    <n v="0"/>
    <n v="0"/>
    <n v="145"/>
    <n v="0"/>
    <n v="0"/>
    <n v="0"/>
    <n v="0"/>
    <n v="0"/>
    <n v="0"/>
    <n v="0"/>
    <n v="0"/>
    <n v="0"/>
    <n v="0"/>
    <n v="0"/>
    <n v="4"/>
    <n v="4"/>
    <x v="0"/>
    <x v="52"/>
    <d v="1899-12-30T15:30:00"/>
    <d v="1899-12-30T16:00:00"/>
  </r>
  <r>
    <d v="2024-10-02T00:00:00"/>
    <n v="924"/>
    <s v="S2S No Premium"/>
    <s v="N2_Mosqueira, Federi"/>
    <x v="53"/>
    <d v="1899-12-30T14:30:00"/>
    <s v="-"/>
    <d v="1899-12-30T15:00:00"/>
    <n v="3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3"/>
    <d v="1899-12-30T14:30:00"/>
    <d v="1899-12-30T15:00:00"/>
  </r>
  <r>
    <d v="2024-10-02T00:00:00"/>
    <n v="924"/>
    <s v="S2S No Premium"/>
    <s v="N2_Mosqueira, Federi"/>
    <x v="53"/>
    <d v="1899-12-30T15:00:00"/>
    <s v="-"/>
    <d v="1899-12-30T15:30:00"/>
    <n v="916"/>
    <n v="0"/>
    <n v="0"/>
    <n v="13"/>
    <n v="0"/>
    <n v="0"/>
    <n v="0"/>
    <n v="11"/>
    <n v="0"/>
    <n v="0"/>
    <n v="0"/>
    <n v="0"/>
    <n v="0"/>
    <n v="0"/>
    <n v="0"/>
    <n v="0"/>
    <n v="0"/>
    <n v="0"/>
    <n v="0"/>
    <n v="3"/>
    <n v="3"/>
    <x v="0"/>
    <x v="53"/>
    <d v="1899-12-30T15:00:00"/>
    <d v="1899-12-30T15:30:00"/>
  </r>
  <r>
    <d v="2024-10-02T00:00:00"/>
    <n v="924"/>
    <s v="S2S No Premium"/>
    <s v="N2_Mosqueira, Federi"/>
    <x v="53"/>
    <d v="1899-12-30T14:00:00"/>
    <s v="-"/>
    <d v="1899-12-30T14:30:00"/>
    <n v="1183"/>
    <n v="132"/>
    <n v="0"/>
    <n v="13"/>
    <n v="0"/>
    <n v="0"/>
    <n v="0"/>
    <n v="4"/>
    <n v="0"/>
    <n v="0"/>
    <n v="0"/>
    <n v="0"/>
    <n v="0"/>
    <n v="0"/>
    <n v="0"/>
    <n v="0"/>
    <n v="0"/>
    <n v="0"/>
    <n v="0"/>
    <n v="3"/>
    <n v="2"/>
    <x v="0"/>
    <x v="53"/>
    <d v="1899-12-30T14:00:00"/>
    <d v="1899-12-30T14:30:00"/>
  </r>
  <r>
    <d v="2024-10-02T00:00:00"/>
    <n v="925"/>
    <s v="S2S Premium"/>
    <s v="P_Donzelli, Angelic"/>
    <x v="54"/>
    <d v="1899-12-30T18:30:00"/>
    <s v="-"/>
    <d v="1899-12-30T19:00:00"/>
    <n v="4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4"/>
    <d v="1899-12-30T18:30:00"/>
    <d v="1899-12-30T19:00:00"/>
  </r>
  <r>
    <d v="2024-10-02T00:00:00"/>
    <n v="925"/>
    <s v="S2S Premium"/>
    <s v="P_Donzelli, Angelic"/>
    <x v="54"/>
    <d v="1899-12-30T19:30:00"/>
    <s v="-"/>
    <d v="1899-12-30T20:00:00"/>
    <n v="981"/>
    <n v="0"/>
    <n v="0"/>
    <n v="15"/>
    <n v="0"/>
    <n v="0"/>
    <n v="0"/>
    <n v="441"/>
    <n v="0"/>
    <n v="0"/>
    <n v="0"/>
    <n v="0"/>
    <n v="0"/>
    <n v="0"/>
    <n v="0"/>
    <n v="0"/>
    <n v="0"/>
    <n v="0"/>
    <n v="0"/>
    <n v="2"/>
    <n v="2"/>
    <x v="1"/>
    <x v="54"/>
    <d v="1899-12-30T19:30:00"/>
    <d v="1899-12-30T20:00:00"/>
  </r>
  <r>
    <d v="2024-10-02T00:00:00"/>
    <n v="925"/>
    <s v="S2S Premium"/>
    <s v="P_Donzelli, Angelic"/>
    <x v="54"/>
    <d v="1899-12-30T19:00:00"/>
    <s v="-"/>
    <d v="1899-12-30T19:30:00"/>
    <n v="1188"/>
    <n v="0"/>
    <n v="0"/>
    <n v="9"/>
    <n v="0"/>
    <n v="0"/>
    <n v="0"/>
    <n v="457"/>
    <n v="0"/>
    <n v="0"/>
    <n v="0"/>
    <n v="0"/>
    <n v="0"/>
    <n v="0"/>
    <n v="0"/>
    <n v="0"/>
    <n v="0"/>
    <n v="0"/>
    <n v="0"/>
    <n v="2"/>
    <n v="2"/>
    <x v="1"/>
    <x v="54"/>
    <d v="1899-12-30T19:00:00"/>
    <d v="1899-12-30T19:30:00"/>
  </r>
  <r>
    <d v="2024-10-02T00:00:00"/>
    <n v="925"/>
    <s v="S2S Premium"/>
    <s v="P_Franco, Selena"/>
    <x v="55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5"/>
    <d v="1899-12-30T14:30:00"/>
    <d v="1899-12-30T15:00:00"/>
  </r>
  <r>
    <d v="2024-10-02T00:00:00"/>
    <n v="925"/>
    <s v="S2S Premium"/>
    <s v="P_Franco, Selena"/>
    <x v="55"/>
    <d v="1899-12-30T19:30:00"/>
    <s v="-"/>
    <d v="1899-12-30T20:00:00"/>
    <n v="278"/>
    <n v="0"/>
    <n v="0"/>
    <n v="4"/>
    <n v="0"/>
    <n v="0"/>
    <n v="0"/>
    <n v="67"/>
    <n v="0"/>
    <n v="0"/>
    <n v="0"/>
    <n v="0"/>
    <n v="0"/>
    <n v="0"/>
    <n v="0"/>
    <n v="0"/>
    <n v="0"/>
    <n v="0"/>
    <n v="0"/>
    <n v="1"/>
    <n v="0"/>
    <x v="1"/>
    <x v="55"/>
    <d v="1899-12-30T19:30:00"/>
    <d v="1899-12-30T20:00:00"/>
  </r>
  <r>
    <d v="2024-10-02T00:00:00"/>
    <n v="925"/>
    <s v="S2S Premium"/>
    <s v="P_Franco, Selena"/>
    <x v="55"/>
    <d v="1899-12-30T16:00:00"/>
    <s v="-"/>
    <d v="1899-12-30T16:30:00"/>
    <n v="523"/>
    <n v="0"/>
    <n v="0"/>
    <n v="16"/>
    <n v="0"/>
    <n v="0"/>
    <n v="0"/>
    <n v="46"/>
    <n v="42"/>
    <n v="0"/>
    <n v="0"/>
    <n v="0"/>
    <n v="0"/>
    <n v="0"/>
    <n v="0"/>
    <n v="0"/>
    <n v="0"/>
    <n v="0"/>
    <n v="0"/>
    <n v="3"/>
    <n v="3"/>
    <x v="1"/>
    <x v="55"/>
    <d v="1899-12-30T16:00:00"/>
    <d v="1899-12-30T16:30:00"/>
  </r>
  <r>
    <d v="2024-10-02T00:00:00"/>
    <n v="925"/>
    <s v="S2S Premium"/>
    <s v="P_Franco, Selena"/>
    <x v="55"/>
    <d v="1899-12-30T19:00:00"/>
    <s v="-"/>
    <d v="1899-12-30T19:30:00"/>
    <n v="576"/>
    <n v="0"/>
    <n v="0"/>
    <n v="8"/>
    <n v="0"/>
    <n v="0"/>
    <n v="0"/>
    <n v="327"/>
    <n v="176"/>
    <n v="0"/>
    <n v="0"/>
    <n v="0"/>
    <n v="0"/>
    <n v="0"/>
    <n v="0"/>
    <n v="0"/>
    <n v="0"/>
    <n v="0"/>
    <n v="0"/>
    <n v="3"/>
    <n v="2"/>
    <x v="1"/>
    <x v="55"/>
    <d v="1899-12-30T19:00:00"/>
    <d v="1899-12-30T19:30:00"/>
  </r>
  <r>
    <d v="2024-10-02T00:00:00"/>
    <n v="925"/>
    <s v="S2S Premium"/>
    <s v="P_Franco, Selena"/>
    <x v="55"/>
    <d v="1899-12-30T17:30:00"/>
    <s v="-"/>
    <d v="1899-12-30T18:00:00"/>
    <n v="764"/>
    <n v="0"/>
    <n v="0"/>
    <n v="9"/>
    <n v="0"/>
    <n v="0"/>
    <n v="0"/>
    <n v="544"/>
    <n v="0"/>
    <n v="0"/>
    <n v="0"/>
    <n v="0"/>
    <n v="0"/>
    <n v="0"/>
    <n v="0"/>
    <n v="0"/>
    <n v="0"/>
    <n v="0"/>
    <n v="0"/>
    <n v="3"/>
    <n v="3"/>
    <x v="1"/>
    <x v="55"/>
    <d v="1899-12-30T17:30:00"/>
    <d v="1899-12-30T18:00:00"/>
  </r>
  <r>
    <d v="2024-10-02T00:00:00"/>
    <n v="925"/>
    <s v="S2S Premium"/>
    <s v="P_Franco, Selena"/>
    <x v="55"/>
    <d v="1899-12-30T15:00:00"/>
    <s v="-"/>
    <d v="1899-12-30T15:30:00"/>
    <n v="774"/>
    <n v="0"/>
    <n v="0"/>
    <n v="20"/>
    <n v="0"/>
    <n v="0"/>
    <n v="0"/>
    <n v="100"/>
    <n v="0"/>
    <n v="0"/>
    <n v="0"/>
    <n v="0"/>
    <n v="0"/>
    <n v="0"/>
    <n v="0"/>
    <n v="0"/>
    <n v="0"/>
    <n v="0"/>
    <n v="0"/>
    <n v="4"/>
    <n v="3"/>
    <x v="1"/>
    <x v="55"/>
    <d v="1899-12-30T15:00:00"/>
    <d v="1899-12-30T15:30:00"/>
  </r>
  <r>
    <d v="2024-10-02T00:00:00"/>
    <n v="925"/>
    <s v="S2S Premium"/>
    <s v="P_Franco, Selena"/>
    <x v="55"/>
    <d v="1899-12-30T18:00:00"/>
    <s v="-"/>
    <d v="1899-12-30T18:30:00"/>
    <n v="868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55"/>
    <d v="1899-12-30T18:00:00"/>
    <d v="1899-12-30T18:30:00"/>
  </r>
  <r>
    <d v="2024-10-02T00:00:00"/>
    <n v="925"/>
    <s v="S2S Premium"/>
    <s v="P_Franco, Selena"/>
    <x v="55"/>
    <d v="1899-12-30T15:30:00"/>
    <s v="-"/>
    <d v="1899-12-30T16:00:00"/>
    <n v="972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55"/>
    <d v="1899-12-30T15:30:00"/>
    <d v="1899-12-30T16:00:00"/>
  </r>
  <r>
    <d v="2024-10-02T00:00:00"/>
    <n v="925"/>
    <s v="S2S Premium"/>
    <s v="P_Franco, Selena"/>
    <x v="55"/>
    <d v="1899-12-30T17:00:00"/>
    <s v="-"/>
    <d v="1899-12-30T17:30:00"/>
    <n v="1050"/>
    <n v="0"/>
    <n v="0"/>
    <n v="21"/>
    <n v="0"/>
    <n v="0"/>
    <n v="0"/>
    <n v="53"/>
    <n v="43"/>
    <n v="0"/>
    <n v="0"/>
    <n v="0"/>
    <n v="0"/>
    <n v="0"/>
    <n v="0"/>
    <n v="0"/>
    <n v="0"/>
    <n v="0"/>
    <n v="0"/>
    <n v="4"/>
    <n v="4"/>
    <x v="1"/>
    <x v="55"/>
    <d v="1899-12-30T17:00:00"/>
    <d v="1899-12-30T17:30:00"/>
  </r>
  <r>
    <d v="2024-10-02T00:00:00"/>
    <n v="925"/>
    <s v="S2S Premium"/>
    <s v="P_Franco, Selena"/>
    <x v="55"/>
    <d v="1899-12-30T18:30:00"/>
    <s v="-"/>
    <d v="1899-12-30T19:00:00"/>
    <n v="1092"/>
    <n v="0"/>
    <n v="0"/>
    <n v="15"/>
    <n v="0"/>
    <n v="0"/>
    <n v="0"/>
    <n v="174"/>
    <n v="0"/>
    <n v="0"/>
    <n v="0"/>
    <n v="0"/>
    <n v="0"/>
    <n v="0"/>
    <n v="0"/>
    <n v="0"/>
    <n v="0"/>
    <n v="0"/>
    <n v="0"/>
    <n v="3"/>
    <n v="2"/>
    <x v="1"/>
    <x v="55"/>
    <d v="1899-12-30T18:30:00"/>
    <d v="1899-12-30T19:00:00"/>
  </r>
  <r>
    <d v="2024-10-02T00:00:00"/>
    <n v="925"/>
    <s v="S2S Premium"/>
    <s v="P_Franco, Selena"/>
    <x v="55"/>
    <d v="1899-12-30T16:30:00"/>
    <s v="-"/>
    <d v="1899-12-30T17:00:00"/>
    <n v="1151"/>
    <n v="0"/>
    <n v="0"/>
    <n v="4"/>
    <n v="0"/>
    <n v="0"/>
    <n v="0"/>
    <n v="617"/>
    <n v="140"/>
    <n v="0"/>
    <n v="0"/>
    <n v="0"/>
    <n v="0"/>
    <n v="0"/>
    <n v="0"/>
    <n v="0"/>
    <n v="0"/>
    <n v="0"/>
    <n v="0"/>
    <n v="2"/>
    <n v="2"/>
    <x v="1"/>
    <x v="55"/>
    <d v="1899-12-30T16:30:00"/>
    <d v="1899-12-30T17:00:00"/>
  </r>
  <r>
    <d v="2024-10-02T00:00:00"/>
    <n v="924"/>
    <s v="S2S No Premium"/>
    <s v="N2m_MoreauMic"/>
    <x v="56"/>
    <d v="1899-12-30T18:30:00"/>
    <s v="-"/>
    <d v="1899-12-30T19:00:00"/>
    <n v="32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6"/>
    <d v="1899-12-30T18:30:00"/>
    <d v="1899-12-30T19:00:00"/>
  </r>
  <r>
    <d v="2024-10-02T00:00:00"/>
    <n v="924"/>
    <s v="S2S No Premium"/>
    <s v="N2m_MoreauMic"/>
    <x v="56"/>
    <d v="1899-12-30T19:30:00"/>
    <s v="-"/>
    <d v="1899-12-30T20:00:00"/>
    <n v="468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56"/>
    <d v="1899-12-30T19:30:00"/>
    <d v="1899-12-30T20:00:00"/>
  </r>
  <r>
    <d v="2024-10-02T00:00:00"/>
    <n v="924"/>
    <s v="S2S No Premium"/>
    <s v="N2m_MoreauMic"/>
    <x v="56"/>
    <d v="1899-12-30T19:00:00"/>
    <s v="-"/>
    <d v="1899-12-30T19:30:00"/>
    <n v="740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56"/>
    <d v="1899-12-30T19:00:00"/>
    <d v="1899-12-30T19:30:00"/>
  </r>
  <r>
    <d v="2024-10-02T00:00:00"/>
    <n v="924"/>
    <s v="S2S No Premium"/>
    <s v="N2m_MoreauMic"/>
    <x v="56"/>
    <d v="1899-12-30T15:00:00"/>
    <s v="-"/>
    <d v="1899-12-30T15:30:00"/>
    <n v="908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56"/>
    <d v="1899-12-30T15:00:00"/>
    <d v="1899-12-30T15:30:00"/>
  </r>
  <r>
    <d v="2024-10-02T00:00:00"/>
    <n v="924"/>
    <s v="S2S No Premium"/>
    <s v="N2m_MoreauMic"/>
    <x v="56"/>
    <d v="1899-12-30T15:30:00"/>
    <s v="-"/>
    <d v="1899-12-30T16:00:00"/>
    <n v="986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56"/>
    <d v="1899-12-30T15:30:00"/>
    <d v="1899-12-30T16:00:00"/>
  </r>
  <r>
    <d v="2024-10-02T00:00:00"/>
    <n v="924"/>
    <s v="S2S No Premium"/>
    <s v="N2m_MoreauMic"/>
    <x v="56"/>
    <d v="1899-12-30T16:30:00"/>
    <s v="-"/>
    <d v="1899-12-30T17:00:00"/>
    <n v="1189"/>
    <n v="252"/>
    <n v="0"/>
    <n v="25"/>
    <n v="0"/>
    <n v="0"/>
    <n v="0"/>
    <n v="6"/>
    <n v="0"/>
    <n v="0"/>
    <n v="0"/>
    <n v="0"/>
    <n v="0"/>
    <n v="0"/>
    <n v="0"/>
    <n v="0"/>
    <n v="0"/>
    <n v="0"/>
    <n v="0"/>
    <n v="7"/>
    <n v="6"/>
    <x v="0"/>
    <x v="56"/>
    <d v="1899-12-30T16:30:00"/>
    <d v="1899-12-30T17:00:00"/>
  </r>
  <r>
    <d v="2024-10-02T00:00:00"/>
    <n v="924"/>
    <s v="S2S No Premium"/>
    <s v="N2m_MoreauMic"/>
    <x v="56"/>
    <d v="1899-12-30T17:00:00"/>
    <s v="-"/>
    <d v="1899-12-30T17:30:00"/>
    <n v="1360"/>
    <n v="0"/>
    <n v="0"/>
    <n v="21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56"/>
    <d v="1899-12-30T17:00:00"/>
    <d v="1899-12-30T17:30:00"/>
  </r>
  <r>
    <d v="2024-10-02T00:00:00"/>
    <n v="924"/>
    <s v="S2S No Premium"/>
    <s v="N2m_MoreauMic"/>
    <x v="56"/>
    <d v="1899-12-30T17:30:00"/>
    <s v="-"/>
    <d v="1899-12-30T18:00:00"/>
    <n v="1427"/>
    <n v="0"/>
    <n v="0"/>
    <n v="26"/>
    <n v="0"/>
    <n v="0"/>
    <n v="0"/>
    <n v="5"/>
    <n v="1"/>
    <n v="0"/>
    <n v="0"/>
    <n v="0"/>
    <n v="0"/>
    <n v="0"/>
    <n v="0"/>
    <n v="0"/>
    <n v="0"/>
    <n v="0"/>
    <n v="0"/>
    <n v="6"/>
    <n v="5"/>
    <x v="0"/>
    <x v="56"/>
    <d v="1899-12-30T17:30:00"/>
    <d v="1899-12-30T18:00:00"/>
  </r>
  <r>
    <d v="2024-10-02T00:00:00"/>
    <n v="924"/>
    <s v="S2S No Premium"/>
    <s v="N2m_MoreauMic"/>
    <x v="56"/>
    <d v="1899-12-30T16:00:00"/>
    <s v="-"/>
    <d v="1899-12-30T16:30:00"/>
    <n v="1454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6"/>
    <d v="1899-12-30T16:00:00"/>
    <d v="1899-12-30T16:30:00"/>
  </r>
  <r>
    <d v="2024-10-02T00:00:00"/>
    <n v="924"/>
    <s v="S2S No Premium"/>
    <s v="N2m_MoreauMic"/>
    <x v="56"/>
    <d v="1899-12-30T18:00:00"/>
    <s v="-"/>
    <d v="1899-12-30T18:30:00"/>
    <n v="1457"/>
    <n v="0"/>
    <n v="0"/>
    <n v="39"/>
    <n v="0"/>
    <n v="0"/>
    <n v="0"/>
    <n v="8"/>
    <n v="0"/>
    <n v="0"/>
    <n v="0"/>
    <n v="0"/>
    <n v="0"/>
    <n v="0"/>
    <n v="0"/>
    <n v="0"/>
    <n v="0"/>
    <n v="0"/>
    <n v="0"/>
    <n v="9"/>
    <n v="8"/>
    <x v="0"/>
    <x v="56"/>
    <d v="1899-12-30T18:00:00"/>
    <d v="1899-12-30T18:30:00"/>
  </r>
  <r>
    <d v="2024-10-02T00:00:00"/>
    <n v="925"/>
    <s v="S2S Premium"/>
    <s v="Pm_GonzalezCristian"/>
    <x v="57"/>
    <d v="1899-12-30T17:30:00"/>
    <s v="-"/>
    <d v="1899-12-30T18:00:00"/>
    <n v="46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57"/>
    <d v="1899-12-30T17:30:00"/>
    <d v="1899-12-30T18:00:00"/>
  </r>
  <r>
    <d v="2024-10-02T00:00:00"/>
    <n v="925"/>
    <s v="S2S Premium"/>
    <s v="Pm_GonzalezCristian"/>
    <x v="57"/>
    <d v="1899-12-30T18:00:00"/>
    <s v="-"/>
    <d v="1899-12-30T18:30:00"/>
    <n v="689"/>
    <n v="0"/>
    <n v="0"/>
    <n v="16"/>
    <n v="0"/>
    <n v="0"/>
    <n v="0"/>
    <n v="48"/>
    <n v="41"/>
    <n v="0"/>
    <n v="0"/>
    <n v="0"/>
    <n v="0"/>
    <n v="0"/>
    <n v="0"/>
    <n v="0"/>
    <n v="0"/>
    <n v="0"/>
    <n v="0"/>
    <n v="4"/>
    <n v="4"/>
    <x v="1"/>
    <x v="57"/>
    <d v="1899-12-30T18:00:00"/>
    <d v="1899-12-30T18:30:00"/>
  </r>
  <r>
    <d v="2024-10-02T00:00:00"/>
    <n v="925"/>
    <s v="S2S Premium"/>
    <s v="Pm_GonzalezCristian"/>
    <x v="57"/>
    <d v="1899-12-30T19:30:00"/>
    <s v="-"/>
    <d v="1899-12-30T20:00:00"/>
    <n v="985"/>
    <n v="0"/>
    <n v="0"/>
    <n v="20"/>
    <n v="0"/>
    <n v="0"/>
    <n v="0"/>
    <n v="192"/>
    <n v="165"/>
    <n v="0"/>
    <n v="0"/>
    <n v="0"/>
    <n v="0"/>
    <n v="0"/>
    <n v="0"/>
    <n v="0"/>
    <n v="0"/>
    <n v="0"/>
    <n v="0"/>
    <n v="4"/>
    <n v="4"/>
    <x v="1"/>
    <x v="57"/>
    <d v="1899-12-30T19:30:00"/>
    <d v="1899-12-30T20:00:00"/>
  </r>
  <r>
    <d v="2024-10-02T00:00:00"/>
    <n v="925"/>
    <s v="S2S Premium"/>
    <s v="Pm_GonzalezCristian"/>
    <x v="57"/>
    <d v="1899-12-30T18:30:00"/>
    <s v="-"/>
    <d v="1899-12-30T19:00:00"/>
    <n v="109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7"/>
    <d v="1899-12-30T18:30:00"/>
    <d v="1899-12-30T19:00:00"/>
  </r>
  <r>
    <d v="2024-10-02T00:00:00"/>
    <n v="925"/>
    <s v="S2S Premium"/>
    <s v="Pm_GonzalezCristian"/>
    <x v="57"/>
    <d v="1899-12-30T19:00:00"/>
    <s v="-"/>
    <d v="1899-12-30T19:30:00"/>
    <n v="1339"/>
    <n v="0"/>
    <n v="0"/>
    <n v="22"/>
    <n v="0"/>
    <n v="0"/>
    <n v="0"/>
    <n v="3"/>
    <n v="0"/>
    <n v="0"/>
    <n v="0"/>
    <n v="0"/>
    <n v="0"/>
    <n v="0"/>
    <n v="0"/>
    <n v="0"/>
    <n v="0"/>
    <n v="0"/>
    <n v="0"/>
    <n v="6"/>
    <n v="3"/>
    <x v="1"/>
    <x v="57"/>
    <d v="1899-12-30T19:00:00"/>
    <d v="1899-12-30T19:30:00"/>
  </r>
  <r>
    <d v="2024-10-02T00:00:00"/>
    <n v="925"/>
    <s v="S2S Premium"/>
    <s v="P_Abalos, Daiana"/>
    <x v="58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8"/>
    <d v="1899-12-30T14:30:00"/>
    <d v="1899-12-30T15:00:00"/>
  </r>
  <r>
    <d v="2024-10-02T00:00:00"/>
    <n v="925"/>
    <s v="S2S Premium"/>
    <s v="P_Abalos, Daiana"/>
    <x v="58"/>
    <d v="1899-12-30T15:30:00"/>
    <s v="-"/>
    <d v="1899-12-30T16:00:00"/>
    <n v="991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8"/>
    <d v="1899-12-30T15:30:00"/>
    <d v="1899-12-30T16:00:00"/>
  </r>
  <r>
    <d v="2024-10-02T00:00:00"/>
    <n v="925"/>
    <s v="S2S Premium"/>
    <s v="P_Abalos, Daiana"/>
    <x v="58"/>
    <d v="1899-12-30T18:30:00"/>
    <s v="-"/>
    <d v="1899-12-30T19:00:00"/>
    <n v="100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58"/>
    <d v="1899-12-30T18:30:00"/>
    <d v="1899-12-30T19:00:00"/>
  </r>
  <r>
    <d v="2024-10-02T00:00:00"/>
    <n v="925"/>
    <s v="S2S Premium"/>
    <s v="P_Abalos, Daiana"/>
    <x v="58"/>
    <d v="1899-12-30T18:00:00"/>
    <s v="-"/>
    <d v="1899-12-30T18:30:00"/>
    <n v="1112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1"/>
    <x v="1"/>
    <x v="58"/>
    <d v="1899-12-30T18:00:00"/>
    <d v="1899-12-30T18:30:00"/>
  </r>
  <r>
    <d v="2024-10-02T00:00:00"/>
    <n v="925"/>
    <s v="S2S Premium"/>
    <s v="P_Abalos, Daiana"/>
    <x v="58"/>
    <d v="1899-12-30T17:30:00"/>
    <s v="-"/>
    <d v="1899-12-30T18:00:00"/>
    <n v="1120"/>
    <n v="0"/>
    <n v="0"/>
    <n v="24"/>
    <n v="0"/>
    <n v="0"/>
    <n v="0"/>
    <n v="112"/>
    <n v="104"/>
    <n v="0"/>
    <n v="0"/>
    <n v="0"/>
    <n v="0"/>
    <n v="0"/>
    <n v="0"/>
    <n v="0"/>
    <n v="0"/>
    <n v="0"/>
    <n v="0"/>
    <n v="5"/>
    <n v="4"/>
    <x v="1"/>
    <x v="58"/>
    <d v="1899-12-30T17:30:00"/>
    <d v="1899-12-30T18:00:00"/>
  </r>
  <r>
    <d v="2024-10-02T00:00:00"/>
    <n v="925"/>
    <s v="S2S Premium"/>
    <s v="P_Abalos, Daiana"/>
    <x v="58"/>
    <d v="1899-12-30T17:00:00"/>
    <s v="-"/>
    <d v="1899-12-30T17:30:00"/>
    <n v="1128"/>
    <n v="0"/>
    <n v="0"/>
    <n v="14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58"/>
    <d v="1899-12-30T17:00:00"/>
    <d v="1899-12-30T17:30:00"/>
  </r>
  <r>
    <d v="2024-10-02T00:00:00"/>
    <n v="925"/>
    <s v="S2S Premium"/>
    <s v="P_Abalos, Daiana"/>
    <x v="58"/>
    <d v="1899-12-30T16:00:00"/>
    <s v="-"/>
    <d v="1899-12-30T16:30:00"/>
    <n v="1157"/>
    <n v="0"/>
    <n v="0"/>
    <n v="8"/>
    <n v="0"/>
    <n v="0"/>
    <n v="0"/>
    <n v="41"/>
    <n v="34"/>
    <n v="0"/>
    <n v="0"/>
    <n v="0"/>
    <n v="0"/>
    <n v="0"/>
    <n v="0"/>
    <n v="0"/>
    <n v="0"/>
    <n v="0"/>
    <n v="0"/>
    <n v="3"/>
    <n v="3"/>
    <x v="1"/>
    <x v="58"/>
    <d v="1899-12-30T16:00:00"/>
    <d v="1899-12-30T16:30:00"/>
  </r>
  <r>
    <d v="2024-10-02T00:00:00"/>
    <n v="925"/>
    <s v="S2S Premium"/>
    <s v="P_Abalos, Daiana"/>
    <x v="58"/>
    <d v="1899-12-30T15:00:00"/>
    <s v="-"/>
    <d v="1899-12-30T15:30:00"/>
    <n v="1165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8"/>
    <d v="1899-12-30T15:00:00"/>
    <d v="1899-12-30T15:30:00"/>
  </r>
  <r>
    <d v="2024-10-02T00:00:00"/>
    <n v="925"/>
    <s v="S2S Premium"/>
    <s v="P_Abalos, Daiana"/>
    <x v="58"/>
    <d v="1899-12-30T16:30:00"/>
    <s v="-"/>
    <d v="1899-12-30T17:00:00"/>
    <n v="1226"/>
    <n v="0"/>
    <n v="0"/>
    <n v="27"/>
    <n v="0"/>
    <n v="0"/>
    <n v="0"/>
    <n v="39"/>
    <n v="0"/>
    <n v="0"/>
    <n v="0"/>
    <n v="0"/>
    <n v="0"/>
    <n v="0"/>
    <n v="0"/>
    <n v="0"/>
    <n v="0"/>
    <n v="0"/>
    <n v="0"/>
    <n v="5"/>
    <n v="2"/>
    <x v="1"/>
    <x v="58"/>
    <d v="1899-12-30T16:30:00"/>
    <d v="1899-12-30T17:00:00"/>
  </r>
  <r>
    <d v="2024-10-02T00:00:00"/>
    <n v="925"/>
    <s v="S2S Premium"/>
    <s v="P_Abalos, Daiana"/>
    <x v="58"/>
    <d v="1899-12-30T19:00:00"/>
    <s v="-"/>
    <d v="1899-12-30T19:30:00"/>
    <n v="1246"/>
    <n v="0"/>
    <n v="0"/>
    <n v="18"/>
    <n v="0"/>
    <n v="0"/>
    <n v="0"/>
    <n v="141"/>
    <n v="134"/>
    <n v="0"/>
    <n v="0"/>
    <n v="0"/>
    <n v="0"/>
    <n v="0"/>
    <n v="0"/>
    <n v="0"/>
    <n v="0"/>
    <n v="0"/>
    <n v="0"/>
    <n v="5"/>
    <n v="3"/>
    <x v="1"/>
    <x v="58"/>
    <d v="1899-12-30T19:00:00"/>
    <d v="1899-12-30T19:30:00"/>
  </r>
  <r>
    <d v="2024-10-02T00:00:00"/>
    <n v="925"/>
    <s v="S2S Premium"/>
    <s v="P_Abalos, Daiana"/>
    <x v="58"/>
    <d v="1899-12-30T19:30:00"/>
    <s v="-"/>
    <d v="1899-12-30T20:00:00"/>
    <n v="1265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8"/>
    <d v="1899-12-30T19:30:00"/>
    <d v="1899-12-30T20:00:00"/>
  </r>
  <r>
    <d v="2024-10-02T00:00:00"/>
    <n v="924"/>
    <s v="S2S No Premium"/>
    <s v="N2_Martinez Norbert"/>
    <x v="59"/>
    <d v="1899-12-30T14:00:00"/>
    <s v="-"/>
    <d v="1899-12-30T14:30:00"/>
    <n v="711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9"/>
    <d v="1899-12-30T14:00:00"/>
    <d v="1899-12-30T14:30:00"/>
  </r>
  <r>
    <d v="2024-10-02T00:00:00"/>
    <n v="924"/>
    <s v="S2S No Premium"/>
    <s v="N2_Martinez Norbert"/>
    <x v="59"/>
    <d v="1899-12-30T14:30:00"/>
    <s v="-"/>
    <d v="1899-12-30T15:00:00"/>
    <n v="813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59"/>
    <d v="1899-12-30T14:30:00"/>
    <d v="1899-12-30T15:00:00"/>
  </r>
  <r>
    <d v="2024-10-02T00:00:00"/>
    <n v="924"/>
    <s v="S2S No Premium"/>
    <s v="N2_Martinez Norbert"/>
    <x v="59"/>
    <d v="1899-12-30T15:30:00"/>
    <s v="-"/>
    <d v="1899-12-30T16:00:00"/>
    <n v="1084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3"/>
    <n v="0"/>
    <x v="0"/>
    <x v="59"/>
    <d v="1899-12-30T15:30:00"/>
    <d v="1899-12-30T16:00:00"/>
  </r>
  <r>
    <d v="2024-10-02T00:00:00"/>
    <n v="924"/>
    <s v="S2S No Premium"/>
    <s v="N2_Martinez Norbert"/>
    <x v="59"/>
    <d v="1899-12-30T15:00:00"/>
    <s v="-"/>
    <d v="1899-12-30T15:30:00"/>
    <n v="1113"/>
    <n v="0"/>
    <n v="0"/>
    <n v="1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59"/>
    <d v="1899-12-30T15:00:00"/>
    <d v="1899-12-30T15:30:00"/>
  </r>
  <r>
    <d v="2024-10-02T00:00:00"/>
    <n v="925"/>
    <s v="S2S Premium"/>
    <s v="P_Pino, Elisa"/>
    <x v="6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0"/>
    <d v="1899-12-30T14:30:00"/>
    <d v="1899-12-30T15:00:00"/>
  </r>
  <r>
    <d v="2024-10-02T00:00:00"/>
    <n v="925"/>
    <s v="S2S Premium"/>
    <s v="P_Pino, Elisa"/>
    <x v="60"/>
    <d v="1899-12-30T18:30:00"/>
    <s v="-"/>
    <d v="1899-12-30T19:00:00"/>
    <n v="655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60"/>
    <d v="1899-12-30T18:30:00"/>
    <d v="1899-12-30T19:00:00"/>
  </r>
  <r>
    <d v="2024-10-02T00:00:00"/>
    <n v="925"/>
    <s v="S2S Premium"/>
    <s v="P_Pino, Elisa"/>
    <x v="60"/>
    <d v="1899-12-30T16:00:00"/>
    <s v="-"/>
    <d v="1899-12-30T16:30:00"/>
    <n v="737"/>
    <n v="0"/>
    <n v="0"/>
    <n v="16"/>
    <n v="0"/>
    <n v="0"/>
    <n v="0"/>
    <n v="193"/>
    <n v="31"/>
    <n v="0"/>
    <n v="0"/>
    <n v="0"/>
    <n v="0"/>
    <n v="0"/>
    <n v="0"/>
    <n v="0"/>
    <n v="0"/>
    <n v="0"/>
    <n v="0"/>
    <n v="4"/>
    <n v="4"/>
    <x v="1"/>
    <x v="60"/>
    <d v="1899-12-30T16:00:00"/>
    <d v="1899-12-30T16:30:00"/>
  </r>
  <r>
    <d v="2024-10-02T00:00:00"/>
    <n v="925"/>
    <s v="S2S Premium"/>
    <s v="P_Pino, Elisa"/>
    <x v="60"/>
    <d v="1899-12-30T17:00:00"/>
    <s v="-"/>
    <d v="1899-12-30T17:30:00"/>
    <n v="830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0"/>
    <d v="1899-12-30T17:00:00"/>
    <d v="1899-12-30T17:30:00"/>
  </r>
  <r>
    <d v="2024-10-02T00:00:00"/>
    <n v="925"/>
    <s v="S2S Premium"/>
    <s v="P_Pino, Elisa"/>
    <x v="60"/>
    <d v="1899-12-30T18:00:00"/>
    <s v="-"/>
    <d v="1899-12-30T18:30:00"/>
    <n v="903"/>
    <n v="0"/>
    <n v="0"/>
    <n v="9"/>
    <n v="0"/>
    <n v="0"/>
    <n v="0"/>
    <n v="3"/>
    <n v="0"/>
    <n v="0"/>
    <n v="0"/>
    <n v="0"/>
    <n v="0"/>
    <n v="0"/>
    <n v="0"/>
    <n v="0"/>
    <n v="0"/>
    <n v="0"/>
    <n v="0"/>
    <n v="2"/>
    <n v="2"/>
    <x v="1"/>
    <x v="60"/>
    <d v="1899-12-30T18:00:00"/>
    <d v="1899-12-30T18:30:00"/>
  </r>
  <r>
    <d v="2024-10-02T00:00:00"/>
    <n v="925"/>
    <s v="S2S Premium"/>
    <s v="P_Pino, Elisa"/>
    <x v="60"/>
    <d v="1899-12-30T19:30:00"/>
    <s v="-"/>
    <d v="1899-12-30T20:00:00"/>
    <n v="906"/>
    <n v="0"/>
    <n v="0"/>
    <n v="12"/>
    <n v="0"/>
    <n v="0"/>
    <n v="0"/>
    <n v="275"/>
    <n v="45"/>
    <n v="0"/>
    <n v="0"/>
    <n v="0"/>
    <n v="0"/>
    <n v="0"/>
    <n v="0"/>
    <n v="0"/>
    <n v="0"/>
    <n v="0"/>
    <n v="0"/>
    <n v="4"/>
    <n v="4"/>
    <x v="1"/>
    <x v="60"/>
    <d v="1899-12-30T19:30:00"/>
    <d v="1899-12-30T20:00:00"/>
  </r>
  <r>
    <d v="2024-10-02T00:00:00"/>
    <n v="925"/>
    <s v="S2S Premium"/>
    <s v="P_Pino, Elisa"/>
    <x v="60"/>
    <d v="1899-12-30T17:30:00"/>
    <s v="-"/>
    <d v="1899-12-30T18:00:00"/>
    <n v="907"/>
    <n v="0"/>
    <n v="0"/>
    <n v="21"/>
    <n v="0"/>
    <n v="0"/>
    <n v="0"/>
    <n v="208"/>
    <n v="97"/>
    <n v="0"/>
    <n v="0"/>
    <n v="0"/>
    <n v="0"/>
    <n v="0"/>
    <n v="0"/>
    <n v="0"/>
    <n v="0"/>
    <n v="0"/>
    <n v="0"/>
    <n v="6"/>
    <n v="5"/>
    <x v="1"/>
    <x v="60"/>
    <d v="1899-12-30T17:30:00"/>
    <d v="1899-12-30T18:00:00"/>
  </r>
  <r>
    <d v="2024-10-02T00:00:00"/>
    <n v="925"/>
    <s v="S2S Premium"/>
    <s v="P_Pino, Elisa"/>
    <x v="60"/>
    <d v="1899-12-30T19:00:00"/>
    <s v="-"/>
    <d v="1899-12-30T19:30:00"/>
    <n v="976"/>
    <n v="0"/>
    <n v="0"/>
    <n v="12"/>
    <n v="0"/>
    <n v="0"/>
    <n v="0"/>
    <n v="138"/>
    <n v="0"/>
    <n v="0"/>
    <n v="0"/>
    <n v="0"/>
    <n v="0"/>
    <n v="0"/>
    <n v="0"/>
    <n v="0"/>
    <n v="0"/>
    <n v="0"/>
    <n v="0"/>
    <n v="3"/>
    <n v="3"/>
    <x v="1"/>
    <x v="60"/>
    <d v="1899-12-30T19:00:00"/>
    <d v="1899-12-30T19:30:00"/>
  </r>
  <r>
    <d v="2024-10-02T00:00:00"/>
    <n v="925"/>
    <s v="S2S Premium"/>
    <s v="P_Pino, Elisa"/>
    <x v="60"/>
    <d v="1899-12-30T15:00:00"/>
    <s v="-"/>
    <d v="1899-12-30T15:30:00"/>
    <n v="1001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0"/>
    <d v="1899-12-30T15:00:00"/>
    <d v="1899-12-30T15:30:00"/>
  </r>
  <r>
    <d v="2024-10-02T00:00:00"/>
    <n v="925"/>
    <s v="S2S Premium"/>
    <s v="P_Pino, Elisa"/>
    <x v="60"/>
    <d v="1899-12-30T15:30:00"/>
    <s v="-"/>
    <d v="1899-12-30T16:00:00"/>
    <n v="110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60"/>
    <d v="1899-12-30T15:30:00"/>
    <d v="1899-12-30T16:00:00"/>
  </r>
  <r>
    <d v="2024-10-02T00:00:00"/>
    <n v="925"/>
    <s v="S2S Premium"/>
    <s v="P_Pino, Elisa"/>
    <x v="60"/>
    <d v="1899-12-30T16:30:00"/>
    <s v="-"/>
    <d v="1899-12-30T17:00:00"/>
    <n v="1565"/>
    <n v="0"/>
    <n v="0"/>
    <n v="8"/>
    <n v="0"/>
    <n v="0"/>
    <n v="0"/>
    <n v="93"/>
    <n v="0"/>
    <n v="0"/>
    <n v="0"/>
    <n v="0"/>
    <n v="0"/>
    <n v="0"/>
    <n v="0"/>
    <n v="0"/>
    <n v="0"/>
    <n v="0"/>
    <n v="0"/>
    <n v="2"/>
    <n v="1"/>
    <x v="1"/>
    <x v="60"/>
    <d v="1899-12-30T16:30:00"/>
    <d v="1899-12-30T17:00:00"/>
  </r>
  <r>
    <d v="2024-10-02T00:00:00"/>
    <n v="924"/>
    <s v="S2S No Premium"/>
    <s v="N2m_Calahuana Silva"/>
    <x v="61"/>
    <d v="1899-12-30T18:00:00"/>
    <s v="-"/>
    <d v="1899-12-30T18:30:00"/>
    <n v="10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1"/>
    <d v="1899-12-30T18:00:00"/>
    <d v="1899-12-30T18:30:00"/>
  </r>
  <r>
    <d v="2024-10-02T00:00:00"/>
    <n v="924"/>
    <s v="S2S No Premium"/>
    <s v="N2m_Calahuana Silva"/>
    <x v="61"/>
    <d v="1899-12-30T15:30:00"/>
    <s v="-"/>
    <d v="1899-12-30T16:00:00"/>
    <n v="825"/>
    <n v="0"/>
    <n v="0"/>
    <n v="19"/>
    <n v="0"/>
    <n v="0"/>
    <n v="0"/>
    <n v="3"/>
    <n v="3"/>
    <n v="0"/>
    <n v="0"/>
    <n v="0"/>
    <n v="0"/>
    <n v="0"/>
    <n v="0"/>
    <n v="0"/>
    <n v="0"/>
    <n v="0"/>
    <n v="0"/>
    <n v="4"/>
    <n v="2"/>
    <x v="0"/>
    <x v="61"/>
    <d v="1899-12-30T15:30:00"/>
    <d v="1899-12-30T16:00:00"/>
  </r>
  <r>
    <d v="2024-10-02T00:00:00"/>
    <n v="924"/>
    <s v="S2S No Premium"/>
    <s v="N2m_Calahuana Silva"/>
    <x v="61"/>
    <d v="1899-12-30T14:00:00"/>
    <s v="-"/>
    <d v="1899-12-30T14:30:00"/>
    <n v="916"/>
    <n v="0"/>
    <n v="0"/>
    <n v="1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1"/>
    <d v="1899-12-30T14:00:00"/>
    <d v="1899-12-30T14:30:00"/>
  </r>
  <r>
    <d v="2024-10-02T00:00:00"/>
    <n v="924"/>
    <s v="S2S No Premium"/>
    <s v="N2m_Calahuana Silva"/>
    <x v="61"/>
    <d v="1899-12-30T14:30:00"/>
    <s v="-"/>
    <d v="1899-12-30T15:00:00"/>
    <n v="1028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61"/>
    <d v="1899-12-30T14:30:00"/>
    <d v="1899-12-30T15:00:00"/>
  </r>
  <r>
    <d v="2024-10-02T00:00:00"/>
    <n v="924"/>
    <s v="S2S No Premium"/>
    <s v="N2m_Calahuana Silva"/>
    <x v="61"/>
    <d v="1899-12-30T15:00:00"/>
    <s v="-"/>
    <d v="1899-12-30T15:30:00"/>
    <n v="1031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61"/>
    <d v="1899-12-30T15:00:00"/>
    <d v="1899-12-30T15:30:00"/>
  </r>
  <r>
    <d v="2024-10-02T00:00:00"/>
    <n v="924"/>
    <s v="S2S No Premium"/>
    <s v="N2m_Calahuana Silva"/>
    <x v="61"/>
    <d v="1899-12-30T16:00:00"/>
    <s v="-"/>
    <d v="1899-12-30T16:30:00"/>
    <n v="1187"/>
    <n v="0"/>
    <n v="0"/>
    <n v="25"/>
    <n v="0"/>
    <n v="0"/>
    <n v="0"/>
    <n v="7"/>
    <n v="1"/>
    <n v="0"/>
    <n v="0"/>
    <n v="0"/>
    <n v="0"/>
    <n v="0"/>
    <n v="0"/>
    <n v="0"/>
    <n v="0"/>
    <n v="0"/>
    <n v="0"/>
    <n v="7"/>
    <n v="7"/>
    <x v="0"/>
    <x v="61"/>
    <d v="1899-12-30T16:00:00"/>
    <d v="1899-12-30T16:30:00"/>
  </r>
  <r>
    <d v="2024-10-02T00:00:00"/>
    <n v="924"/>
    <s v="S2S No Premium"/>
    <s v="N2m_Calahuana Silva"/>
    <x v="61"/>
    <d v="1899-12-30T17:00:00"/>
    <s v="-"/>
    <d v="1899-12-30T17:30:00"/>
    <n v="1368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1"/>
    <d v="1899-12-30T17:00:00"/>
    <d v="1899-12-30T17:30:00"/>
  </r>
  <r>
    <d v="2024-10-02T00:00:00"/>
    <n v="924"/>
    <s v="S2S No Premium"/>
    <s v="N2m_Calahuana Silva"/>
    <x v="61"/>
    <d v="1899-12-30T16:30:00"/>
    <s v="-"/>
    <d v="1899-12-30T17:00:00"/>
    <n v="1386"/>
    <n v="0"/>
    <n v="0"/>
    <n v="21"/>
    <n v="0"/>
    <n v="0"/>
    <n v="0"/>
    <n v="22"/>
    <n v="5"/>
    <n v="0"/>
    <n v="0"/>
    <n v="0"/>
    <n v="0"/>
    <n v="0"/>
    <n v="0"/>
    <n v="0"/>
    <n v="0"/>
    <n v="0"/>
    <n v="0"/>
    <n v="4"/>
    <n v="2"/>
    <x v="0"/>
    <x v="61"/>
    <d v="1899-12-30T16:30:00"/>
    <d v="1899-12-30T17:00:00"/>
  </r>
  <r>
    <d v="2024-10-02T00:00:00"/>
    <n v="924"/>
    <s v="S2S No Premium"/>
    <s v="N2m_Calahuana Silva"/>
    <x v="61"/>
    <d v="1899-12-30T17:30:00"/>
    <s v="-"/>
    <d v="1899-12-30T18:00:00"/>
    <n v="1499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1"/>
    <d v="1899-12-30T17:30:00"/>
    <d v="1899-12-30T18:00:00"/>
  </r>
  <r>
    <d v="2024-10-02T00:00:00"/>
    <n v="924"/>
    <s v="S2S No Premium"/>
    <s v="N2m_Gonsalez Emilia"/>
    <x v="6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2"/>
    <d v="1899-12-30T14:30:00"/>
    <d v="1899-12-30T15:00:00"/>
  </r>
  <r>
    <d v="2024-10-02T00:00:00"/>
    <n v="924"/>
    <s v="S2S No Premium"/>
    <s v="N2m_Gonsalez Emilia"/>
    <x v="62"/>
    <d v="1899-12-30T17:30:00"/>
    <s v="-"/>
    <d v="1899-12-30T18:00:00"/>
    <n v="2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2"/>
    <d v="1899-12-30T17:30:00"/>
    <d v="1899-12-30T18:00:00"/>
  </r>
  <r>
    <d v="2024-10-02T00:00:00"/>
    <n v="924"/>
    <s v="S2S No Premium"/>
    <s v="N2m_Gonsalez Emilia"/>
    <x v="62"/>
    <d v="1899-12-30T17:00:00"/>
    <s v="-"/>
    <d v="1899-12-30T17:30:00"/>
    <n v="221"/>
    <n v="0"/>
    <n v="0"/>
    <n v="5"/>
    <n v="0"/>
    <n v="0"/>
    <n v="0"/>
    <n v="168"/>
    <n v="0"/>
    <n v="0"/>
    <n v="0"/>
    <n v="0"/>
    <n v="0"/>
    <n v="0"/>
    <n v="0"/>
    <n v="0"/>
    <n v="0"/>
    <n v="0"/>
    <n v="0"/>
    <n v="1"/>
    <n v="1"/>
    <x v="0"/>
    <x v="62"/>
    <d v="1899-12-30T17:00:00"/>
    <d v="1899-12-30T17:30:00"/>
  </r>
  <r>
    <d v="2024-10-02T00:00:00"/>
    <n v="924"/>
    <s v="S2S No Premium"/>
    <s v="N2m_Gonsalez Emilia"/>
    <x v="62"/>
    <d v="1899-12-30T15:00:00"/>
    <s v="-"/>
    <d v="1899-12-30T15:30:00"/>
    <n v="493"/>
    <n v="221"/>
    <n v="0"/>
    <n v="18"/>
    <n v="0"/>
    <n v="0"/>
    <n v="0"/>
    <n v="3"/>
    <n v="36"/>
    <n v="0"/>
    <n v="0"/>
    <n v="0"/>
    <n v="0"/>
    <n v="0"/>
    <n v="0"/>
    <n v="0"/>
    <n v="0"/>
    <n v="0"/>
    <n v="0"/>
    <n v="3"/>
    <n v="3"/>
    <x v="0"/>
    <x v="62"/>
    <d v="1899-12-30T15:00:00"/>
    <d v="1899-12-30T15:30:00"/>
  </r>
  <r>
    <d v="2024-10-02T00:00:00"/>
    <n v="924"/>
    <s v="S2S No Premium"/>
    <s v="N2m_Gonsalez Emilia"/>
    <x v="62"/>
    <d v="1899-12-30T15:30:00"/>
    <s v="-"/>
    <d v="1899-12-30T16:00:00"/>
    <n v="802"/>
    <n v="0"/>
    <n v="0"/>
    <n v="16"/>
    <n v="0"/>
    <n v="0"/>
    <n v="0"/>
    <n v="145"/>
    <n v="12"/>
    <n v="0"/>
    <n v="0"/>
    <n v="0"/>
    <n v="0"/>
    <n v="0"/>
    <n v="0"/>
    <n v="0"/>
    <n v="0"/>
    <n v="0"/>
    <n v="0"/>
    <n v="4"/>
    <n v="3"/>
    <x v="0"/>
    <x v="62"/>
    <d v="1899-12-30T15:30:00"/>
    <d v="1899-12-30T16:00:00"/>
  </r>
  <r>
    <d v="2024-10-02T00:00:00"/>
    <n v="924"/>
    <s v="S2S No Premium"/>
    <s v="N2m_Gonsalez Emilia"/>
    <x v="62"/>
    <d v="1899-12-30T16:00:00"/>
    <s v="-"/>
    <d v="1899-12-30T16:30:00"/>
    <n v="901"/>
    <n v="171"/>
    <n v="0"/>
    <n v="13"/>
    <n v="0"/>
    <n v="0"/>
    <n v="0"/>
    <n v="276"/>
    <n v="0"/>
    <n v="0"/>
    <n v="0"/>
    <n v="0"/>
    <n v="0"/>
    <n v="0"/>
    <n v="0"/>
    <n v="0"/>
    <n v="0"/>
    <n v="0"/>
    <n v="0"/>
    <n v="4"/>
    <n v="4"/>
    <x v="0"/>
    <x v="62"/>
    <d v="1899-12-30T16:00:00"/>
    <d v="1899-12-30T16:30:00"/>
  </r>
  <r>
    <d v="2024-10-02T00:00:00"/>
    <n v="924"/>
    <s v="S2S No Premium"/>
    <s v="N2m_Gonsalez Emilia"/>
    <x v="62"/>
    <d v="1899-12-30T16:30:00"/>
    <s v="-"/>
    <d v="1899-12-30T17:00:00"/>
    <n v="1312"/>
    <n v="13"/>
    <n v="0"/>
    <n v="29"/>
    <n v="0"/>
    <n v="0"/>
    <n v="0"/>
    <n v="6"/>
    <n v="1"/>
    <n v="0"/>
    <n v="0"/>
    <n v="0"/>
    <n v="0"/>
    <n v="0"/>
    <n v="0"/>
    <n v="0"/>
    <n v="0"/>
    <n v="0"/>
    <n v="0"/>
    <n v="6"/>
    <n v="6"/>
    <x v="0"/>
    <x v="62"/>
    <d v="1899-12-30T16:30:00"/>
    <d v="1899-12-30T17:00:00"/>
  </r>
  <r>
    <d v="2024-10-02T00:00:00"/>
    <n v="924"/>
    <s v="S2S No Premium"/>
    <s v="N2m_Gayo, Matias"/>
    <x v="63"/>
    <d v="1899-12-30T19:30:00"/>
    <s v="-"/>
    <d v="1899-12-30T20:00:00"/>
    <n v="97"/>
    <n v="6"/>
    <n v="0"/>
    <n v="0"/>
    <n v="0"/>
    <n v="0"/>
    <n v="0"/>
    <n v="537"/>
    <n v="55"/>
    <n v="0"/>
    <n v="0"/>
    <n v="0"/>
    <n v="0"/>
    <n v="0"/>
    <n v="0"/>
    <n v="0"/>
    <n v="0"/>
    <n v="0"/>
    <n v="0"/>
    <n v="1"/>
    <n v="1"/>
    <x v="0"/>
    <x v="63"/>
    <d v="1899-12-30T19:30:00"/>
    <d v="1899-12-30T20:00:00"/>
  </r>
  <r>
    <d v="2024-10-02T00:00:00"/>
    <n v="924"/>
    <s v="S2S No Premium"/>
    <s v="N2m_Gayo, Matias"/>
    <x v="63"/>
    <d v="1899-12-30T19:00:00"/>
    <s v="-"/>
    <d v="1899-12-30T19:30:00"/>
    <n v="210"/>
    <n v="31"/>
    <n v="0"/>
    <n v="8"/>
    <n v="0"/>
    <n v="0"/>
    <n v="0"/>
    <n v="97"/>
    <n v="46"/>
    <n v="0"/>
    <n v="0"/>
    <n v="0"/>
    <n v="0"/>
    <n v="0"/>
    <n v="0"/>
    <n v="0"/>
    <n v="0"/>
    <n v="0"/>
    <n v="0"/>
    <n v="1"/>
    <n v="1"/>
    <x v="0"/>
    <x v="63"/>
    <d v="1899-12-30T19:00:00"/>
    <d v="1899-12-30T19:30:00"/>
  </r>
  <r>
    <d v="2024-10-02T00:00:00"/>
    <n v="924"/>
    <s v="S2S No Premium"/>
    <s v="N2m_Gayo, Matias"/>
    <x v="63"/>
    <d v="1899-12-30T15:00:00"/>
    <s v="-"/>
    <d v="1899-12-30T15:30:00"/>
    <n v="557"/>
    <n v="37"/>
    <n v="0"/>
    <n v="10"/>
    <n v="0"/>
    <n v="0"/>
    <n v="0"/>
    <n v="164"/>
    <n v="0"/>
    <n v="0"/>
    <n v="0"/>
    <n v="0"/>
    <n v="0"/>
    <n v="0"/>
    <n v="0"/>
    <n v="0"/>
    <n v="0"/>
    <n v="0"/>
    <n v="0"/>
    <n v="2"/>
    <n v="2"/>
    <x v="0"/>
    <x v="63"/>
    <d v="1899-12-30T15:00:00"/>
    <d v="1899-12-30T15:30:00"/>
  </r>
  <r>
    <d v="2024-10-02T00:00:00"/>
    <n v="924"/>
    <s v="S2S No Premium"/>
    <s v="N2m_Gayo, Matias"/>
    <x v="63"/>
    <d v="1899-12-30T15:30:00"/>
    <s v="-"/>
    <d v="1899-12-30T16:00:00"/>
    <n v="609"/>
    <n v="0"/>
    <n v="0"/>
    <n v="23"/>
    <n v="0"/>
    <n v="0"/>
    <n v="0"/>
    <n v="30"/>
    <n v="0"/>
    <n v="0"/>
    <n v="0"/>
    <n v="0"/>
    <n v="0"/>
    <n v="0"/>
    <n v="0"/>
    <n v="0"/>
    <n v="0"/>
    <n v="0"/>
    <n v="0"/>
    <n v="4"/>
    <n v="3"/>
    <x v="0"/>
    <x v="63"/>
    <d v="1899-12-30T15:30:00"/>
    <d v="1899-12-30T16:00:00"/>
  </r>
  <r>
    <d v="2024-10-02T00:00:00"/>
    <n v="924"/>
    <s v="S2S No Premium"/>
    <s v="N2m_Gayo, Matias"/>
    <x v="63"/>
    <d v="1899-12-30T17:00:00"/>
    <s v="-"/>
    <d v="1899-12-30T17:30:00"/>
    <n v="657"/>
    <n v="0"/>
    <n v="0"/>
    <n v="10"/>
    <n v="0"/>
    <n v="0"/>
    <n v="0"/>
    <n v="253"/>
    <n v="83"/>
    <n v="0"/>
    <n v="0"/>
    <n v="0"/>
    <n v="0"/>
    <n v="0"/>
    <n v="0"/>
    <n v="0"/>
    <n v="0"/>
    <n v="0"/>
    <n v="0"/>
    <n v="3"/>
    <n v="2"/>
    <x v="0"/>
    <x v="63"/>
    <d v="1899-12-30T17:00:00"/>
    <d v="1899-12-30T17:30:00"/>
  </r>
  <r>
    <d v="2024-10-02T00:00:00"/>
    <n v="924"/>
    <s v="S2S No Premium"/>
    <s v="N2m_Gayo, Matias"/>
    <x v="63"/>
    <d v="1899-12-30T18:30:00"/>
    <s v="-"/>
    <d v="1899-12-30T19:00:00"/>
    <n v="664"/>
    <n v="82"/>
    <n v="0"/>
    <n v="13"/>
    <n v="0"/>
    <n v="0"/>
    <n v="0"/>
    <n v="248"/>
    <n v="0"/>
    <n v="0"/>
    <n v="0"/>
    <n v="0"/>
    <n v="0"/>
    <n v="0"/>
    <n v="0"/>
    <n v="0"/>
    <n v="0"/>
    <n v="0"/>
    <n v="0"/>
    <n v="3"/>
    <n v="3"/>
    <x v="0"/>
    <x v="63"/>
    <d v="1899-12-30T18:30:00"/>
    <d v="1899-12-30T19:00:00"/>
  </r>
  <r>
    <d v="2024-10-02T00:00:00"/>
    <n v="924"/>
    <s v="S2S No Premium"/>
    <s v="N2m_Gayo, Matias"/>
    <x v="63"/>
    <d v="1899-12-30T16:30:00"/>
    <s v="-"/>
    <d v="1899-12-30T17:00:00"/>
    <n v="885"/>
    <n v="20"/>
    <n v="0"/>
    <n v="29"/>
    <n v="0"/>
    <n v="0"/>
    <n v="0"/>
    <n v="272"/>
    <n v="0"/>
    <n v="0"/>
    <n v="0"/>
    <n v="0"/>
    <n v="0"/>
    <n v="0"/>
    <n v="0"/>
    <n v="0"/>
    <n v="0"/>
    <n v="0"/>
    <n v="0"/>
    <n v="7"/>
    <n v="6"/>
    <x v="0"/>
    <x v="63"/>
    <d v="1899-12-30T16:30:00"/>
    <d v="1899-12-30T17:00:00"/>
  </r>
  <r>
    <d v="2024-10-02T00:00:00"/>
    <n v="924"/>
    <s v="S2S No Premium"/>
    <s v="N2m_Gayo, Matias"/>
    <x v="63"/>
    <d v="1899-12-30T17:30:00"/>
    <s v="-"/>
    <d v="1899-12-30T18:00:00"/>
    <n v="1041"/>
    <n v="5"/>
    <n v="0"/>
    <n v="28"/>
    <n v="0"/>
    <n v="0"/>
    <n v="0"/>
    <n v="704"/>
    <n v="0"/>
    <n v="0"/>
    <n v="0"/>
    <n v="0"/>
    <n v="0"/>
    <n v="0"/>
    <n v="0"/>
    <n v="0"/>
    <n v="0"/>
    <n v="0"/>
    <n v="0"/>
    <n v="7"/>
    <n v="5"/>
    <x v="0"/>
    <x v="63"/>
    <d v="1899-12-30T17:30:00"/>
    <d v="1899-12-30T18:00:00"/>
  </r>
  <r>
    <d v="2024-10-02T00:00:00"/>
    <n v="924"/>
    <s v="S2S No Premium"/>
    <s v="N2m_Gayo, Matias"/>
    <x v="63"/>
    <d v="1899-12-30T16:00:00"/>
    <s v="-"/>
    <d v="1899-12-30T16:30:00"/>
    <n v="1084"/>
    <n v="0"/>
    <n v="0"/>
    <n v="20"/>
    <n v="0"/>
    <n v="0"/>
    <n v="0"/>
    <n v="119"/>
    <n v="1"/>
    <n v="0"/>
    <n v="0"/>
    <n v="0"/>
    <n v="0"/>
    <n v="0"/>
    <n v="0"/>
    <n v="0"/>
    <n v="0"/>
    <n v="0"/>
    <n v="0"/>
    <n v="5"/>
    <n v="4"/>
    <x v="0"/>
    <x v="63"/>
    <d v="1899-12-30T16:00:00"/>
    <d v="1899-12-30T16:30:00"/>
  </r>
  <r>
    <d v="2024-10-02T00:00:00"/>
    <n v="924"/>
    <s v="S2S No Premium"/>
    <s v="N2m_Gayo, Matias"/>
    <x v="63"/>
    <d v="1899-12-30T18:00:00"/>
    <s v="-"/>
    <d v="1899-12-30T18:30:00"/>
    <n v="1260"/>
    <n v="0"/>
    <n v="0"/>
    <n v="24"/>
    <n v="0"/>
    <n v="0"/>
    <n v="0"/>
    <n v="136"/>
    <n v="0"/>
    <n v="0"/>
    <n v="0"/>
    <n v="0"/>
    <n v="0"/>
    <n v="0"/>
    <n v="0"/>
    <n v="0"/>
    <n v="0"/>
    <n v="0"/>
    <n v="0"/>
    <n v="7"/>
    <n v="6"/>
    <x v="0"/>
    <x v="63"/>
    <d v="1899-12-30T18:00:00"/>
    <d v="1899-12-30T18:30:00"/>
  </r>
  <r>
    <d v="2024-10-02T00:00:00"/>
    <n v="924"/>
    <s v="S2S No Premium"/>
    <s v="N2_Belchior Medina"/>
    <x v="64"/>
    <d v="1899-12-30T14:00:00"/>
    <s v="-"/>
    <d v="1899-12-30T14:30:00"/>
    <n v="603"/>
    <n v="0"/>
    <n v="0"/>
    <n v="16"/>
    <n v="0"/>
    <n v="0"/>
    <n v="0"/>
    <n v="70"/>
    <n v="0"/>
    <n v="0"/>
    <n v="0"/>
    <n v="0"/>
    <n v="0"/>
    <n v="0"/>
    <n v="0"/>
    <n v="0"/>
    <n v="0"/>
    <n v="0"/>
    <n v="0"/>
    <n v="5"/>
    <n v="3"/>
    <x v="0"/>
    <x v="64"/>
    <d v="1899-12-30T14:00:00"/>
    <d v="1899-12-30T14:30:00"/>
  </r>
  <r>
    <d v="2024-10-02T00:00:00"/>
    <n v="924"/>
    <s v="S2S No Premium"/>
    <s v="N2_Belchior Medina"/>
    <x v="64"/>
    <d v="1899-12-30T14:30:00"/>
    <s v="-"/>
    <d v="1899-12-30T15:00:00"/>
    <n v="720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4"/>
    <d v="1899-12-30T14:30:00"/>
    <d v="1899-12-30T15:00:00"/>
  </r>
  <r>
    <d v="2024-10-02T00:00:00"/>
    <n v="924"/>
    <s v="S2S No Premium"/>
    <s v="N2_Belchior Medina"/>
    <x v="64"/>
    <d v="1899-12-30T15:00:00"/>
    <s v="-"/>
    <d v="1899-12-30T15:30:00"/>
    <n v="919"/>
    <n v="76"/>
    <n v="0"/>
    <n v="12"/>
    <n v="0"/>
    <n v="0"/>
    <n v="0"/>
    <n v="65"/>
    <n v="0"/>
    <n v="0"/>
    <n v="0"/>
    <n v="0"/>
    <n v="0"/>
    <n v="0"/>
    <n v="0"/>
    <n v="0"/>
    <n v="0"/>
    <n v="0"/>
    <n v="0"/>
    <n v="3"/>
    <n v="1"/>
    <x v="0"/>
    <x v="64"/>
    <d v="1899-12-30T15:00:00"/>
    <d v="1899-12-30T15:30:00"/>
  </r>
  <r>
    <d v="2024-10-02T00:00:00"/>
    <n v="924"/>
    <s v="S2S No Premium"/>
    <s v="N2m_Gomez, Cesar"/>
    <x v="65"/>
    <d v="1899-12-30T19:30:00"/>
    <s v="-"/>
    <d v="1899-12-30T20:00:00"/>
    <n v="521"/>
    <n v="244"/>
    <n v="0"/>
    <n v="12"/>
    <n v="0"/>
    <n v="0"/>
    <n v="0"/>
    <n v="143"/>
    <n v="0"/>
    <n v="0"/>
    <n v="0"/>
    <n v="0"/>
    <n v="0"/>
    <n v="0"/>
    <n v="0"/>
    <n v="0"/>
    <n v="0"/>
    <n v="0"/>
    <n v="0"/>
    <n v="3"/>
    <n v="2"/>
    <x v="0"/>
    <x v="65"/>
    <d v="1899-12-30T19:30:00"/>
    <d v="1899-12-30T20:00:00"/>
  </r>
  <r>
    <d v="2024-10-02T00:00:00"/>
    <n v="924"/>
    <s v="S2S No Premium"/>
    <s v="N2m_Gomez, Cesar"/>
    <x v="65"/>
    <d v="1899-12-30T15:00:00"/>
    <s v="-"/>
    <d v="1899-12-30T15:30:00"/>
    <n v="704"/>
    <n v="0"/>
    <n v="0"/>
    <n v="16"/>
    <n v="0"/>
    <n v="0"/>
    <n v="0"/>
    <n v="25"/>
    <n v="0"/>
    <n v="0"/>
    <n v="0"/>
    <n v="0"/>
    <n v="0"/>
    <n v="0"/>
    <n v="0"/>
    <n v="0"/>
    <n v="0"/>
    <n v="0"/>
    <n v="0"/>
    <n v="3"/>
    <n v="3"/>
    <x v="0"/>
    <x v="65"/>
    <d v="1899-12-30T15:00:00"/>
    <d v="1899-12-30T15:30:00"/>
  </r>
  <r>
    <d v="2024-10-02T00:00:00"/>
    <n v="924"/>
    <s v="S2S No Premium"/>
    <s v="N2m_Gomez, Cesar"/>
    <x v="65"/>
    <d v="1899-12-30T18:30:00"/>
    <s v="-"/>
    <d v="1899-12-30T19:00:00"/>
    <n v="749"/>
    <n v="79"/>
    <n v="0"/>
    <n v="12"/>
    <n v="0"/>
    <n v="0"/>
    <n v="0"/>
    <n v="191"/>
    <n v="0"/>
    <n v="0"/>
    <n v="0"/>
    <n v="0"/>
    <n v="0"/>
    <n v="0"/>
    <n v="0"/>
    <n v="0"/>
    <n v="0"/>
    <n v="0"/>
    <n v="0"/>
    <n v="4"/>
    <n v="4"/>
    <x v="0"/>
    <x v="65"/>
    <d v="1899-12-30T18:30:00"/>
    <d v="1899-12-30T19:00:00"/>
  </r>
  <r>
    <d v="2024-10-02T00:00:00"/>
    <n v="924"/>
    <s v="S2S No Premium"/>
    <s v="N2m_Gomez, Cesar"/>
    <x v="65"/>
    <d v="1899-12-30T15:30:00"/>
    <s v="-"/>
    <d v="1899-12-30T16:00:00"/>
    <n v="829"/>
    <n v="0"/>
    <n v="0"/>
    <n v="16"/>
    <n v="0"/>
    <n v="0"/>
    <n v="0"/>
    <n v="274"/>
    <n v="0"/>
    <n v="0"/>
    <n v="0"/>
    <n v="0"/>
    <n v="0"/>
    <n v="0"/>
    <n v="0"/>
    <n v="0"/>
    <n v="0"/>
    <n v="0"/>
    <n v="0"/>
    <n v="5"/>
    <n v="3"/>
    <x v="0"/>
    <x v="65"/>
    <d v="1899-12-30T15:30:00"/>
    <d v="1899-12-30T16:00:00"/>
  </r>
  <r>
    <d v="2024-10-02T00:00:00"/>
    <n v="924"/>
    <s v="S2S No Premium"/>
    <s v="N2m_Gomez, Cesar"/>
    <x v="65"/>
    <d v="1899-12-30T19:00:00"/>
    <s v="-"/>
    <d v="1899-12-30T19:30:00"/>
    <n v="895"/>
    <n v="0"/>
    <n v="0"/>
    <n v="16"/>
    <n v="0"/>
    <n v="0"/>
    <n v="0"/>
    <n v="319"/>
    <n v="44"/>
    <n v="0"/>
    <n v="0"/>
    <n v="0"/>
    <n v="0"/>
    <n v="0"/>
    <n v="0"/>
    <n v="0"/>
    <n v="0"/>
    <n v="0"/>
    <n v="0"/>
    <n v="4"/>
    <n v="4"/>
    <x v="0"/>
    <x v="65"/>
    <d v="1899-12-30T19:00:00"/>
    <d v="1899-12-30T19:30:00"/>
  </r>
  <r>
    <d v="2024-10-02T00:00:00"/>
    <n v="924"/>
    <s v="S2S No Premium"/>
    <s v="N2m_Gomez, Cesar"/>
    <x v="65"/>
    <d v="1899-12-30T17:30:00"/>
    <s v="-"/>
    <d v="1899-12-30T18:00:00"/>
    <n v="983"/>
    <n v="0"/>
    <n v="0"/>
    <n v="30"/>
    <n v="0"/>
    <n v="0"/>
    <n v="0"/>
    <n v="101"/>
    <n v="0"/>
    <n v="0"/>
    <n v="0"/>
    <n v="0"/>
    <n v="0"/>
    <n v="0"/>
    <n v="0"/>
    <n v="0"/>
    <n v="0"/>
    <n v="0"/>
    <n v="0"/>
    <n v="7"/>
    <n v="5"/>
    <x v="0"/>
    <x v="65"/>
    <d v="1899-12-30T17:30:00"/>
    <d v="1899-12-30T18:00:00"/>
  </r>
  <r>
    <d v="2024-10-02T00:00:00"/>
    <n v="924"/>
    <s v="S2S No Premium"/>
    <s v="N2m_Gomez, Cesar"/>
    <x v="65"/>
    <d v="1899-12-30T16:00:00"/>
    <s v="-"/>
    <d v="1899-12-30T16:30:00"/>
    <n v="1068"/>
    <n v="0"/>
    <n v="0"/>
    <n v="28"/>
    <n v="0"/>
    <n v="0"/>
    <n v="0"/>
    <n v="187"/>
    <n v="1"/>
    <n v="0"/>
    <n v="0"/>
    <n v="0"/>
    <n v="0"/>
    <n v="0"/>
    <n v="0"/>
    <n v="0"/>
    <n v="0"/>
    <n v="0"/>
    <n v="0"/>
    <n v="6"/>
    <n v="5"/>
    <x v="0"/>
    <x v="65"/>
    <d v="1899-12-30T16:00:00"/>
    <d v="1899-12-30T16:30:00"/>
  </r>
  <r>
    <d v="2024-10-02T00:00:00"/>
    <n v="924"/>
    <s v="S2S No Premium"/>
    <s v="N2m_Gomez, Cesar"/>
    <x v="65"/>
    <d v="1899-12-30T17:00:00"/>
    <s v="-"/>
    <d v="1899-12-30T17:30:00"/>
    <n v="1079"/>
    <n v="0"/>
    <n v="0"/>
    <n v="20"/>
    <n v="0"/>
    <n v="0"/>
    <n v="0"/>
    <n v="163"/>
    <n v="0"/>
    <n v="0"/>
    <n v="0"/>
    <n v="0"/>
    <n v="0"/>
    <n v="0"/>
    <n v="0"/>
    <n v="0"/>
    <n v="0"/>
    <n v="0"/>
    <n v="0"/>
    <n v="4"/>
    <n v="3"/>
    <x v="0"/>
    <x v="65"/>
    <d v="1899-12-30T17:00:00"/>
    <d v="1899-12-30T17:30:00"/>
  </r>
  <r>
    <d v="2024-10-02T00:00:00"/>
    <n v="924"/>
    <s v="S2S No Premium"/>
    <s v="N2m_Gomez, Cesar"/>
    <x v="65"/>
    <d v="1899-12-30T16:30:00"/>
    <s v="-"/>
    <d v="1899-12-30T17:00:00"/>
    <n v="1312"/>
    <n v="0"/>
    <n v="0"/>
    <n v="12"/>
    <n v="0"/>
    <n v="0"/>
    <n v="0"/>
    <n v="73"/>
    <n v="0"/>
    <n v="0"/>
    <n v="0"/>
    <n v="0"/>
    <n v="0"/>
    <n v="0"/>
    <n v="0"/>
    <n v="0"/>
    <n v="0"/>
    <n v="0"/>
    <n v="0"/>
    <n v="4"/>
    <n v="4"/>
    <x v="0"/>
    <x v="65"/>
    <d v="1899-12-30T16:30:00"/>
    <d v="1899-12-30T17:00:00"/>
  </r>
  <r>
    <d v="2024-10-02T00:00:00"/>
    <n v="924"/>
    <s v="S2S No Premium"/>
    <s v="N2m_Gomez, Cesar"/>
    <x v="65"/>
    <d v="1899-12-30T18:00:00"/>
    <s v="-"/>
    <d v="1899-12-30T18:30:00"/>
    <n v="1550"/>
    <n v="0"/>
    <n v="0"/>
    <n v="22"/>
    <n v="0"/>
    <n v="0"/>
    <n v="0"/>
    <n v="147"/>
    <n v="0"/>
    <n v="0"/>
    <n v="0"/>
    <n v="0"/>
    <n v="0"/>
    <n v="0"/>
    <n v="0"/>
    <n v="0"/>
    <n v="0"/>
    <n v="0"/>
    <n v="0"/>
    <n v="5"/>
    <n v="4"/>
    <x v="0"/>
    <x v="65"/>
    <d v="1899-12-30T18:00:00"/>
    <d v="1899-12-30T18:30:00"/>
  </r>
  <r>
    <d v="2024-10-02T00:00:00"/>
    <n v="924"/>
    <s v="S2S No Premium"/>
    <s v="N2m_Sanjuan Laura"/>
    <x v="66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6"/>
    <d v="1899-12-30T14:30:00"/>
    <d v="1899-12-30T15:00:00"/>
  </r>
  <r>
    <d v="2024-10-02T00:00:00"/>
    <n v="924"/>
    <s v="S2S No Premium"/>
    <s v="N2m_Sanjuan Laura"/>
    <x v="66"/>
    <d v="1899-12-30T19:00:00"/>
    <s v="-"/>
    <d v="1899-12-30T19:30:00"/>
    <n v="783"/>
    <n v="1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6"/>
    <d v="1899-12-30T19:00:00"/>
    <d v="1899-12-30T19:30:00"/>
  </r>
  <r>
    <d v="2024-10-02T00:00:00"/>
    <n v="924"/>
    <s v="S2S No Premium"/>
    <s v="N2m_Sanjuan Laura"/>
    <x v="66"/>
    <d v="1899-12-30T18:30:00"/>
    <s v="-"/>
    <d v="1899-12-30T19:00:00"/>
    <n v="792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6"/>
    <d v="1899-12-30T18:30:00"/>
    <d v="1899-12-30T19:00:00"/>
  </r>
  <r>
    <d v="2024-10-02T00:00:00"/>
    <n v="924"/>
    <s v="S2S No Premium"/>
    <s v="N2m_Sanjuan Laura"/>
    <x v="66"/>
    <d v="1899-12-30T19:30:00"/>
    <s v="-"/>
    <d v="1899-12-30T20:00:00"/>
    <n v="831"/>
    <n v="221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66"/>
    <d v="1899-12-30T19:30:00"/>
    <d v="1899-12-30T20:00:00"/>
  </r>
  <r>
    <d v="2024-10-02T00:00:00"/>
    <n v="924"/>
    <s v="S2S No Premium"/>
    <s v="N2m_Sanjuan Laura"/>
    <x v="66"/>
    <d v="1899-12-30T15:00:00"/>
    <s v="-"/>
    <d v="1899-12-30T15:30:00"/>
    <n v="848"/>
    <n v="0"/>
    <n v="0"/>
    <n v="15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66"/>
    <d v="1899-12-30T15:00:00"/>
    <d v="1899-12-30T15:30:00"/>
  </r>
  <r>
    <d v="2024-10-02T00:00:00"/>
    <n v="924"/>
    <s v="S2S No Premium"/>
    <s v="N2m_Sanjuan Laura"/>
    <x v="66"/>
    <d v="1899-12-30T16:30:00"/>
    <s v="-"/>
    <d v="1899-12-30T17:00:00"/>
    <n v="912"/>
    <n v="0"/>
    <n v="0"/>
    <n v="25"/>
    <n v="0"/>
    <n v="0"/>
    <n v="0"/>
    <n v="7"/>
    <n v="0"/>
    <n v="0"/>
    <n v="0"/>
    <n v="0"/>
    <n v="0"/>
    <n v="0"/>
    <n v="0"/>
    <n v="0"/>
    <n v="0"/>
    <n v="0"/>
    <n v="0"/>
    <n v="7"/>
    <n v="7"/>
    <x v="0"/>
    <x v="66"/>
    <d v="1899-12-30T16:30:00"/>
    <d v="1899-12-30T17:00:00"/>
  </r>
  <r>
    <d v="2024-10-02T00:00:00"/>
    <n v="924"/>
    <s v="S2S No Premium"/>
    <s v="N2m_Sanjuan Laura"/>
    <x v="66"/>
    <d v="1899-12-30T17:00:00"/>
    <s v="-"/>
    <d v="1899-12-30T17:30:00"/>
    <n v="1013"/>
    <n v="177"/>
    <n v="0"/>
    <n v="2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66"/>
    <d v="1899-12-30T17:00:00"/>
    <d v="1899-12-30T17:30:00"/>
  </r>
  <r>
    <d v="2024-10-02T00:00:00"/>
    <n v="924"/>
    <s v="S2S No Premium"/>
    <s v="N2m_Sanjuan Laura"/>
    <x v="66"/>
    <d v="1899-12-30T15:30:00"/>
    <s v="-"/>
    <d v="1899-12-30T16:00:00"/>
    <n v="1148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66"/>
    <d v="1899-12-30T15:30:00"/>
    <d v="1899-12-30T16:00:00"/>
  </r>
  <r>
    <d v="2024-10-02T00:00:00"/>
    <n v="924"/>
    <s v="S2S No Premium"/>
    <s v="N2m_Sanjuan Laura"/>
    <x v="66"/>
    <d v="1899-12-30T17:30:00"/>
    <s v="-"/>
    <d v="1899-12-30T18:00:00"/>
    <n v="1413"/>
    <n v="51"/>
    <n v="0"/>
    <n v="31"/>
    <n v="0"/>
    <n v="0"/>
    <n v="0"/>
    <n v="8"/>
    <n v="0"/>
    <n v="0"/>
    <n v="0"/>
    <n v="0"/>
    <n v="0"/>
    <n v="0"/>
    <n v="0"/>
    <n v="0"/>
    <n v="0"/>
    <n v="0"/>
    <n v="0"/>
    <n v="7"/>
    <n v="7"/>
    <x v="0"/>
    <x v="66"/>
    <d v="1899-12-30T17:30:00"/>
    <d v="1899-12-30T18:00:00"/>
  </r>
  <r>
    <d v="2024-10-02T00:00:00"/>
    <n v="924"/>
    <s v="S2S No Premium"/>
    <s v="N2m_Sanjuan Laura"/>
    <x v="66"/>
    <d v="1899-12-30T16:00:00"/>
    <s v="-"/>
    <d v="1899-12-30T16:30:00"/>
    <n v="1426"/>
    <n v="0"/>
    <n v="0"/>
    <n v="21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66"/>
    <d v="1899-12-30T16:00:00"/>
    <d v="1899-12-30T16:30:00"/>
  </r>
  <r>
    <d v="2024-10-02T00:00:00"/>
    <n v="924"/>
    <s v="S2S No Premium"/>
    <s v="N2m_Sanjuan Laura"/>
    <x v="66"/>
    <d v="1899-12-30T18:00:00"/>
    <s v="-"/>
    <d v="1899-12-30T18:30:00"/>
    <n v="1699"/>
    <n v="0"/>
    <n v="0"/>
    <n v="24"/>
    <n v="0"/>
    <n v="0"/>
    <n v="0"/>
    <n v="4"/>
    <n v="0"/>
    <n v="0"/>
    <n v="0"/>
    <n v="0"/>
    <n v="0"/>
    <n v="0"/>
    <n v="0"/>
    <n v="0"/>
    <n v="0"/>
    <n v="0"/>
    <n v="0"/>
    <n v="5"/>
    <n v="3"/>
    <x v="0"/>
    <x v="66"/>
    <d v="1899-12-30T18:00:00"/>
    <d v="1899-12-30T18:30:00"/>
  </r>
  <r>
    <d v="2024-10-02T00:00:00"/>
    <n v="925"/>
    <s v="S2S Premium"/>
    <s v="P_Miragaya Maria"/>
    <x v="67"/>
    <d v="1899-12-30T19:00:00"/>
    <s v="-"/>
    <d v="1899-12-30T19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67"/>
    <d v="1899-12-30T19:00:00"/>
    <d v="1899-12-30T19:30:00"/>
  </r>
  <r>
    <d v="2024-10-02T00:00:00"/>
    <n v="925"/>
    <s v="S2S Premium"/>
    <s v="P_Miragaya Maria"/>
    <x v="67"/>
    <d v="1899-12-30T17:00:00"/>
    <s v="-"/>
    <d v="1899-12-30T17:30:00"/>
    <n v="684"/>
    <n v="855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67"/>
    <d v="1899-12-30T17:00:00"/>
    <d v="1899-12-30T17:30:00"/>
  </r>
  <r>
    <d v="2024-10-02T00:00:00"/>
    <n v="925"/>
    <s v="S2S Premium"/>
    <s v="P_Miragaya Maria"/>
    <x v="67"/>
    <d v="1899-12-30T14:30:00"/>
    <s v="-"/>
    <d v="1899-12-30T15:00:00"/>
    <n v="698"/>
    <n v="0"/>
    <n v="0"/>
    <n v="9"/>
    <n v="0"/>
    <n v="0"/>
    <n v="0"/>
    <n v="183"/>
    <n v="178"/>
    <n v="0"/>
    <n v="0"/>
    <n v="0"/>
    <n v="0"/>
    <n v="0"/>
    <n v="0"/>
    <n v="0"/>
    <n v="0"/>
    <n v="0"/>
    <n v="0"/>
    <n v="3"/>
    <n v="3"/>
    <x v="1"/>
    <x v="67"/>
    <d v="1899-12-30T14:30:00"/>
    <d v="1899-12-30T15:00:00"/>
  </r>
  <r>
    <d v="2024-10-02T00:00:00"/>
    <n v="925"/>
    <s v="S2S Premium"/>
    <s v="P_Miragaya Maria"/>
    <x v="67"/>
    <d v="1899-12-30T15:30:00"/>
    <s v="-"/>
    <d v="1899-12-30T16:00:00"/>
    <n v="700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7"/>
    <d v="1899-12-30T15:30:00"/>
    <d v="1899-12-30T16:00:00"/>
  </r>
  <r>
    <d v="2024-10-02T00:00:00"/>
    <n v="925"/>
    <s v="S2S Premium"/>
    <s v="P_Miragaya Maria"/>
    <x v="67"/>
    <d v="1899-12-30T16:00:00"/>
    <s v="-"/>
    <d v="1899-12-30T16:30:00"/>
    <n v="873"/>
    <n v="0"/>
    <n v="0"/>
    <n v="13"/>
    <n v="0"/>
    <n v="0"/>
    <n v="0"/>
    <n v="55"/>
    <n v="50"/>
    <n v="0"/>
    <n v="0"/>
    <n v="0"/>
    <n v="0"/>
    <n v="0"/>
    <n v="0"/>
    <n v="0"/>
    <n v="0"/>
    <n v="0"/>
    <n v="0"/>
    <n v="3"/>
    <n v="2"/>
    <x v="1"/>
    <x v="67"/>
    <d v="1899-12-30T16:00:00"/>
    <d v="1899-12-30T16:30:00"/>
  </r>
  <r>
    <d v="2024-10-02T00:00:00"/>
    <n v="925"/>
    <s v="S2S Premium"/>
    <s v="P_Miragaya Maria"/>
    <x v="67"/>
    <d v="1899-12-30T14:00:00"/>
    <s v="-"/>
    <d v="1899-12-30T14:30:00"/>
    <n v="996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67"/>
    <d v="1899-12-30T14:00:00"/>
    <d v="1899-12-30T14:30:00"/>
  </r>
  <r>
    <d v="2024-10-02T00:00:00"/>
    <n v="925"/>
    <s v="S2S Premium"/>
    <s v="P_Miragaya Maria"/>
    <x v="67"/>
    <d v="1899-12-30T18:00:00"/>
    <s v="-"/>
    <d v="1899-12-30T18:30:00"/>
    <n v="102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2"/>
    <x v="1"/>
    <x v="67"/>
    <d v="1899-12-30T18:00:00"/>
    <d v="1899-12-30T18:30:00"/>
  </r>
  <r>
    <d v="2024-10-02T00:00:00"/>
    <n v="925"/>
    <s v="S2S Premium"/>
    <s v="P_Miragaya Maria"/>
    <x v="67"/>
    <d v="1899-12-30T18:30:00"/>
    <s v="-"/>
    <d v="1899-12-30T19:00:00"/>
    <n v="1074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7"/>
    <d v="1899-12-30T18:30:00"/>
    <d v="1899-12-30T19:00:00"/>
  </r>
  <r>
    <d v="2024-10-02T00:00:00"/>
    <n v="925"/>
    <s v="S2S Premium"/>
    <s v="P_Miragaya Maria"/>
    <x v="67"/>
    <d v="1899-12-30T15:00:00"/>
    <s v="-"/>
    <d v="1899-12-30T15:30:00"/>
    <n v="1083"/>
    <n v="0"/>
    <n v="0"/>
    <n v="18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67"/>
    <d v="1899-12-30T15:00:00"/>
    <d v="1899-12-30T15:30:00"/>
  </r>
  <r>
    <d v="2024-10-02T00:00:00"/>
    <n v="925"/>
    <s v="S2S Premium"/>
    <s v="P_Miragaya Maria"/>
    <x v="67"/>
    <d v="1899-12-30T17:30:00"/>
    <s v="-"/>
    <d v="1899-12-30T18:00:00"/>
    <n v="1268"/>
    <n v="0"/>
    <n v="0"/>
    <n v="13"/>
    <n v="0"/>
    <n v="0"/>
    <n v="0"/>
    <n v="8"/>
    <n v="2"/>
    <n v="0"/>
    <n v="0"/>
    <n v="0"/>
    <n v="0"/>
    <n v="0"/>
    <n v="0"/>
    <n v="0"/>
    <n v="0"/>
    <n v="0"/>
    <n v="0"/>
    <n v="3"/>
    <n v="2"/>
    <x v="1"/>
    <x v="67"/>
    <d v="1899-12-30T17:30:00"/>
    <d v="1899-12-30T18:00:00"/>
  </r>
  <r>
    <d v="2024-10-02T00:00:00"/>
    <n v="925"/>
    <s v="S2S Premium"/>
    <s v="P_Miragaya Maria"/>
    <x v="67"/>
    <d v="1899-12-30T16:30:00"/>
    <s v="-"/>
    <d v="1899-12-30T17:00:00"/>
    <n v="1284"/>
    <n v="32"/>
    <n v="0"/>
    <n v="16"/>
    <n v="0"/>
    <n v="0"/>
    <n v="0"/>
    <n v="53"/>
    <n v="48"/>
    <n v="0"/>
    <n v="0"/>
    <n v="0"/>
    <n v="0"/>
    <n v="0"/>
    <n v="0"/>
    <n v="0"/>
    <n v="0"/>
    <n v="0"/>
    <n v="0"/>
    <n v="3"/>
    <n v="2"/>
    <x v="1"/>
    <x v="67"/>
    <d v="1899-12-30T16:30:00"/>
    <d v="1899-12-30T17:00:00"/>
  </r>
  <r>
    <d v="2024-10-02T00:00:00"/>
    <n v="925"/>
    <s v="S2S Premium"/>
    <s v="P_Miragaya Maria"/>
    <x v="67"/>
    <d v="1899-12-30T19:30:00"/>
    <s v="-"/>
    <d v="1899-12-30T20:00:00"/>
    <n v="1322"/>
    <n v="73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7"/>
    <d v="1899-12-30T19:30:00"/>
    <d v="1899-12-30T20:00:00"/>
  </r>
  <r>
    <d v="2024-10-02T00:00:00"/>
    <n v="924"/>
    <s v="S2S No Premium"/>
    <s v="N2m_Bursese Maite"/>
    <x v="68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8"/>
    <d v="1899-12-30T14:30:00"/>
    <d v="1899-12-30T15:00:00"/>
  </r>
  <r>
    <d v="2024-10-02T00:00:00"/>
    <n v="924"/>
    <s v="S2S No Premium"/>
    <s v="N2m_Bursese Maite"/>
    <x v="68"/>
    <d v="1899-12-30T15:30:00"/>
    <s v="-"/>
    <d v="1899-12-30T16:00:00"/>
    <n v="14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8"/>
    <d v="1899-12-30T15:30:00"/>
    <d v="1899-12-30T16:00:00"/>
  </r>
  <r>
    <d v="2024-10-02T00:00:00"/>
    <n v="924"/>
    <s v="S2S No Premium"/>
    <s v="N2m_Bursese Maite"/>
    <x v="68"/>
    <d v="1899-12-30T15:00:00"/>
    <s v="-"/>
    <d v="1899-12-30T15:30:00"/>
    <n v="822"/>
    <n v="272"/>
    <n v="0"/>
    <n v="17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8"/>
    <d v="1899-12-30T15:00:00"/>
    <d v="1899-12-30T15:30:00"/>
  </r>
  <r>
    <d v="2024-10-02T00:00:00"/>
    <n v="925"/>
    <s v="S2S Premium"/>
    <s v="Pm_Garrigo Carolina"/>
    <x v="69"/>
    <d v="1899-12-30T14:00:00"/>
    <s v="-"/>
    <d v="1899-12-30T14:30:00"/>
    <n v="146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69"/>
    <d v="1899-12-30T14:00:00"/>
    <d v="1899-12-30T14:30:00"/>
  </r>
  <r>
    <d v="2024-10-02T00:00:00"/>
    <n v="925"/>
    <s v="S2S Premium"/>
    <s v="Pm_Garrigo Carolina"/>
    <x v="69"/>
    <d v="1899-12-30T15:30:00"/>
    <s v="-"/>
    <d v="1899-12-30T16:00:00"/>
    <n v="646"/>
    <n v="0"/>
    <n v="0"/>
    <n v="10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9"/>
    <d v="1899-12-30T15:30:00"/>
    <d v="1899-12-30T16:00:00"/>
  </r>
  <r>
    <d v="2024-10-02T00:00:00"/>
    <n v="925"/>
    <s v="S2S Premium"/>
    <s v="Pm_Garrigo Carolina"/>
    <x v="69"/>
    <d v="1899-12-30T14:30:00"/>
    <s v="-"/>
    <d v="1899-12-30T15:00:00"/>
    <n v="665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9"/>
    <d v="1899-12-30T14:30:00"/>
    <d v="1899-12-30T15:00:00"/>
  </r>
  <r>
    <d v="2024-10-02T00:00:00"/>
    <n v="925"/>
    <s v="S2S Premium"/>
    <s v="Pm_Garrigo Carolina"/>
    <x v="69"/>
    <d v="1899-12-30T15:00:00"/>
    <s v="-"/>
    <d v="1899-12-30T15:30:00"/>
    <n v="1043"/>
    <n v="0"/>
    <n v="0"/>
    <n v="13"/>
    <n v="0"/>
    <n v="0"/>
    <n v="0"/>
    <n v="4"/>
    <n v="0"/>
    <n v="0"/>
    <n v="0"/>
    <n v="0"/>
    <n v="0"/>
    <n v="0"/>
    <n v="0"/>
    <n v="0"/>
    <n v="0"/>
    <n v="0"/>
    <n v="0"/>
    <n v="2"/>
    <n v="2"/>
    <x v="1"/>
    <x v="69"/>
    <d v="1899-12-30T15:00:00"/>
    <d v="1899-12-30T15:30:00"/>
  </r>
  <r>
    <d v="2024-10-02T00:00:00"/>
    <n v="925"/>
    <s v="S2S Premium"/>
    <s v="Pm_Fuhr, Patricio"/>
    <x v="70"/>
    <d v="1899-12-30T18:00:00"/>
    <s v="-"/>
    <d v="1899-12-30T18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0"/>
    <d v="1899-12-30T18:00:00"/>
    <d v="1899-12-30T18:30:00"/>
  </r>
  <r>
    <d v="2024-10-02T00:00:00"/>
    <n v="925"/>
    <s v="S2S Premium"/>
    <s v="Pm_Fuhr, Patricio"/>
    <x v="70"/>
    <d v="1899-12-30T19:30:00"/>
    <s v="-"/>
    <d v="1899-12-30T20:00:00"/>
    <n v="134"/>
    <n v="0"/>
    <n v="0"/>
    <n v="12"/>
    <n v="0"/>
    <n v="0"/>
    <n v="0"/>
    <n v="3"/>
    <n v="3"/>
    <n v="0"/>
    <n v="0"/>
    <n v="0"/>
    <n v="0"/>
    <n v="0"/>
    <n v="0"/>
    <n v="0"/>
    <n v="0"/>
    <n v="0"/>
    <n v="0"/>
    <n v="3"/>
    <n v="3"/>
    <x v="1"/>
    <x v="70"/>
    <d v="1899-12-30T19:30:00"/>
    <d v="1899-12-30T20:00:00"/>
  </r>
  <r>
    <d v="2024-10-02T00:00:00"/>
    <n v="925"/>
    <s v="S2S Premium"/>
    <s v="Pm_Fuhr, Patricio"/>
    <x v="70"/>
    <d v="1899-12-30T18:30:00"/>
    <s v="-"/>
    <d v="1899-12-30T19:00:00"/>
    <n v="14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70"/>
    <d v="1899-12-30T18:30:00"/>
    <d v="1899-12-30T19:00:00"/>
  </r>
  <r>
    <d v="2024-10-02T00:00:00"/>
    <n v="925"/>
    <s v="S2S Premium"/>
    <s v="Pm_Fuhr, Patricio"/>
    <x v="70"/>
    <d v="1899-12-30T19:00:00"/>
    <s v="-"/>
    <d v="1899-12-30T19:30:00"/>
    <n v="148"/>
    <n v="0"/>
    <n v="0"/>
    <n v="9"/>
    <n v="0"/>
    <n v="0"/>
    <n v="0"/>
    <n v="2"/>
    <n v="2"/>
    <n v="0"/>
    <n v="0"/>
    <n v="0"/>
    <n v="0"/>
    <n v="0"/>
    <n v="0"/>
    <n v="0"/>
    <n v="0"/>
    <n v="0"/>
    <n v="0"/>
    <n v="2"/>
    <n v="2"/>
    <x v="1"/>
    <x v="70"/>
    <d v="1899-12-30T19:00:00"/>
    <d v="1899-12-30T19:30:00"/>
  </r>
  <r>
    <d v="2024-10-02T00:00:00"/>
    <n v="925"/>
    <s v="S2S Premium"/>
    <s v="Pm_Machado, Elías"/>
    <x v="71"/>
    <d v="1899-12-30T19:30:00"/>
    <s v="-"/>
    <d v="1899-12-30T20:00:00"/>
    <n v="400"/>
    <n v="60"/>
    <n v="0"/>
    <n v="14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71"/>
    <d v="1899-12-30T19:30:00"/>
    <d v="1899-12-30T20:00:00"/>
  </r>
  <r>
    <d v="2024-10-02T00:00:00"/>
    <n v="924"/>
    <s v="S2S No Premium"/>
    <s v="N2m_Almiron,Luciana"/>
    <x v="7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2"/>
    <d v="1899-12-30T14:30:00"/>
    <d v="1899-12-30T15:00:00"/>
  </r>
  <r>
    <d v="2024-10-02T00:00:00"/>
    <n v="924"/>
    <s v="S2S No Premium"/>
    <s v="N2m_Almiron,Luciana"/>
    <x v="72"/>
    <d v="1899-12-30T18:00:00"/>
    <s v="-"/>
    <d v="1899-12-30T18:30:00"/>
    <n v="95"/>
    <n v="41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72"/>
    <d v="1899-12-30T18:00:00"/>
    <d v="1899-12-30T18:30:00"/>
  </r>
  <r>
    <d v="2024-10-02T00:00:00"/>
    <n v="924"/>
    <s v="S2S No Premium"/>
    <s v="N2m_Almiron,Luciana"/>
    <x v="72"/>
    <d v="1899-12-30T17:00:00"/>
    <s v="-"/>
    <d v="1899-12-30T17:30:00"/>
    <n v="486"/>
    <n v="18"/>
    <n v="0"/>
    <n v="14"/>
    <n v="0"/>
    <n v="0"/>
    <n v="0"/>
    <n v="1111"/>
    <n v="0"/>
    <n v="0"/>
    <n v="0"/>
    <n v="0"/>
    <n v="0"/>
    <n v="0"/>
    <n v="0"/>
    <n v="0"/>
    <n v="0"/>
    <n v="0"/>
    <n v="0"/>
    <n v="4"/>
    <n v="4"/>
    <x v="0"/>
    <x v="72"/>
    <d v="1899-12-30T17:00:00"/>
    <d v="1899-12-30T17:30:00"/>
  </r>
  <r>
    <d v="2024-10-02T00:00:00"/>
    <n v="924"/>
    <s v="S2S No Premium"/>
    <s v="N2m_Almiron,Luciana"/>
    <x v="72"/>
    <d v="1899-12-30T19:30:00"/>
    <s v="-"/>
    <d v="1899-12-30T20:00:00"/>
    <n v="593"/>
    <n v="38"/>
    <n v="0"/>
    <n v="8"/>
    <n v="0"/>
    <n v="0"/>
    <n v="0"/>
    <n v="66"/>
    <n v="0"/>
    <n v="0"/>
    <n v="0"/>
    <n v="0"/>
    <n v="0"/>
    <n v="0"/>
    <n v="0"/>
    <n v="0"/>
    <n v="0"/>
    <n v="0"/>
    <n v="0"/>
    <n v="2"/>
    <n v="2"/>
    <x v="0"/>
    <x v="72"/>
    <d v="1899-12-30T19:30:00"/>
    <d v="1899-12-30T20:00:00"/>
  </r>
  <r>
    <d v="2024-10-02T00:00:00"/>
    <n v="924"/>
    <s v="S2S No Premium"/>
    <s v="N2m_Almiron,Luciana"/>
    <x v="72"/>
    <d v="1899-12-30T15:00:00"/>
    <s v="-"/>
    <d v="1899-12-30T15:30:00"/>
    <n v="652"/>
    <n v="100"/>
    <n v="0"/>
    <n v="18"/>
    <n v="0"/>
    <n v="0"/>
    <n v="0"/>
    <n v="122"/>
    <n v="7"/>
    <n v="0"/>
    <n v="0"/>
    <n v="0"/>
    <n v="0"/>
    <n v="0"/>
    <n v="0"/>
    <n v="0"/>
    <n v="0"/>
    <n v="0"/>
    <n v="0"/>
    <n v="3"/>
    <n v="2"/>
    <x v="0"/>
    <x v="72"/>
    <d v="1899-12-30T15:00:00"/>
    <d v="1899-12-30T15:30:00"/>
  </r>
  <r>
    <d v="2024-10-02T00:00:00"/>
    <n v="924"/>
    <s v="S2S No Premium"/>
    <s v="N2m_Almiron,Luciana"/>
    <x v="72"/>
    <d v="1899-12-30T15:30:00"/>
    <s v="-"/>
    <d v="1899-12-30T16:00:00"/>
    <n v="806"/>
    <n v="0"/>
    <n v="0"/>
    <n v="12"/>
    <n v="0"/>
    <n v="0"/>
    <n v="0"/>
    <n v="230"/>
    <n v="64"/>
    <n v="0"/>
    <n v="0"/>
    <n v="0"/>
    <n v="0"/>
    <n v="0"/>
    <n v="0"/>
    <n v="0"/>
    <n v="0"/>
    <n v="0"/>
    <n v="0"/>
    <n v="3"/>
    <n v="3"/>
    <x v="0"/>
    <x v="72"/>
    <d v="1899-12-30T15:30:00"/>
    <d v="1899-12-30T16:00:00"/>
  </r>
  <r>
    <d v="2024-10-02T00:00:00"/>
    <n v="924"/>
    <s v="S2S No Premium"/>
    <s v="N2m_Almiron,Luciana"/>
    <x v="72"/>
    <d v="1899-12-30T16:30:00"/>
    <s v="-"/>
    <d v="1899-12-30T17:00:00"/>
    <n v="838"/>
    <n v="6"/>
    <n v="0"/>
    <n v="16"/>
    <n v="0"/>
    <n v="0"/>
    <n v="0"/>
    <n v="213"/>
    <n v="0"/>
    <n v="0"/>
    <n v="0"/>
    <n v="0"/>
    <n v="0"/>
    <n v="0"/>
    <n v="0"/>
    <n v="0"/>
    <n v="0"/>
    <n v="0"/>
    <n v="0"/>
    <n v="4"/>
    <n v="4"/>
    <x v="0"/>
    <x v="72"/>
    <d v="1899-12-30T16:30:00"/>
    <d v="1899-12-30T17:00:00"/>
  </r>
  <r>
    <d v="2024-10-02T00:00:00"/>
    <n v="924"/>
    <s v="S2S No Premium"/>
    <s v="N2m_Almiron,Luciana"/>
    <x v="72"/>
    <d v="1899-12-30T18:30:00"/>
    <s v="-"/>
    <d v="1899-12-30T19:00:00"/>
    <n v="864"/>
    <n v="70"/>
    <n v="0"/>
    <n v="12"/>
    <n v="0"/>
    <n v="0"/>
    <n v="0"/>
    <n v="201"/>
    <n v="34"/>
    <n v="0"/>
    <n v="0"/>
    <n v="0"/>
    <n v="0"/>
    <n v="0"/>
    <n v="0"/>
    <n v="0"/>
    <n v="0"/>
    <n v="0"/>
    <n v="0"/>
    <n v="2"/>
    <n v="2"/>
    <x v="0"/>
    <x v="72"/>
    <d v="1899-12-30T18:30:00"/>
    <d v="1899-12-30T19:00:00"/>
  </r>
  <r>
    <d v="2024-10-02T00:00:00"/>
    <n v="924"/>
    <s v="S2S No Premium"/>
    <s v="N2m_Almiron,Luciana"/>
    <x v="72"/>
    <d v="1899-12-30T19:00:00"/>
    <s v="-"/>
    <d v="1899-12-30T19:30:00"/>
    <n v="884"/>
    <n v="50"/>
    <n v="0"/>
    <n v="11"/>
    <n v="0"/>
    <n v="0"/>
    <n v="0"/>
    <n v="324"/>
    <n v="0"/>
    <n v="0"/>
    <n v="0"/>
    <n v="0"/>
    <n v="0"/>
    <n v="0"/>
    <n v="0"/>
    <n v="0"/>
    <n v="0"/>
    <n v="0"/>
    <n v="0"/>
    <n v="3"/>
    <n v="2"/>
    <x v="0"/>
    <x v="72"/>
    <d v="1899-12-30T19:00:00"/>
    <d v="1899-12-30T19:30:00"/>
  </r>
  <r>
    <d v="2024-10-02T00:00:00"/>
    <n v="924"/>
    <s v="S2S No Premium"/>
    <s v="N2m_Almiron,Luciana"/>
    <x v="72"/>
    <d v="1899-12-30T17:30:00"/>
    <s v="-"/>
    <d v="1899-12-30T18:00:00"/>
    <n v="918"/>
    <n v="93"/>
    <n v="0"/>
    <n v="16"/>
    <n v="0"/>
    <n v="0"/>
    <n v="0"/>
    <n v="544"/>
    <n v="0"/>
    <n v="0"/>
    <n v="0"/>
    <n v="0"/>
    <n v="0"/>
    <n v="0"/>
    <n v="0"/>
    <n v="0"/>
    <n v="0"/>
    <n v="0"/>
    <n v="0"/>
    <n v="4"/>
    <n v="3"/>
    <x v="0"/>
    <x v="72"/>
    <d v="1899-12-30T17:30:00"/>
    <d v="1899-12-30T18:00:00"/>
  </r>
  <r>
    <d v="2024-10-02T00:00:00"/>
    <n v="924"/>
    <s v="S2S No Premium"/>
    <s v="N2m_Almiron,Luciana"/>
    <x v="72"/>
    <d v="1899-12-30T16:00:00"/>
    <s v="-"/>
    <d v="1899-12-30T16:30:00"/>
    <n v="1064"/>
    <n v="127"/>
    <n v="0"/>
    <n v="8"/>
    <n v="0"/>
    <n v="0"/>
    <n v="0"/>
    <n v="724"/>
    <n v="0"/>
    <n v="0"/>
    <n v="0"/>
    <n v="0"/>
    <n v="0"/>
    <n v="0"/>
    <n v="0"/>
    <n v="0"/>
    <n v="0"/>
    <n v="0"/>
    <n v="0"/>
    <n v="2"/>
    <n v="2"/>
    <x v="0"/>
    <x v="72"/>
    <d v="1899-12-30T16:00:00"/>
    <d v="1899-12-30T16:30:00"/>
  </r>
  <r>
    <d v="2024-10-02T00:00:00"/>
    <n v="924"/>
    <s v="S2S No Premium"/>
    <s v="N2m_Vaca, Andrea"/>
    <x v="73"/>
    <d v="1899-12-30T14:30:00"/>
    <s v="-"/>
    <d v="1899-12-30T15:00:0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73"/>
    <d v="1899-12-30T14:30:00"/>
    <d v="1899-12-30T15:00:00"/>
  </r>
  <r>
    <d v="2024-10-02T00:00:00"/>
    <n v="924"/>
    <s v="S2S No Premium"/>
    <s v="N2m_Vaca, Andrea"/>
    <x v="73"/>
    <d v="1899-12-30T16:00:00"/>
    <s v="-"/>
    <d v="1899-12-30T16:30:00"/>
    <n v="85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0"/>
    <x v="0"/>
    <x v="73"/>
    <d v="1899-12-30T16:00:00"/>
    <d v="1899-12-30T16:30:00"/>
  </r>
  <r>
    <d v="2024-10-02T00:00:00"/>
    <n v="924"/>
    <s v="S2S No Premium"/>
    <s v="N2m_Vaca, Andrea"/>
    <x v="73"/>
    <d v="1899-12-30T15:00:00"/>
    <s v="-"/>
    <d v="1899-12-30T15:30:00"/>
    <n v="679"/>
    <n v="0"/>
    <n v="0"/>
    <n v="14"/>
    <n v="0"/>
    <n v="0"/>
    <n v="0"/>
    <n v="18"/>
    <n v="0"/>
    <n v="0"/>
    <n v="0"/>
    <n v="0"/>
    <n v="0"/>
    <n v="0"/>
    <n v="0"/>
    <n v="0"/>
    <n v="0"/>
    <n v="0"/>
    <n v="0"/>
    <n v="2"/>
    <n v="2"/>
    <x v="0"/>
    <x v="73"/>
    <d v="1899-12-30T15:00:00"/>
    <d v="1899-12-30T15:30:00"/>
  </r>
  <r>
    <d v="2024-10-02T00:00:00"/>
    <n v="924"/>
    <s v="S2S No Premium"/>
    <s v="N2m_Vaca, Andrea"/>
    <x v="73"/>
    <d v="1899-12-30T14:00:00"/>
    <s v="-"/>
    <d v="1899-12-30T14:30:00"/>
    <n v="922"/>
    <n v="265"/>
    <n v="0"/>
    <n v="18"/>
    <n v="0"/>
    <n v="0"/>
    <n v="0"/>
    <n v="120"/>
    <n v="81"/>
    <n v="0"/>
    <n v="0"/>
    <n v="0"/>
    <n v="0"/>
    <n v="0"/>
    <n v="0"/>
    <n v="0"/>
    <n v="0"/>
    <n v="0"/>
    <n v="0"/>
    <n v="3"/>
    <n v="1"/>
    <x v="0"/>
    <x v="73"/>
    <d v="1899-12-30T14:00:00"/>
    <d v="1899-12-30T14:30:00"/>
  </r>
  <r>
    <d v="2024-10-02T00:00:00"/>
    <n v="924"/>
    <s v="S2S No Premium"/>
    <s v="N2m_Vaca, Andrea"/>
    <x v="73"/>
    <d v="1899-12-30T15:30:00"/>
    <s v="-"/>
    <d v="1899-12-30T16:00:00"/>
    <n v="1059"/>
    <n v="0"/>
    <n v="0"/>
    <n v="21"/>
    <n v="0"/>
    <n v="0"/>
    <n v="0"/>
    <n v="143"/>
    <n v="134"/>
    <n v="0"/>
    <n v="0"/>
    <n v="0"/>
    <n v="0"/>
    <n v="0"/>
    <n v="0"/>
    <n v="0"/>
    <n v="0"/>
    <n v="0"/>
    <n v="0"/>
    <n v="5"/>
    <n v="5"/>
    <x v="0"/>
    <x v="73"/>
    <d v="1899-12-30T15:30:00"/>
    <d v="1899-12-30T16:00:00"/>
  </r>
  <r>
    <d v="2024-10-02T00:00:00"/>
    <n v="924"/>
    <s v="S2S No Premium"/>
    <s v="N2m_Quisbert, Andrew"/>
    <x v="74"/>
    <d v="1899-12-30T14:00:00"/>
    <s v="-"/>
    <d v="1899-12-30T14:30:00"/>
    <n v="528"/>
    <n v="0"/>
    <n v="0"/>
    <n v="18"/>
    <n v="0"/>
    <n v="0"/>
    <n v="0"/>
    <n v="6"/>
    <n v="0"/>
    <n v="0"/>
    <n v="0"/>
    <n v="0"/>
    <n v="0"/>
    <n v="0"/>
    <n v="0"/>
    <n v="0"/>
    <n v="0"/>
    <n v="0"/>
    <n v="0"/>
    <n v="4"/>
    <n v="1"/>
    <x v="0"/>
    <x v="74"/>
    <d v="1899-12-30T14:00:00"/>
    <d v="1899-12-30T14:30:00"/>
  </r>
  <r>
    <d v="2024-10-02T00:00:00"/>
    <n v="924"/>
    <s v="S2S No Premium"/>
    <s v="N2m_Quisbert, Andrew"/>
    <x v="74"/>
    <d v="1899-12-30T14:30:00"/>
    <s v="-"/>
    <d v="1899-12-30T15:00:00"/>
    <n v="1255"/>
    <n v="40"/>
    <n v="0"/>
    <n v="5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74"/>
    <d v="1899-12-30T14:30:00"/>
    <d v="1899-12-30T15:00:00"/>
  </r>
  <r>
    <d v="2024-10-02T00:00:00"/>
    <n v="924"/>
    <s v="S2S No Premium"/>
    <s v="N2m_Gutierrez, Brisa"/>
    <x v="75"/>
    <d v="1899-12-30T14:00:00"/>
    <s v="-"/>
    <d v="1899-12-30T14:30:00"/>
    <n v="822"/>
    <n v="58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75"/>
    <d v="1899-12-30T14:00:00"/>
    <d v="1899-12-30T14:30:00"/>
  </r>
  <r>
    <d v="2024-10-02T00:00:00"/>
    <n v="924"/>
    <s v="S2S No Premium"/>
    <s v="N2m_Gutierrez, Brisa"/>
    <x v="75"/>
    <d v="1899-12-30T14:30:00"/>
    <s v="-"/>
    <d v="1899-12-30T15:00:00"/>
    <n v="889"/>
    <n v="24"/>
    <n v="0"/>
    <n v="10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75"/>
    <d v="1899-12-30T14:30:00"/>
    <d v="1899-12-30T15:00:00"/>
  </r>
  <r>
    <d v="2024-10-02T00:00:00"/>
    <n v="924"/>
    <s v="S2S No Premium"/>
    <s v="N2m_Giavino, Alan"/>
    <x v="76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6"/>
    <d v="1899-12-30T14:00:00"/>
    <d v="1899-12-30T14:30:00"/>
  </r>
  <r>
    <d v="2024-10-02T00:00:00"/>
    <n v="924"/>
    <s v="S2S No Premium"/>
    <s v="N2m_Giavino, Alan"/>
    <x v="76"/>
    <d v="1899-12-30T14:30:00"/>
    <s v="-"/>
    <d v="1899-12-30T15:00:00"/>
    <n v="897"/>
    <n v="132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76"/>
    <d v="1899-12-30T14:30:00"/>
    <d v="1899-12-30T15:00:00"/>
  </r>
  <r>
    <d v="2024-10-02T00:00:00"/>
    <n v="924"/>
    <s v="S2S No Premium"/>
    <s v="N2m_Sanso, Naomi"/>
    <x v="77"/>
    <d v="1899-12-30T17:30:00"/>
    <s v="-"/>
    <d v="1899-12-30T18:00:00"/>
    <n v="8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7"/>
    <d v="1899-12-30T17:30:00"/>
    <d v="1899-12-30T18:00:00"/>
  </r>
  <r>
    <d v="2024-10-02T00:00:00"/>
    <n v="924"/>
    <s v="S2S No Premium"/>
    <s v="N2m_Sanso, Naomi"/>
    <x v="77"/>
    <d v="1899-12-30T19:30:00"/>
    <s v="-"/>
    <d v="1899-12-30T20:00:00"/>
    <n v="661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77"/>
    <d v="1899-12-30T19:30:00"/>
    <d v="1899-12-30T20:00:00"/>
  </r>
  <r>
    <d v="2024-10-02T00:00:00"/>
    <n v="924"/>
    <s v="S2S No Premium"/>
    <s v="N2m_Sanso, Naomi"/>
    <x v="77"/>
    <d v="1899-12-30T18:30:00"/>
    <s v="-"/>
    <d v="1899-12-30T19:00:00"/>
    <n v="1095"/>
    <n v="0"/>
    <n v="0"/>
    <n v="8"/>
    <n v="0"/>
    <n v="0"/>
    <n v="0"/>
    <n v="18"/>
    <n v="0"/>
    <n v="0"/>
    <n v="0"/>
    <n v="0"/>
    <n v="0"/>
    <n v="0"/>
    <n v="0"/>
    <n v="0"/>
    <n v="0"/>
    <n v="0"/>
    <n v="0"/>
    <n v="2"/>
    <n v="2"/>
    <x v="0"/>
    <x v="77"/>
    <d v="1899-12-30T18:30:00"/>
    <d v="1899-12-30T19:00:00"/>
  </r>
  <r>
    <d v="2024-10-02T00:00:00"/>
    <n v="924"/>
    <s v="S2S No Premium"/>
    <s v="N2m_Sanso, Naomi"/>
    <x v="77"/>
    <d v="1899-12-30T19:00:00"/>
    <s v="-"/>
    <d v="1899-12-30T19:30:00"/>
    <n v="1211"/>
    <n v="18"/>
    <n v="0"/>
    <n v="8"/>
    <n v="0"/>
    <n v="0"/>
    <n v="0"/>
    <n v="49"/>
    <n v="0"/>
    <n v="0"/>
    <n v="0"/>
    <n v="0"/>
    <n v="0"/>
    <n v="0"/>
    <n v="0"/>
    <n v="0"/>
    <n v="0"/>
    <n v="0"/>
    <n v="0"/>
    <n v="3"/>
    <n v="2"/>
    <x v="0"/>
    <x v="77"/>
    <d v="1899-12-30T19:00:00"/>
    <d v="1899-12-30T19:30:00"/>
  </r>
  <r>
    <d v="2024-10-02T00:00:00"/>
    <n v="924"/>
    <s v="S2S No Premium"/>
    <s v="N2m_Sanso, Naomi"/>
    <x v="77"/>
    <d v="1899-12-30T18:00:00"/>
    <s v="-"/>
    <d v="1899-12-30T18:30:00"/>
    <n v="1575"/>
    <n v="0"/>
    <n v="0"/>
    <n v="21"/>
    <n v="0"/>
    <n v="0"/>
    <n v="0"/>
    <n v="55"/>
    <n v="0"/>
    <n v="0"/>
    <n v="0"/>
    <n v="0"/>
    <n v="0"/>
    <n v="0"/>
    <n v="0"/>
    <n v="0"/>
    <n v="0"/>
    <n v="0"/>
    <n v="0"/>
    <n v="5"/>
    <n v="4"/>
    <x v="0"/>
    <x v="77"/>
    <d v="1899-12-30T18:00:00"/>
    <d v="1899-12-30T18:30:00"/>
  </r>
  <r>
    <d v="2024-10-02T00:00:00"/>
    <n v="925"/>
    <s v="S2S Premium"/>
    <s v="Pm_Sánchez, Adrian"/>
    <x v="78"/>
    <d v="1899-12-30T14:00:00"/>
    <s v="-"/>
    <d v="1899-12-30T14:30:00"/>
    <n v="24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78"/>
    <d v="1899-12-30T14:00:00"/>
    <d v="1899-12-30T14:30:00"/>
  </r>
  <r>
    <d v="2024-10-02T00:00:00"/>
    <n v="925"/>
    <s v="S2S Premium"/>
    <s v="Pm_Sánchez, Adrian"/>
    <x v="78"/>
    <d v="1899-12-30T14:30:00"/>
    <s v="-"/>
    <d v="1899-12-30T15:00:00"/>
    <n v="85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78"/>
    <d v="1899-12-30T14:30:00"/>
    <d v="1899-12-30T15:00:00"/>
  </r>
  <r>
    <d v="2024-10-02T00:00:00"/>
    <n v="924"/>
    <s v="S2S No Premium"/>
    <s v="N2m_Toffoletti Evely"/>
    <x v="79"/>
    <d v="1899-12-30T14:30:00"/>
    <s v="-"/>
    <d v="1899-12-30T15:00:00"/>
    <n v="733"/>
    <n v="0"/>
    <n v="0"/>
    <n v="12"/>
    <n v="0"/>
    <n v="0"/>
    <n v="0"/>
    <n v="161"/>
    <n v="0"/>
    <n v="0"/>
    <n v="0"/>
    <n v="0"/>
    <n v="0"/>
    <n v="0"/>
    <n v="0"/>
    <n v="0"/>
    <n v="0"/>
    <n v="0"/>
    <n v="0"/>
    <n v="3"/>
    <n v="3"/>
    <x v="0"/>
    <x v="79"/>
    <d v="1899-12-30T14:30:00"/>
    <d v="1899-12-30T15:00:00"/>
  </r>
  <r>
    <d v="2024-10-02T00:00:00"/>
    <n v="924"/>
    <s v="S2S No Premium"/>
    <s v="N2m_Toffoletti Evely"/>
    <x v="79"/>
    <d v="1899-12-30T14:00:00"/>
    <s v="-"/>
    <d v="1899-12-30T14:30:00"/>
    <n v="1063"/>
    <n v="0"/>
    <n v="0"/>
    <n v="12"/>
    <n v="0"/>
    <n v="0"/>
    <n v="0"/>
    <n v="18"/>
    <n v="0"/>
    <n v="0"/>
    <n v="0"/>
    <n v="0"/>
    <n v="0"/>
    <n v="0"/>
    <n v="0"/>
    <n v="0"/>
    <n v="0"/>
    <n v="0"/>
    <n v="0"/>
    <n v="3"/>
    <n v="2"/>
    <x v="0"/>
    <x v="79"/>
    <d v="1899-12-30T14:00:00"/>
    <d v="1899-12-30T14:30:00"/>
  </r>
  <r>
    <d v="2024-10-02T00:00:00"/>
    <n v="924"/>
    <s v="S2S No Premium"/>
    <s v="N2m_Barrojo, Fede"/>
    <x v="80"/>
    <d v="1899-12-30T19:30:00"/>
    <s v="-"/>
    <d v="1899-12-30T20:00:00"/>
    <n v="757"/>
    <n v="0"/>
    <n v="0"/>
    <n v="16"/>
    <n v="0"/>
    <n v="0"/>
    <n v="0"/>
    <n v="88"/>
    <n v="81"/>
    <n v="0"/>
    <n v="0"/>
    <n v="0"/>
    <n v="0"/>
    <n v="0"/>
    <n v="0"/>
    <n v="0"/>
    <n v="0"/>
    <n v="0"/>
    <n v="0"/>
    <n v="3"/>
    <n v="3"/>
    <x v="0"/>
    <x v="80"/>
    <d v="1899-12-30T19:30:00"/>
    <d v="1899-12-30T20:00:00"/>
  </r>
  <r>
    <d v="2024-10-02T00:00:00"/>
    <n v="924"/>
    <s v="S2S No Premium"/>
    <s v="N2m_Barrojo, Fede"/>
    <x v="80"/>
    <d v="1899-12-30T19:00:00"/>
    <s v="-"/>
    <d v="1899-12-30T19:30:00"/>
    <n v="809"/>
    <n v="0"/>
    <n v="0"/>
    <n v="7"/>
    <n v="0"/>
    <n v="0"/>
    <n v="0"/>
    <n v="149"/>
    <n v="0"/>
    <n v="0"/>
    <n v="0"/>
    <n v="0"/>
    <n v="0"/>
    <n v="0"/>
    <n v="0"/>
    <n v="0"/>
    <n v="0"/>
    <n v="0"/>
    <n v="0"/>
    <n v="2"/>
    <n v="2"/>
    <x v="0"/>
    <x v="80"/>
    <d v="1899-12-30T19:00:00"/>
    <d v="1899-12-30T19:30:00"/>
  </r>
  <r>
    <d v="2024-10-02T00:00:00"/>
    <n v="924"/>
    <s v="S2S No Premium"/>
    <s v="N2m_Barrojo, Fede"/>
    <x v="80"/>
    <d v="1899-12-30T18:30:00"/>
    <s v="-"/>
    <d v="1899-12-30T19:00:00"/>
    <n v="919"/>
    <n v="30"/>
    <n v="0"/>
    <n v="21"/>
    <n v="0"/>
    <n v="0"/>
    <n v="0"/>
    <n v="3"/>
    <n v="0"/>
    <n v="0"/>
    <n v="0"/>
    <n v="0"/>
    <n v="0"/>
    <n v="0"/>
    <n v="0"/>
    <n v="0"/>
    <n v="0"/>
    <n v="0"/>
    <n v="0"/>
    <n v="4"/>
    <n v="2"/>
    <x v="0"/>
    <x v="80"/>
    <d v="1899-12-30T18:30:00"/>
    <d v="1899-12-30T19:00:00"/>
  </r>
  <r>
    <d v="2024-10-02T00:00:00"/>
    <n v="924"/>
    <s v="S2S No Premium"/>
    <s v="N2m_Barrojo, Fede"/>
    <x v="80"/>
    <d v="1899-12-30T18:00:00"/>
    <s v="-"/>
    <d v="1899-12-30T18:30:00"/>
    <n v="1277"/>
    <n v="38"/>
    <n v="0"/>
    <n v="34"/>
    <n v="0"/>
    <n v="0"/>
    <n v="0"/>
    <n v="47"/>
    <n v="0"/>
    <n v="0"/>
    <n v="0"/>
    <n v="0"/>
    <n v="0"/>
    <n v="0"/>
    <n v="0"/>
    <n v="0"/>
    <n v="0"/>
    <n v="0"/>
    <n v="0"/>
    <n v="8"/>
    <n v="5"/>
    <x v="0"/>
    <x v="80"/>
    <d v="1899-12-30T18:00:00"/>
    <d v="1899-12-30T18:30:00"/>
  </r>
  <r>
    <d v="2024-10-02T00:00:00"/>
    <n v="925"/>
    <s v="S2S Premium"/>
    <s v="Pm_Cervantes, Lou"/>
    <x v="81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1"/>
    <d v="1899-12-30T19:30:00"/>
    <d v="1899-12-30T20:00:00"/>
  </r>
  <r>
    <d v="2024-10-02T00:00:00"/>
    <n v="925"/>
    <s v="S2S Premium"/>
    <s v="Pm_Cervantes, Lou"/>
    <x v="81"/>
    <d v="1899-12-30T19:00:00"/>
    <s v="-"/>
    <d v="1899-12-30T19:30:00"/>
    <n v="447"/>
    <n v="39"/>
    <n v="0"/>
    <n v="4"/>
    <n v="0"/>
    <n v="0"/>
    <n v="0"/>
    <n v="495"/>
    <n v="0"/>
    <n v="0"/>
    <n v="0"/>
    <n v="0"/>
    <n v="0"/>
    <n v="0"/>
    <n v="0"/>
    <n v="0"/>
    <n v="0"/>
    <n v="0"/>
    <n v="0"/>
    <n v="2"/>
    <n v="2"/>
    <x v="1"/>
    <x v="81"/>
    <d v="1899-12-30T19:00:00"/>
    <d v="1899-12-30T19:30:00"/>
  </r>
  <r>
    <d v="2024-10-02T00:00:00"/>
    <n v="925"/>
    <s v="S2S Premium"/>
    <s v="Pm_Cervantes, Lou"/>
    <x v="81"/>
    <d v="1899-12-30T15:30:00"/>
    <s v="-"/>
    <d v="1899-12-30T16:00:00"/>
    <n v="569"/>
    <n v="0"/>
    <n v="0"/>
    <n v="12"/>
    <n v="0"/>
    <n v="0"/>
    <n v="0"/>
    <n v="45"/>
    <n v="0"/>
    <n v="0"/>
    <n v="0"/>
    <n v="0"/>
    <n v="0"/>
    <n v="0"/>
    <n v="0"/>
    <n v="0"/>
    <n v="0"/>
    <n v="0"/>
    <n v="0"/>
    <n v="4"/>
    <n v="2"/>
    <x v="1"/>
    <x v="81"/>
    <d v="1899-12-30T15:30:00"/>
    <d v="1899-12-30T16:00:00"/>
  </r>
  <r>
    <d v="2024-10-02T00:00:00"/>
    <n v="925"/>
    <s v="S2S Premium"/>
    <s v="Pm_Cervantes, Lou"/>
    <x v="81"/>
    <d v="1899-12-30T14:30:00"/>
    <s v="-"/>
    <d v="1899-12-30T15:00:00"/>
    <n v="584"/>
    <n v="0"/>
    <n v="0"/>
    <n v="13"/>
    <n v="0"/>
    <n v="0"/>
    <n v="0"/>
    <n v="55"/>
    <n v="0"/>
    <n v="0"/>
    <n v="0"/>
    <n v="0"/>
    <n v="0"/>
    <n v="0"/>
    <n v="0"/>
    <n v="0"/>
    <n v="0"/>
    <n v="0"/>
    <n v="0"/>
    <n v="3"/>
    <n v="0"/>
    <x v="1"/>
    <x v="81"/>
    <d v="1899-12-30T14:30:00"/>
    <d v="1899-12-30T15:00:00"/>
  </r>
  <r>
    <d v="2024-10-02T00:00:00"/>
    <n v="925"/>
    <s v="S2S Premium"/>
    <s v="Pm_Cervantes, Lou"/>
    <x v="81"/>
    <d v="1899-12-30T16:00:00"/>
    <s v="-"/>
    <d v="1899-12-30T16:30:00"/>
    <n v="597"/>
    <n v="0"/>
    <n v="0"/>
    <n v="19"/>
    <n v="0"/>
    <n v="0"/>
    <n v="0"/>
    <n v="2"/>
    <n v="0"/>
    <n v="0"/>
    <n v="0"/>
    <n v="0"/>
    <n v="0"/>
    <n v="0"/>
    <n v="0"/>
    <n v="0"/>
    <n v="0"/>
    <n v="0"/>
    <n v="0"/>
    <n v="4"/>
    <n v="2"/>
    <x v="1"/>
    <x v="81"/>
    <d v="1899-12-30T16:00:00"/>
    <d v="1899-12-30T16:30:00"/>
  </r>
  <r>
    <d v="2024-10-02T00:00:00"/>
    <n v="925"/>
    <s v="S2S Premium"/>
    <s v="Pm_Cervantes, Lou"/>
    <x v="81"/>
    <d v="1899-12-30T18:00:00"/>
    <s v="-"/>
    <d v="1899-12-30T18:30:00"/>
    <n v="60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81"/>
    <d v="1899-12-30T18:00:00"/>
    <d v="1899-12-30T18:30:00"/>
  </r>
  <r>
    <d v="2024-10-02T00:00:00"/>
    <n v="925"/>
    <s v="S2S Premium"/>
    <s v="Pm_Cervantes, Lou"/>
    <x v="81"/>
    <d v="1899-12-30T14:00:00"/>
    <s v="-"/>
    <d v="1899-12-30T14:30:00"/>
    <n v="714"/>
    <n v="0"/>
    <n v="0"/>
    <n v="26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81"/>
    <d v="1899-12-30T14:00:00"/>
    <d v="1899-12-30T14:30:00"/>
  </r>
  <r>
    <d v="2024-10-02T00:00:00"/>
    <n v="925"/>
    <s v="S2S Premium"/>
    <s v="Pm_Cervantes, Lou"/>
    <x v="81"/>
    <d v="1899-12-30T17:00:00"/>
    <s v="-"/>
    <d v="1899-12-30T17:30:00"/>
    <n v="852"/>
    <n v="0"/>
    <n v="0"/>
    <n v="16"/>
    <n v="0"/>
    <n v="0"/>
    <n v="0"/>
    <n v="230"/>
    <n v="0"/>
    <n v="0"/>
    <n v="0"/>
    <n v="0"/>
    <n v="0"/>
    <n v="0"/>
    <n v="0"/>
    <n v="0"/>
    <n v="0"/>
    <n v="0"/>
    <n v="0"/>
    <n v="4"/>
    <n v="3"/>
    <x v="1"/>
    <x v="81"/>
    <d v="1899-12-30T17:00:00"/>
    <d v="1899-12-30T17:30:00"/>
  </r>
  <r>
    <d v="2024-10-02T00:00:00"/>
    <n v="925"/>
    <s v="S2S Premium"/>
    <s v="Pm_Cervantes, Lou"/>
    <x v="81"/>
    <d v="1899-12-30T18:30:00"/>
    <s v="-"/>
    <d v="1899-12-30T19:00:00"/>
    <n v="915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81"/>
    <d v="1899-12-30T18:30:00"/>
    <d v="1899-12-30T19:00:00"/>
  </r>
  <r>
    <d v="2024-10-02T00:00:00"/>
    <n v="925"/>
    <s v="S2S Premium"/>
    <s v="Pm_Cervantes, Lou"/>
    <x v="81"/>
    <d v="1899-12-30T15:00:00"/>
    <s v="-"/>
    <d v="1899-12-30T15:30:00"/>
    <n v="922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81"/>
    <d v="1899-12-30T15:00:00"/>
    <d v="1899-12-30T15:30:00"/>
  </r>
  <r>
    <d v="2024-10-02T00:00:00"/>
    <n v="925"/>
    <s v="S2S Premium"/>
    <s v="Pm_Cervantes, Lou"/>
    <x v="81"/>
    <d v="1899-12-30T16:30:00"/>
    <s v="-"/>
    <d v="1899-12-30T17:00:00"/>
    <n v="963"/>
    <n v="0"/>
    <n v="0"/>
    <n v="28"/>
    <n v="0"/>
    <n v="0"/>
    <n v="0"/>
    <n v="162"/>
    <n v="0"/>
    <n v="0"/>
    <n v="0"/>
    <n v="0"/>
    <n v="0"/>
    <n v="0"/>
    <n v="0"/>
    <n v="0"/>
    <n v="0"/>
    <n v="0"/>
    <n v="0"/>
    <n v="7"/>
    <n v="5"/>
    <x v="1"/>
    <x v="81"/>
    <d v="1899-12-30T16:30:00"/>
    <d v="1899-12-30T17:00:00"/>
  </r>
  <r>
    <d v="2024-10-02T00:00:00"/>
    <n v="925"/>
    <s v="S2S Premium"/>
    <s v="Pm_Cervantes, Lou"/>
    <x v="81"/>
    <d v="1899-12-30T17:30:00"/>
    <s v="-"/>
    <d v="1899-12-30T18:00:00"/>
    <n v="1128"/>
    <n v="0"/>
    <n v="0"/>
    <n v="15"/>
    <n v="0"/>
    <n v="0"/>
    <n v="0"/>
    <n v="55"/>
    <n v="48"/>
    <n v="0"/>
    <n v="0"/>
    <n v="0"/>
    <n v="0"/>
    <n v="0"/>
    <n v="0"/>
    <n v="0"/>
    <n v="0"/>
    <n v="0"/>
    <n v="0"/>
    <n v="5"/>
    <n v="5"/>
    <x v="1"/>
    <x v="81"/>
    <d v="1899-12-30T17:30:00"/>
    <d v="1899-12-30T18:00:00"/>
  </r>
  <r>
    <d v="2024-10-02T00:00:00"/>
    <n v="924"/>
    <s v="S2S No Premium"/>
    <s v="N2m_Sotelo, Silva"/>
    <x v="82"/>
    <d v="1899-12-30T19:00:00"/>
    <s v="-"/>
    <d v="1899-12-30T19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2"/>
    <d v="1899-12-30T19:00:00"/>
    <d v="1899-12-30T19:30:00"/>
  </r>
  <r>
    <d v="2024-10-02T00:00:00"/>
    <n v="924"/>
    <s v="S2S No Premium"/>
    <s v="N2m_Sotelo, Silva"/>
    <x v="82"/>
    <d v="1899-12-30T19:30:00"/>
    <s v="-"/>
    <d v="1899-12-30T20:00:00"/>
    <n v="515"/>
    <n v="0"/>
    <n v="0"/>
    <n v="13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82"/>
    <d v="1899-12-30T19:30:00"/>
    <d v="1899-12-30T20:00:00"/>
  </r>
  <r>
    <d v="2024-10-02T00:00:00"/>
    <n v="924"/>
    <s v="S2S No Premium"/>
    <s v="N2m_Sotelo, Silva"/>
    <x v="82"/>
    <d v="1899-12-30T15:00:00"/>
    <s v="-"/>
    <d v="1899-12-30T15:30:00"/>
    <n v="649"/>
    <n v="0"/>
    <n v="0"/>
    <n v="10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82"/>
    <d v="1899-12-30T15:00:00"/>
    <d v="1899-12-30T15:30:00"/>
  </r>
  <r>
    <d v="2024-10-02T00:00:00"/>
    <n v="924"/>
    <s v="S2S No Premium"/>
    <s v="N2m_Sotelo, Silva"/>
    <x v="82"/>
    <d v="1899-12-30T15:30:00"/>
    <s v="-"/>
    <d v="1899-12-30T16:00:00"/>
    <n v="954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82"/>
    <d v="1899-12-30T15:30:00"/>
    <d v="1899-12-30T16:00:00"/>
  </r>
  <r>
    <d v="2024-10-02T00:00:00"/>
    <n v="924"/>
    <s v="S2S No Premium"/>
    <s v="N2m_Sotelo, Silva"/>
    <x v="82"/>
    <d v="1899-12-30T16:30:00"/>
    <s v="-"/>
    <d v="1899-12-30T17:00:00"/>
    <n v="1135"/>
    <n v="0"/>
    <n v="0"/>
    <n v="28"/>
    <n v="0"/>
    <n v="0"/>
    <n v="0"/>
    <n v="7"/>
    <n v="0"/>
    <n v="0"/>
    <n v="0"/>
    <n v="0"/>
    <n v="0"/>
    <n v="0"/>
    <n v="0"/>
    <n v="0"/>
    <n v="0"/>
    <n v="0"/>
    <n v="0"/>
    <n v="7"/>
    <n v="7"/>
    <x v="0"/>
    <x v="82"/>
    <d v="1899-12-30T16:30:00"/>
    <d v="1899-12-30T17:00:00"/>
  </r>
  <r>
    <d v="2024-10-02T00:00:00"/>
    <n v="924"/>
    <s v="S2S No Premium"/>
    <s v="N2m_Sotelo, Silva"/>
    <x v="82"/>
    <d v="1899-12-30T18:30:00"/>
    <s v="-"/>
    <d v="1899-12-30T19:00:00"/>
    <n v="1147"/>
    <n v="0"/>
    <n v="0"/>
    <n v="12"/>
    <n v="0"/>
    <n v="0"/>
    <n v="0"/>
    <n v="85"/>
    <n v="0"/>
    <n v="0"/>
    <n v="0"/>
    <n v="0"/>
    <n v="0"/>
    <n v="0"/>
    <n v="0"/>
    <n v="0"/>
    <n v="0"/>
    <n v="0"/>
    <n v="0"/>
    <n v="3"/>
    <n v="3"/>
    <x v="0"/>
    <x v="82"/>
    <d v="1899-12-30T18:30:00"/>
    <d v="1899-12-30T19:00:00"/>
  </r>
  <r>
    <d v="2024-10-02T00:00:00"/>
    <n v="924"/>
    <s v="S2S No Premium"/>
    <s v="N2m_Sotelo, Silva"/>
    <x v="82"/>
    <d v="1899-12-30T17:30:00"/>
    <s v="-"/>
    <d v="1899-12-30T18:00:00"/>
    <n v="1149"/>
    <n v="0"/>
    <n v="0"/>
    <n v="21"/>
    <n v="0"/>
    <n v="0"/>
    <n v="0"/>
    <n v="122"/>
    <n v="110"/>
    <n v="0"/>
    <n v="0"/>
    <n v="0"/>
    <n v="0"/>
    <n v="0"/>
    <n v="0"/>
    <n v="0"/>
    <n v="0"/>
    <n v="0"/>
    <n v="0"/>
    <n v="5"/>
    <n v="4"/>
    <x v="0"/>
    <x v="82"/>
    <d v="1899-12-30T17:30:00"/>
    <d v="1899-12-30T18:00:00"/>
  </r>
  <r>
    <d v="2024-10-02T00:00:00"/>
    <n v="924"/>
    <s v="S2S No Premium"/>
    <s v="N2m_Sotelo, Silva"/>
    <x v="82"/>
    <d v="1899-12-30T17:00:00"/>
    <s v="-"/>
    <d v="1899-12-30T17:30:00"/>
    <n v="1255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82"/>
    <d v="1899-12-30T17:00:00"/>
    <d v="1899-12-30T17:30:00"/>
  </r>
  <r>
    <d v="2024-10-02T00:00:00"/>
    <n v="924"/>
    <s v="S2S No Premium"/>
    <s v="N2m_Sotelo, Silva"/>
    <x v="82"/>
    <d v="1899-12-30T16:00:00"/>
    <s v="-"/>
    <d v="1899-12-30T16:30:00"/>
    <n v="1258"/>
    <n v="0"/>
    <n v="0"/>
    <n v="11"/>
    <n v="0"/>
    <n v="0"/>
    <n v="0"/>
    <n v="41"/>
    <n v="20"/>
    <n v="0"/>
    <n v="0"/>
    <n v="0"/>
    <n v="0"/>
    <n v="0"/>
    <n v="0"/>
    <n v="0"/>
    <n v="0"/>
    <n v="0"/>
    <n v="0"/>
    <n v="3"/>
    <n v="2"/>
    <x v="0"/>
    <x v="82"/>
    <d v="1899-12-30T16:00:00"/>
    <d v="1899-12-30T16:30:00"/>
  </r>
  <r>
    <d v="2024-10-02T00:00:00"/>
    <n v="924"/>
    <s v="S2S No Premium"/>
    <s v="N2m_Sotelo, Silva"/>
    <x v="82"/>
    <d v="1899-12-30T18:00:00"/>
    <s v="-"/>
    <d v="1899-12-30T18:30:00"/>
    <n v="1379"/>
    <n v="0"/>
    <n v="0"/>
    <n v="29"/>
    <n v="0"/>
    <n v="0"/>
    <n v="0"/>
    <n v="4"/>
    <n v="0"/>
    <n v="0"/>
    <n v="0"/>
    <n v="0"/>
    <n v="0"/>
    <n v="0"/>
    <n v="0"/>
    <n v="0"/>
    <n v="0"/>
    <n v="0"/>
    <n v="0"/>
    <n v="7"/>
    <n v="4"/>
    <x v="0"/>
    <x v="82"/>
    <d v="1899-12-30T18:00:00"/>
    <d v="1899-12-30T18:30:00"/>
  </r>
  <r>
    <d v="2024-10-02T00:00:00"/>
    <n v="924"/>
    <s v="S2S No Premium"/>
    <s v="N2m_Rolon Nancy"/>
    <x v="83"/>
    <d v="1899-12-30T14:30:00"/>
    <s v="-"/>
    <d v="1899-12-30T15:00:00"/>
    <n v="627"/>
    <n v="11"/>
    <n v="0"/>
    <n v="7"/>
    <n v="0"/>
    <n v="0"/>
    <n v="0"/>
    <n v="232"/>
    <n v="0"/>
    <n v="0"/>
    <n v="0"/>
    <n v="0"/>
    <n v="0"/>
    <n v="0"/>
    <n v="0"/>
    <n v="0"/>
    <n v="0"/>
    <n v="0"/>
    <n v="0"/>
    <n v="2"/>
    <n v="2"/>
    <x v="0"/>
    <x v="83"/>
    <d v="1899-12-30T14:30:00"/>
    <d v="1899-12-30T15:00:00"/>
  </r>
  <r>
    <d v="2024-10-02T00:00:00"/>
    <n v="924"/>
    <s v="S2S No Premium"/>
    <s v="N2m_Rolon Nancy"/>
    <x v="83"/>
    <d v="1899-12-30T14:00:00"/>
    <s v="-"/>
    <d v="1899-12-30T14:30:00"/>
    <n v="852"/>
    <n v="0"/>
    <n v="0"/>
    <n v="12"/>
    <n v="0"/>
    <n v="0"/>
    <n v="0"/>
    <n v="95"/>
    <n v="0"/>
    <n v="0"/>
    <n v="0"/>
    <n v="0"/>
    <n v="0"/>
    <n v="0"/>
    <n v="0"/>
    <n v="0"/>
    <n v="0"/>
    <n v="0"/>
    <n v="0"/>
    <n v="4"/>
    <n v="2"/>
    <x v="0"/>
    <x v="83"/>
    <d v="1899-12-30T14:00:00"/>
    <d v="1899-12-30T14:30:00"/>
  </r>
  <r>
    <d v="2024-10-02T00:00:00"/>
    <n v="924"/>
    <s v="S2S No Premium"/>
    <s v="N2m_Fragale Pablo"/>
    <x v="84"/>
    <d v="1899-12-30T14:00:00"/>
    <s v="-"/>
    <d v="1899-12-30T14:30:00"/>
    <n v="1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0"/>
    <x v="0"/>
    <x v="84"/>
    <d v="1899-12-30T14:00:00"/>
    <d v="1899-12-30T14:30:00"/>
  </r>
  <r>
    <d v="2024-10-02T00:00:00"/>
    <n v="924"/>
    <s v="S2S No Premium"/>
    <s v="N2m_Fragale Pablo"/>
    <x v="84"/>
    <d v="1899-12-30T14:30:00"/>
    <s v="-"/>
    <d v="1899-12-30T15:00:00"/>
    <n v="784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84"/>
    <d v="1899-12-30T14:30:00"/>
    <d v="1899-12-30T15:00:00"/>
  </r>
  <r>
    <d v="2024-10-02T00:00:00"/>
    <n v="924"/>
    <s v="S2S No Premium"/>
    <s v="N2m_Riquelme Lu"/>
    <x v="85"/>
    <d v="1899-12-30T15:00:00"/>
    <s v="-"/>
    <d v="1899-12-30T15:30:00"/>
    <n v="720"/>
    <n v="123"/>
    <n v="0"/>
    <n v="13"/>
    <n v="0"/>
    <n v="0"/>
    <n v="0"/>
    <n v="93"/>
    <n v="0"/>
    <n v="0"/>
    <n v="0"/>
    <n v="0"/>
    <n v="0"/>
    <n v="0"/>
    <n v="0"/>
    <n v="0"/>
    <n v="0"/>
    <n v="0"/>
    <n v="0"/>
    <n v="4"/>
    <n v="3"/>
    <x v="0"/>
    <x v="85"/>
    <d v="1899-12-30T15:00:00"/>
    <d v="1899-12-30T15:30:00"/>
  </r>
  <r>
    <d v="2024-10-02T00:00:00"/>
    <n v="924"/>
    <s v="S2S No Premium"/>
    <s v="N2m_Riquelme Lu"/>
    <x v="85"/>
    <d v="1899-12-30T14:30:00"/>
    <s v="-"/>
    <d v="1899-12-30T15:00:00"/>
    <n v="76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85"/>
    <d v="1899-12-30T14:30:00"/>
    <d v="1899-12-30T15:00:00"/>
  </r>
  <r>
    <d v="2024-10-02T00:00:00"/>
    <n v="924"/>
    <s v="S2S No Premium"/>
    <s v="N2m_Riquelme Lu"/>
    <x v="85"/>
    <d v="1899-12-30T15:30:00"/>
    <s v="-"/>
    <d v="1899-12-30T16:00:00"/>
    <n v="977"/>
    <n v="108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4"/>
    <x v="0"/>
    <x v="85"/>
    <d v="1899-12-30T15:30:00"/>
    <d v="1899-12-30T16:00:00"/>
  </r>
  <r>
    <d v="2024-10-02T00:00:00"/>
    <n v="924"/>
    <s v="S2S No Premium"/>
    <s v="N2m_Riquelme Lu"/>
    <x v="85"/>
    <d v="1899-12-30T14:00:00"/>
    <s v="-"/>
    <d v="1899-12-30T14:30:00"/>
    <n v="1067"/>
    <n v="236"/>
    <n v="0"/>
    <n v="12"/>
    <n v="0"/>
    <n v="0"/>
    <n v="0"/>
    <n v="41"/>
    <n v="0"/>
    <n v="0"/>
    <n v="0"/>
    <n v="0"/>
    <n v="0"/>
    <n v="0"/>
    <n v="0"/>
    <n v="0"/>
    <n v="0"/>
    <n v="0"/>
    <n v="0"/>
    <n v="4"/>
    <n v="4"/>
    <x v="0"/>
    <x v="85"/>
    <d v="1899-12-30T14:00:00"/>
    <d v="1899-12-30T14:30:00"/>
  </r>
  <r>
    <d v="2024-10-02T00:00:00"/>
    <n v="924"/>
    <s v="S2S No Premium"/>
    <s v="N2m_SosaBernaoMarti"/>
    <x v="86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6"/>
    <d v="1899-12-30T14:30:00"/>
    <d v="1899-12-30T15:00:00"/>
  </r>
  <r>
    <d v="2024-10-02T00:00:00"/>
    <n v="924"/>
    <s v="S2S No Premium"/>
    <s v="N2m_SosaBernaoMarti"/>
    <x v="86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6"/>
    <d v="1899-12-30T19:00:00"/>
    <d v="1899-12-30T19:30:00"/>
  </r>
  <r>
    <d v="2024-10-02T00:00:00"/>
    <n v="924"/>
    <s v="S2S No Premium"/>
    <s v="N2m_SosaBernaoMarti"/>
    <x v="86"/>
    <d v="1899-12-30T18:00:00"/>
    <s v="-"/>
    <d v="1899-12-30T18:30:00"/>
    <n v="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6"/>
    <d v="1899-12-30T18:00:00"/>
    <d v="1899-12-30T18:30:00"/>
  </r>
  <r>
    <d v="2024-10-02T00:00:00"/>
    <n v="924"/>
    <s v="S2S No Premium"/>
    <s v="N2m_SosaBernaoMarti"/>
    <x v="86"/>
    <d v="1899-12-30T19:30:00"/>
    <s v="-"/>
    <d v="1899-12-30T20:00:00"/>
    <n v="532"/>
    <n v="0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6"/>
    <d v="1899-12-30T19:30:00"/>
    <d v="1899-12-30T20:00:00"/>
  </r>
  <r>
    <d v="2024-10-02T00:00:00"/>
    <n v="924"/>
    <s v="S2S No Premium"/>
    <s v="N2m_SosaBernaoMarti"/>
    <x v="86"/>
    <d v="1899-12-30T18:30:00"/>
    <s v="-"/>
    <d v="1899-12-30T19:00:00"/>
    <n v="786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86"/>
    <d v="1899-12-30T18:30:00"/>
    <d v="1899-12-30T19:00:00"/>
  </r>
  <r>
    <d v="2024-10-02T00:00:00"/>
    <n v="924"/>
    <s v="S2S No Premium"/>
    <s v="N2m_SosaBernaoMarti"/>
    <x v="86"/>
    <d v="1899-12-30T15:00:00"/>
    <s v="-"/>
    <d v="1899-12-30T15:30:00"/>
    <n v="799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86"/>
    <d v="1899-12-30T15:00:00"/>
    <d v="1899-12-30T15:30:00"/>
  </r>
  <r>
    <d v="2024-10-02T00:00:00"/>
    <n v="924"/>
    <s v="S2S No Premium"/>
    <s v="N2m_SosaBernaoMarti"/>
    <x v="86"/>
    <d v="1899-12-30T15:30:00"/>
    <s v="-"/>
    <d v="1899-12-30T16:00:00"/>
    <n v="919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86"/>
    <d v="1899-12-30T15:30:00"/>
    <d v="1899-12-30T16:00:00"/>
  </r>
  <r>
    <d v="2024-10-02T00:00:00"/>
    <n v="924"/>
    <s v="S2S No Premium"/>
    <s v="N2m_SosaBernaoMarti"/>
    <x v="86"/>
    <d v="1899-12-30T17:00:00"/>
    <s v="-"/>
    <d v="1899-12-30T17:30:00"/>
    <n v="1145"/>
    <n v="0"/>
    <n v="0"/>
    <n v="29"/>
    <n v="0"/>
    <n v="0"/>
    <n v="0"/>
    <n v="4"/>
    <n v="0"/>
    <n v="0"/>
    <n v="0"/>
    <n v="0"/>
    <n v="0"/>
    <n v="0"/>
    <n v="0"/>
    <n v="0"/>
    <n v="0"/>
    <n v="0"/>
    <n v="0"/>
    <n v="7"/>
    <n v="4"/>
    <x v="0"/>
    <x v="86"/>
    <d v="1899-12-30T17:00:00"/>
    <d v="1899-12-30T17:30:00"/>
  </r>
  <r>
    <d v="2024-10-02T00:00:00"/>
    <n v="924"/>
    <s v="S2S No Premium"/>
    <s v="N2m_SosaBernaoMarti"/>
    <x v="86"/>
    <d v="1899-12-30T16:30:00"/>
    <s v="-"/>
    <d v="1899-12-30T17:00:00"/>
    <n v="1199"/>
    <n v="10"/>
    <n v="0"/>
    <n v="23"/>
    <n v="0"/>
    <n v="0"/>
    <n v="0"/>
    <n v="66"/>
    <n v="0"/>
    <n v="0"/>
    <n v="0"/>
    <n v="0"/>
    <n v="0"/>
    <n v="0"/>
    <n v="0"/>
    <n v="0"/>
    <n v="0"/>
    <n v="0"/>
    <n v="0"/>
    <n v="7"/>
    <n v="6"/>
    <x v="0"/>
    <x v="86"/>
    <d v="1899-12-30T16:30:00"/>
    <d v="1899-12-30T17:00:00"/>
  </r>
  <r>
    <d v="2024-10-02T00:00:00"/>
    <n v="924"/>
    <s v="S2S No Premium"/>
    <s v="N2m_SosaBernaoMarti"/>
    <x v="86"/>
    <d v="1899-12-30T16:00:00"/>
    <s v="-"/>
    <d v="1899-12-30T16:30:00"/>
    <n v="1391"/>
    <n v="115"/>
    <n v="0"/>
    <n v="13"/>
    <n v="0"/>
    <n v="0"/>
    <n v="0"/>
    <n v="3"/>
    <n v="59"/>
    <n v="0"/>
    <n v="0"/>
    <n v="0"/>
    <n v="0"/>
    <n v="0"/>
    <n v="0"/>
    <n v="0"/>
    <n v="0"/>
    <n v="0"/>
    <n v="0"/>
    <n v="3"/>
    <n v="3"/>
    <x v="0"/>
    <x v="86"/>
    <d v="1899-12-30T16:00:00"/>
    <d v="1899-12-30T16:30:00"/>
  </r>
  <r>
    <d v="2024-10-02T00:00:00"/>
    <n v="924"/>
    <s v="S2S No Premium"/>
    <s v="N2m_SosaBernaoMarti"/>
    <x v="86"/>
    <d v="1899-12-30T17:30:00"/>
    <s v="-"/>
    <d v="1899-12-30T18:00:00"/>
    <n v="1772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86"/>
    <d v="1899-12-30T17:30:00"/>
    <d v="1899-12-30T18:00:00"/>
  </r>
  <r>
    <d v="2024-10-02T00:00:00"/>
    <n v="925"/>
    <s v="S2S Premium"/>
    <s v="Pm_Sagrado Nico"/>
    <x v="87"/>
    <d v="1899-12-30T18:30:00"/>
    <s v="-"/>
    <d v="1899-12-30T19:00:00"/>
    <n v="5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7"/>
    <d v="1899-12-30T18:30:00"/>
    <d v="1899-12-30T19:00:00"/>
  </r>
  <r>
    <d v="2024-10-02T00:00:00"/>
    <n v="925"/>
    <s v="S2S Premium"/>
    <s v="Pm_Sagrado Nico"/>
    <x v="87"/>
    <d v="1899-12-30T15:00:00"/>
    <s v="-"/>
    <d v="1899-12-30T15:30:00"/>
    <n v="497"/>
    <n v="48"/>
    <n v="0"/>
    <n v="22"/>
    <n v="0"/>
    <n v="0"/>
    <n v="0"/>
    <n v="7"/>
    <n v="0"/>
    <n v="0"/>
    <n v="0"/>
    <n v="0"/>
    <n v="0"/>
    <n v="0"/>
    <n v="0"/>
    <n v="0"/>
    <n v="0"/>
    <n v="0"/>
    <n v="0"/>
    <n v="3"/>
    <n v="2"/>
    <x v="1"/>
    <x v="87"/>
    <d v="1899-12-30T15:00:00"/>
    <d v="1899-12-30T15:30:00"/>
  </r>
  <r>
    <d v="2024-10-02T00:00:00"/>
    <n v="925"/>
    <s v="S2S Premium"/>
    <s v="Pm_Sagrado Nico"/>
    <x v="87"/>
    <d v="1899-12-30T15:30:00"/>
    <s v="-"/>
    <d v="1899-12-30T16:00:00"/>
    <n v="518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4"/>
    <n v="0"/>
    <x v="1"/>
    <x v="87"/>
    <d v="1899-12-30T15:30:00"/>
    <d v="1899-12-30T16:00:00"/>
  </r>
  <r>
    <d v="2024-10-02T00:00:00"/>
    <n v="925"/>
    <s v="S2S Premium"/>
    <s v="Pm_Sagrado Nico"/>
    <x v="87"/>
    <d v="1899-12-30T17:00:00"/>
    <s v="-"/>
    <d v="1899-12-30T17:30:00"/>
    <n v="660"/>
    <n v="0"/>
    <n v="0"/>
    <n v="20"/>
    <n v="0"/>
    <n v="0"/>
    <n v="0"/>
    <n v="204"/>
    <n v="191"/>
    <n v="0"/>
    <n v="0"/>
    <n v="0"/>
    <n v="0"/>
    <n v="0"/>
    <n v="0"/>
    <n v="0"/>
    <n v="0"/>
    <n v="0"/>
    <n v="0"/>
    <n v="4"/>
    <n v="2"/>
    <x v="1"/>
    <x v="87"/>
    <d v="1899-12-30T17:00:00"/>
    <d v="1899-12-30T17:30:00"/>
  </r>
  <r>
    <d v="2024-10-02T00:00:00"/>
    <n v="925"/>
    <s v="S2S Premium"/>
    <s v="Pm_Sagrado Nico"/>
    <x v="87"/>
    <d v="1899-12-30T18:00:00"/>
    <s v="-"/>
    <d v="1899-12-30T18:30:00"/>
    <n v="845"/>
    <n v="28"/>
    <n v="0"/>
    <n v="14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87"/>
    <d v="1899-12-30T18:00:00"/>
    <d v="1899-12-30T18:30:00"/>
  </r>
  <r>
    <d v="2024-10-02T00:00:00"/>
    <n v="925"/>
    <s v="S2S Premium"/>
    <s v="Pm_Sagrado Nico"/>
    <x v="87"/>
    <d v="1899-12-30T17:30:00"/>
    <s v="-"/>
    <d v="1899-12-30T18:00:00"/>
    <n v="1033"/>
    <n v="62"/>
    <n v="0"/>
    <n v="17"/>
    <n v="0"/>
    <n v="0"/>
    <n v="0"/>
    <n v="117"/>
    <n v="0"/>
    <n v="0"/>
    <n v="0"/>
    <n v="0"/>
    <n v="0"/>
    <n v="0"/>
    <n v="0"/>
    <n v="0"/>
    <n v="0"/>
    <n v="0"/>
    <n v="0"/>
    <n v="3"/>
    <n v="1"/>
    <x v="1"/>
    <x v="87"/>
    <d v="1899-12-30T17:30:00"/>
    <d v="1899-12-30T18:00:00"/>
  </r>
  <r>
    <d v="2024-10-02T00:00:00"/>
    <n v="925"/>
    <s v="S2S Premium"/>
    <s v="Pm_Sagrado Nico"/>
    <x v="87"/>
    <d v="1899-12-30T16:00:00"/>
    <s v="-"/>
    <d v="1899-12-30T16:30:00"/>
    <n v="1081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87"/>
    <d v="1899-12-30T16:00:00"/>
    <d v="1899-12-30T16:30:00"/>
  </r>
  <r>
    <d v="2024-10-02T00:00:00"/>
    <n v="925"/>
    <s v="S2S Premium"/>
    <s v="Pm_Sagrado Nico"/>
    <x v="87"/>
    <d v="1899-12-30T19:00:00"/>
    <s v="-"/>
    <d v="1899-12-30T19:30:00"/>
    <n v="1194"/>
    <n v="0"/>
    <n v="0"/>
    <n v="16"/>
    <n v="0"/>
    <n v="0"/>
    <n v="0"/>
    <n v="55"/>
    <n v="0"/>
    <n v="0"/>
    <n v="0"/>
    <n v="0"/>
    <n v="0"/>
    <n v="0"/>
    <n v="0"/>
    <n v="0"/>
    <n v="0"/>
    <n v="0"/>
    <n v="0"/>
    <n v="5"/>
    <n v="3"/>
    <x v="1"/>
    <x v="87"/>
    <d v="1899-12-30T19:00:00"/>
    <d v="1899-12-30T19:30:00"/>
  </r>
  <r>
    <d v="2024-10-02T00:00:00"/>
    <n v="925"/>
    <s v="S2S Premium"/>
    <s v="Pm_Sagrado Nico"/>
    <x v="87"/>
    <d v="1899-12-30T19:30:00"/>
    <s v="-"/>
    <d v="1899-12-30T20:00:00"/>
    <n v="1308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87"/>
    <d v="1899-12-30T19:30:00"/>
    <d v="1899-12-30T20:00:00"/>
  </r>
  <r>
    <d v="2024-10-02T00:00:00"/>
    <n v="925"/>
    <s v="S2S Premium"/>
    <s v="Pm_Sagrado Nico"/>
    <x v="87"/>
    <d v="1899-12-30T16:30:00"/>
    <s v="-"/>
    <d v="1899-12-30T17:00:00"/>
    <n v="1316"/>
    <n v="62"/>
    <n v="0"/>
    <n v="16"/>
    <n v="0"/>
    <n v="0"/>
    <n v="0"/>
    <n v="75"/>
    <n v="63"/>
    <n v="0"/>
    <n v="0"/>
    <n v="0"/>
    <n v="0"/>
    <n v="0"/>
    <n v="0"/>
    <n v="0"/>
    <n v="0"/>
    <n v="0"/>
    <n v="0"/>
    <n v="4"/>
    <n v="3"/>
    <x v="1"/>
    <x v="87"/>
    <d v="1899-12-30T16:30:00"/>
    <d v="1899-12-30T17:00:00"/>
  </r>
  <r>
    <d v="2024-10-02T00:00:00"/>
    <n v="925"/>
    <s v="S2S Premium"/>
    <s v="Pm_Coria, Candela"/>
    <x v="88"/>
    <d v="1899-12-30T19:00:00"/>
    <s v="-"/>
    <d v="1899-12-30T19:30:00"/>
    <n v="231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88"/>
    <d v="1899-12-30T19:00:00"/>
    <d v="1899-12-30T19:30:00"/>
  </r>
  <r>
    <d v="2024-10-02T00:00:00"/>
    <n v="925"/>
    <s v="S2S Premium"/>
    <s v="Pm_Coria, Candela"/>
    <x v="88"/>
    <d v="1899-12-30T15:30:00"/>
    <s v="-"/>
    <d v="1899-12-30T16:00:00"/>
    <n v="649"/>
    <n v="0"/>
    <n v="0"/>
    <n v="16"/>
    <n v="0"/>
    <n v="0"/>
    <n v="0"/>
    <n v="53"/>
    <n v="0"/>
    <n v="0"/>
    <n v="0"/>
    <n v="0"/>
    <n v="0"/>
    <n v="0"/>
    <n v="0"/>
    <n v="0"/>
    <n v="0"/>
    <n v="0"/>
    <n v="0"/>
    <n v="4"/>
    <n v="4"/>
    <x v="1"/>
    <x v="88"/>
    <d v="1899-12-30T15:30:00"/>
    <d v="1899-12-30T16:00:00"/>
  </r>
  <r>
    <d v="2024-10-02T00:00:00"/>
    <n v="925"/>
    <s v="S2S Premium"/>
    <s v="Pm_Coria, Candela"/>
    <x v="88"/>
    <d v="1899-12-30T14:00:00"/>
    <s v="-"/>
    <d v="1899-12-30T14:30:00"/>
    <n v="676"/>
    <n v="0"/>
    <n v="0"/>
    <n v="17"/>
    <n v="0"/>
    <n v="0"/>
    <n v="0"/>
    <n v="229"/>
    <n v="162"/>
    <n v="0"/>
    <n v="0"/>
    <n v="0"/>
    <n v="0"/>
    <n v="0"/>
    <n v="0"/>
    <n v="0"/>
    <n v="0"/>
    <n v="0"/>
    <n v="0"/>
    <n v="3"/>
    <n v="2"/>
    <x v="1"/>
    <x v="88"/>
    <d v="1899-12-30T14:00:00"/>
    <d v="1899-12-30T14:30:00"/>
  </r>
  <r>
    <d v="2024-10-02T00:00:00"/>
    <n v="925"/>
    <s v="S2S Premium"/>
    <s v="Pm_Coria, Candela"/>
    <x v="88"/>
    <d v="1899-12-30T14:30:00"/>
    <s v="-"/>
    <d v="1899-12-30T15:00:00"/>
    <n v="681"/>
    <n v="0"/>
    <n v="0"/>
    <n v="19"/>
    <n v="0"/>
    <n v="0"/>
    <n v="0"/>
    <n v="102"/>
    <n v="0"/>
    <n v="0"/>
    <n v="0"/>
    <n v="0"/>
    <n v="0"/>
    <n v="0"/>
    <n v="0"/>
    <n v="0"/>
    <n v="0"/>
    <n v="0"/>
    <n v="0"/>
    <n v="3"/>
    <n v="2"/>
    <x v="1"/>
    <x v="88"/>
    <d v="1899-12-30T14:30:00"/>
    <d v="1899-12-30T15:00:00"/>
  </r>
  <r>
    <d v="2024-10-02T00:00:00"/>
    <n v="925"/>
    <s v="S2S Premium"/>
    <s v="Pm_Coria, Candela"/>
    <x v="88"/>
    <d v="1899-12-30T16:00:00"/>
    <s v="-"/>
    <d v="1899-12-30T16:30:00"/>
    <n v="760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88"/>
    <d v="1899-12-30T16:00:00"/>
    <d v="1899-12-30T16:30:00"/>
  </r>
  <r>
    <d v="2024-10-02T00:00:00"/>
    <n v="925"/>
    <s v="S2S Premium"/>
    <s v="Pm_Coria, Candela"/>
    <x v="88"/>
    <d v="1899-12-30T19:30:00"/>
    <s v="-"/>
    <d v="1899-12-30T20:00:00"/>
    <n v="870"/>
    <n v="0"/>
    <n v="0"/>
    <n v="14"/>
    <n v="0"/>
    <n v="0"/>
    <n v="0"/>
    <n v="64"/>
    <n v="0"/>
    <n v="0"/>
    <n v="0"/>
    <n v="0"/>
    <n v="0"/>
    <n v="0"/>
    <n v="0"/>
    <n v="0"/>
    <n v="0"/>
    <n v="0"/>
    <n v="0"/>
    <n v="3"/>
    <n v="2"/>
    <x v="1"/>
    <x v="88"/>
    <d v="1899-12-30T19:30:00"/>
    <d v="1899-12-30T20:00:00"/>
  </r>
  <r>
    <d v="2024-10-02T00:00:00"/>
    <n v="925"/>
    <s v="S2S Premium"/>
    <s v="Pm_Coria, Candela"/>
    <x v="88"/>
    <d v="1899-12-30T18:00:00"/>
    <s v="-"/>
    <d v="1899-12-30T18:30:00"/>
    <n v="1011"/>
    <n v="228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88"/>
    <d v="1899-12-30T18:00:00"/>
    <d v="1899-12-30T18:30:00"/>
  </r>
  <r>
    <d v="2024-10-02T00:00:00"/>
    <n v="925"/>
    <s v="S2S Premium"/>
    <s v="Pm_Coria, Candela"/>
    <x v="88"/>
    <d v="1899-12-30T18:30:00"/>
    <s v="-"/>
    <d v="1899-12-30T19:00:00"/>
    <n v="1052"/>
    <n v="0"/>
    <n v="0"/>
    <n v="14"/>
    <n v="0"/>
    <n v="0"/>
    <n v="0"/>
    <n v="149"/>
    <n v="0"/>
    <n v="0"/>
    <n v="0"/>
    <n v="0"/>
    <n v="0"/>
    <n v="0"/>
    <n v="0"/>
    <n v="0"/>
    <n v="0"/>
    <n v="0"/>
    <n v="0"/>
    <n v="4"/>
    <n v="4"/>
    <x v="1"/>
    <x v="88"/>
    <d v="1899-12-30T18:30:00"/>
    <d v="1899-12-30T19:00:00"/>
  </r>
  <r>
    <d v="2024-10-02T00:00:00"/>
    <n v="925"/>
    <s v="S2S Premium"/>
    <s v="Pm_Coria, Candela"/>
    <x v="88"/>
    <d v="1899-12-30T15:00:00"/>
    <s v="-"/>
    <d v="1899-12-30T15:30:00"/>
    <n v="1089"/>
    <n v="0"/>
    <n v="0"/>
    <n v="13"/>
    <n v="0"/>
    <n v="0"/>
    <n v="0"/>
    <n v="78"/>
    <n v="0"/>
    <n v="0"/>
    <n v="0"/>
    <n v="0"/>
    <n v="0"/>
    <n v="0"/>
    <n v="0"/>
    <n v="0"/>
    <n v="0"/>
    <n v="0"/>
    <n v="0"/>
    <n v="3"/>
    <n v="3"/>
    <x v="1"/>
    <x v="88"/>
    <d v="1899-12-30T15:00:00"/>
    <d v="1899-12-30T15:30:00"/>
  </r>
  <r>
    <d v="2024-10-02T00:00:00"/>
    <n v="925"/>
    <s v="S2S Premium"/>
    <s v="Pm_Coria, Candela"/>
    <x v="88"/>
    <d v="1899-12-30T17:30:00"/>
    <s v="-"/>
    <d v="1899-12-30T18:00:00"/>
    <n v="1168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88"/>
    <d v="1899-12-30T17:30:00"/>
    <d v="1899-12-30T18:00:00"/>
  </r>
  <r>
    <d v="2024-10-02T00:00:00"/>
    <n v="925"/>
    <s v="S2S Premium"/>
    <s v="Pm_Coria, Candela"/>
    <x v="88"/>
    <d v="1899-12-30T16:30:00"/>
    <s v="-"/>
    <d v="1899-12-30T17:00:00"/>
    <n v="1222"/>
    <n v="0"/>
    <n v="0"/>
    <n v="16"/>
    <n v="0"/>
    <n v="0"/>
    <n v="0"/>
    <n v="235"/>
    <n v="97"/>
    <n v="0"/>
    <n v="0"/>
    <n v="0"/>
    <n v="0"/>
    <n v="0"/>
    <n v="0"/>
    <n v="0"/>
    <n v="0"/>
    <n v="0"/>
    <n v="0"/>
    <n v="4"/>
    <n v="3"/>
    <x v="1"/>
    <x v="88"/>
    <d v="1899-12-30T16:30:00"/>
    <d v="1899-12-30T17:00:00"/>
  </r>
  <r>
    <d v="2024-10-02T00:00:00"/>
    <n v="925"/>
    <s v="S2S Premium"/>
    <s v="Pm_Coria, Candela"/>
    <x v="88"/>
    <d v="1899-12-30T17:00:00"/>
    <s v="-"/>
    <d v="1899-12-30T17:30:00"/>
    <n v="1279"/>
    <n v="169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88"/>
    <d v="1899-12-30T17:00:00"/>
    <d v="1899-12-30T17:30:00"/>
  </r>
  <r>
    <d v="2024-10-02T00:00:00"/>
    <n v="925"/>
    <s v="S2S Premium"/>
    <s v="Pm_Salles, Matias"/>
    <x v="89"/>
    <d v="1899-12-30T14:00:00"/>
    <s v="-"/>
    <d v="1899-12-30T14:30:00"/>
    <n v="7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89"/>
    <d v="1899-12-30T14:00:00"/>
    <d v="1899-12-30T14:30:00"/>
  </r>
  <r>
    <d v="2024-10-02T00:00:00"/>
    <n v="924"/>
    <s v="S2S No Premium"/>
    <s v="N2m_Colmenares, Emi"/>
    <x v="90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0"/>
    <d v="1899-12-30T15:30:00"/>
    <d v="1899-12-30T16:00:00"/>
  </r>
  <r>
    <d v="2024-10-02T00:00:00"/>
    <n v="924"/>
    <s v="S2S No Premium"/>
    <s v="N2m_Colmenares, Emi"/>
    <x v="90"/>
    <d v="1899-12-30T19:00:00"/>
    <s v="-"/>
    <d v="1899-12-30T19:30:00"/>
    <n v="546"/>
    <n v="0"/>
    <n v="0"/>
    <n v="12"/>
    <n v="0"/>
    <n v="0"/>
    <n v="0"/>
    <n v="116"/>
    <n v="85"/>
    <n v="0"/>
    <n v="0"/>
    <n v="0"/>
    <n v="0"/>
    <n v="0"/>
    <n v="0"/>
    <n v="0"/>
    <n v="0"/>
    <n v="0"/>
    <n v="0"/>
    <n v="4"/>
    <n v="2"/>
    <x v="0"/>
    <x v="90"/>
    <d v="1899-12-30T19:00:00"/>
    <d v="1899-12-30T19:30:00"/>
  </r>
  <r>
    <d v="2024-10-02T00:00:00"/>
    <n v="924"/>
    <s v="S2S No Premium"/>
    <s v="N2m_Colmenares, Emi"/>
    <x v="90"/>
    <d v="1899-12-30T19:30:00"/>
    <s v="-"/>
    <d v="1899-12-30T20:00:00"/>
    <n v="620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2"/>
    <x v="0"/>
    <x v="90"/>
    <d v="1899-12-30T19:30:00"/>
    <d v="1899-12-30T20:00:00"/>
  </r>
  <r>
    <d v="2024-10-02T00:00:00"/>
    <n v="924"/>
    <s v="S2S No Premium"/>
    <s v="N2m_Colmenares, Emi"/>
    <x v="90"/>
    <d v="1899-12-30T17:30:00"/>
    <s v="-"/>
    <d v="1899-12-30T18:00:00"/>
    <n v="1129"/>
    <n v="0"/>
    <n v="0"/>
    <n v="20"/>
    <n v="0"/>
    <n v="0"/>
    <n v="0"/>
    <n v="268"/>
    <n v="0"/>
    <n v="0"/>
    <n v="0"/>
    <n v="0"/>
    <n v="0"/>
    <n v="0"/>
    <n v="0"/>
    <n v="0"/>
    <n v="0"/>
    <n v="0"/>
    <n v="0"/>
    <n v="5"/>
    <n v="5"/>
    <x v="0"/>
    <x v="90"/>
    <d v="1899-12-30T17:30:00"/>
    <d v="1899-12-30T18:00:00"/>
  </r>
  <r>
    <d v="2024-10-02T00:00:00"/>
    <n v="924"/>
    <s v="S2S No Premium"/>
    <s v="N2m_Colmenares, Emi"/>
    <x v="90"/>
    <d v="1899-12-30T16:00:00"/>
    <s v="-"/>
    <d v="1899-12-30T16:30:00"/>
    <n v="1152"/>
    <n v="57"/>
    <n v="0"/>
    <n v="30"/>
    <n v="0"/>
    <n v="0"/>
    <n v="0"/>
    <n v="7"/>
    <n v="0"/>
    <n v="0"/>
    <n v="0"/>
    <n v="0"/>
    <n v="0"/>
    <n v="0"/>
    <n v="0"/>
    <n v="0"/>
    <n v="0"/>
    <n v="0"/>
    <n v="0"/>
    <n v="6"/>
    <n v="3"/>
    <x v="0"/>
    <x v="90"/>
    <d v="1899-12-30T16:00:00"/>
    <d v="1899-12-30T16:30:00"/>
  </r>
  <r>
    <d v="2024-10-02T00:00:00"/>
    <n v="924"/>
    <s v="S2S No Premium"/>
    <s v="N2m_Colmenares, Emi"/>
    <x v="90"/>
    <d v="1899-12-30T17:00:00"/>
    <s v="-"/>
    <d v="1899-12-30T17:30:00"/>
    <n v="1208"/>
    <n v="0"/>
    <n v="0"/>
    <n v="12"/>
    <n v="0"/>
    <n v="0"/>
    <n v="0"/>
    <n v="74"/>
    <n v="0"/>
    <n v="0"/>
    <n v="0"/>
    <n v="0"/>
    <n v="0"/>
    <n v="0"/>
    <n v="0"/>
    <n v="0"/>
    <n v="0"/>
    <n v="0"/>
    <n v="0"/>
    <n v="3"/>
    <n v="2"/>
    <x v="0"/>
    <x v="90"/>
    <d v="1899-12-30T17:00:00"/>
    <d v="1899-12-30T17:30:00"/>
  </r>
  <r>
    <d v="2024-10-02T00:00:00"/>
    <n v="924"/>
    <s v="S2S No Premium"/>
    <s v="N2m_Colmenares, Emi"/>
    <x v="90"/>
    <d v="1899-12-30T18:00:00"/>
    <s v="-"/>
    <d v="1899-12-30T18:30:00"/>
    <n v="1249"/>
    <n v="35"/>
    <n v="0"/>
    <n v="16"/>
    <n v="0"/>
    <n v="0"/>
    <n v="0"/>
    <n v="197"/>
    <n v="0"/>
    <n v="0"/>
    <n v="0"/>
    <n v="0"/>
    <n v="0"/>
    <n v="0"/>
    <n v="0"/>
    <n v="0"/>
    <n v="0"/>
    <n v="0"/>
    <n v="0"/>
    <n v="5"/>
    <n v="3"/>
    <x v="0"/>
    <x v="90"/>
    <d v="1899-12-30T18:00:00"/>
    <d v="1899-12-30T18:30:00"/>
  </r>
  <r>
    <d v="2024-10-02T00:00:00"/>
    <n v="924"/>
    <s v="S2S No Premium"/>
    <s v="N2m_Colmenares, Emi"/>
    <x v="90"/>
    <d v="1899-12-30T18:30:00"/>
    <s v="-"/>
    <d v="1899-12-30T19:00:00"/>
    <n v="1318"/>
    <n v="58"/>
    <n v="0"/>
    <n v="12"/>
    <n v="0"/>
    <n v="0"/>
    <n v="0"/>
    <n v="41"/>
    <n v="0"/>
    <n v="0"/>
    <n v="0"/>
    <n v="0"/>
    <n v="0"/>
    <n v="0"/>
    <n v="0"/>
    <n v="0"/>
    <n v="0"/>
    <n v="0"/>
    <n v="0"/>
    <n v="2"/>
    <n v="2"/>
    <x v="0"/>
    <x v="90"/>
    <d v="1899-12-30T18:30:00"/>
    <d v="1899-12-30T19:00:00"/>
  </r>
  <r>
    <d v="2024-10-02T00:00:00"/>
    <n v="924"/>
    <s v="S2S No Premium"/>
    <s v="N2m_Colmenares, Emi"/>
    <x v="90"/>
    <d v="1899-12-30T16:30:00"/>
    <s v="-"/>
    <d v="1899-12-30T17:00:00"/>
    <n v="1531"/>
    <n v="0"/>
    <n v="0"/>
    <n v="12"/>
    <n v="0"/>
    <n v="0"/>
    <n v="0"/>
    <n v="12"/>
    <n v="0"/>
    <n v="0"/>
    <n v="0"/>
    <n v="0"/>
    <n v="0"/>
    <n v="0"/>
    <n v="0"/>
    <n v="0"/>
    <n v="0"/>
    <n v="0"/>
    <n v="0"/>
    <n v="3"/>
    <n v="3"/>
    <x v="0"/>
    <x v="90"/>
    <d v="1899-12-30T16:30:00"/>
    <d v="1899-12-30T17:00:00"/>
  </r>
  <r>
    <d v="2024-10-02T00:00:00"/>
    <n v="925"/>
    <s v="S2S Premium"/>
    <s v="Pm_Sanchez, Juan"/>
    <x v="91"/>
    <d v="1899-12-30T19:30:00"/>
    <s v="-"/>
    <d v="1899-12-30T20:00:00"/>
    <n v="46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1"/>
    <d v="1899-12-30T19:30:00"/>
    <d v="1899-12-30T20:00:00"/>
  </r>
  <r>
    <d v="2024-10-02T00:00:00"/>
    <n v="925"/>
    <s v="S2S Premium"/>
    <s v="Pm_Sanchez, Juan"/>
    <x v="91"/>
    <d v="1899-12-30T18:00:00"/>
    <s v="-"/>
    <d v="1899-12-30T18:30:00"/>
    <n v="860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1"/>
    <d v="1899-12-30T18:00:00"/>
    <d v="1899-12-30T18:30:00"/>
  </r>
  <r>
    <d v="2024-10-02T00:00:00"/>
    <n v="925"/>
    <s v="S2S Premium"/>
    <s v="Pm_Sanchez, Juan"/>
    <x v="91"/>
    <d v="1899-12-30T18:30:00"/>
    <s v="-"/>
    <d v="1899-12-30T19:00:00"/>
    <n v="1008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1"/>
    <d v="1899-12-30T18:30:00"/>
    <d v="1899-12-30T19:00:00"/>
  </r>
  <r>
    <d v="2024-10-02T00:00:00"/>
    <n v="925"/>
    <s v="S2S Premium"/>
    <s v="Pm_Sanchez, Juan"/>
    <x v="91"/>
    <d v="1899-12-30T19:00:00"/>
    <s v="-"/>
    <d v="1899-12-30T19:30:00"/>
    <n v="1088"/>
    <n v="112"/>
    <n v="0"/>
    <n v="29"/>
    <n v="0"/>
    <n v="0"/>
    <n v="0"/>
    <n v="110"/>
    <n v="77"/>
    <n v="0"/>
    <n v="0"/>
    <n v="0"/>
    <n v="0"/>
    <n v="0"/>
    <n v="0"/>
    <n v="0"/>
    <n v="0"/>
    <n v="0"/>
    <n v="0"/>
    <n v="7"/>
    <n v="6"/>
    <x v="1"/>
    <x v="91"/>
    <d v="1899-12-30T19:00:00"/>
    <d v="1899-12-30T19:30:00"/>
  </r>
  <r>
    <d v="2024-10-02T00:00:00"/>
    <n v="924"/>
    <s v="S2S No Premium"/>
    <s v="N2m_Andrzeyevski Ca"/>
    <x v="92"/>
    <d v="1899-12-30T14:30:00"/>
    <s v="-"/>
    <d v="1899-12-30T15:00:00"/>
    <n v="582"/>
    <n v="4"/>
    <n v="0"/>
    <n v="12"/>
    <n v="0"/>
    <n v="0"/>
    <n v="0"/>
    <n v="61"/>
    <n v="0"/>
    <n v="0"/>
    <n v="0"/>
    <n v="0"/>
    <n v="0"/>
    <n v="0"/>
    <n v="0"/>
    <n v="0"/>
    <n v="0"/>
    <n v="0"/>
    <n v="0"/>
    <n v="3"/>
    <n v="1"/>
    <x v="0"/>
    <x v="92"/>
    <d v="1899-12-30T14:30:00"/>
    <d v="1899-12-30T15:00:00"/>
  </r>
  <r>
    <d v="2024-10-02T00:00:00"/>
    <n v="924"/>
    <s v="S2S No Premium"/>
    <s v="N2m_Andrzeyevski Ca"/>
    <x v="92"/>
    <d v="1899-12-30T14:00:00"/>
    <s v="-"/>
    <d v="1899-12-30T14:30:00"/>
    <n v="918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2"/>
    <d v="1899-12-30T14:00:00"/>
    <d v="1899-12-30T14:30:00"/>
  </r>
  <r>
    <d v="2024-10-02T00:00:00"/>
    <n v="925"/>
    <s v="S2S Premium"/>
    <s v="PCC_Zalazar Brian"/>
    <x v="9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3"/>
    <d v="1899-12-30T15:00:00"/>
    <d v="1899-12-30T15:30:00"/>
  </r>
  <r>
    <d v="2024-10-02T00:00:00"/>
    <n v="925"/>
    <s v="S2S Premium"/>
    <s v="PCC_Zalazar Brian"/>
    <x v="93"/>
    <d v="1899-12-30T14:30:00"/>
    <s v="-"/>
    <d v="1899-12-30T15:00:00"/>
    <n v="477"/>
    <n v="0"/>
    <n v="0"/>
    <n v="14"/>
    <n v="0"/>
    <n v="0"/>
    <n v="0"/>
    <n v="130"/>
    <n v="0"/>
    <n v="0"/>
    <n v="0"/>
    <n v="0"/>
    <n v="0"/>
    <n v="0"/>
    <n v="0"/>
    <n v="0"/>
    <n v="0"/>
    <n v="0"/>
    <n v="0"/>
    <n v="3"/>
    <n v="3"/>
    <x v="1"/>
    <x v="93"/>
    <d v="1899-12-30T14:30:00"/>
    <d v="1899-12-30T15:00:00"/>
  </r>
  <r>
    <d v="2024-10-02T00:00:00"/>
    <n v="925"/>
    <s v="S2S Premium"/>
    <s v="PCC_Zalazar Brian"/>
    <x v="93"/>
    <d v="1899-12-30T14:00:00"/>
    <s v="-"/>
    <d v="1899-12-30T14:30:00"/>
    <n v="969"/>
    <n v="0"/>
    <n v="0"/>
    <n v="14"/>
    <n v="0"/>
    <n v="0"/>
    <n v="0"/>
    <n v="60"/>
    <n v="0"/>
    <n v="0"/>
    <n v="0"/>
    <n v="0"/>
    <n v="0"/>
    <n v="0"/>
    <n v="0"/>
    <n v="0"/>
    <n v="0"/>
    <n v="0"/>
    <n v="0"/>
    <n v="5"/>
    <n v="5"/>
    <x v="1"/>
    <x v="93"/>
    <d v="1899-12-30T14:00:00"/>
    <d v="1899-12-30T14:30:00"/>
  </r>
  <r>
    <d v="2024-10-02T00:00:00"/>
    <n v="924"/>
    <s v="S2S No Premium"/>
    <s v="P_ Ledesma Maxi"/>
    <x v="94"/>
    <d v="1899-12-30T16:00:00"/>
    <s v="-"/>
    <d v="1899-12-30T16:30:00"/>
    <n v="16"/>
    <n v="2"/>
    <n v="0"/>
    <n v="0"/>
    <n v="0"/>
    <n v="0"/>
    <n v="0"/>
    <n v="58"/>
    <n v="1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P_ Ledesma Maxi"/>
    <x v="94"/>
    <d v="1899-12-30T15:00:00"/>
    <s v="-"/>
    <d v="1899-12-30T15:30:00"/>
    <n v="498"/>
    <n v="0"/>
    <n v="0"/>
    <n v="16"/>
    <n v="0"/>
    <n v="0"/>
    <n v="0"/>
    <n v="69"/>
    <n v="0"/>
    <n v="0"/>
    <n v="0"/>
    <n v="0"/>
    <n v="0"/>
    <n v="0"/>
    <n v="0"/>
    <n v="0"/>
    <n v="0"/>
    <n v="0"/>
    <n v="0"/>
    <n v="5"/>
    <n v="1"/>
    <x v="0"/>
    <x v="94"/>
    <d v="1899-12-30T15:00:00"/>
    <d v="1899-12-30T15:30:00"/>
  </r>
  <r>
    <d v="2024-10-02T00:00:00"/>
    <n v="924"/>
    <s v="S2S No Premium"/>
    <s v="P_ Ledesma Maxi"/>
    <x v="94"/>
    <d v="1899-12-30T14:00:00"/>
    <s v="-"/>
    <d v="1899-12-30T14:30:00"/>
    <n v="641"/>
    <n v="0"/>
    <n v="0"/>
    <n v="9"/>
    <n v="0"/>
    <n v="0"/>
    <n v="0"/>
    <n v="450"/>
    <n v="0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P_ Ledesma Maxi"/>
    <x v="94"/>
    <d v="1899-12-30T15:30:00"/>
    <s v="-"/>
    <d v="1899-12-30T16:00:00"/>
    <n v="837"/>
    <n v="0"/>
    <n v="0"/>
    <n v="19"/>
    <n v="0"/>
    <n v="0"/>
    <n v="0"/>
    <n v="153"/>
    <n v="0"/>
    <n v="0"/>
    <n v="0"/>
    <n v="0"/>
    <n v="0"/>
    <n v="0"/>
    <n v="0"/>
    <n v="0"/>
    <n v="0"/>
    <n v="0"/>
    <n v="0"/>
    <n v="4"/>
    <n v="2"/>
    <x v="0"/>
    <x v="94"/>
    <d v="1899-12-30T15:30:00"/>
    <d v="1899-12-30T16:00:00"/>
  </r>
  <r>
    <d v="2024-10-02T00:00:00"/>
    <n v="924"/>
    <s v="S2S No Premium"/>
    <s v="P_ Ledesma Maxi"/>
    <x v="94"/>
    <d v="1899-12-30T14:30:00"/>
    <s v="-"/>
    <d v="1899-12-30T15:00:00"/>
    <n v="853"/>
    <n v="0"/>
    <n v="0"/>
    <n v="8"/>
    <n v="0"/>
    <n v="0"/>
    <n v="0"/>
    <n v="212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XN2_Buffa Ivan Eman"/>
    <x v="95"/>
    <d v="1899-12-30T18:30:00"/>
    <s v="-"/>
    <d v="1899-12-30T19:00:00"/>
    <n v="1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XN2_Buffa Ivan Eman"/>
    <x v="95"/>
    <d v="1899-12-30T19:00:00"/>
    <s v="-"/>
    <d v="1899-12-30T19:30:00"/>
    <n v="227"/>
    <n v="0"/>
    <n v="0"/>
    <n v="8"/>
    <n v="0"/>
    <n v="0"/>
    <n v="0"/>
    <n v="0"/>
    <n v="203"/>
    <n v="0"/>
    <n v="0"/>
    <n v="0"/>
    <n v="0"/>
    <n v="0"/>
    <n v="0"/>
    <n v="0"/>
    <n v="0"/>
    <n v="0"/>
    <n v="0"/>
    <n v="1"/>
    <n v="0"/>
    <x v="0"/>
    <x v="94"/>
    <d v="1899-12-30T19:00:00"/>
    <d v="1899-12-30T19:30:00"/>
  </r>
  <r>
    <d v="2024-10-02T00:00:00"/>
    <n v="924"/>
    <s v="S2S No Premium"/>
    <s v="XN2_Buffa Ivan Eman"/>
    <x v="95"/>
    <d v="1899-12-30T14:00:00"/>
    <s v="-"/>
    <d v="1899-12-30T14:30:00"/>
    <n v="559"/>
    <n v="0"/>
    <n v="0"/>
    <n v="12"/>
    <n v="0"/>
    <n v="0"/>
    <n v="0"/>
    <n v="68"/>
    <n v="2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XN2_Buffa Ivan Eman"/>
    <x v="95"/>
    <d v="1899-12-30T15:00:00"/>
    <s v="-"/>
    <d v="1899-12-30T15:30:00"/>
    <n v="912"/>
    <n v="0"/>
    <n v="0"/>
    <n v="12"/>
    <n v="0"/>
    <n v="0"/>
    <n v="0"/>
    <n v="55"/>
    <n v="0"/>
    <n v="0"/>
    <n v="0"/>
    <n v="0"/>
    <n v="0"/>
    <n v="0"/>
    <n v="0"/>
    <n v="0"/>
    <n v="0"/>
    <n v="0"/>
    <n v="0"/>
    <n v="3"/>
    <n v="1"/>
    <x v="0"/>
    <x v="94"/>
    <d v="1899-12-30T15:00:00"/>
    <d v="1899-12-30T15:30:00"/>
  </r>
  <r>
    <d v="2024-10-02T00:00:00"/>
    <n v="924"/>
    <s v="S2S No Premium"/>
    <s v="XN2_Buffa Ivan Eman"/>
    <x v="95"/>
    <d v="1899-12-30T15:30:00"/>
    <s v="-"/>
    <d v="1899-12-30T16:00:00"/>
    <n v="1008"/>
    <n v="0"/>
    <n v="0"/>
    <n v="16"/>
    <n v="0"/>
    <n v="0"/>
    <n v="0"/>
    <n v="96"/>
    <n v="0"/>
    <n v="0"/>
    <n v="0"/>
    <n v="0"/>
    <n v="0"/>
    <n v="0"/>
    <n v="0"/>
    <n v="0"/>
    <n v="0"/>
    <n v="0"/>
    <n v="0"/>
    <n v="4"/>
    <n v="1"/>
    <x v="0"/>
    <x v="94"/>
    <d v="1899-12-30T15:30:00"/>
    <d v="1899-12-30T16:00:00"/>
  </r>
  <r>
    <d v="2024-10-02T00:00:00"/>
    <n v="924"/>
    <s v="S2S No Premium"/>
    <s v="XN2_Buffa Ivan Eman"/>
    <x v="95"/>
    <d v="1899-12-30T19:30:00"/>
    <s v="-"/>
    <d v="1899-12-30T20:00:00"/>
    <n v="1024"/>
    <n v="0"/>
    <n v="0"/>
    <n v="8"/>
    <n v="0"/>
    <n v="0"/>
    <n v="0"/>
    <n v="776"/>
    <n v="1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XN2_Buffa Ivan Eman"/>
    <x v="95"/>
    <d v="1899-12-30T14:30:00"/>
    <s v="-"/>
    <d v="1899-12-30T15:00:00"/>
    <n v="1097"/>
    <n v="0"/>
    <n v="0"/>
    <n v="11"/>
    <n v="0"/>
    <n v="0"/>
    <n v="0"/>
    <n v="87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XN2_Buffa Ivan Eman"/>
    <x v="95"/>
    <d v="1899-12-30T17:30:00"/>
    <s v="-"/>
    <d v="1899-12-30T18:00:00"/>
    <n v="1126"/>
    <n v="14"/>
    <n v="0"/>
    <n v="16"/>
    <n v="0"/>
    <n v="0"/>
    <n v="0"/>
    <n v="234"/>
    <n v="0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XN2_Buffa Ivan Eman"/>
    <x v="95"/>
    <d v="1899-12-30T18:00:00"/>
    <s v="-"/>
    <d v="1899-12-30T18:30:00"/>
    <n v="1204"/>
    <n v="52"/>
    <n v="0"/>
    <n v="22"/>
    <n v="0"/>
    <n v="0"/>
    <n v="0"/>
    <n v="518"/>
    <n v="2"/>
    <n v="0"/>
    <n v="0"/>
    <n v="0"/>
    <n v="0"/>
    <n v="0"/>
    <n v="0"/>
    <n v="0"/>
    <n v="0"/>
    <n v="0"/>
    <n v="0"/>
    <n v="6"/>
    <n v="6"/>
    <x v="0"/>
    <x v="94"/>
    <d v="1899-12-30T18:00:00"/>
    <d v="1899-12-30T18:30:00"/>
  </r>
  <r>
    <d v="2024-10-02T00:00:00"/>
    <n v="924"/>
    <s v="S2S No Premium"/>
    <s v="XN2_Buffa Ivan Eman"/>
    <x v="95"/>
    <d v="1899-12-30T17:00:00"/>
    <s v="-"/>
    <d v="1899-12-30T17:30:00"/>
    <n v="1286"/>
    <n v="3"/>
    <n v="0"/>
    <n v="12"/>
    <n v="0"/>
    <n v="0"/>
    <n v="0"/>
    <n v="181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4"/>
    <s v="S2S No Premium"/>
    <s v="XN2_Buffa Ivan Eman"/>
    <x v="95"/>
    <d v="1899-12-30T16:00:00"/>
    <s v="-"/>
    <d v="1899-12-30T16:30:00"/>
    <n v="1335"/>
    <n v="0"/>
    <n v="0"/>
    <n v="16"/>
    <n v="0"/>
    <n v="0"/>
    <n v="0"/>
    <n v="195"/>
    <n v="0"/>
    <n v="0"/>
    <n v="0"/>
    <n v="0"/>
    <n v="0"/>
    <n v="0"/>
    <n v="0"/>
    <n v="0"/>
    <n v="0"/>
    <n v="0"/>
    <n v="0"/>
    <n v="4"/>
    <n v="2"/>
    <x v="0"/>
    <x v="94"/>
    <d v="1899-12-30T16:00:00"/>
    <d v="1899-12-30T16:30:00"/>
  </r>
  <r>
    <d v="2024-10-02T00:00:00"/>
    <n v="924"/>
    <s v="S2S No Premium"/>
    <s v="XN2_Buffa Ivan Eman"/>
    <x v="95"/>
    <d v="1899-12-30T16:30:00"/>
    <s v="-"/>
    <d v="1899-12-30T17:00:00"/>
    <n v="1483"/>
    <n v="0"/>
    <n v="0"/>
    <n v="7"/>
    <n v="0"/>
    <n v="0"/>
    <n v="0"/>
    <n v="80"/>
    <n v="2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d v="2024-10-02T00:00:00"/>
    <n v="925"/>
    <s v="S2S Premium"/>
    <s v="N1_Carmona Jaquelin"/>
    <x v="96"/>
    <d v="1899-12-30T14:00:00"/>
    <s v="-"/>
    <d v="1899-12-30T14:30:0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N1_Carmona Jaquelin"/>
    <x v="96"/>
    <d v="1899-12-30T16:00:00"/>
    <s v="-"/>
    <d v="1899-12-30T16:30:00"/>
    <n v="5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6:00:00"/>
    <d v="1899-12-30T16:30:00"/>
  </r>
  <r>
    <d v="2024-10-02T00:00:00"/>
    <n v="925"/>
    <s v="S2S Premium"/>
    <s v="N1_Carmona Jaquelin"/>
    <x v="96"/>
    <d v="1899-12-30T14:30:00"/>
    <s v="-"/>
    <d v="1899-12-30T15:00:00"/>
    <n v="606"/>
    <n v="0"/>
    <n v="0"/>
    <n v="8"/>
    <n v="0"/>
    <n v="0"/>
    <n v="0"/>
    <n v="41"/>
    <n v="0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N1_Carmona Jaquelin"/>
    <x v="96"/>
    <d v="1899-12-30T15:00:00"/>
    <s v="-"/>
    <d v="1899-12-30T15:30:00"/>
    <n v="642"/>
    <n v="0"/>
    <n v="0"/>
    <n v="8"/>
    <n v="0"/>
    <n v="0"/>
    <n v="0"/>
    <n v="322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N1_Carmona Jaquelin"/>
    <x v="96"/>
    <d v="1899-12-30T15:30:00"/>
    <s v="-"/>
    <d v="1899-12-30T16:00:00"/>
    <n v="1332"/>
    <n v="0"/>
    <n v="0"/>
    <n v="8"/>
    <n v="0"/>
    <n v="0"/>
    <n v="0"/>
    <n v="101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4"/>
    <s v="S2S No Premium"/>
    <s v="N2_Martinez Agostina"/>
    <x v="97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N2_Martinez Agostina"/>
    <x v="97"/>
    <d v="1899-12-30T14:00:00"/>
    <s v="-"/>
    <d v="1899-12-30T14:30:00"/>
    <n v="658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3"/>
    <x v="0"/>
    <x v="94"/>
    <d v="1899-12-30T14:00:00"/>
    <d v="1899-12-30T14:30:00"/>
  </r>
  <r>
    <d v="2024-10-02T00:00:00"/>
    <n v="924"/>
    <s v="S2S No Premium"/>
    <s v="N2_Martinez Agostina"/>
    <x v="97"/>
    <d v="1899-12-30T14:30:00"/>
    <s v="-"/>
    <d v="1899-12-30T15:00:00"/>
    <n v="702"/>
    <n v="0"/>
    <n v="0"/>
    <n v="12"/>
    <n v="0"/>
    <n v="0"/>
    <n v="0"/>
    <n v="72"/>
    <n v="2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N2_Martinez Agostina"/>
    <x v="97"/>
    <d v="1899-12-30T15:00:00"/>
    <s v="-"/>
    <d v="1899-12-30T15:30:00"/>
    <n v="702"/>
    <n v="0"/>
    <n v="0"/>
    <n v="11"/>
    <n v="0"/>
    <n v="0"/>
    <n v="0"/>
    <n v="334"/>
    <n v="88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N2_Martinez Agostina"/>
    <x v="97"/>
    <d v="1899-12-30T18:30:00"/>
    <s v="-"/>
    <d v="1899-12-30T19:00:00"/>
    <n v="721"/>
    <n v="0"/>
    <n v="0"/>
    <n v="3"/>
    <n v="0"/>
    <n v="0"/>
    <n v="0"/>
    <n v="214"/>
    <n v="345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_Martinez Agostina"/>
    <x v="97"/>
    <d v="1899-12-30T19:00:00"/>
    <s v="-"/>
    <d v="1899-12-30T19:30:00"/>
    <n v="995"/>
    <n v="0"/>
    <n v="0"/>
    <n v="12"/>
    <n v="0"/>
    <n v="0"/>
    <n v="0"/>
    <n v="918"/>
    <n v="92"/>
    <n v="0"/>
    <n v="0"/>
    <n v="0"/>
    <n v="0"/>
    <n v="0"/>
    <n v="0"/>
    <n v="0"/>
    <n v="0"/>
    <n v="0"/>
    <n v="0"/>
    <n v="4"/>
    <n v="3"/>
    <x v="0"/>
    <x v="94"/>
    <d v="1899-12-30T19:00:00"/>
    <d v="1899-12-30T19:30:00"/>
  </r>
  <r>
    <d v="2024-10-02T00:00:00"/>
    <n v="924"/>
    <s v="S2S No Premium"/>
    <s v="N2_Martinez Agostina"/>
    <x v="97"/>
    <d v="1899-12-30T16:00:00"/>
    <s v="-"/>
    <d v="1899-12-30T16:30:00"/>
    <n v="1045"/>
    <n v="0"/>
    <n v="0"/>
    <n v="16"/>
    <n v="0"/>
    <n v="0"/>
    <n v="0"/>
    <n v="282"/>
    <n v="17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N2_Martinez Agostina"/>
    <x v="97"/>
    <d v="1899-12-30T15:30:00"/>
    <s v="-"/>
    <d v="1899-12-30T16:00:00"/>
    <n v="1085"/>
    <n v="0"/>
    <n v="0"/>
    <n v="12"/>
    <n v="0"/>
    <n v="0"/>
    <n v="0"/>
    <n v="343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N2_Martinez Agostina"/>
    <x v="97"/>
    <d v="1899-12-30T17:00:00"/>
    <s v="-"/>
    <d v="1899-12-30T17:30:00"/>
    <n v="1238"/>
    <n v="0"/>
    <n v="0"/>
    <n v="16"/>
    <n v="0"/>
    <n v="0"/>
    <n v="0"/>
    <n v="2"/>
    <n v="2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N2_Martinez Agostina"/>
    <x v="97"/>
    <d v="1899-12-30T18:00:00"/>
    <s v="-"/>
    <d v="1899-12-30T18:30:00"/>
    <n v="1274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4"/>
    <s v="S2S No Premium"/>
    <s v="N2_Martinez Agostina"/>
    <x v="97"/>
    <d v="1899-12-30T16:30:00"/>
    <s v="-"/>
    <d v="1899-12-30T17:00:00"/>
    <n v="1392"/>
    <n v="0"/>
    <n v="0"/>
    <n v="23"/>
    <n v="0"/>
    <n v="0"/>
    <n v="0"/>
    <n v="60"/>
    <n v="0"/>
    <n v="0"/>
    <n v="0"/>
    <n v="0"/>
    <n v="0"/>
    <n v="0"/>
    <n v="0"/>
    <n v="0"/>
    <n v="0"/>
    <n v="0"/>
    <n v="0"/>
    <n v="5"/>
    <n v="4"/>
    <x v="0"/>
    <x v="94"/>
    <d v="1899-12-30T16:30:00"/>
    <d v="1899-12-30T17:00:00"/>
  </r>
  <r>
    <d v="2024-10-02T00:00:00"/>
    <n v="924"/>
    <s v="S2S No Premium"/>
    <s v="N2_Martinez Agostina"/>
    <x v="97"/>
    <d v="1899-12-30T17:30:00"/>
    <s v="-"/>
    <d v="1899-12-30T18:00:00"/>
    <n v="1410"/>
    <n v="0"/>
    <n v="0"/>
    <n v="27"/>
    <n v="0"/>
    <n v="0"/>
    <n v="0"/>
    <n v="2"/>
    <n v="2"/>
    <n v="0"/>
    <n v="0"/>
    <n v="0"/>
    <n v="0"/>
    <n v="0"/>
    <n v="0"/>
    <n v="0"/>
    <n v="0"/>
    <n v="0"/>
    <n v="0"/>
    <n v="6"/>
    <n v="4"/>
    <x v="0"/>
    <x v="94"/>
    <d v="1899-12-30T17:30:00"/>
    <d v="1899-12-30T18:00:00"/>
  </r>
  <r>
    <d v="2024-10-02T00:00:00"/>
    <n v="924"/>
    <s v="S2S No Premium"/>
    <s v="*N1_Gomez Gisela"/>
    <x v="98"/>
    <d v="1899-12-30T15:00:00"/>
    <s v="-"/>
    <d v="1899-12-30T15:30:00"/>
    <n v="3"/>
    <n v="5"/>
    <n v="0"/>
    <n v="0"/>
    <n v="0"/>
    <n v="0"/>
    <n v="0"/>
    <n v="101"/>
    <n v="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1_Gomez Gisela"/>
    <x v="98"/>
    <d v="1899-12-30T14:00:00"/>
    <s v="-"/>
    <d v="1899-12-30T14:30:00"/>
    <n v="829"/>
    <n v="0"/>
    <n v="0"/>
    <n v="16"/>
    <n v="0"/>
    <n v="0"/>
    <n v="0"/>
    <n v="60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1_Gomez Gisela"/>
    <x v="98"/>
    <d v="1899-12-30T14:30:00"/>
    <s v="-"/>
    <d v="1899-12-30T15:00:00"/>
    <n v="990"/>
    <n v="0"/>
    <n v="0"/>
    <n v="9"/>
    <n v="0"/>
    <n v="0"/>
    <n v="0"/>
    <n v="152"/>
    <n v="0"/>
    <n v="0"/>
    <n v="0"/>
    <n v="0"/>
    <n v="0"/>
    <n v="0"/>
    <n v="0"/>
    <n v="0"/>
    <n v="0"/>
    <n v="0"/>
    <n v="0"/>
    <n v="2"/>
    <n v="1"/>
    <x v="0"/>
    <x v="94"/>
    <d v="1899-12-30T14:30:00"/>
    <d v="1899-12-30T15:00:00"/>
  </r>
  <r>
    <d v="2024-10-02T00:00:00"/>
    <n v="924"/>
    <s v="S2S No Premium"/>
    <s v="P_Duran Oriana"/>
    <x v="99"/>
    <d v="1899-12-30T15:00:00"/>
    <s v="-"/>
    <d v="1899-12-30T15:30:00"/>
    <n v="424"/>
    <n v="0"/>
    <n v="0"/>
    <n v="0"/>
    <n v="0"/>
    <n v="0"/>
    <n v="0"/>
    <n v="388"/>
    <n v="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P_Duran Oriana"/>
    <x v="99"/>
    <d v="1899-12-30T14:30:00"/>
    <s v="-"/>
    <d v="1899-12-30T15:00:00"/>
    <n v="800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4"/>
    <x v="0"/>
    <x v="94"/>
    <d v="1899-12-30T14:30:00"/>
    <d v="1899-12-30T15:00:00"/>
  </r>
  <r>
    <d v="2024-10-02T00:00:00"/>
    <n v="924"/>
    <s v="S2S No Premium"/>
    <s v="P_Duran Oriana"/>
    <x v="99"/>
    <d v="1899-12-30T14:00:00"/>
    <s v="-"/>
    <d v="1899-12-30T14:30:00"/>
    <n v="1277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2e_Frias Miguel Ang"/>
    <x v="100"/>
    <d v="1899-12-30T16:00:00"/>
    <s v="-"/>
    <d v="1899-12-30T16:30:00"/>
    <n v="119"/>
    <n v="3"/>
    <n v="0"/>
    <n v="2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N2e_Frias Miguel Ang"/>
    <x v="100"/>
    <d v="1899-12-30T15:30:00"/>
    <s v="-"/>
    <d v="1899-12-30T16:00:00"/>
    <n v="834"/>
    <n v="0"/>
    <n v="0"/>
    <n v="22"/>
    <n v="0"/>
    <n v="0"/>
    <n v="0"/>
    <n v="2"/>
    <n v="2"/>
    <n v="0"/>
    <n v="0"/>
    <n v="0"/>
    <n v="0"/>
    <n v="0"/>
    <n v="0"/>
    <n v="0"/>
    <n v="0"/>
    <n v="0"/>
    <n v="0"/>
    <n v="5"/>
    <n v="5"/>
    <x v="0"/>
    <x v="94"/>
    <d v="1899-12-30T15:30:00"/>
    <d v="1899-12-30T16:00:00"/>
  </r>
  <r>
    <d v="2024-10-02T00:00:00"/>
    <n v="924"/>
    <s v="S2S No Premium"/>
    <s v="N2e_Frias Miguel Ang"/>
    <x v="100"/>
    <d v="1899-12-30T15:00:00"/>
    <s v="-"/>
    <d v="1899-12-30T15:30:00"/>
    <n v="926"/>
    <n v="0"/>
    <n v="0"/>
    <n v="12"/>
    <n v="0"/>
    <n v="0"/>
    <n v="0"/>
    <n v="67"/>
    <n v="65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N2e_Frias Miguel Ang"/>
    <x v="100"/>
    <d v="1899-12-30T14:30:00"/>
    <s v="-"/>
    <d v="1899-12-30T15:00:00"/>
    <n v="1015"/>
    <n v="535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2e_Frias Miguel Ang"/>
    <x v="100"/>
    <d v="1899-12-30T14:00:00"/>
    <s v="-"/>
    <d v="1899-12-30T14:30:00"/>
    <n v="1250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N1m_Meza Malena E"/>
    <x v="101"/>
    <d v="1899-12-30T18:30:00"/>
    <s v="-"/>
    <d v="1899-12-30T19:00:00"/>
    <n v="10"/>
    <n v="122"/>
    <n v="0"/>
    <n v="0"/>
    <n v="0"/>
    <n v="0"/>
    <n v="0"/>
    <n v="114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1m_Meza Malena E"/>
    <x v="101"/>
    <d v="1899-12-30T19:00:00"/>
    <s v="-"/>
    <d v="1899-12-30T19:30:00"/>
    <n v="537"/>
    <n v="0"/>
    <n v="0"/>
    <n v="12"/>
    <n v="0"/>
    <n v="0"/>
    <n v="0"/>
    <n v="182"/>
    <n v="138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1m_Meza Malena E"/>
    <x v="101"/>
    <d v="1899-12-30T14:00:00"/>
    <s v="-"/>
    <d v="1899-12-30T14:30:00"/>
    <n v="621"/>
    <n v="0"/>
    <n v="0"/>
    <n v="12"/>
    <n v="0"/>
    <n v="0"/>
    <n v="0"/>
    <n v="0"/>
    <n v="42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N1m_Meza Malena E"/>
    <x v="101"/>
    <d v="1899-12-30T14:30:00"/>
    <s v="-"/>
    <d v="1899-12-30T15:00:00"/>
    <n v="803"/>
    <n v="0"/>
    <n v="0"/>
    <n v="8"/>
    <n v="0"/>
    <n v="0"/>
    <n v="0"/>
    <n v="280"/>
    <n v="148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N1m_Meza Malena E"/>
    <x v="101"/>
    <d v="1899-12-30T16:00:00"/>
    <s v="-"/>
    <d v="1899-12-30T16:30:00"/>
    <n v="1007"/>
    <n v="0"/>
    <n v="0"/>
    <n v="4"/>
    <n v="0"/>
    <n v="0"/>
    <n v="0"/>
    <n v="625"/>
    <n v="1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N1m_Meza Malena E"/>
    <x v="101"/>
    <d v="1899-12-30T19:30:00"/>
    <s v="-"/>
    <d v="1899-12-30T20:00:00"/>
    <n v="1013"/>
    <n v="0"/>
    <n v="0"/>
    <n v="4"/>
    <n v="0"/>
    <n v="0"/>
    <n v="0"/>
    <n v="228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4"/>
    <s v="S2S No Premium"/>
    <s v="N1m_Meza Malena E"/>
    <x v="101"/>
    <d v="1899-12-30T17:30:00"/>
    <s v="-"/>
    <d v="1899-12-30T18:00:00"/>
    <n v="1172"/>
    <n v="0"/>
    <n v="0"/>
    <n v="0"/>
    <n v="0"/>
    <n v="0"/>
    <n v="0"/>
    <n v="545"/>
    <n v="399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N1m_Meza Malena E"/>
    <x v="101"/>
    <d v="1899-12-30T15:00:00"/>
    <s v="-"/>
    <d v="1899-12-30T15:30:00"/>
    <n v="1176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00:00"/>
    <d v="1899-12-30T15:30:00"/>
  </r>
  <r>
    <d v="2024-10-02T00:00:00"/>
    <n v="924"/>
    <s v="S2S No Premium"/>
    <s v="N1m_Meza Malena E"/>
    <x v="101"/>
    <d v="1899-12-30T18:00:00"/>
    <s v="-"/>
    <d v="1899-12-30T18:30:00"/>
    <n v="1200"/>
    <n v="34"/>
    <n v="0"/>
    <n v="15"/>
    <n v="0"/>
    <n v="0"/>
    <n v="0"/>
    <n v="0"/>
    <n v="0"/>
    <n v="0"/>
    <n v="0"/>
    <n v="0"/>
    <n v="0"/>
    <n v="0"/>
    <n v="0"/>
    <n v="0"/>
    <n v="0"/>
    <n v="0"/>
    <n v="0"/>
    <n v="3"/>
    <n v="3"/>
    <x v="0"/>
    <x v="94"/>
    <d v="1899-12-30T18:00:00"/>
    <d v="1899-12-30T18:30:00"/>
  </r>
  <r>
    <d v="2024-10-02T00:00:00"/>
    <n v="924"/>
    <s v="S2S No Premium"/>
    <s v="N1m_Meza Malena E"/>
    <x v="101"/>
    <d v="1899-12-30T16:30:00"/>
    <s v="-"/>
    <d v="1899-12-30T17:00:00"/>
    <n v="1229"/>
    <n v="0"/>
    <n v="0"/>
    <n v="17"/>
    <n v="0"/>
    <n v="0"/>
    <n v="0"/>
    <n v="169"/>
    <n v="0"/>
    <n v="0"/>
    <n v="0"/>
    <n v="0"/>
    <n v="0"/>
    <n v="0"/>
    <n v="0"/>
    <n v="0"/>
    <n v="0"/>
    <n v="0"/>
    <n v="0"/>
    <n v="4"/>
    <n v="2"/>
    <x v="0"/>
    <x v="94"/>
    <d v="1899-12-30T16:30:00"/>
    <d v="1899-12-30T17:00:00"/>
  </r>
  <r>
    <d v="2024-10-02T00:00:00"/>
    <n v="924"/>
    <s v="S2S No Premium"/>
    <s v="N1m_Meza Malena E"/>
    <x v="101"/>
    <d v="1899-12-30T17:00:00"/>
    <s v="-"/>
    <d v="1899-12-30T17:30:00"/>
    <n v="1306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N1m_Meza Malena E"/>
    <x v="101"/>
    <d v="1899-12-30T15:30:00"/>
    <s v="-"/>
    <d v="1899-12-30T16:00:00"/>
    <n v="1514"/>
    <n v="0"/>
    <n v="0"/>
    <n v="0"/>
    <n v="0"/>
    <n v="0"/>
    <n v="0"/>
    <n v="0"/>
    <n v="265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N2e _Avalle Cyntia"/>
    <x v="10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N2e _Avalle Cyntia"/>
    <x v="102"/>
    <d v="1899-12-30T14:00:00"/>
    <s v="-"/>
    <d v="1899-12-30T14:30:00"/>
    <n v="695"/>
    <n v="0"/>
    <n v="0"/>
    <n v="4"/>
    <n v="0"/>
    <n v="0"/>
    <n v="0"/>
    <n v="304"/>
    <n v="0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N2e _Avalle Cyntia"/>
    <x v="102"/>
    <d v="1899-12-30T14:30:00"/>
    <s v="-"/>
    <d v="1899-12-30T15:00:00"/>
    <n v="1113"/>
    <n v="0"/>
    <n v="0"/>
    <n v="11"/>
    <n v="0"/>
    <n v="0"/>
    <n v="0"/>
    <n v="131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Ponce Marcela"/>
    <x v="103"/>
    <d v="1899-12-30T15:00:00"/>
    <s v="-"/>
    <d v="1899-12-30T15:30:00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Ponce Marcela"/>
    <x v="103"/>
    <d v="1899-12-30T14:30:00"/>
    <s v="-"/>
    <d v="1899-12-30T15:00:00"/>
    <n v="1244"/>
    <n v="0"/>
    <n v="0"/>
    <n v="8"/>
    <n v="0"/>
    <n v="0"/>
    <n v="0"/>
    <n v="1"/>
    <n v="1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Ponce Marcela"/>
    <x v="103"/>
    <d v="1899-12-30T14:00:00"/>
    <s v="-"/>
    <d v="1899-12-30T14:30:00"/>
    <n v="152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N1_Talavera Raquel"/>
    <x v="104"/>
    <d v="1899-12-30T15:00:00"/>
    <s v="-"/>
    <d v="1899-12-30T15:30:00"/>
    <n v="190"/>
    <n v="42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Talavera Raquel"/>
    <x v="104"/>
    <d v="1899-12-30T14:00:00"/>
    <s v="-"/>
    <d v="1899-12-30T14:30:00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N1_Talavera Raquel"/>
    <x v="104"/>
    <d v="1899-12-30T14:30:00"/>
    <s v="-"/>
    <d v="1899-12-30T15:00:00"/>
    <n v="694"/>
    <n v="26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N1_Rivero B Shaira"/>
    <x v="105"/>
    <d v="1899-12-30T18:00:00"/>
    <s v="-"/>
    <d v="1899-12-30T18:30:00"/>
    <n v="48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2"/>
    <x v="0"/>
    <x v="94"/>
    <d v="1899-12-30T18:00:00"/>
    <d v="1899-12-30T18:30:00"/>
  </r>
  <r>
    <d v="2024-10-02T00:00:00"/>
    <n v="924"/>
    <s v="S2S No Premium"/>
    <s v="N1_Rivero B Shaira"/>
    <x v="105"/>
    <d v="1899-12-30T18:30:00"/>
    <s v="-"/>
    <d v="1899-12-30T19:00:00"/>
    <n v="527"/>
    <n v="0"/>
    <n v="0"/>
    <n v="8"/>
    <n v="0"/>
    <n v="0"/>
    <n v="0"/>
    <n v="143"/>
    <n v="1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N1_Rivero B Shaira"/>
    <x v="105"/>
    <d v="1899-12-30T19:30:00"/>
    <s v="-"/>
    <d v="1899-12-30T20:00:00"/>
    <n v="632"/>
    <n v="0"/>
    <n v="0"/>
    <n v="8"/>
    <n v="0"/>
    <n v="0"/>
    <n v="0"/>
    <n v="207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1_Rivero B Shaira"/>
    <x v="105"/>
    <d v="1899-12-30T17:00:00"/>
    <s v="-"/>
    <d v="1899-12-30T17:30:00"/>
    <n v="670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1_Rivero B Shaira"/>
    <x v="105"/>
    <d v="1899-12-30T19:00:00"/>
    <s v="-"/>
    <d v="1899-12-30T19:30:00"/>
    <n v="734"/>
    <n v="0"/>
    <n v="0"/>
    <n v="20"/>
    <n v="0"/>
    <n v="0"/>
    <n v="0"/>
    <n v="238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4"/>
    <s v="S2S No Premium"/>
    <s v="N1_Rivero B Shaira"/>
    <x v="105"/>
    <d v="1899-12-30T17:30:00"/>
    <s v="-"/>
    <d v="1899-12-30T18:00:00"/>
    <n v="1183"/>
    <n v="0"/>
    <n v="0"/>
    <n v="20"/>
    <n v="0"/>
    <n v="0"/>
    <n v="0"/>
    <n v="386"/>
    <n v="16"/>
    <n v="0"/>
    <n v="0"/>
    <n v="0"/>
    <n v="0"/>
    <n v="0"/>
    <n v="0"/>
    <n v="0"/>
    <n v="0"/>
    <n v="0"/>
    <n v="0"/>
    <n v="5"/>
    <n v="2"/>
    <x v="0"/>
    <x v="94"/>
    <d v="1899-12-30T17:30:00"/>
    <d v="1899-12-30T18:00:00"/>
  </r>
  <r>
    <d v="2024-10-02T00:00:00"/>
    <n v="924"/>
    <s v="S2S No Premium"/>
    <s v="N1_Di Benedetto Yam"/>
    <x v="106"/>
    <d v="1899-12-30T18:00:00"/>
    <s v="-"/>
    <d v="1899-12-30T18:30:00"/>
    <n v="227"/>
    <n v="0"/>
    <n v="0"/>
    <n v="4"/>
    <n v="0"/>
    <n v="0"/>
    <n v="0"/>
    <n v="68"/>
    <n v="0"/>
    <n v="0"/>
    <n v="0"/>
    <n v="0"/>
    <n v="0"/>
    <n v="0"/>
    <n v="0"/>
    <n v="0"/>
    <n v="0"/>
    <n v="0"/>
    <n v="0"/>
    <n v="2"/>
    <n v="1"/>
    <x v="0"/>
    <x v="94"/>
    <d v="1899-12-30T18:00:00"/>
    <d v="1899-12-30T18:30:00"/>
  </r>
  <r>
    <d v="2024-10-02T00:00:00"/>
    <n v="924"/>
    <s v="S2S No Premium"/>
    <s v="N1_Di Benedetto Yam"/>
    <x v="106"/>
    <d v="1899-12-30T15:00:00"/>
    <s v="-"/>
    <d v="1899-12-30T15:30:00"/>
    <n v="41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Di Benedetto Yam"/>
    <x v="106"/>
    <d v="1899-12-30T16:00:00"/>
    <s v="-"/>
    <d v="1899-12-30T16:30:00"/>
    <n v="63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N1_Di Benedetto Yam"/>
    <x v="106"/>
    <d v="1899-12-30T17:00:00"/>
    <s v="-"/>
    <d v="1899-12-30T17:30:00"/>
    <n v="858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1_Di Benedetto Yam"/>
    <x v="106"/>
    <d v="1899-12-30T14:30:00"/>
    <s v="-"/>
    <d v="1899-12-30T15:00:00"/>
    <n v="865"/>
    <n v="0"/>
    <n v="0"/>
    <n v="11"/>
    <n v="0"/>
    <n v="0"/>
    <n v="0"/>
    <n v="5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N1_Di Benedetto Yam"/>
    <x v="106"/>
    <d v="1899-12-30T14:00:00"/>
    <s v="-"/>
    <d v="1899-12-30T14:30:00"/>
    <n v="960"/>
    <n v="0"/>
    <n v="0"/>
    <n v="9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1_Di Benedetto Yam"/>
    <x v="106"/>
    <d v="1899-12-30T16:30:00"/>
    <s v="-"/>
    <d v="1899-12-30T17:00:00"/>
    <n v="1053"/>
    <n v="0"/>
    <n v="0"/>
    <n v="20"/>
    <n v="0"/>
    <n v="0"/>
    <n v="0"/>
    <n v="2"/>
    <n v="1"/>
    <n v="0"/>
    <n v="0"/>
    <n v="0"/>
    <n v="0"/>
    <n v="0"/>
    <n v="0"/>
    <n v="0"/>
    <n v="0"/>
    <n v="0"/>
    <n v="0"/>
    <n v="4"/>
    <n v="3"/>
    <x v="0"/>
    <x v="94"/>
    <d v="1899-12-30T16:30:00"/>
    <d v="1899-12-30T17:00:00"/>
  </r>
  <r>
    <d v="2024-10-02T00:00:00"/>
    <n v="924"/>
    <s v="S2S No Premium"/>
    <s v="N1_Di Benedetto Yam"/>
    <x v="106"/>
    <d v="1899-12-30T17:30:00"/>
    <s v="-"/>
    <d v="1899-12-30T18:00:00"/>
    <n v="1279"/>
    <n v="0"/>
    <n v="0"/>
    <n v="8"/>
    <n v="0"/>
    <n v="0"/>
    <n v="0"/>
    <n v="75"/>
    <n v="0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*N1_Stori Marianela"/>
    <x v="107"/>
    <d v="1899-12-30T18:00:00"/>
    <s v="-"/>
    <d v="1899-12-30T18:30:00"/>
    <n v="203"/>
    <n v="0"/>
    <n v="0"/>
    <n v="0"/>
    <n v="0"/>
    <n v="0"/>
    <n v="0"/>
    <n v="464"/>
    <n v="27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*N1_Stori Marianela"/>
    <x v="107"/>
    <d v="1899-12-30T15:00:00"/>
    <s v="-"/>
    <d v="1899-12-30T15:30:00"/>
    <n v="555"/>
    <n v="0"/>
    <n v="0"/>
    <n v="8"/>
    <n v="0"/>
    <n v="0"/>
    <n v="0"/>
    <n v="86"/>
    <n v="82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1_Stori Marianela"/>
    <x v="107"/>
    <d v="1899-12-30T19:30:00"/>
    <s v="-"/>
    <d v="1899-12-30T20:00:00"/>
    <n v="93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*N1_Stori Marianela"/>
    <x v="107"/>
    <d v="1899-12-30T16:30:00"/>
    <s v="-"/>
    <d v="1899-12-30T17:00:00"/>
    <n v="974"/>
    <n v="0"/>
    <n v="0"/>
    <n v="8"/>
    <n v="0"/>
    <n v="0"/>
    <n v="0"/>
    <n v="266"/>
    <n v="243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d v="2024-10-02T00:00:00"/>
    <n v="924"/>
    <s v="S2S No Premium"/>
    <s v="*N1_Stori Marianela"/>
    <x v="107"/>
    <d v="1899-12-30T15:30:00"/>
    <s v="-"/>
    <d v="1899-12-30T16:00:00"/>
    <n v="1027"/>
    <n v="0"/>
    <n v="0"/>
    <n v="12"/>
    <n v="0"/>
    <n v="0"/>
    <n v="0"/>
    <n v="11"/>
    <n v="196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N1_Stori Marianela"/>
    <x v="107"/>
    <d v="1899-12-30T19:00:00"/>
    <s v="-"/>
    <d v="1899-12-30T19:30:00"/>
    <n v="1096"/>
    <n v="0"/>
    <n v="0"/>
    <n v="8"/>
    <n v="0"/>
    <n v="0"/>
    <n v="0"/>
    <n v="130"/>
    <n v="0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*N1_Stori Marianela"/>
    <x v="107"/>
    <d v="1899-12-30T17:30:00"/>
    <s v="-"/>
    <d v="1899-12-30T18:00:00"/>
    <n v="1136"/>
    <n v="0"/>
    <n v="0"/>
    <n v="16"/>
    <n v="0"/>
    <n v="0"/>
    <n v="0"/>
    <n v="0"/>
    <n v="366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*N1_Stori Marianela"/>
    <x v="107"/>
    <d v="1899-12-30T17:00:00"/>
    <s v="-"/>
    <d v="1899-12-30T17:30:00"/>
    <n v="1237"/>
    <n v="0"/>
    <n v="0"/>
    <n v="16"/>
    <n v="0"/>
    <n v="0"/>
    <n v="0"/>
    <n v="332"/>
    <n v="190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*N1_Stori Marianela"/>
    <x v="107"/>
    <d v="1899-12-30T18:30:00"/>
    <s v="-"/>
    <d v="1899-12-30T19:00:00"/>
    <n v="1296"/>
    <n v="0"/>
    <n v="0"/>
    <n v="7"/>
    <n v="0"/>
    <n v="0"/>
    <n v="0"/>
    <n v="70"/>
    <n v="15"/>
    <n v="0"/>
    <n v="0"/>
    <n v="0"/>
    <n v="0"/>
    <n v="0"/>
    <n v="0"/>
    <n v="0"/>
    <n v="0"/>
    <n v="0"/>
    <n v="0"/>
    <n v="1"/>
    <n v="0"/>
    <x v="0"/>
    <x v="94"/>
    <d v="1899-12-30T18:30:00"/>
    <d v="1899-12-30T19:00:00"/>
  </r>
  <r>
    <d v="2024-10-02T00:00:00"/>
    <n v="924"/>
    <s v="S2S No Premium"/>
    <s v="*N1_Stori Marianela"/>
    <x v="107"/>
    <d v="1899-12-30T16:00:00"/>
    <s v="-"/>
    <d v="1899-12-30T16:30:00"/>
    <n v="1337"/>
    <n v="0"/>
    <n v="0"/>
    <n v="20"/>
    <n v="0"/>
    <n v="0"/>
    <n v="0"/>
    <n v="373"/>
    <n v="4"/>
    <n v="0"/>
    <n v="0"/>
    <n v="0"/>
    <n v="0"/>
    <n v="0"/>
    <n v="0"/>
    <n v="0"/>
    <n v="0"/>
    <n v="0"/>
    <n v="0"/>
    <n v="5"/>
    <n v="5"/>
    <x v="0"/>
    <x v="94"/>
    <d v="1899-12-30T16:00:00"/>
    <d v="1899-12-30T16:30:00"/>
  </r>
  <r>
    <d v="2024-10-02T00:00:00"/>
    <n v="924"/>
    <s v="S2S No Premium"/>
    <s v="N1r_Cerdan Lucia Bel"/>
    <x v="108"/>
    <d v="1899-12-30T15:00:00"/>
    <s v="-"/>
    <d v="1899-12-30T15:30:00"/>
    <n v="75"/>
    <n v="2"/>
    <n v="0"/>
    <n v="0"/>
    <n v="0"/>
    <n v="0"/>
    <n v="0"/>
    <n v="10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r_Cerdan Lucia Bel"/>
    <x v="108"/>
    <d v="1899-12-30T14:00:00"/>
    <s v="-"/>
    <d v="1899-12-30T14:30:00"/>
    <n v="930"/>
    <n v="0"/>
    <n v="0"/>
    <n v="8"/>
    <n v="0"/>
    <n v="0"/>
    <n v="0"/>
    <n v="197"/>
    <n v="158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N1r_Cerdan Lucia Bel"/>
    <x v="108"/>
    <d v="1899-12-30T14:30:00"/>
    <s v="-"/>
    <d v="1899-12-30T15:00:00"/>
    <n v="1339"/>
    <n v="0"/>
    <n v="0"/>
    <n v="8"/>
    <n v="0"/>
    <n v="0"/>
    <n v="0"/>
    <n v="0"/>
    <n v="91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N2e_ Ojeda Liliana"/>
    <x v="109"/>
    <d v="1899-12-30T15:00:00"/>
    <s v="-"/>
    <d v="1899-12-30T15:30:00"/>
    <n v="235"/>
    <n v="2"/>
    <n v="0"/>
    <n v="0"/>
    <n v="0"/>
    <n v="0"/>
    <n v="0"/>
    <n v="743"/>
    <n v="98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2e_ Ojeda Liliana"/>
    <x v="109"/>
    <d v="1899-12-30T14:00:00"/>
    <s v="-"/>
    <d v="1899-12-30T14:30:00"/>
    <n v="836"/>
    <n v="0"/>
    <n v="0"/>
    <n v="12"/>
    <n v="0"/>
    <n v="0"/>
    <n v="0"/>
    <n v="479"/>
    <n v="191"/>
    <n v="0"/>
    <n v="0"/>
    <n v="0"/>
    <n v="0"/>
    <n v="0"/>
    <n v="0"/>
    <n v="0"/>
    <n v="0"/>
    <n v="0"/>
    <n v="0"/>
    <n v="3"/>
    <n v="1"/>
    <x v="0"/>
    <x v="94"/>
    <d v="1899-12-30T14:00:00"/>
    <d v="1899-12-30T14:30:00"/>
  </r>
  <r>
    <d v="2024-10-02T00:00:00"/>
    <n v="924"/>
    <s v="S2S No Premium"/>
    <s v="N2e_ Ojeda Liliana"/>
    <x v="109"/>
    <d v="1899-12-30T14:30:00"/>
    <s v="-"/>
    <d v="1899-12-30T15:00:00"/>
    <n v="1029"/>
    <n v="0"/>
    <n v="0"/>
    <n v="9"/>
    <n v="0"/>
    <n v="0"/>
    <n v="0"/>
    <n v="64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1_Aquino Evelin Ma"/>
    <x v="110"/>
    <d v="1899-12-30T15:00:00"/>
    <s v="-"/>
    <d v="1899-12-30T15:30:00"/>
    <n v="276"/>
    <n v="1"/>
    <n v="0"/>
    <n v="0"/>
    <n v="0"/>
    <n v="0"/>
    <n v="0"/>
    <n v="100"/>
    <n v="2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1_Aquino Evelin Ma"/>
    <x v="110"/>
    <d v="1899-12-30T14:00:00"/>
    <s v="-"/>
    <d v="1899-12-30T14:30:00"/>
    <n v="515"/>
    <n v="0"/>
    <n v="0"/>
    <n v="8"/>
    <n v="0"/>
    <n v="0"/>
    <n v="0"/>
    <n v="194"/>
    <n v="41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*N1_Aquino Evelin Ma"/>
    <x v="110"/>
    <d v="1899-12-30T14:30:00"/>
    <s v="-"/>
    <d v="1899-12-30T15:00:00"/>
    <n v="826"/>
    <n v="0"/>
    <n v="0"/>
    <n v="16"/>
    <n v="0"/>
    <n v="0"/>
    <n v="0"/>
    <n v="97"/>
    <n v="0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PCC_Sanchez Maximil"/>
    <x v="111"/>
    <d v="1899-12-30T16:00:00"/>
    <s v="-"/>
    <d v="1899-12-30T16:30:00"/>
    <n v="0"/>
    <n v="2"/>
    <n v="0"/>
    <n v="0"/>
    <n v="0"/>
    <n v="0"/>
    <n v="0"/>
    <n v="525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PCC_Sanchez Maximil"/>
    <x v="111"/>
    <d v="1899-12-30T15:30:00"/>
    <s v="-"/>
    <d v="1899-12-30T16:00:00"/>
    <n v="518"/>
    <n v="649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PCC_Sanchez Maximil"/>
    <x v="111"/>
    <d v="1899-12-30T14:30:00"/>
    <s v="-"/>
    <d v="1899-12-30T15:00:00"/>
    <n v="582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PCC_Sanchez Maximil"/>
    <x v="111"/>
    <d v="1899-12-30T15:00:00"/>
    <s v="-"/>
    <d v="1899-12-30T15:30:00"/>
    <n v="967"/>
    <n v="33"/>
    <n v="0"/>
    <n v="4"/>
    <n v="0"/>
    <n v="0"/>
    <n v="0"/>
    <n v="328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PCC_Sanchez Maximil"/>
    <x v="111"/>
    <d v="1899-12-30T14:00:00"/>
    <s v="-"/>
    <d v="1899-12-30T14:30:00"/>
    <n v="1127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PCC_ Monje Rodrigo"/>
    <x v="112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PCC_ Monje Rodrigo"/>
    <x v="112"/>
    <d v="1899-12-30T17:00:00"/>
    <s v="-"/>
    <d v="1899-12-30T17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7:00:00"/>
    <d v="1899-12-30T17:30:00"/>
  </r>
  <r>
    <d v="2024-10-02T00:00:00"/>
    <n v="924"/>
    <s v="S2S No Premium"/>
    <s v="PCC_ Monje Rodrigo"/>
    <x v="112"/>
    <d v="1899-12-30T15:00:00"/>
    <s v="-"/>
    <d v="1899-12-30T15:30:00"/>
    <n v="824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1"/>
    <x v="0"/>
    <x v="94"/>
    <d v="1899-12-30T15:00:00"/>
    <d v="1899-12-30T15:30:00"/>
  </r>
  <r>
    <d v="2024-10-02T00:00:00"/>
    <n v="924"/>
    <s v="S2S No Premium"/>
    <s v="PCC_ Monje Rodrigo"/>
    <x v="112"/>
    <d v="1899-12-30T14:00:00"/>
    <s v="-"/>
    <d v="1899-12-30T14:30:00"/>
    <n v="915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4:00:00"/>
    <d v="1899-12-30T14:30:00"/>
  </r>
  <r>
    <d v="2024-10-02T00:00:00"/>
    <n v="924"/>
    <s v="S2S No Premium"/>
    <s v="PCC_ Monje Rodrigo"/>
    <x v="112"/>
    <d v="1899-12-30T16:30:00"/>
    <s v="-"/>
    <d v="1899-12-30T17:00:00"/>
    <n v="997"/>
    <n v="0"/>
    <n v="0"/>
    <n v="12"/>
    <n v="0"/>
    <n v="0"/>
    <n v="0"/>
    <n v="87"/>
    <n v="41"/>
    <n v="0"/>
    <n v="0"/>
    <n v="0"/>
    <n v="0"/>
    <n v="0"/>
    <n v="0"/>
    <n v="0"/>
    <n v="0"/>
    <n v="0"/>
    <n v="0"/>
    <n v="4"/>
    <n v="1"/>
    <x v="0"/>
    <x v="94"/>
    <d v="1899-12-30T16:30:00"/>
    <d v="1899-12-30T17:00:00"/>
  </r>
  <r>
    <d v="2024-10-02T00:00:00"/>
    <n v="924"/>
    <s v="S2S No Premium"/>
    <s v="PCC_ Monje Rodrigo"/>
    <x v="112"/>
    <d v="1899-12-30T14:30:00"/>
    <s v="-"/>
    <d v="1899-12-30T15:00:00"/>
    <n v="1034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94"/>
    <d v="1899-12-30T14:30:00"/>
    <d v="1899-12-30T15:00:00"/>
  </r>
  <r>
    <d v="2024-10-02T00:00:00"/>
    <n v="924"/>
    <s v="S2S No Premium"/>
    <s v="PCC_ Monje Rodrigo"/>
    <x v="112"/>
    <d v="1899-12-30T16:00:00"/>
    <s v="-"/>
    <d v="1899-12-30T16:30:00"/>
    <n v="1302"/>
    <n v="0"/>
    <n v="0"/>
    <n v="23"/>
    <n v="0"/>
    <n v="0"/>
    <n v="0"/>
    <n v="3"/>
    <n v="0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5"/>
    <s v="S2S Premium"/>
    <s v="P_Salina Maria E"/>
    <x v="11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_Salina Maria E"/>
    <x v="113"/>
    <d v="1899-12-30T14:00:00"/>
    <s v="-"/>
    <d v="1899-12-30T14:30:00"/>
    <n v="73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P_Salina Maria E"/>
    <x v="113"/>
    <d v="1899-12-30T14:30:00"/>
    <s v="-"/>
    <d v="1899-12-30T15:00:00"/>
    <n v="933"/>
    <n v="4"/>
    <n v="0"/>
    <n v="12"/>
    <n v="0"/>
    <n v="0"/>
    <n v="0"/>
    <n v="59"/>
    <n v="0"/>
    <n v="0"/>
    <n v="0"/>
    <n v="0"/>
    <n v="0"/>
    <n v="0"/>
    <n v="0"/>
    <n v="0"/>
    <n v="0"/>
    <n v="0"/>
    <n v="0"/>
    <n v="4"/>
    <n v="3"/>
    <x v="1"/>
    <x v="94"/>
    <d v="1899-12-30T14:30:00"/>
    <d v="1899-12-30T15:00:00"/>
  </r>
  <r>
    <d v="2024-10-02T00:00:00"/>
    <n v="924"/>
    <s v="S2S No Premium"/>
    <s v="N1_Cedro Pamela"/>
    <x v="114"/>
    <d v="1899-12-30T15:00:00"/>
    <s v="-"/>
    <d v="1899-12-30T15:30:00"/>
    <n v="16"/>
    <n v="24"/>
    <n v="0"/>
    <n v="0"/>
    <n v="0"/>
    <n v="0"/>
    <n v="0"/>
    <n v="179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Cedro Pamela"/>
    <x v="114"/>
    <d v="1899-12-30T14:00:00"/>
    <s v="-"/>
    <d v="1899-12-30T14:30:00"/>
    <n v="828"/>
    <n v="0"/>
    <n v="0"/>
    <n v="18"/>
    <n v="0"/>
    <n v="0"/>
    <n v="0"/>
    <n v="6"/>
    <n v="0"/>
    <n v="0"/>
    <n v="0"/>
    <n v="0"/>
    <n v="0"/>
    <n v="0"/>
    <n v="0"/>
    <n v="0"/>
    <n v="0"/>
    <n v="0"/>
    <n v="0"/>
    <n v="4"/>
    <n v="2"/>
    <x v="0"/>
    <x v="94"/>
    <d v="1899-12-30T14:00:00"/>
    <d v="1899-12-30T14:30:00"/>
  </r>
  <r>
    <d v="2024-10-02T00:00:00"/>
    <n v="924"/>
    <s v="S2S No Premium"/>
    <s v="N1_Cedro Pamela"/>
    <x v="114"/>
    <d v="1899-12-30T14:30:00"/>
    <s v="-"/>
    <d v="1899-12-30T15:00:00"/>
    <n v="84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*N1_Mino Walter Man"/>
    <x v="115"/>
    <d v="1899-12-30T19:30:00"/>
    <s v="-"/>
    <d v="1899-12-30T20:00:00"/>
    <n v="60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4"/>
    <s v="S2S No Premium"/>
    <s v="*N1_Mino Walter Man"/>
    <x v="115"/>
    <d v="1899-12-30T19:00:00"/>
    <s v="-"/>
    <d v="1899-12-30T19:30:00"/>
    <n v="939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4"/>
    <s v="S2S No Premium"/>
    <s v="*N1_Mino Walter Man"/>
    <x v="115"/>
    <d v="1899-12-30T15:30:00"/>
    <s v="-"/>
    <d v="1899-12-30T16:00:00"/>
    <n v="969"/>
    <n v="0"/>
    <n v="0"/>
    <n v="16"/>
    <n v="0"/>
    <n v="0"/>
    <n v="0"/>
    <n v="67"/>
    <n v="5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*N1_Mino Walter Man"/>
    <x v="115"/>
    <d v="1899-12-30T15:00:00"/>
    <s v="-"/>
    <d v="1899-12-30T15:30:00"/>
    <n v="1002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1_Mino Walter Man"/>
    <x v="115"/>
    <d v="1899-12-30T18:30:00"/>
    <s v="-"/>
    <d v="1899-12-30T19:00:00"/>
    <n v="112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4"/>
    <s v="S2S No Premium"/>
    <s v="*N1_Mino Walter Man"/>
    <x v="115"/>
    <d v="1899-12-30T16:00:00"/>
    <s v="-"/>
    <d v="1899-12-30T16:30:00"/>
    <n v="1270"/>
    <n v="0"/>
    <n v="0"/>
    <n v="12"/>
    <n v="0"/>
    <n v="0"/>
    <n v="0"/>
    <n v="182"/>
    <n v="0"/>
    <n v="0"/>
    <n v="0"/>
    <n v="0"/>
    <n v="0"/>
    <n v="0"/>
    <n v="0"/>
    <n v="0"/>
    <n v="0"/>
    <n v="0"/>
    <n v="0"/>
    <n v="3"/>
    <n v="3"/>
    <x v="0"/>
    <x v="94"/>
    <d v="1899-12-30T16:00:00"/>
    <d v="1899-12-30T16:30:00"/>
  </r>
  <r>
    <d v="2024-10-02T00:00:00"/>
    <n v="924"/>
    <s v="S2S No Premium"/>
    <s v="*N1_Mino Walter Man"/>
    <x v="115"/>
    <d v="1899-12-30T17:30:00"/>
    <s v="-"/>
    <d v="1899-12-30T18:00:00"/>
    <n v="1302"/>
    <n v="0"/>
    <n v="0"/>
    <n v="16"/>
    <n v="0"/>
    <n v="0"/>
    <n v="0"/>
    <n v="102"/>
    <n v="94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*N1_Mino Walter Man"/>
    <x v="115"/>
    <d v="1899-12-30T16:30:00"/>
    <s v="-"/>
    <d v="1899-12-30T17:00:00"/>
    <n v="1417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*N1_Mino Walter Man"/>
    <x v="115"/>
    <d v="1899-12-30T18:00:00"/>
    <s v="-"/>
    <d v="1899-12-30T18:30:00"/>
    <n v="1535"/>
    <n v="0"/>
    <n v="0"/>
    <n v="21"/>
    <n v="0"/>
    <n v="0"/>
    <n v="0"/>
    <n v="254"/>
    <n v="0"/>
    <n v="0"/>
    <n v="0"/>
    <n v="0"/>
    <n v="0"/>
    <n v="0"/>
    <n v="0"/>
    <n v="0"/>
    <n v="0"/>
    <n v="0"/>
    <n v="0"/>
    <n v="5"/>
    <n v="5"/>
    <x v="0"/>
    <x v="94"/>
    <d v="1899-12-30T18:00:00"/>
    <d v="1899-12-30T18:30:00"/>
  </r>
  <r>
    <d v="2024-10-02T00:00:00"/>
    <n v="924"/>
    <s v="S2S No Premium"/>
    <s v="*N1_Mino Walter Man"/>
    <x v="115"/>
    <d v="1899-12-30T17:00:00"/>
    <s v="-"/>
    <d v="1899-12-30T17:30:00"/>
    <n v="1553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3"/>
    <x v="0"/>
    <x v="94"/>
    <d v="1899-12-30T17:00:00"/>
    <d v="1899-12-30T17:30:00"/>
  </r>
  <r>
    <d v="2024-10-02T00:00:00"/>
    <n v="924"/>
    <s v="S2S No Premium"/>
    <s v="*XN2_Fernandez Rolan"/>
    <x v="116"/>
    <d v="1899-12-30T14:30:00"/>
    <s v="-"/>
    <d v="1899-12-30T15:0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*XN2_Fernandez Rolan"/>
    <x v="116"/>
    <d v="1899-12-30T16:00:00"/>
    <s v="-"/>
    <d v="1899-12-30T16:30:00"/>
    <n v="86"/>
    <n v="2"/>
    <n v="0"/>
    <n v="0"/>
    <n v="0"/>
    <n v="0"/>
    <n v="0"/>
    <n v="95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XN2_Fernandez Rolan"/>
    <x v="116"/>
    <d v="1899-12-30T14:00:00"/>
    <s v="-"/>
    <d v="1899-12-30T14:30:00"/>
    <n v="291"/>
    <n v="1201"/>
    <n v="0"/>
    <n v="8"/>
    <n v="0"/>
    <n v="0"/>
    <n v="0"/>
    <n v="520"/>
    <n v="1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*XN2_Fernandez Rolan"/>
    <x v="116"/>
    <d v="1899-12-30T15:00:00"/>
    <s v="-"/>
    <d v="1899-12-30T15:30:00"/>
    <n v="56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XN2_Fernandez Rolan"/>
    <x v="116"/>
    <d v="1899-12-30T15:30:00"/>
    <s v="-"/>
    <d v="1899-12-30T16:00:00"/>
    <n v="849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5:30:00"/>
    <d v="1899-12-30T16:00:00"/>
  </r>
  <r>
    <d v="2024-10-02T00:00:00"/>
    <n v="925"/>
    <s v="S2S Premium"/>
    <s v="N1m_Sanchez Carlina"/>
    <x v="117"/>
    <d v="1899-12-30T18:00:00"/>
    <s v="-"/>
    <d v="1899-12-30T18:30:00"/>
    <n v="95"/>
    <n v="3"/>
    <n v="0"/>
    <n v="0"/>
    <n v="0"/>
    <n v="0"/>
    <n v="0"/>
    <n v="59"/>
    <n v="1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N1m_Sanchez Carlina"/>
    <x v="117"/>
    <d v="1899-12-30T15:00:00"/>
    <s v="-"/>
    <d v="1899-12-30T15:30:00"/>
    <n v="2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N1m_Sanchez Carlina"/>
    <x v="117"/>
    <d v="1899-12-30T16:30:00"/>
    <s v="-"/>
    <d v="1899-12-30T17:00:00"/>
    <n v="581"/>
    <n v="0"/>
    <n v="0"/>
    <n v="13"/>
    <n v="0"/>
    <n v="0"/>
    <n v="0"/>
    <n v="161"/>
    <n v="149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N1m_Sanchez Carlina"/>
    <x v="117"/>
    <d v="1899-12-30T17:00:00"/>
    <s v="-"/>
    <d v="1899-12-30T17:30:00"/>
    <n v="672"/>
    <n v="0"/>
    <n v="0"/>
    <n v="12"/>
    <n v="0"/>
    <n v="0"/>
    <n v="0"/>
    <n v="876"/>
    <n v="586"/>
    <n v="0"/>
    <n v="0"/>
    <n v="0"/>
    <n v="0"/>
    <n v="0"/>
    <n v="0"/>
    <n v="0"/>
    <n v="0"/>
    <n v="0"/>
    <n v="0"/>
    <n v="3"/>
    <n v="1"/>
    <x v="1"/>
    <x v="94"/>
    <d v="1899-12-30T17:00:00"/>
    <d v="1899-12-30T17:30:00"/>
  </r>
  <r>
    <d v="2024-10-02T00:00:00"/>
    <n v="925"/>
    <s v="S2S Premium"/>
    <s v="N1m_Sanchez Carlina"/>
    <x v="117"/>
    <d v="1899-12-30T15:30:00"/>
    <s v="-"/>
    <d v="1899-12-30T16:00:00"/>
    <n v="685"/>
    <n v="0"/>
    <n v="0"/>
    <n v="13"/>
    <n v="0"/>
    <n v="0"/>
    <n v="0"/>
    <n v="112"/>
    <n v="99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N1m_Sanchez Carlina"/>
    <x v="117"/>
    <d v="1899-12-30T14:30:00"/>
    <s v="-"/>
    <d v="1899-12-30T15:00:00"/>
    <n v="726"/>
    <n v="0"/>
    <n v="0"/>
    <n v="12"/>
    <n v="0"/>
    <n v="0"/>
    <n v="0"/>
    <n v="223"/>
    <n v="74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N1m_Sanchez Carlina"/>
    <x v="117"/>
    <d v="1899-12-30T16:00:00"/>
    <s v="-"/>
    <d v="1899-12-30T16:30:00"/>
    <n v="953"/>
    <n v="0"/>
    <n v="0"/>
    <n v="12"/>
    <n v="0"/>
    <n v="0"/>
    <n v="0"/>
    <n v="34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N1m_Sanchez Carlina"/>
    <x v="117"/>
    <d v="1899-12-30T14:00:00"/>
    <s v="-"/>
    <d v="1899-12-30T14:30:00"/>
    <n v="1095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N1m_Sanchez Carlina"/>
    <x v="117"/>
    <d v="1899-12-30T17:30:00"/>
    <s v="-"/>
    <d v="1899-12-30T18:00:00"/>
    <n v="1125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4"/>
    <s v="S2S No Premium"/>
    <s v="N1_Pitra B Selene"/>
    <x v="118"/>
    <d v="1899-12-30T19:00:00"/>
    <s v="-"/>
    <d v="1899-12-30T19:30:00"/>
    <n v="0"/>
    <n v="23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00:00"/>
    <d v="1899-12-30T19:30:00"/>
  </r>
  <r>
    <d v="2024-10-02T00:00:00"/>
    <n v="924"/>
    <s v="S2S No Premium"/>
    <s v="N1_Pitra B Selene"/>
    <x v="118"/>
    <d v="1899-12-30T17:00:00"/>
    <s v="-"/>
    <d v="1899-12-30T17:30:00"/>
    <n v="277"/>
    <n v="0"/>
    <n v="0"/>
    <n v="0"/>
    <n v="0"/>
    <n v="0"/>
    <n v="0"/>
    <n v="84"/>
    <n v="1"/>
    <n v="0"/>
    <n v="0"/>
    <n v="0"/>
    <n v="0"/>
    <n v="0"/>
    <n v="0"/>
    <n v="0"/>
    <n v="0"/>
    <n v="0"/>
    <n v="0"/>
    <n v="1"/>
    <n v="1"/>
    <x v="0"/>
    <x v="94"/>
    <d v="1899-12-30T17:00:00"/>
    <d v="1899-12-30T17:30:00"/>
  </r>
  <r>
    <d v="2024-10-02T00:00:00"/>
    <n v="924"/>
    <s v="S2S No Premium"/>
    <s v="N1_Pitra B Selene"/>
    <x v="118"/>
    <d v="1899-12-30T17:30:00"/>
    <s v="-"/>
    <d v="1899-12-30T18:00:00"/>
    <n v="283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7:30:00"/>
    <d v="1899-12-30T18:00:00"/>
  </r>
  <r>
    <d v="2024-10-02T00:00:00"/>
    <n v="924"/>
    <s v="S2S No Premium"/>
    <s v="N1_Pitra B Selene"/>
    <x v="118"/>
    <d v="1899-12-30T14:30:00"/>
    <s v="-"/>
    <d v="1899-12-30T15:00:00"/>
    <n v="479"/>
    <n v="0"/>
    <n v="0"/>
    <n v="19"/>
    <n v="0"/>
    <n v="0"/>
    <n v="0"/>
    <n v="70"/>
    <n v="1"/>
    <n v="0"/>
    <n v="0"/>
    <n v="0"/>
    <n v="0"/>
    <n v="0"/>
    <n v="0"/>
    <n v="0"/>
    <n v="0"/>
    <n v="0"/>
    <n v="0"/>
    <n v="4"/>
    <n v="3"/>
    <x v="0"/>
    <x v="94"/>
    <d v="1899-12-30T14:30:00"/>
    <d v="1899-12-30T15:00:00"/>
  </r>
  <r>
    <d v="2024-10-02T00:00:00"/>
    <n v="924"/>
    <s v="S2S No Premium"/>
    <s v="N1_Pitra B Selene"/>
    <x v="118"/>
    <d v="1899-12-30T14:00:00"/>
    <s v="-"/>
    <d v="1899-12-30T14:30:00"/>
    <n v="570"/>
    <n v="0"/>
    <n v="0"/>
    <n v="16"/>
    <n v="0"/>
    <n v="0"/>
    <n v="0"/>
    <n v="88"/>
    <n v="1"/>
    <n v="0"/>
    <n v="0"/>
    <n v="0"/>
    <n v="0"/>
    <n v="0"/>
    <n v="0"/>
    <n v="0"/>
    <n v="0"/>
    <n v="0"/>
    <n v="0"/>
    <n v="4"/>
    <n v="4"/>
    <x v="0"/>
    <x v="94"/>
    <d v="1899-12-30T14:00:00"/>
    <d v="1899-12-30T14:30:00"/>
  </r>
  <r>
    <d v="2024-10-02T00:00:00"/>
    <n v="924"/>
    <s v="S2S No Premium"/>
    <s v="N1_Pitra B Selene"/>
    <x v="118"/>
    <d v="1899-12-30T15:00:00"/>
    <s v="-"/>
    <d v="1899-12-30T15:30:00"/>
    <n v="675"/>
    <n v="82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0"/>
    <x v="94"/>
    <d v="1899-12-30T15:00:00"/>
    <d v="1899-12-30T15:30:00"/>
  </r>
  <r>
    <d v="2024-10-02T00:00:00"/>
    <n v="924"/>
    <s v="S2S No Premium"/>
    <s v="N1_Pitra B Selene"/>
    <x v="118"/>
    <d v="1899-12-30T18:30:00"/>
    <s v="-"/>
    <d v="1899-12-30T19:00:00"/>
    <n v="687"/>
    <n v="28"/>
    <n v="0"/>
    <n v="18"/>
    <n v="0"/>
    <n v="0"/>
    <n v="0"/>
    <n v="350"/>
    <n v="1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4"/>
    <s v="S2S No Premium"/>
    <s v="N1_Pitra B Selene"/>
    <x v="118"/>
    <d v="1899-12-30T18:00:00"/>
    <s v="-"/>
    <d v="1899-12-30T18:30:00"/>
    <n v="825"/>
    <n v="166"/>
    <n v="0"/>
    <n v="16"/>
    <n v="0"/>
    <n v="0"/>
    <n v="0"/>
    <n v="392"/>
    <n v="1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4"/>
    <s v="S2S No Premium"/>
    <s v="N1_Pitra B Selene"/>
    <x v="118"/>
    <d v="1899-12-30T15:30:00"/>
    <s v="-"/>
    <d v="1899-12-30T16:00:00"/>
    <n v="828"/>
    <n v="0"/>
    <n v="0"/>
    <n v="22"/>
    <n v="0"/>
    <n v="0"/>
    <n v="0"/>
    <n v="169"/>
    <n v="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N1_Pitra B Selene"/>
    <x v="118"/>
    <d v="1899-12-30T16:00:00"/>
    <s v="-"/>
    <d v="1899-12-30T16:30:00"/>
    <n v="976"/>
    <n v="0"/>
    <n v="0"/>
    <n v="17"/>
    <n v="0"/>
    <n v="0"/>
    <n v="0"/>
    <n v="445"/>
    <n v="0"/>
    <n v="0"/>
    <n v="0"/>
    <n v="0"/>
    <n v="0"/>
    <n v="0"/>
    <n v="0"/>
    <n v="0"/>
    <n v="0"/>
    <n v="0"/>
    <n v="0"/>
    <n v="5"/>
    <n v="4"/>
    <x v="0"/>
    <x v="94"/>
    <d v="1899-12-30T16:00:00"/>
    <d v="1899-12-30T16:30:00"/>
  </r>
  <r>
    <d v="2024-10-02T00:00:00"/>
    <n v="924"/>
    <s v="S2S No Premium"/>
    <s v="N1_Pitra B Selene"/>
    <x v="118"/>
    <d v="1899-12-30T16:30:00"/>
    <s v="-"/>
    <d v="1899-12-30T17:00:00"/>
    <n v="1045"/>
    <n v="0"/>
    <n v="0"/>
    <n v="25"/>
    <n v="0"/>
    <n v="0"/>
    <n v="0"/>
    <n v="233"/>
    <n v="0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1_ Espinoza Adrian"/>
    <x v="119"/>
    <d v="1899-12-30T18:30:00"/>
    <s v="-"/>
    <d v="1899-12-30T19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30:00"/>
    <d v="1899-12-30T19:00:00"/>
  </r>
  <r>
    <d v="2024-10-02T00:00:00"/>
    <n v="924"/>
    <s v="S2S No Premium"/>
    <s v="N1_ Espinoza Adrian"/>
    <x v="119"/>
    <d v="1899-12-30T19:00:00"/>
    <s v="-"/>
    <d v="1899-12-30T19:30:00"/>
    <n v="626"/>
    <n v="161"/>
    <n v="0"/>
    <n v="11"/>
    <n v="0"/>
    <n v="0"/>
    <n v="0"/>
    <n v="395"/>
    <n v="166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1_ Espinoza Adrian"/>
    <x v="119"/>
    <d v="1899-12-30T14:00:00"/>
    <s v="-"/>
    <d v="1899-12-30T14:30:00"/>
    <n v="710"/>
    <n v="24"/>
    <n v="0"/>
    <n v="12"/>
    <n v="0"/>
    <n v="0"/>
    <n v="0"/>
    <n v="381"/>
    <n v="211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N1_ Espinoza Adrian"/>
    <x v="119"/>
    <d v="1899-12-30T19:30:00"/>
    <s v="-"/>
    <d v="1899-12-30T20:00:00"/>
    <n v="771"/>
    <n v="2"/>
    <n v="0"/>
    <n v="8"/>
    <n v="0"/>
    <n v="0"/>
    <n v="0"/>
    <n v="213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1_ Espinoza Adrian"/>
    <x v="119"/>
    <d v="1899-12-30T18:00:00"/>
    <s v="-"/>
    <d v="1899-12-30T18:30:00"/>
    <n v="772"/>
    <n v="19"/>
    <n v="0"/>
    <n v="4"/>
    <n v="0"/>
    <n v="0"/>
    <n v="0"/>
    <n v="511"/>
    <n v="47"/>
    <n v="0"/>
    <n v="0"/>
    <n v="0"/>
    <n v="0"/>
    <n v="0"/>
    <n v="0"/>
    <n v="0"/>
    <n v="0"/>
    <n v="0"/>
    <n v="0"/>
    <n v="2"/>
    <n v="1"/>
    <x v="0"/>
    <x v="94"/>
    <d v="1899-12-30T18:00:00"/>
    <d v="1899-12-30T18:30:00"/>
  </r>
  <r>
    <d v="2024-10-02T00:00:00"/>
    <n v="924"/>
    <s v="S2S No Premium"/>
    <s v="N1_ Espinoza Adrian"/>
    <x v="119"/>
    <d v="1899-12-30T14:30:00"/>
    <s v="-"/>
    <d v="1899-12-30T15:00:00"/>
    <n v="848"/>
    <n v="31"/>
    <n v="0"/>
    <n v="8"/>
    <n v="0"/>
    <n v="0"/>
    <n v="0"/>
    <n v="172"/>
    <n v="1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 Espinoza Adrian"/>
    <x v="119"/>
    <d v="1899-12-30T15:30:00"/>
    <s v="-"/>
    <d v="1899-12-30T16:00:00"/>
    <n v="1024"/>
    <n v="14"/>
    <n v="0"/>
    <n v="19"/>
    <n v="0"/>
    <n v="0"/>
    <n v="0"/>
    <n v="152"/>
    <n v="2"/>
    <n v="0"/>
    <n v="0"/>
    <n v="0"/>
    <n v="0"/>
    <n v="0"/>
    <n v="0"/>
    <n v="0"/>
    <n v="0"/>
    <n v="0"/>
    <n v="0"/>
    <n v="5"/>
    <n v="4"/>
    <x v="0"/>
    <x v="94"/>
    <d v="1899-12-30T15:30:00"/>
    <d v="1899-12-30T16:00:00"/>
  </r>
  <r>
    <d v="2024-10-02T00:00:00"/>
    <n v="924"/>
    <s v="S2S No Premium"/>
    <s v="N1_ Espinoza Adrian"/>
    <x v="119"/>
    <d v="1899-12-30T16:00:00"/>
    <s v="-"/>
    <d v="1899-12-30T16:30:00"/>
    <n v="1084"/>
    <n v="8"/>
    <n v="0"/>
    <n v="13"/>
    <n v="0"/>
    <n v="0"/>
    <n v="0"/>
    <n v="85"/>
    <n v="0"/>
    <n v="0"/>
    <n v="0"/>
    <n v="0"/>
    <n v="0"/>
    <n v="0"/>
    <n v="0"/>
    <n v="0"/>
    <n v="0"/>
    <n v="0"/>
    <n v="0"/>
    <n v="3"/>
    <n v="2"/>
    <x v="0"/>
    <x v="94"/>
    <d v="1899-12-30T16:00:00"/>
    <d v="1899-12-30T16:30:00"/>
  </r>
  <r>
    <d v="2024-10-02T00:00:00"/>
    <n v="924"/>
    <s v="S2S No Premium"/>
    <s v="N1_ Espinoza Adrian"/>
    <x v="119"/>
    <d v="1899-12-30T15:00:00"/>
    <s v="-"/>
    <d v="1899-12-30T15:30:00"/>
    <n v="1346"/>
    <n v="3"/>
    <n v="0"/>
    <n v="8"/>
    <n v="0"/>
    <n v="0"/>
    <n v="0"/>
    <n v="50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N1_ Espinoza Adrian"/>
    <x v="119"/>
    <d v="1899-12-30T16:30:00"/>
    <s v="-"/>
    <d v="1899-12-30T17:00:00"/>
    <n v="1375"/>
    <n v="0"/>
    <n v="0"/>
    <n v="19"/>
    <n v="0"/>
    <n v="0"/>
    <n v="0"/>
    <n v="2"/>
    <n v="1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1_ Espinoza Adrian"/>
    <x v="119"/>
    <d v="1899-12-30T17:30:00"/>
    <s v="-"/>
    <d v="1899-12-30T18:00:00"/>
    <n v="142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3"/>
    <x v="0"/>
    <x v="94"/>
    <d v="1899-12-30T17:30:00"/>
    <d v="1899-12-30T18:00:00"/>
  </r>
  <r>
    <d v="2024-10-02T00:00:00"/>
    <n v="924"/>
    <s v="S2S No Premium"/>
    <s v="N1_ Espinoza Adrian"/>
    <x v="119"/>
    <d v="1899-12-30T17:00:00"/>
    <s v="-"/>
    <d v="1899-12-30T17:30:00"/>
    <n v="1537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4"/>
    <s v="S2S No Premium"/>
    <s v="N2_Vande Voorde Bru"/>
    <x v="120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00:00"/>
    <d v="1899-12-30T14:30:00"/>
  </r>
  <r>
    <d v="2024-10-02T00:00:00"/>
    <n v="924"/>
    <s v="S2S No Premium"/>
    <s v="N2_Vande Voorde Bru"/>
    <x v="120"/>
    <d v="1899-12-30T18:30:00"/>
    <s v="-"/>
    <d v="1899-12-30T19:00:00"/>
    <n v="9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_Vande Voorde Bru"/>
    <x v="120"/>
    <d v="1899-12-30T19:00:00"/>
    <s v="-"/>
    <d v="1899-12-30T19:30:00"/>
    <n v="658"/>
    <n v="0"/>
    <n v="0"/>
    <n v="12"/>
    <n v="0"/>
    <n v="0"/>
    <n v="0"/>
    <n v="134"/>
    <n v="60"/>
    <n v="0"/>
    <n v="0"/>
    <n v="0"/>
    <n v="0"/>
    <n v="0"/>
    <n v="0"/>
    <n v="0"/>
    <n v="0"/>
    <n v="0"/>
    <n v="0"/>
    <n v="2"/>
    <n v="1"/>
    <x v="0"/>
    <x v="94"/>
    <d v="1899-12-30T19:00:00"/>
    <d v="1899-12-30T19:30:00"/>
  </r>
  <r>
    <d v="2024-10-02T00:00:00"/>
    <n v="924"/>
    <s v="S2S No Premium"/>
    <s v="N2_Vande Voorde Bru"/>
    <x v="120"/>
    <d v="1899-12-30T15:00:00"/>
    <s v="-"/>
    <d v="1899-12-30T15:30:00"/>
    <n v="879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N2_Vande Voorde Bru"/>
    <x v="120"/>
    <d v="1899-12-30T14:30:00"/>
    <s v="-"/>
    <d v="1899-12-30T15:00:00"/>
    <n v="1005"/>
    <n v="0"/>
    <n v="0"/>
    <n v="12"/>
    <n v="0"/>
    <n v="0"/>
    <n v="0"/>
    <n v="53"/>
    <n v="0"/>
    <n v="0"/>
    <n v="0"/>
    <n v="0"/>
    <n v="0"/>
    <n v="0"/>
    <n v="0"/>
    <n v="0"/>
    <n v="0"/>
    <n v="0"/>
    <n v="0"/>
    <n v="2"/>
    <n v="1"/>
    <x v="0"/>
    <x v="94"/>
    <d v="1899-12-30T14:30:00"/>
    <d v="1899-12-30T15:00:00"/>
  </r>
  <r>
    <d v="2024-10-02T00:00:00"/>
    <n v="924"/>
    <s v="S2S No Premium"/>
    <s v="N2_Vande Voorde Bru"/>
    <x v="120"/>
    <d v="1899-12-30T17:30:00"/>
    <s v="-"/>
    <d v="1899-12-30T18:00:00"/>
    <n v="1013"/>
    <n v="0"/>
    <n v="0"/>
    <n v="16"/>
    <n v="0"/>
    <n v="0"/>
    <n v="0"/>
    <n v="770"/>
    <n v="540"/>
    <n v="0"/>
    <n v="0"/>
    <n v="0"/>
    <n v="0"/>
    <n v="0"/>
    <n v="0"/>
    <n v="0"/>
    <n v="0"/>
    <n v="0"/>
    <n v="0"/>
    <n v="4"/>
    <n v="3"/>
    <x v="0"/>
    <x v="94"/>
    <d v="1899-12-30T17:30:00"/>
    <d v="1899-12-30T18:00:00"/>
  </r>
  <r>
    <d v="2024-10-02T00:00:00"/>
    <n v="924"/>
    <s v="S2S No Premium"/>
    <s v="N2_Vande Voorde Bru"/>
    <x v="120"/>
    <d v="1899-12-30T19:30:00"/>
    <s v="-"/>
    <d v="1899-12-30T20:00:00"/>
    <n v="1041"/>
    <n v="0"/>
    <n v="0"/>
    <n v="8"/>
    <n v="0"/>
    <n v="0"/>
    <n v="0"/>
    <n v="141"/>
    <n v="88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2_Vande Voorde Bru"/>
    <x v="120"/>
    <d v="1899-12-30T15:30:00"/>
    <s v="-"/>
    <d v="1899-12-30T16:00:00"/>
    <n v="104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N2_Vande Voorde Bru"/>
    <x v="120"/>
    <d v="1899-12-30T17:00:00"/>
    <s v="-"/>
    <d v="1899-12-30T17:30:00"/>
    <n v="1255"/>
    <n v="0"/>
    <n v="0"/>
    <n v="16"/>
    <n v="0"/>
    <n v="0"/>
    <n v="0"/>
    <n v="3"/>
    <n v="77"/>
    <n v="0"/>
    <n v="0"/>
    <n v="0"/>
    <n v="0"/>
    <n v="0"/>
    <n v="0"/>
    <n v="0"/>
    <n v="0"/>
    <n v="0"/>
    <n v="0"/>
    <n v="4"/>
    <n v="2"/>
    <x v="0"/>
    <x v="94"/>
    <d v="1899-12-30T17:00:00"/>
    <d v="1899-12-30T17:30:00"/>
  </r>
  <r>
    <d v="2024-10-02T00:00:00"/>
    <n v="924"/>
    <s v="S2S No Premium"/>
    <s v="N2_Vande Voorde Bru"/>
    <x v="120"/>
    <d v="1899-12-30T16:00:00"/>
    <s v="-"/>
    <d v="1899-12-30T16:30:00"/>
    <n v="1280"/>
    <n v="0"/>
    <n v="0"/>
    <n v="12"/>
    <n v="0"/>
    <n v="0"/>
    <n v="0"/>
    <n v="91"/>
    <n v="0"/>
    <n v="0"/>
    <n v="0"/>
    <n v="0"/>
    <n v="0"/>
    <n v="0"/>
    <n v="0"/>
    <n v="0"/>
    <n v="0"/>
    <n v="0"/>
    <n v="0"/>
    <n v="3"/>
    <n v="2"/>
    <x v="0"/>
    <x v="94"/>
    <d v="1899-12-30T16:00:00"/>
    <d v="1899-12-30T16:30:00"/>
  </r>
  <r>
    <d v="2024-10-02T00:00:00"/>
    <n v="924"/>
    <s v="S2S No Premium"/>
    <s v="N2_Vande Voorde Bru"/>
    <x v="120"/>
    <d v="1899-12-30T16:30:00"/>
    <s v="-"/>
    <d v="1899-12-30T17:00:00"/>
    <n v="144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N2_Vande Voorde Bru"/>
    <x v="120"/>
    <d v="1899-12-30T18:00:00"/>
    <s v="-"/>
    <d v="1899-12-30T18:30:00"/>
    <n v="1616"/>
    <n v="51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5"/>
    <s v="S2S Premium"/>
    <s v="N2_Martinez Diego"/>
    <x v="121"/>
    <d v="1899-12-30T15:00:00"/>
    <s v="-"/>
    <d v="1899-12-30T15:30:00"/>
    <n v="44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N2_Martinez Diego"/>
    <x v="121"/>
    <d v="1899-12-30T15:30:00"/>
    <s v="-"/>
    <d v="1899-12-30T16:00:00"/>
    <n v="509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N2_Martinez Diego"/>
    <x v="121"/>
    <d v="1899-12-30T19:30:00"/>
    <s v="-"/>
    <d v="1899-12-30T20:00:00"/>
    <n v="62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30:00"/>
    <d v="1899-12-30T20:00:00"/>
  </r>
  <r>
    <d v="2024-10-02T00:00:00"/>
    <n v="925"/>
    <s v="S2S Premium"/>
    <s v="N2_Martinez Diego"/>
    <x v="121"/>
    <d v="1899-12-30T17:00:00"/>
    <s v="-"/>
    <d v="1899-12-30T17:30:00"/>
    <n v="768"/>
    <n v="0"/>
    <n v="0"/>
    <n v="12"/>
    <n v="0"/>
    <n v="0"/>
    <n v="0"/>
    <n v="368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N2_Martinez Diego"/>
    <x v="121"/>
    <d v="1899-12-30T18:00:00"/>
    <s v="-"/>
    <d v="1899-12-30T18:30:00"/>
    <n v="910"/>
    <n v="216"/>
    <n v="0"/>
    <n v="8"/>
    <n v="0"/>
    <n v="0"/>
    <n v="0"/>
    <n v="376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N2_Martinez Diego"/>
    <x v="121"/>
    <d v="1899-12-30T19:00:00"/>
    <s v="-"/>
    <d v="1899-12-30T19:30:00"/>
    <n v="93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9:00:00"/>
    <d v="1899-12-30T19:30:00"/>
  </r>
  <r>
    <d v="2024-10-02T00:00:00"/>
    <n v="925"/>
    <s v="S2S Premium"/>
    <s v="N2_Martinez Diego"/>
    <x v="121"/>
    <d v="1899-12-30T16:00:00"/>
    <s v="-"/>
    <d v="1899-12-30T16:30:00"/>
    <n v="1084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N2_Martinez Diego"/>
    <x v="121"/>
    <d v="1899-12-30T16:30:00"/>
    <s v="-"/>
    <d v="1899-12-30T17:00:00"/>
    <n v="1183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1"/>
    <x v="94"/>
    <d v="1899-12-30T16:30:00"/>
    <d v="1899-12-30T17:00:00"/>
  </r>
  <r>
    <d v="2024-10-02T00:00:00"/>
    <n v="925"/>
    <s v="S2S Premium"/>
    <s v="N2_Martinez Diego"/>
    <x v="121"/>
    <d v="1899-12-30T18:30:00"/>
    <s v="-"/>
    <d v="1899-12-30T19:00:00"/>
    <n v="1314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3"/>
    <x v="1"/>
    <x v="94"/>
    <d v="1899-12-30T18:30:00"/>
    <d v="1899-12-30T19:00:00"/>
  </r>
  <r>
    <d v="2024-10-02T00:00:00"/>
    <n v="925"/>
    <s v="S2S Premium"/>
    <s v="N2_Martinez Diego"/>
    <x v="121"/>
    <d v="1899-12-30T17:30:00"/>
    <s v="-"/>
    <d v="1899-12-30T18:00:00"/>
    <n v="1648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N2_Gutierrez Lara"/>
    <x v="122"/>
    <d v="1899-12-30T19:30:00"/>
    <s v="-"/>
    <d v="1899-12-30T20:0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N2_Gutierrez Lara"/>
    <x v="122"/>
    <d v="1899-12-30T16:00:00"/>
    <s v="-"/>
    <d v="1899-12-30T16:30:00"/>
    <n v="702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94"/>
    <d v="1899-12-30T16:00:00"/>
    <d v="1899-12-30T16:30:00"/>
  </r>
  <r>
    <d v="2024-10-02T00:00:00"/>
    <n v="925"/>
    <s v="S2S Premium"/>
    <s v="N2_Gutierrez Lara"/>
    <x v="122"/>
    <d v="1899-12-30T18:00:00"/>
    <s v="-"/>
    <d v="1899-12-30T18:30:00"/>
    <n v="746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94"/>
    <d v="1899-12-30T18:00:00"/>
    <d v="1899-12-30T18:30:00"/>
  </r>
  <r>
    <d v="2024-10-02T00:00:00"/>
    <n v="925"/>
    <s v="S2S Premium"/>
    <s v="N2_Gutierrez Lara"/>
    <x v="122"/>
    <d v="1899-12-30T15:00:00"/>
    <s v="-"/>
    <d v="1899-12-30T15:30:00"/>
    <n v="768"/>
    <n v="0"/>
    <n v="0"/>
    <n v="12"/>
    <n v="0"/>
    <n v="0"/>
    <n v="0"/>
    <n v="63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5"/>
    <s v="S2S Premium"/>
    <s v="N2_Gutierrez Lara"/>
    <x v="122"/>
    <d v="1899-12-30T18:30:00"/>
    <s v="-"/>
    <d v="1899-12-30T19:00:00"/>
    <n v="979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6"/>
    <n v="3"/>
    <x v="1"/>
    <x v="94"/>
    <d v="1899-12-30T18:30:00"/>
    <d v="1899-12-30T19:00:00"/>
  </r>
  <r>
    <d v="2024-10-02T00:00:00"/>
    <n v="925"/>
    <s v="S2S Premium"/>
    <s v="N2_Gutierrez Lara"/>
    <x v="122"/>
    <d v="1899-12-30T15:30:00"/>
    <s v="-"/>
    <d v="1899-12-30T16:00:00"/>
    <n v="1108"/>
    <n v="0"/>
    <n v="0"/>
    <n v="8"/>
    <n v="0"/>
    <n v="0"/>
    <n v="0"/>
    <n v="71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N2_Gutierrez Lara"/>
    <x v="122"/>
    <d v="1899-12-30T17:00:00"/>
    <s v="-"/>
    <d v="1899-12-30T17:30:00"/>
    <n v="1128"/>
    <n v="0"/>
    <n v="0"/>
    <n v="12"/>
    <n v="0"/>
    <n v="0"/>
    <n v="0"/>
    <n v="427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N2_Gutierrez Lara"/>
    <x v="122"/>
    <d v="1899-12-30T17:30:00"/>
    <s v="-"/>
    <d v="1899-12-30T18:00:00"/>
    <n v="1129"/>
    <n v="0"/>
    <n v="0"/>
    <n v="24"/>
    <n v="0"/>
    <n v="0"/>
    <n v="0"/>
    <n v="66"/>
    <n v="0"/>
    <n v="0"/>
    <n v="0"/>
    <n v="0"/>
    <n v="0"/>
    <n v="0"/>
    <n v="0"/>
    <n v="0"/>
    <n v="0"/>
    <n v="0"/>
    <n v="0"/>
    <n v="6"/>
    <n v="4"/>
    <x v="1"/>
    <x v="94"/>
    <d v="1899-12-30T17:30:00"/>
    <d v="1899-12-30T18:00:00"/>
  </r>
  <r>
    <d v="2024-10-02T00:00:00"/>
    <n v="925"/>
    <s v="S2S Premium"/>
    <s v="N2_Gutierrez Lara"/>
    <x v="122"/>
    <d v="1899-12-30T16:30:00"/>
    <s v="-"/>
    <d v="1899-12-30T17:00:00"/>
    <n v="1226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N2_Gutierrez Lara"/>
    <x v="122"/>
    <d v="1899-12-30T19:00:00"/>
    <s v="-"/>
    <d v="1899-12-30T19:30:00"/>
    <n v="1370"/>
    <n v="0"/>
    <n v="0"/>
    <n v="19"/>
    <n v="0"/>
    <n v="0"/>
    <n v="0"/>
    <n v="36"/>
    <n v="0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4"/>
    <s v="S2S No Premium"/>
    <s v="PCC_Mattio Villa"/>
    <x v="123"/>
    <d v="1899-12-30T18:00:00"/>
    <s v="-"/>
    <d v="1899-12-30T18:30:00"/>
    <n v="125"/>
    <n v="0"/>
    <n v="0"/>
    <n v="4"/>
    <n v="0"/>
    <n v="0"/>
    <n v="0"/>
    <n v="0"/>
    <n v="92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PCC_Mattio Villa"/>
    <x v="123"/>
    <d v="1899-12-30T18:00:00"/>
    <s v="-"/>
    <d v="1899-12-30T18:30:00"/>
    <n v="16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4"/>
    <s v="S2S No Premium"/>
    <s v="PCC_Mattio Villa"/>
    <x v="123"/>
    <d v="1899-12-30T19:30:00"/>
    <s v="-"/>
    <d v="1899-12-30T20:00:00"/>
    <n v="26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9:30:00"/>
    <d v="1899-12-30T20:00:00"/>
  </r>
  <r>
    <d v="2024-10-02T00:00:00"/>
    <n v="925"/>
    <s v="S2S Premium"/>
    <s v="PCC_Mattio Villa"/>
    <x v="123"/>
    <d v="1899-12-30T16:00:00"/>
    <s v="-"/>
    <d v="1899-12-30T16:30:00"/>
    <n v="478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6:00:00"/>
    <d v="1899-12-30T16:30:00"/>
  </r>
  <r>
    <d v="2024-10-02T00:00:00"/>
    <n v="925"/>
    <s v="S2S Premium"/>
    <s v="PCC_Mattio Villa"/>
    <x v="123"/>
    <d v="1899-12-30T17:00:00"/>
    <s v="-"/>
    <d v="1899-12-30T17:30:00"/>
    <n v="638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PCC_Mattio Villa"/>
    <x v="123"/>
    <d v="1899-12-30T14:30:00"/>
    <s v="-"/>
    <d v="1899-12-30T15:00:00"/>
    <n v="670"/>
    <n v="0"/>
    <n v="0"/>
    <n v="12"/>
    <n v="0"/>
    <n v="0"/>
    <n v="0"/>
    <n v="181"/>
    <n v="162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PCC_Mattio Villa"/>
    <x v="123"/>
    <d v="1899-12-30T14:00:00"/>
    <s v="-"/>
    <d v="1899-12-30T14:30:00"/>
    <n v="674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4"/>
    <s v="S2S No Premium"/>
    <s v="PCC_Mattio Villa"/>
    <x v="123"/>
    <d v="1899-12-30T18:30:00"/>
    <s v="-"/>
    <d v="1899-12-30T19:00:00"/>
    <n v="802"/>
    <n v="0"/>
    <n v="0"/>
    <n v="20"/>
    <n v="0"/>
    <n v="0"/>
    <n v="0"/>
    <n v="126"/>
    <n v="9"/>
    <n v="0"/>
    <n v="0"/>
    <n v="0"/>
    <n v="0"/>
    <n v="0"/>
    <n v="0"/>
    <n v="0"/>
    <n v="0"/>
    <n v="0"/>
    <n v="0"/>
    <n v="5"/>
    <n v="4"/>
    <x v="0"/>
    <x v="94"/>
    <d v="1899-12-30T18:30:00"/>
    <d v="1899-12-30T19:00:00"/>
  </r>
  <r>
    <d v="2024-10-02T00:00:00"/>
    <n v="925"/>
    <s v="S2S Premium"/>
    <s v="PCC_Mattio Villa"/>
    <x v="123"/>
    <d v="1899-12-30T15:30:00"/>
    <s v="-"/>
    <d v="1899-12-30T16:00:00"/>
    <n v="861"/>
    <n v="0"/>
    <n v="0"/>
    <n v="12"/>
    <n v="0"/>
    <n v="0"/>
    <n v="0"/>
    <n v="5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PCC_Mattio Villa"/>
    <x v="123"/>
    <d v="1899-12-30T15:00:00"/>
    <s v="-"/>
    <d v="1899-12-30T15:30:00"/>
    <n v="917"/>
    <n v="0"/>
    <n v="0"/>
    <n v="16"/>
    <n v="0"/>
    <n v="0"/>
    <n v="0"/>
    <n v="122"/>
    <n v="108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4"/>
    <s v="S2S No Premium"/>
    <s v="PCC_Mattio Villa"/>
    <x v="123"/>
    <d v="1899-12-30T19:00:00"/>
    <s v="-"/>
    <d v="1899-12-30T19:30:00"/>
    <n v="100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5"/>
    <s v="S2S Premium"/>
    <s v="PCC_Mattio Villa"/>
    <x v="123"/>
    <d v="1899-12-30T16:30:00"/>
    <s v="-"/>
    <d v="1899-12-30T17:00:00"/>
    <n v="1222"/>
    <n v="0"/>
    <n v="0"/>
    <n v="12"/>
    <n v="0"/>
    <n v="0"/>
    <n v="0"/>
    <n v="288"/>
    <n v="255"/>
    <n v="0"/>
    <n v="0"/>
    <n v="0"/>
    <n v="0"/>
    <n v="0"/>
    <n v="0"/>
    <n v="0"/>
    <n v="0"/>
    <n v="0"/>
    <n v="0"/>
    <n v="2"/>
    <n v="1"/>
    <x v="1"/>
    <x v="94"/>
    <d v="1899-12-30T16:30:00"/>
    <d v="1899-12-30T17:00:00"/>
  </r>
  <r>
    <d v="2024-10-02T00:00:00"/>
    <n v="925"/>
    <s v="S2S Premium"/>
    <s v="PCC_Mattio Villa"/>
    <x v="123"/>
    <d v="1899-12-30T17:30:00"/>
    <s v="-"/>
    <d v="1899-12-30T18:00:00"/>
    <n v="1546"/>
    <n v="0"/>
    <n v="0"/>
    <n v="12"/>
    <n v="0"/>
    <n v="0"/>
    <n v="0"/>
    <n v="35"/>
    <n v="32"/>
    <n v="0"/>
    <n v="0"/>
    <n v="0"/>
    <n v="0"/>
    <n v="0"/>
    <n v="0"/>
    <n v="0"/>
    <n v="0"/>
    <n v="0"/>
    <n v="0"/>
    <n v="3"/>
    <n v="2"/>
    <x v="1"/>
    <x v="94"/>
    <d v="1899-12-30T17:30:00"/>
    <d v="1899-12-30T18:00:00"/>
  </r>
  <r>
    <d v="2024-10-02T00:00:00"/>
    <n v="924"/>
    <s v="S2S No Premium"/>
    <s v="XPCC_Bres,Andrea Ce"/>
    <x v="124"/>
    <d v="1899-12-30T15:00:00"/>
    <s v="-"/>
    <d v="1899-12-30T15:30:0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00:00"/>
    <d v="1899-12-30T15:30:00"/>
  </r>
  <r>
    <d v="2024-10-02T00:00:00"/>
    <n v="924"/>
    <s v="S2S No Premium"/>
    <s v="XPCC_Bres,Andrea Ce"/>
    <x v="124"/>
    <d v="1899-12-30T14:30:00"/>
    <s v="-"/>
    <d v="1899-12-30T15:00:00"/>
    <n v="20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XPCC_Bres,Andrea Ce"/>
    <x v="124"/>
    <d v="1899-12-30T14:00:00"/>
    <s v="-"/>
    <d v="1899-12-30T14:30:00"/>
    <n v="577"/>
    <n v="0"/>
    <n v="0"/>
    <n v="16"/>
    <n v="0"/>
    <n v="0"/>
    <n v="0"/>
    <n v="141"/>
    <n v="1"/>
    <n v="0"/>
    <n v="0"/>
    <n v="0"/>
    <n v="0"/>
    <n v="0"/>
    <n v="0"/>
    <n v="0"/>
    <n v="0"/>
    <n v="0"/>
    <n v="0"/>
    <n v="5"/>
    <n v="4"/>
    <x v="0"/>
    <x v="94"/>
    <d v="1899-12-30T14:00:00"/>
    <d v="1899-12-30T14:30:00"/>
  </r>
  <r>
    <d v="2024-10-02T00:00:00"/>
    <n v="925"/>
    <s v="S2S Premium"/>
    <s v="PCC_Acuna, Roxana"/>
    <x v="12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CC_Acuna, Roxana"/>
    <x v="125"/>
    <d v="1899-12-30T14:30:00"/>
    <s v="-"/>
    <d v="1899-12-30T15:00:00"/>
    <n v="52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PCC_Acuna, Roxana"/>
    <x v="125"/>
    <d v="1899-12-30T14:00:00"/>
    <s v="-"/>
    <d v="1899-12-30T14:30:00"/>
    <n v="75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Pm_D'Autilio,Melisa"/>
    <x v="126"/>
    <d v="1899-12-30T14:00:00"/>
    <s v="-"/>
    <d v="1899-12-30T14:30:00"/>
    <n v="562"/>
    <n v="0"/>
    <n v="0"/>
    <n v="8"/>
    <n v="0"/>
    <n v="0"/>
    <n v="0"/>
    <n v="4"/>
    <n v="12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Pm_D'Autilio,Melisa"/>
    <x v="126"/>
    <d v="1899-12-30T15:00:00"/>
    <s v="-"/>
    <d v="1899-12-30T15:30:00"/>
    <n v="585"/>
    <n v="6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m_D'Autilio,Melisa"/>
    <x v="126"/>
    <d v="1899-12-30T14:30:00"/>
    <s v="-"/>
    <d v="1899-12-30T15:00:00"/>
    <n v="1209"/>
    <n v="0"/>
    <n v="0"/>
    <n v="8"/>
    <n v="0"/>
    <n v="0"/>
    <n v="0"/>
    <n v="180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4"/>
    <s v="S2S No Premium"/>
    <s v="*N2m_Barberan,Prisci"/>
    <x v="127"/>
    <d v="1899-12-30T15:30:00"/>
    <s v="-"/>
    <d v="1899-12-30T16:00:00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30:00"/>
    <d v="1899-12-30T16:00:00"/>
  </r>
  <r>
    <d v="2024-10-02T00:00:00"/>
    <n v="924"/>
    <s v="S2S No Premium"/>
    <s v="*N2m_Barberan,Prisci"/>
    <x v="127"/>
    <d v="1899-12-30T15:00:00"/>
    <s v="-"/>
    <d v="1899-12-30T15:30:00"/>
    <n v="348"/>
    <n v="0"/>
    <n v="0"/>
    <n v="12"/>
    <n v="0"/>
    <n v="0"/>
    <n v="0"/>
    <n v="270"/>
    <n v="256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Barberan,Prisci"/>
    <x v="127"/>
    <d v="1899-12-30T14:30:00"/>
    <s v="-"/>
    <d v="1899-12-30T15:00:00"/>
    <n v="810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*N2m_Barberan,Prisci"/>
    <x v="127"/>
    <d v="1899-12-30T14:00:00"/>
    <s v="-"/>
    <d v="1899-12-30T14:30:00"/>
    <n v="895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5"/>
    <s v="S2S Premium"/>
    <s v="*Pm_Bogarin,Santiag"/>
    <x v="128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Bogarin,Santiag"/>
    <x v="128"/>
    <d v="1899-12-30T14:30:00"/>
    <s v="-"/>
    <d v="1899-12-30T15:00:00"/>
    <n v="89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*Pm_Bogarin,Santiag"/>
    <x v="128"/>
    <d v="1899-12-30T14:00:00"/>
    <s v="-"/>
    <d v="1899-12-30T14:30:00"/>
    <n v="1029"/>
    <n v="0"/>
    <n v="0"/>
    <n v="16"/>
    <n v="0"/>
    <n v="0"/>
    <n v="0"/>
    <n v="6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m_Gawlik, Luana"/>
    <x v="129"/>
    <d v="1899-12-30T15:30:00"/>
    <s v="-"/>
    <d v="1899-12-30T16:00:00"/>
    <n v="222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*N2m_Gawlik, Luana"/>
    <x v="129"/>
    <d v="1899-12-30T14:30:00"/>
    <s v="-"/>
    <d v="1899-12-30T15:00:00"/>
    <n v="690"/>
    <n v="0"/>
    <n v="0"/>
    <n v="16"/>
    <n v="0"/>
    <n v="0"/>
    <n v="0"/>
    <n v="200"/>
    <n v="0"/>
    <n v="0"/>
    <n v="0"/>
    <n v="0"/>
    <n v="0"/>
    <n v="0"/>
    <n v="0"/>
    <n v="0"/>
    <n v="0"/>
    <n v="0"/>
    <n v="0"/>
    <n v="4"/>
    <n v="4"/>
    <x v="0"/>
    <x v="94"/>
    <d v="1899-12-30T14:30:00"/>
    <d v="1899-12-30T15:00:00"/>
  </r>
  <r>
    <d v="2024-10-02T00:00:00"/>
    <n v="924"/>
    <s v="S2S No Premium"/>
    <s v="*N2m_Gawlik, Luana"/>
    <x v="129"/>
    <d v="1899-12-30T15:00:00"/>
    <s v="-"/>
    <d v="1899-12-30T15:30:00"/>
    <n v="765"/>
    <n v="0"/>
    <n v="0"/>
    <n v="12"/>
    <n v="0"/>
    <n v="0"/>
    <n v="0"/>
    <n v="10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Gawlik, Luana"/>
    <x v="129"/>
    <d v="1899-12-30T14:00:00"/>
    <s v="-"/>
    <d v="1899-12-30T14:30:00"/>
    <n v="1038"/>
    <n v="0"/>
    <n v="0"/>
    <n v="8"/>
    <n v="0"/>
    <n v="0"/>
    <n v="0"/>
    <n v="198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2m_Encina, Johana"/>
    <x v="130"/>
    <d v="1899-12-30T15:30:00"/>
    <s v="-"/>
    <d v="1899-12-30T16:00:00"/>
    <n v="15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N2m_Encina, Johana"/>
    <x v="130"/>
    <d v="1899-12-30T15:00:00"/>
    <s v="-"/>
    <d v="1899-12-30T15:30:00"/>
    <n v="371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5"/>
    <s v="S2S Premium"/>
    <s v="*Pm_Fernandez,Adria"/>
    <x v="131"/>
    <d v="1899-12-30T16:30:00"/>
    <s v="-"/>
    <d v="1899-12-30T17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30:00"/>
    <d v="1899-12-30T17:00:00"/>
  </r>
  <r>
    <d v="2024-10-02T00:00:00"/>
    <n v="925"/>
    <s v="S2S Premium"/>
    <s v="*Pm_Fernandez,Adria"/>
    <x v="131"/>
    <d v="1899-12-30T15:00:00"/>
    <s v="-"/>
    <d v="1899-12-30T15:30:00"/>
    <n v="280"/>
    <n v="0"/>
    <n v="0"/>
    <n v="8"/>
    <n v="0"/>
    <n v="0"/>
    <n v="0"/>
    <n v="99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5"/>
    <s v="S2S Premium"/>
    <s v="*Pm_Fernandez,Adria"/>
    <x v="131"/>
    <d v="1899-12-30T14:30:00"/>
    <s v="-"/>
    <d v="1899-12-30T15:00:00"/>
    <n v="534"/>
    <n v="0"/>
    <n v="0"/>
    <n v="15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94"/>
    <d v="1899-12-30T14:30:00"/>
    <d v="1899-12-30T15:00:00"/>
  </r>
  <r>
    <d v="2024-10-02T00:00:00"/>
    <n v="925"/>
    <s v="S2S Premium"/>
    <s v="*Pm_Fernandez,Adria"/>
    <x v="131"/>
    <d v="1899-12-30T14:00:00"/>
    <s v="-"/>
    <d v="1899-12-30T14:30:00"/>
    <n v="732"/>
    <n v="0"/>
    <n v="0"/>
    <n v="12"/>
    <n v="0"/>
    <n v="0"/>
    <n v="0"/>
    <n v="289"/>
    <n v="125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5"/>
    <s v="S2S Premium"/>
    <s v="*Pm_Fernandez,Adria"/>
    <x v="131"/>
    <d v="1899-12-30T16:00:00"/>
    <s v="-"/>
    <d v="1899-12-30T16:30:00"/>
    <n v="943"/>
    <n v="0"/>
    <n v="0"/>
    <n v="13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*Pm_Fernandez,Adria"/>
    <x v="131"/>
    <d v="1899-12-30T15:30:00"/>
    <s v="-"/>
    <d v="1899-12-30T16:00:00"/>
    <n v="124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CC_Rivas,Maxi"/>
    <x v="132"/>
    <d v="1899-12-30T19:00:00"/>
    <s v="-"/>
    <d v="1899-12-30T19:30:00"/>
    <n v="488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PCC_Rivas,Maxi"/>
    <x v="132"/>
    <d v="1899-12-30T15:00:00"/>
    <s v="-"/>
    <d v="1899-12-30T15:30:00"/>
    <n v="609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CC_Rivas,Maxi"/>
    <x v="132"/>
    <d v="1899-12-30T15:30:00"/>
    <s v="-"/>
    <d v="1899-12-30T16:00:00"/>
    <n v="616"/>
    <n v="0"/>
    <n v="0"/>
    <n v="11"/>
    <n v="0"/>
    <n v="0"/>
    <n v="0"/>
    <n v="3"/>
    <n v="133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CC_Rivas,Maxi"/>
    <x v="132"/>
    <d v="1899-12-30T18:30:00"/>
    <s v="-"/>
    <d v="1899-12-30T19:00:00"/>
    <n v="635"/>
    <n v="0"/>
    <n v="0"/>
    <n v="16"/>
    <n v="0"/>
    <n v="0"/>
    <n v="0"/>
    <n v="115"/>
    <n v="29"/>
    <n v="0"/>
    <n v="0"/>
    <n v="0"/>
    <n v="0"/>
    <n v="0"/>
    <n v="0"/>
    <n v="0"/>
    <n v="0"/>
    <n v="0"/>
    <n v="0"/>
    <n v="4"/>
    <n v="3"/>
    <x v="1"/>
    <x v="94"/>
    <d v="1899-12-30T18:30:00"/>
    <d v="1899-12-30T19:00:00"/>
  </r>
  <r>
    <d v="2024-10-02T00:00:00"/>
    <n v="925"/>
    <s v="S2S Premium"/>
    <s v="XPCC_Rivas,Maxi"/>
    <x v="132"/>
    <d v="1899-12-30T17:00:00"/>
    <s v="-"/>
    <d v="1899-12-30T17:30:00"/>
    <n v="733"/>
    <n v="0"/>
    <n v="0"/>
    <n v="19"/>
    <n v="0"/>
    <n v="0"/>
    <n v="0"/>
    <n v="97"/>
    <n v="0"/>
    <n v="0"/>
    <n v="0"/>
    <n v="0"/>
    <n v="0"/>
    <n v="0"/>
    <n v="0"/>
    <n v="0"/>
    <n v="0"/>
    <n v="0"/>
    <n v="0"/>
    <n v="6"/>
    <n v="5"/>
    <x v="1"/>
    <x v="94"/>
    <d v="1899-12-30T17:00:00"/>
    <d v="1899-12-30T17:30:00"/>
  </r>
  <r>
    <d v="2024-10-02T00:00:00"/>
    <n v="925"/>
    <s v="S2S Premium"/>
    <s v="XPCC_Rivas,Maxi"/>
    <x v="132"/>
    <d v="1899-12-30T16:00:00"/>
    <s v="-"/>
    <d v="1899-12-30T16:30:00"/>
    <n v="743"/>
    <n v="0"/>
    <n v="0"/>
    <n v="12"/>
    <n v="0"/>
    <n v="0"/>
    <n v="0"/>
    <n v="451"/>
    <n v="42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PCC_Rivas,Maxi"/>
    <x v="132"/>
    <d v="1899-12-30T18:00:00"/>
    <s v="-"/>
    <d v="1899-12-30T18:30:00"/>
    <n v="983"/>
    <n v="0"/>
    <n v="0"/>
    <n v="10"/>
    <n v="0"/>
    <n v="0"/>
    <n v="0"/>
    <n v="44"/>
    <n v="0"/>
    <n v="0"/>
    <n v="0"/>
    <n v="0"/>
    <n v="0"/>
    <n v="0"/>
    <n v="0"/>
    <n v="0"/>
    <n v="0"/>
    <n v="0"/>
    <n v="0"/>
    <n v="4"/>
    <n v="4"/>
    <x v="1"/>
    <x v="94"/>
    <d v="1899-12-30T18:00:00"/>
    <d v="1899-12-30T18:30:00"/>
  </r>
  <r>
    <d v="2024-10-02T00:00:00"/>
    <n v="925"/>
    <s v="S2S Premium"/>
    <s v="XPCC_Rivas,Maxi"/>
    <x v="132"/>
    <d v="1899-12-30T17:30:00"/>
    <s v="-"/>
    <d v="1899-12-30T18:00:00"/>
    <n v="1002"/>
    <n v="0"/>
    <n v="0"/>
    <n v="12"/>
    <n v="0"/>
    <n v="0"/>
    <n v="0"/>
    <n v="457"/>
    <n v="38"/>
    <n v="0"/>
    <n v="0"/>
    <n v="0"/>
    <n v="0"/>
    <n v="0"/>
    <n v="0"/>
    <n v="0"/>
    <n v="0"/>
    <n v="0"/>
    <n v="0"/>
    <n v="2"/>
    <n v="1"/>
    <x v="1"/>
    <x v="94"/>
    <d v="1899-12-30T17:30:00"/>
    <d v="1899-12-30T18:00:00"/>
  </r>
  <r>
    <d v="2024-10-02T00:00:00"/>
    <n v="925"/>
    <s v="S2S Premium"/>
    <s v="XPCC_Rivas,Maxi"/>
    <x v="132"/>
    <d v="1899-12-30T16:30:00"/>
    <s v="-"/>
    <d v="1899-12-30T17:00:00"/>
    <n v="1068"/>
    <n v="0"/>
    <n v="0"/>
    <n v="20"/>
    <n v="0"/>
    <n v="0"/>
    <n v="0"/>
    <n v="29"/>
    <n v="1"/>
    <n v="0"/>
    <n v="0"/>
    <n v="0"/>
    <n v="0"/>
    <n v="0"/>
    <n v="0"/>
    <n v="0"/>
    <n v="0"/>
    <n v="0"/>
    <n v="0"/>
    <n v="5"/>
    <n v="4"/>
    <x v="1"/>
    <x v="94"/>
    <d v="1899-12-30T16:30:00"/>
    <d v="1899-12-30T17:00:00"/>
  </r>
  <r>
    <d v="2024-10-02T00:00:00"/>
    <n v="925"/>
    <s v="S2S Premium"/>
    <s v="XPCC_Rivas,Maxi"/>
    <x v="132"/>
    <d v="1899-12-30T19:30:00"/>
    <s v="-"/>
    <d v="1899-12-30T20:00:00"/>
    <n v="1106"/>
    <n v="0"/>
    <n v="0"/>
    <n v="12"/>
    <n v="0"/>
    <n v="0"/>
    <n v="0"/>
    <n v="81"/>
    <n v="3"/>
    <n v="0"/>
    <n v="0"/>
    <n v="0"/>
    <n v="0"/>
    <n v="0"/>
    <n v="0"/>
    <n v="0"/>
    <n v="0"/>
    <n v="0"/>
    <n v="0"/>
    <n v="3"/>
    <n v="2"/>
    <x v="1"/>
    <x v="94"/>
    <d v="1899-12-30T19:30:00"/>
    <d v="1899-12-30T20:00:00"/>
  </r>
  <r>
    <d v="2024-10-02T00:00:00"/>
    <n v="925"/>
    <s v="S2S Premium"/>
    <s v="XPCC_Zarate,Damari"/>
    <x v="133"/>
    <d v="1899-12-30T14:00:00"/>
    <s v="-"/>
    <d v="1899-12-30T14:30:00"/>
    <n v="63"/>
    <n v="0"/>
    <n v="0"/>
    <n v="4"/>
    <n v="0"/>
    <n v="0"/>
    <n v="0"/>
    <n v="159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4"/>
    <s v="S2S No Premium"/>
    <s v="XPCC_Zarate,Damari"/>
    <x v="133"/>
    <d v="1899-12-30T18:00:00"/>
    <s v="-"/>
    <d v="1899-12-30T18:30:00"/>
    <n v="21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4"/>
    <s v="S2S No Premium"/>
    <s v="XPCC_Zarate,Damari"/>
    <x v="133"/>
    <d v="1899-12-30T19:00:00"/>
    <s v="-"/>
    <d v="1899-12-30T19:30:00"/>
    <n v="26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00:00"/>
    <d v="1899-12-30T19:30:00"/>
  </r>
  <r>
    <d v="2024-10-02T00:00:00"/>
    <n v="925"/>
    <s v="S2S Premium"/>
    <s v="XPCC_Zarate,Damari"/>
    <x v="133"/>
    <d v="1899-12-30T17:00:00"/>
    <s v="-"/>
    <d v="1899-12-30T17:30:00"/>
    <n v="294"/>
    <n v="0"/>
    <n v="0"/>
    <n v="8"/>
    <n v="0"/>
    <n v="0"/>
    <n v="0"/>
    <n v="95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4"/>
    <s v="S2S No Premium"/>
    <s v="XPCC_Zarate,Damari"/>
    <x v="133"/>
    <d v="1899-12-30T19:30:00"/>
    <s v="-"/>
    <d v="1899-12-30T20:00:00"/>
    <n v="444"/>
    <n v="0"/>
    <n v="0"/>
    <n v="8"/>
    <n v="0"/>
    <n v="0"/>
    <n v="0"/>
    <n v="273"/>
    <n v="84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5"/>
    <s v="S2S Premium"/>
    <s v="XPCC_Zarate,Damari"/>
    <x v="133"/>
    <d v="1899-12-30T18:00:00"/>
    <s v="-"/>
    <d v="1899-12-30T18:30:00"/>
    <n v="758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3"/>
    <x v="1"/>
    <x v="94"/>
    <d v="1899-12-30T18:00:00"/>
    <d v="1899-12-30T18:30:00"/>
  </r>
  <r>
    <d v="2024-10-02T00:00:00"/>
    <n v="925"/>
    <s v="S2S Premium"/>
    <s v="XPCC_Zarate,Damari"/>
    <x v="133"/>
    <d v="1899-12-30T15:30:00"/>
    <s v="-"/>
    <d v="1899-12-30T16:00:00"/>
    <n v="813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CC_Zarate,Damari"/>
    <x v="133"/>
    <d v="1899-12-30T16:00:00"/>
    <s v="-"/>
    <d v="1899-12-30T16:30:00"/>
    <n v="83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4"/>
    <s v="S2S No Premium"/>
    <s v="XPCC_Zarate,Damari"/>
    <x v="133"/>
    <d v="1899-12-30T18:30:00"/>
    <s v="-"/>
    <d v="1899-12-30T19:00:00"/>
    <n v="84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XPCC_Zarate,Damari"/>
    <x v="133"/>
    <d v="1899-12-30T16:30:00"/>
    <s v="-"/>
    <d v="1899-12-30T17:00:00"/>
    <n v="852"/>
    <n v="0"/>
    <n v="0"/>
    <n v="21"/>
    <n v="0"/>
    <n v="0"/>
    <n v="0"/>
    <n v="205"/>
    <n v="75"/>
    <n v="0"/>
    <n v="0"/>
    <n v="0"/>
    <n v="0"/>
    <n v="0"/>
    <n v="0"/>
    <n v="0"/>
    <n v="0"/>
    <n v="0"/>
    <n v="0"/>
    <n v="5"/>
    <n v="4"/>
    <x v="1"/>
    <x v="94"/>
    <d v="1899-12-30T16:30:00"/>
    <d v="1899-12-30T17:00:00"/>
  </r>
  <r>
    <d v="2024-10-02T00:00:00"/>
    <n v="925"/>
    <s v="S2S Premium"/>
    <s v="XPCC_Zarate,Damari"/>
    <x v="133"/>
    <d v="1899-12-30T14:30:00"/>
    <s v="-"/>
    <d v="1899-12-30T15:00:00"/>
    <n v="1018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XPCC_Zarate,Damari"/>
    <x v="133"/>
    <d v="1899-12-30T17:30:00"/>
    <s v="-"/>
    <d v="1899-12-30T18:00:00"/>
    <n v="1046"/>
    <n v="0"/>
    <n v="0"/>
    <n v="16"/>
    <n v="0"/>
    <n v="0"/>
    <n v="0"/>
    <n v="46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XPCC_Zarate,Damari"/>
    <x v="133"/>
    <d v="1899-12-30T15:00:00"/>
    <s v="-"/>
    <d v="1899-12-30T15:30:00"/>
    <n v="1098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5"/>
    <s v="S2S Premium"/>
    <s v="XPm_Yuri, Mila"/>
    <x v="134"/>
    <d v="1899-12-30T15:00:00"/>
    <s v="-"/>
    <d v="1899-12-30T15:30:0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m_Yuri, Mila"/>
    <x v="134"/>
    <d v="1899-12-30T14:30:00"/>
    <s v="-"/>
    <d v="1899-12-30T15:00:00"/>
    <n v="310"/>
    <n v="0"/>
    <n v="0"/>
    <n v="12"/>
    <n v="0"/>
    <n v="0"/>
    <n v="0"/>
    <n v="205"/>
    <n v="154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XPm_Yuri, Mila"/>
    <x v="134"/>
    <d v="1899-12-30T14:00:00"/>
    <s v="-"/>
    <d v="1899-12-30T14:30:00"/>
    <n v="446"/>
    <n v="0"/>
    <n v="0"/>
    <n v="4"/>
    <n v="0"/>
    <n v="0"/>
    <n v="0"/>
    <n v="525"/>
    <n v="1"/>
    <n v="0"/>
    <n v="0"/>
    <n v="0"/>
    <n v="0"/>
    <n v="0"/>
    <n v="0"/>
    <n v="0"/>
    <n v="0"/>
    <n v="0"/>
    <n v="0"/>
    <n v="2"/>
    <n v="0"/>
    <x v="1"/>
    <x v="94"/>
    <d v="1899-12-30T14:00:00"/>
    <d v="1899-12-30T14:30:00"/>
  </r>
  <r>
    <d v="2024-10-02T00:00:00"/>
    <n v="925"/>
    <s v="S2S Premium"/>
    <s v="*Pm_Olivera, Melisa"/>
    <x v="13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Olivera, Melisa"/>
    <x v="135"/>
    <d v="1899-12-30T14:30:00"/>
    <s v="-"/>
    <d v="1899-12-30T15:00:00"/>
    <n v="183"/>
    <n v="0"/>
    <n v="0"/>
    <n v="8"/>
    <n v="0"/>
    <n v="0"/>
    <n v="0"/>
    <n v="0"/>
    <n v="15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*Pm_Olivera, Melisa"/>
    <x v="135"/>
    <d v="1899-12-30T14:00:00"/>
    <s v="-"/>
    <d v="1899-12-30T14:30:00"/>
    <n v="931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fm_Gonzalez,Micae"/>
    <x v="136"/>
    <d v="1899-12-30T14:00:00"/>
    <s v="-"/>
    <d v="1899-12-30T14:30:00"/>
    <n v="658"/>
    <n v="0"/>
    <n v="0"/>
    <n v="19"/>
    <n v="0"/>
    <n v="0"/>
    <n v="0"/>
    <n v="223"/>
    <n v="53"/>
    <n v="0"/>
    <n v="0"/>
    <n v="0"/>
    <n v="0"/>
    <n v="0"/>
    <n v="0"/>
    <n v="0"/>
    <n v="0"/>
    <n v="0"/>
    <n v="0"/>
    <n v="5"/>
    <n v="5"/>
    <x v="0"/>
    <x v="94"/>
    <d v="1899-12-30T14:00:00"/>
    <d v="1899-12-30T14:30:00"/>
  </r>
  <r>
    <d v="2024-10-02T00:00:00"/>
    <n v="924"/>
    <s v="S2S No Premium"/>
    <s v="*N2fm_Gonzalez,Micae"/>
    <x v="136"/>
    <d v="1899-12-30T15:00:00"/>
    <s v="-"/>
    <d v="1899-12-30T15:30:00"/>
    <n v="8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fm_Gonzalez,Micae"/>
    <x v="136"/>
    <d v="1899-12-30T14:30:00"/>
    <s v="-"/>
    <d v="1899-12-30T15:00:00"/>
    <n v="1030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5"/>
    <s v="S2S Premium"/>
    <s v="XPCC_Narvaez, Magali"/>
    <x v="13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Narvaez, Magali"/>
    <x v="137"/>
    <d v="1899-12-30T14:30:00"/>
    <s v="-"/>
    <d v="1899-12-30T15:00:00"/>
    <n v="703"/>
    <n v="0"/>
    <n v="0"/>
    <n v="16"/>
    <n v="0"/>
    <n v="0"/>
    <n v="0"/>
    <n v="53"/>
    <n v="1"/>
    <n v="0"/>
    <n v="0"/>
    <n v="0"/>
    <n v="0"/>
    <n v="0"/>
    <n v="0"/>
    <n v="0"/>
    <n v="0"/>
    <n v="0"/>
    <n v="0"/>
    <n v="5"/>
    <n v="3"/>
    <x v="1"/>
    <x v="94"/>
    <d v="1899-12-30T14:30:00"/>
    <d v="1899-12-30T15:00:00"/>
  </r>
  <r>
    <d v="2024-10-02T00:00:00"/>
    <n v="925"/>
    <s v="S2S Premium"/>
    <s v="XPCC_Narvaez, Magali"/>
    <x v="137"/>
    <d v="1899-12-30T14:00:00"/>
    <s v="-"/>
    <d v="1899-12-30T14:30:00"/>
    <n v="921"/>
    <n v="0"/>
    <n v="0"/>
    <n v="12"/>
    <n v="0"/>
    <n v="0"/>
    <n v="0"/>
    <n v="398"/>
    <n v="245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TXPm_Moreno R,Tobi"/>
    <x v="138"/>
    <d v="1899-12-30T15:00:00"/>
    <s v="-"/>
    <d v="1899-12-30T15:30:00"/>
    <n v="11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TXPm_Moreno R,Tobi"/>
    <x v="138"/>
    <d v="1899-12-30T18:00:00"/>
    <s v="-"/>
    <d v="1899-12-30T18:30:00"/>
    <n v="277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TXPm_Moreno R,Tobi"/>
    <x v="138"/>
    <d v="1899-12-30T17:00:00"/>
    <s v="-"/>
    <d v="1899-12-30T17:30:00"/>
    <n v="516"/>
    <n v="0"/>
    <n v="0"/>
    <n v="12"/>
    <n v="0"/>
    <n v="0"/>
    <n v="0"/>
    <n v="517"/>
    <n v="492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TXPm_Moreno R,Tobi"/>
    <x v="138"/>
    <d v="1899-12-30T19:30:00"/>
    <s v="-"/>
    <d v="1899-12-30T20:00:00"/>
    <n v="737"/>
    <n v="0"/>
    <n v="0"/>
    <n v="12"/>
    <n v="0"/>
    <n v="0"/>
    <n v="0"/>
    <n v="223"/>
    <n v="215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5"/>
    <s v="S2S Premium"/>
    <s v="TXPm_Moreno R,Tobi"/>
    <x v="138"/>
    <d v="1899-12-30T15:30:00"/>
    <s v="-"/>
    <d v="1899-12-30T16:00:00"/>
    <n v="82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5"/>
    <s v="S2S Premium"/>
    <s v="TXPm_Moreno R,Tobi"/>
    <x v="138"/>
    <d v="1899-12-30T16:30:00"/>
    <s v="-"/>
    <d v="1899-12-30T17:00:00"/>
    <n v="844"/>
    <n v="0"/>
    <n v="0"/>
    <n v="12"/>
    <n v="0"/>
    <n v="0"/>
    <n v="0"/>
    <n v="362"/>
    <n v="359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TXPm_Moreno R,Tobi"/>
    <x v="138"/>
    <d v="1899-12-30T16:00:00"/>
    <s v="-"/>
    <d v="1899-12-30T16:30:00"/>
    <n v="881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TXPm_Moreno R,Tobi"/>
    <x v="138"/>
    <d v="1899-12-30T17:30:00"/>
    <s v="-"/>
    <d v="1899-12-30T18:00:00"/>
    <n v="975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94"/>
    <d v="1899-12-30T17:30:00"/>
    <d v="1899-12-30T18:00:00"/>
  </r>
  <r>
    <d v="2024-10-02T00:00:00"/>
    <n v="925"/>
    <s v="S2S Premium"/>
    <s v="TXPm_Moreno R,Tobi"/>
    <x v="138"/>
    <d v="1899-12-30T18:30:00"/>
    <s v="-"/>
    <d v="1899-12-30T19:00:00"/>
    <n v="982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4"/>
    <n v="3"/>
    <x v="1"/>
    <x v="94"/>
    <d v="1899-12-30T18:30:00"/>
    <d v="1899-12-30T19:00:00"/>
  </r>
  <r>
    <d v="2024-10-02T00:00:00"/>
    <n v="925"/>
    <s v="S2S Premium"/>
    <s v="TXPm_Moreno R,Tobi"/>
    <x v="138"/>
    <d v="1899-12-30T19:00:00"/>
    <s v="-"/>
    <d v="1899-12-30T19:30:00"/>
    <n v="1068"/>
    <n v="0"/>
    <n v="0"/>
    <n v="20"/>
    <n v="0"/>
    <n v="0"/>
    <n v="0"/>
    <n v="85"/>
    <n v="79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4"/>
    <s v="S2S No Premium"/>
    <s v="*N2m_Ocampo,Christia"/>
    <x v="139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00:00"/>
    <d v="1899-12-30T14:30:00"/>
  </r>
  <r>
    <d v="2024-10-02T00:00:00"/>
    <n v="924"/>
    <s v="S2S No Premium"/>
    <s v="*N2m_Ocampo,Christia"/>
    <x v="139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*N2m_Ocampo,Christia"/>
    <x v="13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PCC_Recio, Noelia B"/>
    <x v="140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PCC_Recio, Noelia B"/>
    <x v="140"/>
    <d v="1899-12-30T14:00:00"/>
    <s v="-"/>
    <d v="1899-12-30T14:30:00"/>
    <n v="792"/>
    <n v="342"/>
    <n v="0"/>
    <n v="16"/>
    <n v="0"/>
    <n v="0"/>
    <n v="0"/>
    <n v="14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PCC_Recio, Noelia B"/>
    <x v="140"/>
    <d v="1899-12-30T14:30:00"/>
    <s v="-"/>
    <d v="1899-12-30T15:00:00"/>
    <n v="872"/>
    <n v="185"/>
    <n v="0"/>
    <n v="8"/>
    <n v="0"/>
    <n v="0"/>
    <n v="0"/>
    <n v="1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XN2m_Rojas, Lorena"/>
    <x v="141"/>
    <d v="1899-12-30T15:00:00"/>
    <s v="-"/>
    <d v="1899-12-30T15:30:00"/>
    <n v="53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XN2m_Rojas, Lorena"/>
    <x v="141"/>
    <d v="1899-12-30T16:00:00"/>
    <s v="-"/>
    <d v="1899-12-30T16:30:00"/>
    <n v="197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XN2m_Rojas, Lorena"/>
    <x v="141"/>
    <d v="1899-12-30T14:00:00"/>
    <s v="-"/>
    <d v="1899-12-30T14:30:00"/>
    <n v="953"/>
    <n v="0"/>
    <n v="0"/>
    <n v="8"/>
    <n v="0"/>
    <n v="0"/>
    <n v="0"/>
    <n v="577"/>
    <n v="153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XN2m_Rojas, Lorena"/>
    <x v="141"/>
    <d v="1899-12-30T14:30:00"/>
    <s v="-"/>
    <d v="1899-12-30T15:00:00"/>
    <n v="1029"/>
    <n v="0"/>
    <n v="0"/>
    <n v="8"/>
    <n v="0"/>
    <n v="0"/>
    <n v="0"/>
    <n v="270"/>
    <n v="0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XN2m_Rojas, Lorena"/>
    <x v="141"/>
    <d v="1899-12-30T15:30:00"/>
    <s v="-"/>
    <d v="1899-12-30T16:00:00"/>
    <n v="1073"/>
    <n v="0"/>
    <n v="0"/>
    <n v="16"/>
    <n v="0"/>
    <n v="0"/>
    <n v="0"/>
    <n v="221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*N2m_Sosa,Maximilian"/>
    <x v="14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*N2m_Sosa,Maximilian"/>
    <x v="142"/>
    <d v="1899-12-30T14:00:00"/>
    <s v="-"/>
    <d v="1899-12-30T14:30:00"/>
    <n v="572"/>
    <n v="0"/>
    <n v="0"/>
    <n v="8"/>
    <n v="0"/>
    <n v="0"/>
    <n v="0"/>
    <n v="491"/>
    <n v="228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2m_Sosa,Maximilian"/>
    <x v="142"/>
    <d v="1899-12-30T14:30:00"/>
    <s v="-"/>
    <d v="1899-12-30T15:00:00"/>
    <n v="823"/>
    <n v="0"/>
    <n v="0"/>
    <n v="12"/>
    <n v="0"/>
    <n v="0"/>
    <n v="0"/>
    <n v="66"/>
    <n v="1"/>
    <n v="0"/>
    <n v="0"/>
    <n v="0"/>
    <n v="0"/>
    <n v="0"/>
    <n v="0"/>
    <n v="0"/>
    <n v="0"/>
    <n v="0"/>
    <n v="0"/>
    <n v="3"/>
    <n v="1"/>
    <x v="0"/>
    <x v="94"/>
    <d v="1899-12-30T14:30:00"/>
    <d v="1899-12-30T15:00:00"/>
  </r>
  <r>
    <d v="2024-10-02T00:00:00"/>
    <n v="925"/>
    <s v="S2S Premium"/>
    <s v="XDPCC_Sosa, Marina"/>
    <x v="143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30:00"/>
    <d v="1899-12-30T20:00:00"/>
  </r>
  <r>
    <d v="2024-10-02T00:00:00"/>
    <n v="925"/>
    <s v="S2S Premium"/>
    <s v="XDPCC_Sosa, Marina"/>
    <x v="143"/>
    <d v="1899-12-30T16:00:00"/>
    <s v="-"/>
    <d v="1899-12-30T16:30:00"/>
    <n v="462"/>
    <n v="0"/>
    <n v="0"/>
    <n v="11"/>
    <n v="0"/>
    <n v="0"/>
    <n v="0"/>
    <n v="227"/>
    <n v="224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XDPCC_Sosa, Marina"/>
    <x v="143"/>
    <d v="1899-12-30T17:30:00"/>
    <s v="-"/>
    <d v="1899-12-30T18:00:00"/>
    <n v="507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XDPCC_Sosa, Marina"/>
    <x v="143"/>
    <d v="1899-12-30T15:00:00"/>
    <s v="-"/>
    <d v="1899-12-30T15:30:00"/>
    <n v="519"/>
    <n v="0"/>
    <n v="0"/>
    <n v="12"/>
    <n v="0"/>
    <n v="0"/>
    <n v="0"/>
    <n v="157"/>
    <n v="25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DPCC_Sosa, Marina"/>
    <x v="143"/>
    <d v="1899-12-30T15:30:00"/>
    <s v="-"/>
    <d v="1899-12-30T16:00:00"/>
    <n v="736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5"/>
    <s v="S2S Premium"/>
    <s v="XDPCC_Sosa, Marina"/>
    <x v="143"/>
    <d v="1899-12-30T18:00:00"/>
    <s v="-"/>
    <d v="1899-12-30T18:30:00"/>
    <n v="784"/>
    <n v="0"/>
    <n v="0"/>
    <n v="15"/>
    <n v="0"/>
    <n v="0"/>
    <n v="0"/>
    <n v="4"/>
    <n v="22"/>
    <n v="0"/>
    <n v="0"/>
    <n v="0"/>
    <n v="0"/>
    <n v="0"/>
    <n v="0"/>
    <n v="0"/>
    <n v="0"/>
    <n v="0"/>
    <n v="0"/>
    <n v="4"/>
    <n v="4"/>
    <x v="1"/>
    <x v="94"/>
    <d v="1899-12-30T18:00:00"/>
    <d v="1899-12-30T18:30:00"/>
  </r>
  <r>
    <d v="2024-10-02T00:00:00"/>
    <n v="925"/>
    <s v="S2S Premium"/>
    <s v="XDPCC_Sosa, Marina"/>
    <x v="143"/>
    <d v="1899-12-30T17:00:00"/>
    <s v="-"/>
    <d v="1899-12-30T17:30:00"/>
    <n v="948"/>
    <n v="0"/>
    <n v="0"/>
    <n v="8"/>
    <n v="0"/>
    <n v="0"/>
    <n v="0"/>
    <n v="61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DPCC_Sosa, Marina"/>
    <x v="143"/>
    <d v="1899-12-30T18:30:00"/>
    <s v="-"/>
    <d v="1899-12-30T19:00:00"/>
    <n v="949"/>
    <n v="0"/>
    <n v="0"/>
    <n v="15"/>
    <n v="0"/>
    <n v="0"/>
    <n v="0"/>
    <n v="207"/>
    <n v="174"/>
    <n v="0"/>
    <n v="0"/>
    <n v="0"/>
    <n v="0"/>
    <n v="0"/>
    <n v="0"/>
    <n v="0"/>
    <n v="0"/>
    <n v="0"/>
    <n v="0"/>
    <n v="4"/>
    <n v="4"/>
    <x v="1"/>
    <x v="94"/>
    <d v="1899-12-30T18:30:00"/>
    <d v="1899-12-30T19:00:00"/>
  </r>
  <r>
    <d v="2024-10-02T00:00:00"/>
    <n v="925"/>
    <s v="S2S Premium"/>
    <s v="XDPCC_Sosa, Marina"/>
    <x v="143"/>
    <d v="1899-12-30T16:30:00"/>
    <s v="-"/>
    <d v="1899-12-30T17:00:00"/>
    <n v="1022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DPCC_Sosa, Marina"/>
    <x v="143"/>
    <d v="1899-12-30T19:00:00"/>
    <s v="-"/>
    <d v="1899-12-30T19:30:00"/>
    <n v="119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9:00:00"/>
    <d v="1899-12-30T19:30:00"/>
  </r>
  <r>
    <d v="2024-10-02T00:00:00"/>
    <n v="925"/>
    <s v="S2S Premium"/>
    <s v="*Pm_Barreto, Mauro"/>
    <x v="144"/>
    <d v="1899-12-30T14:00:00"/>
    <s v="-"/>
    <d v="1899-12-30T14:30:00"/>
    <n v="19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4"/>
    <s v="S2S No Premium"/>
    <s v="XDPCC_Moya Romina"/>
    <x v="145"/>
    <d v="1899-12-30T18:00:00"/>
    <s v="-"/>
    <d v="1899-12-30T18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XDPCC_Moya Romina"/>
    <x v="145"/>
    <d v="1899-12-30T18:30:00"/>
    <s v="-"/>
    <d v="1899-12-30T19:00:00"/>
    <n v="0"/>
    <n v="0"/>
    <n v="0"/>
    <n v="0"/>
    <n v="0"/>
    <n v="0"/>
    <n v="0"/>
    <n v="100"/>
    <n v="0"/>
    <n v="0"/>
    <n v="0"/>
    <n v="0"/>
    <n v="0"/>
    <n v="0"/>
    <n v="0"/>
    <n v="0"/>
    <n v="0"/>
    <n v="0"/>
    <n v="0"/>
    <n v="1"/>
    <n v="1"/>
    <x v="1"/>
    <x v="94"/>
    <d v="1899-12-30T18:30:00"/>
    <d v="1899-12-30T19:00:00"/>
  </r>
  <r>
    <d v="2024-10-02T00:00:00"/>
    <n v="924"/>
    <s v="S2S No Premium"/>
    <s v="XDPCC_Moya Romina"/>
    <x v="145"/>
    <d v="1899-12-30T19:30:00"/>
    <s v="-"/>
    <d v="1899-12-30T20:00:00"/>
    <n v="37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DPCC_Moya Romina"/>
    <x v="145"/>
    <d v="1899-12-30T16:00:00"/>
    <s v="-"/>
    <d v="1899-12-30T16:30:00"/>
    <n v="363"/>
    <n v="0"/>
    <n v="0"/>
    <n v="12"/>
    <n v="0"/>
    <n v="0"/>
    <n v="0"/>
    <n v="521"/>
    <n v="390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DPCC_Moya Romina"/>
    <x v="145"/>
    <d v="1899-12-30T17:00:00"/>
    <s v="-"/>
    <d v="1899-12-30T17:30:00"/>
    <n v="37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DPCC_Moya Romina"/>
    <x v="145"/>
    <d v="1899-12-30T15:00:00"/>
    <s v="-"/>
    <d v="1899-12-30T15:30:00"/>
    <n v="552"/>
    <n v="56"/>
    <n v="0"/>
    <n v="8"/>
    <n v="0"/>
    <n v="0"/>
    <n v="0"/>
    <n v="102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DPCC_Moya Romina"/>
    <x v="145"/>
    <d v="1899-12-30T16:30:00"/>
    <s v="-"/>
    <d v="1899-12-30T17:00:00"/>
    <n v="556"/>
    <n v="50"/>
    <n v="0"/>
    <n v="12"/>
    <n v="0"/>
    <n v="0"/>
    <n v="0"/>
    <n v="293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4"/>
    <s v="S2S No Premium"/>
    <s v="XDPCC_Moya Romina"/>
    <x v="145"/>
    <d v="1899-12-30T18:30:00"/>
    <s v="-"/>
    <d v="1899-12-30T19:00:00"/>
    <n v="735"/>
    <n v="0"/>
    <n v="0"/>
    <n v="12"/>
    <n v="0"/>
    <n v="0"/>
    <n v="0"/>
    <n v="92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XDPCC_Moya Romina"/>
    <x v="145"/>
    <d v="1899-12-30T18:00:00"/>
    <s v="-"/>
    <d v="1899-12-30T18:30:00"/>
    <n v="812"/>
    <n v="13"/>
    <n v="0"/>
    <n v="12"/>
    <n v="0"/>
    <n v="0"/>
    <n v="0"/>
    <n v="86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4"/>
    <s v="S2S No Premium"/>
    <s v="XDPCC_Moya Romina"/>
    <x v="145"/>
    <d v="1899-12-30T19:00:00"/>
    <s v="-"/>
    <d v="1899-12-30T19:30:00"/>
    <n v="877"/>
    <n v="0"/>
    <n v="0"/>
    <n v="11"/>
    <n v="0"/>
    <n v="0"/>
    <n v="0"/>
    <n v="233"/>
    <n v="65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XDPCC_Moya Romina"/>
    <x v="145"/>
    <d v="1899-12-30T15:30:00"/>
    <s v="-"/>
    <d v="1899-12-30T16:00:00"/>
    <n v="941"/>
    <n v="0"/>
    <n v="0"/>
    <n v="8"/>
    <n v="0"/>
    <n v="0"/>
    <n v="0"/>
    <n v="167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DPCC_Moya Romina"/>
    <x v="145"/>
    <d v="1899-12-30T17:30:00"/>
    <s v="-"/>
    <d v="1899-12-30T18:00:00"/>
    <n v="953"/>
    <n v="7"/>
    <n v="0"/>
    <n v="8"/>
    <n v="0"/>
    <n v="0"/>
    <n v="0"/>
    <n v="650"/>
    <n v="74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4"/>
    <s v="S2S No Premium"/>
    <s v="XPm_Dellamea, Ingri"/>
    <x v="14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XPm_Dellamea, Ingri"/>
    <x v="146"/>
    <d v="1899-12-30T15:00:00"/>
    <s v="-"/>
    <d v="1899-12-30T15:30:00"/>
    <n v="696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XPm_Dellamea, Ingri"/>
    <x v="146"/>
    <d v="1899-12-30T14:00:00"/>
    <s v="-"/>
    <d v="1899-12-30T14:30:00"/>
    <n v="890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XPm_Dellamea, Ingri"/>
    <x v="146"/>
    <d v="1899-12-30T14:30:00"/>
    <s v="-"/>
    <d v="1899-12-30T15:00:00"/>
    <n v="1152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5"/>
    <s v="S2S Premium"/>
    <s v="XPm_Romero, Mari"/>
    <x v="147"/>
    <d v="1899-12-30T18:00:00"/>
    <s v="-"/>
    <d v="1899-12-30T18:30:00"/>
    <n v="461"/>
    <n v="0"/>
    <n v="0"/>
    <n v="4"/>
    <n v="0"/>
    <n v="0"/>
    <n v="0"/>
    <n v="280"/>
    <n v="266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XPm_Romero, Mari"/>
    <x v="147"/>
    <d v="1899-12-30T15:30:00"/>
    <s v="-"/>
    <d v="1899-12-30T16:00:00"/>
    <n v="631"/>
    <n v="0"/>
    <n v="0"/>
    <n v="8"/>
    <n v="0"/>
    <n v="0"/>
    <n v="0"/>
    <n v="185"/>
    <n v="1"/>
    <n v="0"/>
    <n v="0"/>
    <n v="0"/>
    <n v="0"/>
    <n v="0"/>
    <n v="0"/>
    <n v="0"/>
    <n v="0"/>
    <n v="0"/>
    <n v="0"/>
    <n v="2"/>
    <n v="0"/>
    <x v="1"/>
    <x v="94"/>
    <d v="1899-12-30T15:30:00"/>
    <d v="1899-12-30T16:00:00"/>
  </r>
  <r>
    <d v="2024-10-02T00:00:00"/>
    <n v="925"/>
    <s v="S2S Premium"/>
    <s v="XPm_Romero, Mari"/>
    <x v="147"/>
    <d v="1899-12-30T18:30:00"/>
    <s v="-"/>
    <d v="1899-12-30T19:00:00"/>
    <n v="654"/>
    <n v="0"/>
    <n v="0"/>
    <n v="24"/>
    <n v="0"/>
    <n v="0"/>
    <n v="0"/>
    <n v="72"/>
    <n v="43"/>
    <n v="0"/>
    <n v="0"/>
    <n v="0"/>
    <n v="0"/>
    <n v="0"/>
    <n v="0"/>
    <n v="0"/>
    <n v="0"/>
    <n v="0"/>
    <n v="0"/>
    <n v="5"/>
    <n v="5"/>
    <x v="1"/>
    <x v="94"/>
    <d v="1899-12-30T18:30:00"/>
    <d v="1899-12-30T19:00:00"/>
  </r>
  <r>
    <d v="2024-10-02T00:00:00"/>
    <n v="925"/>
    <s v="S2S Premium"/>
    <s v="XPm_Romero, Mari"/>
    <x v="147"/>
    <d v="1899-12-30T15:00:00"/>
    <s v="-"/>
    <d v="1899-12-30T15:30:00"/>
    <n v="698"/>
    <n v="0"/>
    <n v="0"/>
    <n v="12"/>
    <n v="0"/>
    <n v="0"/>
    <n v="0"/>
    <n v="129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m_Romero, Mari"/>
    <x v="147"/>
    <d v="1899-12-30T19:30:00"/>
    <s v="-"/>
    <d v="1899-12-30T20:00:00"/>
    <n v="725"/>
    <n v="0"/>
    <n v="0"/>
    <n v="11"/>
    <n v="0"/>
    <n v="0"/>
    <n v="0"/>
    <n v="119"/>
    <n v="48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5"/>
    <s v="S2S Premium"/>
    <s v="XPm_Romero, Mari"/>
    <x v="147"/>
    <d v="1899-12-30T17:00:00"/>
    <s v="-"/>
    <d v="1899-12-30T17:30:00"/>
    <n v="749"/>
    <n v="0"/>
    <n v="0"/>
    <n v="16"/>
    <n v="0"/>
    <n v="0"/>
    <n v="0"/>
    <n v="229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XPm_Romero, Mari"/>
    <x v="147"/>
    <d v="1899-12-30T16:00:00"/>
    <s v="-"/>
    <d v="1899-12-30T16:30:00"/>
    <n v="87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Pm_Romero, Mari"/>
    <x v="147"/>
    <d v="1899-12-30T19:00:00"/>
    <s v="-"/>
    <d v="1899-12-30T19:30:00"/>
    <n v="924"/>
    <n v="0"/>
    <n v="0"/>
    <n v="12"/>
    <n v="0"/>
    <n v="0"/>
    <n v="0"/>
    <n v="461"/>
    <n v="113"/>
    <n v="0"/>
    <n v="0"/>
    <n v="0"/>
    <n v="0"/>
    <n v="0"/>
    <n v="0"/>
    <n v="0"/>
    <n v="0"/>
    <n v="0"/>
    <n v="0"/>
    <n v="3"/>
    <n v="3"/>
    <x v="1"/>
    <x v="94"/>
    <d v="1899-12-30T19:00:00"/>
    <d v="1899-12-30T19:30:00"/>
  </r>
  <r>
    <d v="2024-10-02T00:00:00"/>
    <n v="925"/>
    <s v="S2S Premium"/>
    <s v="XPm_Romero, Mari"/>
    <x v="147"/>
    <d v="1899-12-30T17:30:00"/>
    <s v="-"/>
    <d v="1899-12-30T18:00:00"/>
    <n v="1267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7:30:00"/>
    <d v="1899-12-30T18:00:00"/>
  </r>
  <r>
    <d v="2024-10-02T00:00:00"/>
    <n v="925"/>
    <s v="S2S Premium"/>
    <s v="XPm_Romero, Mari"/>
    <x v="147"/>
    <d v="1899-12-30T16:30:00"/>
    <s v="-"/>
    <d v="1899-12-30T17:00:00"/>
    <n v="1382"/>
    <n v="0"/>
    <n v="0"/>
    <n v="12"/>
    <n v="0"/>
    <n v="0"/>
    <n v="0"/>
    <n v="234"/>
    <n v="0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5"/>
    <s v="S2S Premium"/>
    <s v="Pm_Aguirre, Jorge"/>
    <x v="148"/>
    <d v="1899-12-30T18:00:00"/>
    <s v="-"/>
    <d v="1899-12-30T18:30:00"/>
    <n v="16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Pm_Aguirre, Jorge"/>
    <x v="148"/>
    <d v="1899-12-30T15:00:00"/>
    <s v="-"/>
    <d v="1899-12-30T15:30:00"/>
    <n v="3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m_Aguirre, Jorge"/>
    <x v="148"/>
    <d v="1899-12-30T16:00:00"/>
    <s v="-"/>
    <d v="1899-12-30T16:30:00"/>
    <n v="116"/>
    <n v="0"/>
    <n v="0"/>
    <n v="4"/>
    <n v="0"/>
    <n v="0"/>
    <n v="0"/>
    <n v="37"/>
    <n v="0"/>
    <n v="0"/>
    <n v="0"/>
    <n v="0"/>
    <n v="0"/>
    <n v="0"/>
    <n v="0"/>
    <n v="0"/>
    <n v="0"/>
    <n v="0"/>
    <n v="0"/>
    <n v="1"/>
    <n v="1"/>
    <x v="1"/>
    <x v="94"/>
    <d v="1899-12-30T16:00:00"/>
    <d v="1899-12-30T16:30:00"/>
  </r>
  <r>
    <d v="2024-10-02T00:00:00"/>
    <n v="924"/>
    <s v="S2S No Premium"/>
    <s v="Pm_Aguirre, Jorge"/>
    <x v="148"/>
    <d v="1899-12-30T18:00:00"/>
    <s v="-"/>
    <d v="1899-12-30T18:30:00"/>
    <n v="12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8:00:00"/>
    <d v="1899-12-30T18:30:00"/>
  </r>
  <r>
    <d v="2024-10-02T00:00:00"/>
    <n v="924"/>
    <s v="S2S No Premium"/>
    <s v="Pm_Aguirre, Jorge"/>
    <x v="148"/>
    <d v="1899-12-30T19:30:00"/>
    <s v="-"/>
    <d v="1899-12-30T20:00:00"/>
    <n v="161"/>
    <n v="0"/>
    <n v="0"/>
    <n v="8"/>
    <n v="0"/>
    <n v="0"/>
    <n v="0"/>
    <n v="62"/>
    <n v="1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5"/>
    <s v="S2S Premium"/>
    <s v="Pm_Aguirre, Jorge"/>
    <x v="148"/>
    <d v="1899-12-30T15:30:00"/>
    <s v="-"/>
    <d v="1899-12-30T16:00:00"/>
    <n v="415"/>
    <n v="0"/>
    <n v="0"/>
    <n v="12"/>
    <n v="0"/>
    <n v="0"/>
    <n v="0"/>
    <n v="656"/>
    <n v="264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4"/>
    <s v="S2S No Premium"/>
    <s v="Pm_Aguirre, Jorge"/>
    <x v="148"/>
    <d v="1899-12-30T18:30:00"/>
    <s v="-"/>
    <d v="1899-12-30T19:00:00"/>
    <n v="629"/>
    <n v="0"/>
    <n v="0"/>
    <n v="8"/>
    <n v="0"/>
    <n v="0"/>
    <n v="0"/>
    <n v="218"/>
    <n v="101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Pm_Aguirre, Jorge"/>
    <x v="148"/>
    <d v="1899-12-30T17:30:00"/>
    <s v="-"/>
    <d v="1899-12-30T18:00:00"/>
    <n v="726"/>
    <n v="0"/>
    <n v="0"/>
    <n v="20"/>
    <n v="0"/>
    <n v="0"/>
    <n v="0"/>
    <n v="217"/>
    <n v="69"/>
    <n v="0"/>
    <n v="0"/>
    <n v="0"/>
    <n v="0"/>
    <n v="0"/>
    <n v="0"/>
    <n v="0"/>
    <n v="0"/>
    <n v="0"/>
    <n v="0"/>
    <n v="5"/>
    <n v="3"/>
    <x v="1"/>
    <x v="94"/>
    <d v="1899-12-30T17:30:00"/>
    <d v="1899-12-30T18:00:00"/>
  </r>
  <r>
    <d v="2024-10-02T00:00:00"/>
    <n v="924"/>
    <s v="S2S No Premium"/>
    <s v="Pm_Aguirre, Jorge"/>
    <x v="148"/>
    <d v="1899-12-30T19:00:00"/>
    <s v="-"/>
    <d v="1899-12-30T19:30:00"/>
    <n v="787"/>
    <n v="0"/>
    <n v="0"/>
    <n v="21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9:00:00"/>
    <d v="1899-12-30T19:30:00"/>
  </r>
  <r>
    <d v="2024-10-02T00:00:00"/>
    <n v="925"/>
    <s v="S2S Premium"/>
    <s v="Pm_Aguirre, Jorge"/>
    <x v="148"/>
    <d v="1899-12-30T17:00:00"/>
    <s v="-"/>
    <d v="1899-12-30T17:30:00"/>
    <n v="858"/>
    <n v="0"/>
    <n v="0"/>
    <n v="20"/>
    <n v="0"/>
    <n v="0"/>
    <n v="0"/>
    <n v="23"/>
    <n v="0"/>
    <n v="0"/>
    <n v="0"/>
    <n v="0"/>
    <n v="0"/>
    <n v="0"/>
    <n v="0"/>
    <n v="0"/>
    <n v="0"/>
    <n v="0"/>
    <n v="0"/>
    <n v="5"/>
    <n v="4"/>
    <x v="1"/>
    <x v="94"/>
    <d v="1899-12-30T17:00:00"/>
    <d v="1899-12-30T17:30:00"/>
  </r>
  <r>
    <d v="2024-10-02T00:00:00"/>
    <n v="925"/>
    <s v="S2S Premium"/>
    <s v="Pm_Aguirre, Jorge"/>
    <x v="148"/>
    <d v="1899-12-30T16:30:00"/>
    <s v="-"/>
    <d v="1899-12-30T17:00:00"/>
    <n v="965"/>
    <n v="0"/>
    <n v="0"/>
    <n v="28"/>
    <n v="0"/>
    <n v="0"/>
    <n v="0"/>
    <n v="167"/>
    <n v="0"/>
    <n v="0"/>
    <n v="0"/>
    <n v="0"/>
    <n v="0"/>
    <n v="0"/>
    <n v="0"/>
    <n v="0"/>
    <n v="0"/>
    <n v="0"/>
    <n v="0"/>
    <n v="6"/>
    <n v="5"/>
    <x v="1"/>
    <x v="94"/>
    <d v="1899-12-30T16:30:00"/>
    <d v="1899-12-30T17:00:00"/>
  </r>
  <r>
    <d v="2024-10-02T00:00:00"/>
    <n v="924"/>
    <s v="S2S No Premium"/>
    <s v="N2m_Fernandez, Pa"/>
    <x v="149"/>
    <d v="1899-12-30T15:30:00"/>
    <s v="-"/>
    <d v="1899-12-30T16:00:00"/>
    <n v="2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N2m_Fernandez, Pa"/>
    <x v="149"/>
    <d v="1899-12-30T15:00:00"/>
    <s v="-"/>
    <d v="1899-12-30T15:30:00"/>
    <n v="65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5"/>
    <s v="S2S Premium"/>
    <s v="PCC_Garcia, Ludmila"/>
    <x v="150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PCC_Garcia, Ludmila"/>
    <x v="150"/>
    <d v="1899-12-30T14:00:00"/>
    <s v="-"/>
    <d v="1899-12-30T14:30:00"/>
    <n v="431"/>
    <n v="0"/>
    <n v="0"/>
    <n v="4"/>
    <n v="0"/>
    <n v="0"/>
    <n v="0"/>
    <n v="37"/>
    <n v="192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PCC_Garcia, Ludmila"/>
    <x v="150"/>
    <d v="1899-12-30T15:00:00"/>
    <s v="-"/>
    <d v="1899-12-30T15:30:00"/>
    <n v="455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5:00:00"/>
    <d v="1899-12-30T15:30:00"/>
  </r>
  <r>
    <d v="2024-10-02T00:00:00"/>
    <n v="925"/>
    <s v="S2S Premium"/>
    <s v="PCC_Garcia, Ludmila"/>
    <x v="150"/>
    <d v="1899-12-30T14:30:00"/>
    <s v="-"/>
    <d v="1899-12-30T15:00:00"/>
    <n v="503"/>
    <n v="0"/>
    <n v="0"/>
    <n v="11"/>
    <n v="0"/>
    <n v="0"/>
    <n v="0"/>
    <n v="252"/>
    <n v="1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PCC_Garcia, Ludmila"/>
    <x v="150"/>
    <d v="1899-12-30T15:30:00"/>
    <s v="-"/>
    <d v="1899-12-30T16:00:00"/>
    <n v="807"/>
    <n v="0"/>
    <n v="0"/>
    <n v="11"/>
    <n v="0"/>
    <n v="0"/>
    <n v="0"/>
    <n v="129"/>
    <n v="104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4"/>
    <s v="S2S No Premium"/>
    <s v="*N2m_Ramirez Daiana"/>
    <x v="151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*N2m_Ramirez Daiana"/>
    <x v="151"/>
    <d v="1899-12-30T14:00:00"/>
    <s v="-"/>
    <d v="1899-12-30T14:30:00"/>
    <n v="11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*N2m_Ramirez Daiana"/>
    <x v="151"/>
    <d v="1899-12-30T15:00:00"/>
    <s v="-"/>
    <d v="1899-12-30T15:30:00"/>
    <n v="221"/>
    <n v="228"/>
    <n v="0"/>
    <n v="8"/>
    <n v="0"/>
    <n v="0"/>
    <n v="0"/>
    <n v="2"/>
    <n v="1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Ramirez Daiana"/>
    <x v="151"/>
    <d v="1899-12-30T18:30:00"/>
    <s v="-"/>
    <d v="1899-12-30T19:00:00"/>
    <n v="227"/>
    <n v="244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*N2m_Ramirez Daiana"/>
    <x v="151"/>
    <d v="1899-12-30T16:30:00"/>
    <s v="-"/>
    <d v="1899-12-30T17:00:00"/>
    <n v="467"/>
    <n v="623"/>
    <n v="0"/>
    <n v="15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6:30:00"/>
    <d v="1899-12-30T17:00:00"/>
  </r>
  <r>
    <d v="2024-10-02T00:00:00"/>
    <n v="924"/>
    <s v="S2S No Premium"/>
    <s v="*N2m_Ramirez Daiana"/>
    <x v="151"/>
    <d v="1899-12-30T16:00:00"/>
    <s v="-"/>
    <d v="1899-12-30T16:30:00"/>
    <n v="60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6:00:00"/>
    <d v="1899-12-30T16:30:00"/>
  </r>
  <r>
    <d v="2024-10-02T00:00:00"/>
    <n v="924"/>
    <s v="S2S No Premium"/>
    <s v="*N2m_Ramirez Daiana"/>
    <x v="151"/>
    <d v="1899-12-30T17:30:00"/>
    <s v="-"/>
    <d v="1899-12-30T18:00:00"/>
    <n v="715"/>
    <n v="288"/>
    <n v="0"/>
    <n v="20"/>
    <n v="0"/>
    <n v="0"/>
    <n v="0"/>
    <n v="74"/>
    <n v="0"/>
    <n v="0"/>
    <n v="0"/>
    <n v="0"/>
    <n v="0"/>
    <n v="0"/>
    <n v="0"/>
    <n v="0"/>
    <n v="0"/>
    <n v="0"/>
    <n v="0"/>
    <n v="6"/>
    <n v="5"/>
    <x v="0"/>
    <x v="94"/>
    <d v="1899-12-30T17:30:00"/>
    <d v="1899-12-30T18:00:00"/>
  </r>
  <r>
    <d v="2024-10-02T00:00:00"/>
    <n v="924"/>
    <s v="S2S No Premium"/>
    <s v="*N2m_Ramirez Daiana"/>
    <x v="151"/>
    <d v="1899-12-30T17:00:00"/>
    <s v="-"/>
    <d v="1899-12-30T17:30:00"/>
    <n v="731"/>
    <n v="332"/>
    <n v="0"/>
    <n v="28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*N2m_Ramirez Daiana"/>
    <x v="151"/>
    <d v="1899-12-30T15:30:00"/>
    <s v="-"/>
    <d v="1899-12-30T16:00:00"/>
    <n v="812"/>
    <n v="417"/>
    <n v="0"/>
    <n v="16"/>
    <n v="0"/>
    <n v="0"/>
    <n v="0"/>
    <n v="67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*N2m_Ramirez Daiana"/>
    <x v="151"/>
    <d v="1899-12-30T18:00:00"/>
    <s v="-"/>
    <d v="1899-12-30T18:30:00"/>
    <n v="1062"/>
    <n v="255"/>
    <n v="0"/>
    <n v="20"/>
    <n v="0"/>
    <n v="0"/>
    <n v="0"/>
    <n v="117"/>
    <n v="0"/>
    <n v="0"/>
    <n v="0"/>
    <n v="0"/>
    <n v="0"/>
    <n v="0"/>
    <n v="0"/>
    <n v="0"/>
    <n v="0"/>
    <n v="0"/>
    <n v="0"/>
    <n v="5"/>
    <n v="4"/>
    <x v="0"/>
    <x v="94"/>
    <d v="1899-12-30T18:00:00"/>
    <d v="1899-12-30T18:30:00"/>
  </r>
  <r>
    <d v="2024-10-02T00:00:00"/>
    <n v="924"/>
    <s v="S2S No Premium"/>
    <s v="N2mLedesma ,He"/>
    <x v="152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N2mLedesma ,He"/>
    <x v="152"/>
    <d v="1899-12-30T15:00:00"/>
    <s v="-"/>
    <d v="1899-12-30T15:30:00"/>
    <n v="19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Katona, Sabrina"/>
    <x v="153"/>
    <d v="1899-12-30T14:00:00"/>
    <s v="-"/>
    <d v="1899-12-30T14:30:00"/>
    <n v="287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*N2m_Katona, Sabrina"/>
    <x v="153"/>
    <d v="1899-12-30T15:00:00"/>
    <s v="-"/>
    <d v="1899-12-30T15:30:00"/>
    <n v="304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Katona, Sabrina"/>
    <x v="153"/>
    <d v="1899-12-30T14:30:00"/>
    <s v="-"/>
    <d v="1899-12-30T15:00:00"/>
    <n v="525"/>
    <n v="0"/>
    <n v="0"/>
    <n v="12"/>
    <n v="0"/>
    <n v="0"/>
    <n v="0"/>
    <n v="410"/>
    <n v="11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XPm_Maidana, Mila"/>
    <x v="154"/>
    <d v="1899-12-30T15:30:00"/>
    <s v="-"/>
    <d v="1899-12-30T16:00:00"/>
    <n v="21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XPm_Maidana, Mila"/>
    <x v="154"/>
    <d v="1899-12-30T14:30:00"/>
    <s v="-"/>
    <d v="1899-12-30T15:00:00"/>
    <n v="72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XPm_Maidana, Mila"/>
    <x v="154"/>
    <d v="1899-12-30T14:00:00"/>
    <s v="-"/>
    <d v="1899-12-30T14:30:00"/>
    <n v="952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XPm_Maidana, Mila"/>
    <x v="154"/>
    <d v="1899-12-30T15:00:00"/>
    <s v="-"/>
    <d v="1899-12-30T15:30:00"/>
    <n v="128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5"/>
    <s v="S2S Premium"/>
    <s v="*Pm_Gutierrez, Laura"/>
    <x v="15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Gutierrez, Laura"/>
    <x v="155"/>
    <d v="1899-12-30T14:30:00"/>
    <s v="-"/>
    <d v="1899-12-30T15:00:00"/>
    <n v="473"/>
    <n v="0"/>
    <n v="0"/>
    <n v="12"/>
    <n v="0"/>
    <n v="0"/>
    <n v="0"/>
    <n v="235"/>
    <n v="104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*Pm_Gutierrez, Laura"/>
    <x v="155"/>
    <d v="1899-12-30T14:00:00"/>
    <s v="-"/>
    <d v="1899-12-30T14:30:00"/>
    <n v="780"/>
    <n v="0"/>
    <n v="0"/>
    <n v="16"/>
    <n v="0"/>
    <n v="0"/>
    <n v="0"/>
    <n v="48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m_Noguera Maria"/>
    <x v="156"/>
    <d v="1899-12-30T16:00:00"/>
    <s v="-"/>
    <d v="1899-12-30T16:30:00"/>
    <n v="134"/>
    <n v="0"/>
    <n v="0"/>
    <n v="0"/>
    <n v="0"/>
    <n v="0"/>
    <n v="0"/>
    <n v="383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N2m_Noguera Maria"/>
    <x v="156"/>
    <d v="1899-12-30T14:30:00"/>
    <s v="-"/>
    <d v="1899-12-30T15:00:00"/>
    <n v="63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2m_Noguera Maria"/>
    <x v="156"/>
    <d v="1899-12-30T15:00:00"/>
    <s v="-"/>
    <d v="1899-12-30T15:30:00"/>
    <n v="643"/>
    <n v="0"/>
    <n v="0"/>
    <n v="7"/>
    <n v="0"/>
    <n v="0"/>
    <n v="0"/>
    <n v="498"/>
    <n v="496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2m_Noguera Maria"/>
    <x v="156"/>
    <d v="1899-12-30T14:00:00"/>
    <s v="-"/>
    <d v="1899-12-30T14:30:00"/>
    <n v="94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*N2m_Noguera Maria"/>
    <x v="156"/>
    <d v="1899-12-30T15:30:00"/>
    <s v="-"/>
    <d v="1899-12-30T16:00:00"/>
    <n v="1095"/>
    <n v="0"/>
    <n v="0"/>
    <n v="7"/>
    <n v="0"/>
    <n v="0"/>
    <n v="0"/>
    <n v="2"/>
    <n v="38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WN2m_Leguizamon,R"/>
    <x v="157"/>
    <d v="1899-12-30T19:30:00"/>
    <s v="-"/>
    <d v="1899-12-30T20:00:00"/>
    <n v="10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*WN2m_Leguizamon,R"/>
    <x v="157"/>
    <d v="1899-12-30T19:00:00"/>
    <s v="-"/>
    <d v="1899-12-30T19:30:00"/>
    <n v="393"/>
    <n v="0"/>
    <n v="0"/>
    <n v="12"/>
    <n v="0"/>
    <n v="0"/>
    <n v="0"/>
    <n v="111"/>
    <n v="104"/>
    <n v="0"/>
    <n v="0"/>
    <n v="0"/>
    <n v="0"/>
    <n v="0"/>
    <n v="0"/>
    <n v="0"/>
    <n v="0"/>
    <n v="0"/>
    <n v="0"/>
    <n v="3"/>
    <n v="3"/>
    <x v="0"/>
    <x v="94"/>
    <d v="1899-12-30T19:00:00"/>
    <d v="1899-12-30T19:30:00"/>
  </r>
  <r>
    <d v="2024-10-02T00:00:00"/>
    <n v="924"/>
    <s v="S2S No Premium"/>
    <s v="*WN2m_Leguizamon,R"/>
    <x v="157"/>
    <d v="1899-12-30T17:30:00"/>
    <s v="-"/>
    <d v="1899-12-30T18:00:00"/>
    <n v="696"/>
    <n v="0"/>
    <n v="0"/>
    <n v="0"/>
    <n v="0"/>
    <n v="0"/>
    <n v="0"/>
    <n v="184"/>
    <n v="67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*WN2m_Leguizamon,R"/>
    <x v="157"/>
    <d v="1899-12-30T14:00:00"/>
    <s v="-"/>
    <d v="1899-12-30T14:30:00"/>
    <n v="85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*WN2m_Leguizamon,R"/>
    <x v="157"/>
    <d v="1899-12-30T18:30:00"/>
    <s v="-"/>
    <d v="1899-12-30T19:00:00"/>
    <n v="890"/>
    <n v="0"/>
    <n v="0"/>
    <n v="12"/>
    <n v="0"/>
    <n v="0"/>
    <n v="0"/>
    <n v="49"/>
    <n v="0"/>
    <n v="0"/>
    <n v="0"/>
    <n v="0"/>
    <n v="0"/>
    <n v="0"/>
    <n v="0"/>
    <n v="0"/>
    <n v="0"/>
    <n v="0"/>
    <n v="0"/>
    <n v="4"/>
    <n v="2"/>
    <x v="0"/>
    <x v="94"/>
    <d v="1899-12-30T18:30:00"/>
    <d v="1899-12-30T19:00:00"/>
  </r>
  <r>
    <d v="2024-10-02T00:00:00"/>
    <n v="924"/>
    <s v="S2S No Premium"/>
    <s v="*WN2m_Leguizamon,R"/>
    <x v="157"/>
    <d v="1899-12-30T15:00:00"/>
    <s v="-"/>
    <d v="1899-12-30T15:30:00"/>
    <n v="89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WN2m_Leguizamon,R"/>
    <x v="157"/>
    <d v="1899-12-30T14:30:00"/>
    <s v="-"/>
    <d v="1899-12-30T15:00:00"/>
    <n v="90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*WN2m_Leguizamon,R"/>
    <x v="157"/>
    <d v="1899-12-30T18:00:00"/>
    <s v="-"/>
    <d v="1899-12-30T18:30:00"/>
    <n v="104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00:00"/>
    <d v="1899-12-30T18:30:00"/>
  </r>
  <r>
    <d v="2024-10-02T00:00:00"/>
    <n v="924"/>
    <s v="S2S No Premium"/>
    <s v="*WN2m_Leguizamon,R"/>
    <x v="157"/>
    <d v="1899-12-30T16:30:00"/>
    <s v="-"/>
    <d v="1899-12-30T17:00:00"/>
    <n v="1127"/>
    <n v="0"/>
    <n v="0"/>
    <n v="16"/>
    <n v="0"/>
    <n v="0"/>
    <n v="0"/>
    <n v="236"/>
    <n v="51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*WN2m_Leguizamon,R"/>
    <x v="157"/>
    <d v="1899-12-30T15:30:00"/>
    <s v="-"/>
    <d v="1899-12-30T16:00:00"/>
    <n v="1172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*WN2m_Leguizamon,R"/>
    <x v="157"/>
    <d v="1899-12-30T16:00:00"/>
    <s v="-"/>
    <d v="1899-12-30T16:30:00"/>
    <n v="128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6:00:00"/>
    <d v="1899-12-30T16:30:00"/>
  </r>
  <r>
    <d v="2024-10-02T00:00:00"/>
    <n v="924"/>
    <s v="S2S No Premium"/>
    <s v="*WN2m_Leguizamon,R"/>
    <x v="157"/>
    <d v="1899-12-30T17:00:00"/>
    <s v="-"/>
    <d v="1899-12-30T17:30:00"/>
    <n v="1307"/>
    <n v="0"/>
    <n v="0"/>
    <n v="12"/>
    <n v="0"/>
    <n v="0"/>
    <n v="0"/>
    <n v="98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5"/>
    <s v="S2S Premium"/>
    <s v="XPm_Quiroz Aylen"/>
    <x v="158"/>
    <d v="1899-12-30T19:30:00"/>
    <s v="-"/>
    <d v="1899-12-30T20:00:00"/>
    <n v="174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XPm_Quiroz Aylen"/>
    <x v="158"/>
    <d v="1899-12-30T15:00:00"/>
    <s v="-"/>
    <d v="1899-12-30T15:30:00"/>
    <n v="223"/>
    <n v="0"/>
    <n v="0"/>
    <n v="7"/>
    <n v="0"/>
    <n v="0"/>
    <n v="0"/>
    <n v="47"/>
    <n v="92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Pm_Quiroz Aylen"/>
    <x v="158"/>
    <d v="1899-12-30T17:30:00"/>
    <s v="-"/>
    <d v="1899-12-30T18:00:00"/>
    <n v="31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XPm_Quiroz Aylen"/>
    <x v="158"/>
    <d v="1899-12-30T18:30:00"/>
    <s v="-"/>
    <d v="1899-12-30T19:00:00"/>
    <n v="392"/>
    <n v="0"/>
    <n v="0"/>
    <n v="12"/>
    <n v="0"/>
    <n v="0"/>
    <n v="0"/>
    <n v="356"/>
    <n v="61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Pm_Quiroz Aylen"/>
    <x v="158"/>
    <d v="1899-12-30T17:00:00"/>
    <s v="-"/>
    <d v="1899-12-30T17:30:00"/>
    <n v="483"/>
    <n v="0"/>
    <n v="0"/>
    <n v="8"/>
    <n v="0"/>
    <n v="0"/>
    <n v="0"/>
    <n v="134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XPm_Quiroz Aylen"/>
    <x v="158"/>
    <d v="1899-12-30T15:30:00"/>
    <s v="-"/>
    <d v="1899-12-30T16:00:00"/>
    <n v="551"/>
    <n v="0"/>
    <n v="0"/>
    <n v="8"/>
    <n v="0"/>
    <n v="0"/>
    <n v="0"/>
    <n v="451"/>
    <n v="345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m_Quiroz Aylen"/>
    <x v="158"/>
    <d v="1899-12-30T16:30:00"/>
    <s v="-"/>
    <d v="1899-12-30T17:00:00"/>
    <n v="1030"/>
    <n v="0"/>
    <n v="0"/>
    <n v="16"/>
    <n v="0"/>
    <n v="0"/>
    <n v="0"/>
    <n v="127"/>
    <n v="0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5"/>
    <s v="S2S Premium"/>
    <s v="XPm_Quiroz Aylen"/>
    <x v="158"/>
    <d v="1899-12-30T19:00:00"/>
    <s v="-"/>
    <d v="1899-12-30T19:30:00"/>
    <n v="1085"/>
    <n v="0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5"/>
    <s v="S2S Premium"/>
    <s v="XPm_Quiroz Aylen"/>
    <x v="158"/>
    <d v="1899-12-30T18:00:00"/>
    <s v="-"/>
    <d v="1899-12-30T18:30:00"/>
    <n v="1278"/>
    <n v="0"/>
    <n v="0"/>
    <n v="8"/>
    <n v="0"/>
    <n v="0"/>
    <n v="0"/>
    <n v="3"/>
    <n v="1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Pm_Quiroz Aylen"/>
    <x v="158"/>
    <d v="1899-12-30T16:00:00"/>
    <s v="-"/>
    <d v="1899-12-30T16:30:00"/>
    <n v="1445"/>
    <n v="0"/>
    <n v="0"/>
    <n v="8"/>
    <n v="0"/>
    <n v="0"/>
    <n v="0"/>
    <n v="175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*PWm_SanchezAnt"/>
    <x v="15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Wm_SanchezAnt"/>
    <x v="159"/>
    <d v="1899-12-30T14:00:00"/>
    <s v="-"/>
    <d v="1899-12-30T14:30:00"/>
    <n v="365"/>
    <n v="43"/>
    <n v="0"/>
    <n v="4"/>
    <n v="0"/>
    <n v="0"/>
    <n v="0"/>
    <n v="125"/>
    <n v="9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*PWm_SanchezAnt"/>
    <x v="159"/>
    <d v="1899-12-30T14:30:00"/>
    <s v="-"/>
    <d v="1899-12-30T15:00:00"/>
    <n v="916"/>
    <n v="131"/>
    <n v="0"/>
    <n v="11"/>
    <n v="0"/>
    <n v="0"/>
    <n v="0"/>
    <n v="71"/>
    <n v="2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XPm_Longhi, Agust"/>
    <x v="16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4:30:00"/>
    <d v="1899-12-30T15:00:00"/>
  </r>
  <r>
    <d v="2024-10-02T00:00:00"/>
    <n v="924"/>
    <s v="S2S No Premium"/>
    <s v="XPm_Longhi, Agust"/>
    <x v="160"/>
    <d v="1899-12-30T18:00:00"/>
    <s v="-"/>
    <d v="1899-12-30T18:30:00"/>
    <n v="17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5"/>
    <s v="S2S Premium"/>
    <s v="XPm_Longhi, Agust"/>
    <x v="160"/>
    <d v="1899-12-30T15:00:00"/>
    <s v="-"/>
    <d v="1899-12-30T15:30:00"/>
    <n v="216"/>
    <n v="0"/>
    <n v="0"/>
    <n v="4"/>
    <n v="0"/>
    <n v="0"/>
    <n v="0"/>
    <n v="799"/>
    <n v="854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m_Longhi, Agust"/>
    <x v="160"/>
    <d v="1899-12-30T18:00:00"/>
    <s v="-"/>
    <d v="1899-12-30T18:30:00"/>
    <n v="25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XPm_Longhi, Agust"/>
    <x v="160"/>
    <d v="1899-12-30T17:00:00"/>
    <s v="-"/>
    <d v="1899-12-30T17:30:00"/>
    <n v="371"/>
    <n v="0"/>
    <n v="0"/>
    <n v="8"/>
    <n v="0"/>
    <n v="0"/>
    <n v="0"/>
    <n v="447"/>
    <n v="389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Pm_Longhi, Agust"/>
    <x v="160"/>
    <d v="1899-12-30T15:30:00"/>
    <s v="-"/>
    <d v="1899-12-30T16:00:00"/>
    <n v="514"/>
    <n v="0"/>
    <n v="0"/>
    <n v="8"/>
    <n v="0"/>
    <n v="0"/>
    <n v="0"/>
    <n v="425"/>
    <n v="396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m_Longhi, Agust"/>
    <x v="160"/>
    <d v="1899-12-30T17:30:00"/>
    <s v="-"/>
    <d v="1899-12-30T18:00:00"/>
    <n v="614"/>
    <n v="0"/>
    <n v="0"/>
    <n v="4"/>
    <n v="0"/>
    <n v="0"/>
    <n v="0"/>
    <n v="102"/>
    <n v="0"/>
    <n v="0"/>
    <n v="0"/>
    <n v="0"/>
    <n v="0"/>
    <n v="0"/>
    <n v="0"/>
    <n v="0"/>
    <n v="0"/>
    <n v="0"/>
    <n v="0"/>
    <n v="1"/>
    <n v="1"/>
    <x v="1"/>
    <x v="94"/>
    <d v="1899-12-30T17:30:00"/>
    <d v="1899-12-30T18:00:00"/>
  </r>
  <r>
    <d v="2024-10-02T00:00:00"/>
    <n v="924"/>
    <s v="S2S No Premium"/>
    <s v="XPm_Longhi, Agust"/>
    <x v="160"/>
    <d v="1899-12-30T19:00:00"/>
    <s v="-"/>
    <d v="1899-12-30T19:30:00"/>
    <n v="634"/>
    <n v="0"/>
    <n v="0"/>
    <n v="8"/>
    <n v="0"/>
    <n v="0"/>
    <n v="0"/>
    <n v="748"/>
    <n v="379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XPm_Longhi, Agust"/>
    <x v="160"/>
    <d v="1899-12-30T18:30:00"/>
    <s v="-"/>
    <d v="1899-12-30T19:00:00"/>
    <n v="805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8:30:00"/>
    <d v="1899-12-30T19:00:00"/>
  </r>
  <r>
    <d v="2024-10-02T00:00:00"/>
    <n v="925"/>
    <s v="S2S Premium"/>
    <s v="XPm_Longhi, Agust"/>
    <x v="160"/>
    <d v="1899-12-30T16:00:00"/>
    <s v="-"/>
    <d v="1899-12-30T16:30:00"/>
    <n v="987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XPm_Longhi, Agust"/>
    <x v="160"/>
    <d v="1899-12-30T16:30:00"/>
    <s v="-"/>
    <d v="1899-12-30T17:00:00"/>
    <n v="107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94"/>
    <d v="1899-12-30T16:30:00"/>
    <d v="1899-12-30T17:00:00"/>
  </r>
  <r>
    <d v="2024-10-02T00:00:00"/>
    <n v="924"/>
    <s v="S2S No Premium"/>
    <s v="XPm_Longhi, Agust"/>
    <x v="160"/>
    <d v="1899-12-30T19:30:00"/>
    <s v="-"/>
    <d v="1899-12-30T20:00:00"/>
    <n v="11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2CCm_Chazarreta Ma"/>
    <x v="161"/>
    <d v="1899-12-30T15:00:00"/>
    <s v="-"/>
    <d v="1899-12-30T15:30:00"/>
    <n v="203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N2CCm_Chazarreta Ma"/>
    <x v="161"/>
    <d v="1899-12-30T19:30:00"/>
    <s v="-"/>
    <d v="1899-12-30T20:00:00"/>
    <n v="331"/>
    <n v="0"/>
    <n v="0"/>
    <n v="12"/>
    <n v="0"/>
    <n v="0"/>
    <n v="0"/>
    <n v="53"/>
    <n v="0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4"/>
    <s v="S2S No Premium"/>
    <s v="N2CCm_Chazarreta Ma"/>
    <x v="161"/>
    <d v="1899-12-30T18:00:00"/>
    <s v="-"/>
    <d v="1899-12-30T18:30:00"/>
    <n v="630"/>
    <n v="0"/>
    <n v="0"/>
    <n v="16"/>
    <n v="0"/>
    <n v="0"/>
    <n v="0"/>
    <n v="57"/>
    <n v="0"/>
    <n v="0"/>
    <n v="0"/>
    <n v="0"/>
    <n v="0"/>
    <n v="0"/>
    <n v="0"/>
    <n v="0"/>
    <n v="0"/>
    <n v="0"/>
    <n v="0"/>
    <n v="4"/>
    <n v="4"/>
    <x v="0"/>
    <x v="94"/>
    <d v="1899-12-30T18:00:00"/>
    <d v="1899-12-30T18:30:00"/>
  </r>
  <r>
    <d v="2024-10-02T00:00:00"/>
    <n v="924"/>
    <s v="S2S No Premium"/>
    <s v="N2CCm_Chazarreta Ma"/>
    <x v="161"/>
    <d v="1899-12-30T16:00:00"/>
    <s v="-"/>
    <d v="1899-12-30T16:30:00"/>
    <n v="706"/>
    <n v="0"/>
    <n v="0"/>
    <n v="22"/>
    <n v="0"/>
    <n v="0"/>
    <n v="0"/>
    <n v="349"/>
    <n v="516"/>
    <n v="0"/>
    <n v="0"/>
    <n v="0"/>
    <n v="0"/>
    <n v="0"/>
    <n v="0"/>
    <n v="0"/>
    <n v="0"/>
    <n v="0"/>
    <n v="0"/>
    <n v="5"/>
    <n v="4"/>
    <x v="0"/>
    <x v="94"/>
    <d v="1899-12-30T16:00:00"/>
    <d v="1899-12-30T16:30:00"/>
  </r>
  <r>
    <d v="2024-10-02T00:00:00"/>
    <n v="924"/>
    <s v="S2S No Premium"/>
    <s v="N2CCm_Chazarreta Ma"/>
    <x v="161"/>
    <d v="1899-12-30T15:30:00"/>
    <s v="-"/>
    <d v="1899-12-30T16:00:00"/>
    <n v="733"/>
    <n v="0"/>
    <n v="0"/>
    <n v="16"/>
    <n v="0"/>
    <n v="0"/>
    <n v="0"/>
    <n v="243"/>
    <n v="0"/>
    <n v="0"/>
    <n v="0"/>
    <n v="0"/>
    <n v="0"/>
    <n v="0"/>
    <n v="0"/>
    <n v="0"/>
    <n v="0"/>
    <n v="0"/>
    <n v="0"/>
    <n v="5"/>
    <n v="4"/>
    <x v="0"/>
    <x v="94"/>
    <d v="1899-12-30T15:30:00"/>
    <d v="1899-12-30T16:00:00"/>
  </r>
  <r>
    <d v="2024-10-02T00:00:00"/>
    <n v="924"/>
    <s v="S2S No Premium"/>
    <s v="N2CCm_Chazarreta Ma"/>
    <x v="161"/>
    <d v="1899-12-30T19:00:00"/>
    <s v="-"/>
    <d v="1899-12-30T19:30:00"/>
    <n v="935"/>
    <n v="0"/>
    <n v="0"/>
    <n v="16"/>
    <n v="0"/>
    <n v="0"/>
    <n v="0"/>
    <n v="108"/>
    <n v="0"/>
    <n v="0"/>
    <n v="0"/>
    <n v="0"/>
    <n v="0"/>
    <n v="0"/>
    <n v="0"/>
    <n v="0"/>
    <n v="0"/>
    <n v="0"/>
    <n v="0"/>
    <n v="5"/>
    <n v="5"/>
    <x v="0"/>
    <x v="94"/>
    <d v="1899-12-30T19:00:00"/>
    <d v="1899-12-30T19:30:00"/>
  </r>
  <r>
    <d v="2024-10-02T00:00:00"/>
    <n v="924"/>
    <s v="S2S No Premium"/>
    <s v="N2CCm_Chazarreta Ma"/>
    <x v="161"/>
    <d v="1899-12-30T17:00:00"/>
    <s v="-"/>
    <d v="1899-12-30T17:30:00"/>
    <n v="978"/>
    <n v="0"/>
    <n v="0"/>
    <n v="24"/>
    <n v="0"/>
    <n v="0"/>
    <n v="0"/>
    <n v="143"/>
    <n v="0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N2CCm_Chazarreta Ma"/>
    <x v="161"/>
    <d v="1899-12-30T17:30:00"/>
    <s v="-"/>
    <d v="1899-12-30T18:00:00"/>
    <n v="1001"/>
    <n v="0"/>
    <n v="0"/>
    <n v="24"/>
    <n v="0"/>
    <n v="0"/>
    <n v="0"/>
    <n v="265"/>
    <n v="0"/>
    <n v="0"/>
    <n v="0"/>
    <n v="0"/>
    <n v="0"/>
    <n v="0"/>
    <n v="0"/>
    <n v="0"/>
    <n v="0"/>
    <n v="0"/>
    <n v="0"/>
    <n v="6"/>
    <n v="5"/>
    <x v="0"/>
    <x v="94"/>
    <d v="1899-12-30T17:30:00"/>
    <d v="1899-12-30T18:00:00"/>
  </r>
  <r>
    <d v="2024-10-02T00:00:00"/>
    <n v="924"/>
    <s v="S2S No Premium"/>
    <s v="N2CCm_Chazarreta Ma"/>
    <x v="161"/>
    <d v="1899-12-30T16:30:00"/>
    <s v="-"/>
    <d v="1899-12-30T17:00:00"/>
    <n v="1222"/>
    <n v="0"/>
    <n v="0"/>
    <n v="16"/>
    <n v="0"/>
    <n v="0"/>
    <n v="0"/>
    <n v="433"/>
    <n v="104"/>
    <n v="0"/>
    <n v="0"/>
    <n v="0"/>
    <n v="0"/>
    <n v="0"/>
    <n v="0"/>
    <n v="0"/>
    <n v="0"/>
    <n v="0"/>
    <n v="0"/>
    <n v="5"/>
    <n v="4"/>
    <x v="0"/>
    <x v="94"/>
    <d v="1899-12-30T16:30:00"/>
    <d v="1899-12-30T17:00:00"/>
  </r>
  <r>
    <d v="2024-10-02T00:00:00"/>
    <n v="924"/>
    <s v="S2S No Premium"/>
    <s v="N2CCm_Chazarreta Ma"/>
    <x v="161"/>
    <d v="1899-12-30T18:30:00"/>
    <s v="-"/>
    <d v="1899-12-30T19:00:00"/>
    <n v="156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m_Maggio, Kevin"/>
    <x v="162"/>
    <d v="1899-12-30T18:30:00"/>
    <s v="-"/>
    <d v="1899-12-30T19:00:00"/>
    <n v="378"/>
    <n v="0"/>
    <n v="0"/>
    <n v="11"/>
    <n v="0"/>
    <n v="0"/>
    <n v="0"/>
    <n v="10"/>
    <n v="6"/>
    <n v="0"/>
    <n v="0"/>
    <n v="0"/>
    <n v="0"/>
    <n v="0"/>
    <n v="0"/>
    <n v="0"/>
    <n v="0"/>
    <n v="0"/>
    <n v="0"/>
    <n v="2"/>
    <n v="0"/>
    <x v="0"/>
    <x v="94"/>
    <d v="1899-12-30T18:30:00"/>
    <d v="1899-12-30T19:00:00"/>
  </r>
  <r>
    <d v="2024-10-02T00:00:00"/>
    <n v="924"/>
    <s v="S2S No Premium"/>
    <s v="N2m_Maggio, Kevin"/>
    <x v="162"/>
    <d v="1899-12-30T15:30:00"/>
    <s v="-"/>
    <d v="1899-12-30T16:00:00"/>
    <n v="605"/>
    <n v="0"/>
    <n v="0"/>
    <n v="12"/>
    <n v="0"/>
    <n v="0"/>
    <n v="0"/>
    <n v="32"/>
    <n v="10"/>
    <n v="0"/>
    <n v="0"/>
    <n v="0"/>
    <n v="0"/>
    <n v="0"/>
    <n v="0"/>
    <n v="0"/>
    <n v="0"/>
    <n v="0"/>
    <n v="0"/>
    <n v="2"/>
    <n v="0"/>
    <x v="0"/>
    <x v="94"/>
    <d v="1899-12-30T15:30:00"/>
    <d v="1899-12-30T16:00:00"/>
  </r>
  <r>
    <d v="2024-10-02T00:00:00"/>
    <n v="924"/>
    <s v="S2S No Premium"/>
    <s v="N2m_Maggio, Kevin"/>
    <x v="162"/>
    <d v="1899-12-30T16:00:00"/>
    <s v="-"/>
    <d v="1899-12-30T16:30:00"/>
    <n v="932"/>
    <n v="0"/>
    <n v="0"/>
    <n v="12"/>
    <n v="0"/>
    <n v="0"/>
    <n v="0"/>
    <n v="403"/>
    <n v="391"/>
    <n v="0"/>
    <n v="0"/>
    <n v="0"/>
    <n v="0"/>
    <n v="0"/>
    <n v="0"/>
    <n v="0"/>
    <n v="0"/>
    <n v="0"/>
    <n v="0"/>
    <n v="4"/>
    <n v="0"/>
    <x v="0"/>
    <x v="94"/>
    <d v="1899-12-30T16:00:00"/>
    <d v="1899-12-30T16:30:00"/>
  </r>
  <r>
    <d v="2024-10-02T00:00:00"/>
    <n v="924"/>
    <s v="S2S No Premium"/>
    <s v="N2m_Maggio, Kevin"/>
    <x v="162"/>
    <d v="1899-12-30T19:30:00"/>
    <s v="-"/>
    <d v="1899-12-30T20:00:00"/>
    <n v="944"/>
    <n v="0"/>
    <n v="0"/>
    <n v="8"/>
    <n v="0"/>
    <n v="0"/>
    <n v="0"/>
    <n v="13"/>
    <n v="4"/>
    <n v="0"/>
    <n v="0"/>
    <n v="0"/>
    <n v="0"/>
    <n v="0"/>
    <n v="0"/>
    <n v="0"/>
    <n v="0"/>
    <n v="0"/>
    <n v="0"/>
    <n v="3"/>
    <n v="0"/>
    <x v="0"/>
    <x v="94"/>
    <d v="1899-12-30T19:30:00"/>
    <d v="1899-12-30T20:00:00"/>
  </r>
  <r>
    <d v="2024-10-02T00:00:00"/>
    <n v="924"/>
    <s v="S2S No Premium"/>
    <s v="N2m_Maggio, Kevin"/>
    <x v="162"/>
    <d v="1899-12-30T19:00:00"/>
    <s v="-"/>
    <d v="1899-12-30T19:30:00"/>
    <n v="949"/>
    <n v="0"/>
    <n v="0"/>
    <n v="12"/>
    <n v="0"/>
    <n v="0"/>
    <n v="0"/>
    <n v="177"/>
    <n v="5"/>
    <n v="0"/>
    <n v="0"/>
    <n v="0"/>
    <n v="0"/>
    <n v="0"/>
    <n v="0"/>
    <n v="0"/>
    <n v="0"/>
    <n v="0"/>
    <n v="0"/>
    <n v="3"/>
    <n v="0"/>
    <x v="0"/>
    <x v="94"/>
    <d v="1899-12-30T19:00:00"/>
    <d v="1899-12-30T19:30:00"/>
  </r>
  <r>
    <d v="2024-10-02T00:00:00"/>
    <n v="924"/>
    <s v="S2S No Premium"/>
    <s v="N2m_Maggio, Kevin"/>
    <x v="162"/>
    <d v="1899-12-30T18:00:00"/>
    <s v="-"/>
    <d v="1899-12-30T18:30:00"/>
    <n v="957"/>
    <n v="0"/>
    <n v="0"/>
    <n v="16"/>
    <n v="0"/>
    <n v="0"/>
    <n v="0"/>
    <n v="425"/>
    <n v="7"/>
    <n v="0"/>
    <n v="0"/>
    <n v="0"/>
    <n v="0"/>
    <n v="0"/>
    <n v="0"/>
    <n v="0"/>
    <n v="0"/>
    <n v="0"/>
    <n v="0"/>
    <n v="5"/>
    <n v="0"/>
    <x v="0"/>
    <x v="94"/>
    <d v="1899-12-30T18:00:00"/>
    <d v="1899-12-30T18:30:00"/>
  </r>
  <r>
    <d v="2024-10-02T00:00:00"/>
    <n v="924"/>
    <s v="S2S No Premium"/>
    <s v="N2m_Maggio, Kevin"/>
    <x v="162"/>
    <d v="1899-12-30T16:30:00"/>
    <s v="-"/>
    <d v="1899-12-30T17:00:00"/>
    <n v="1291"/>
    <n v="0"/>
    <n v="0"/>
    <n v="20"/>
    <n v="0"/>
    <n v="0"/>
    <n v="0"/>
    <n v="35"/>
    <n v="12"/>
    <n v="0"/>
    <n v="0"/>
    <n v="0"/>
    <n v="0"/>
    <n v="0"/>
    <n v="0"/>
    <n v="0"/>
    <n v="0"/>
    <n v="0"/>
    <n v="0"/>
    <n v="4"/>
    <n v="0"/>
    <x v="0"/>
    <x v="94"/>
    <d v="1899-12-30T16:30:00"/>
    <d v="1899-12-30T17:00:00"/>
  </r>
  <r>
    <d v="2024-10-02T00:00:00"/>
    <n v="924"/>
    <s v="S2S No Premium"/>
    <s v="N2m_Maggio, Kevin"/>
    <x v="162"/>
    <d v="1899-12-30T17:30:00"/>
    <s v="-"/>
    <d v="1899-12-30T18:00:00"/>
    <n v="1304"/>
    <n v="0"/>
    <n v="0"/>
    <n v="20"/>
    <n v="0"/>
    <n v="0"/>
    <n v="0"/>
    <n v="162"/>
    <n v="78"/>
    <n v="0"/>
    <n v="0"/>
    <n v="0"/>
    <n v="0"/>
    <n v="0"/>
    <n v="0"/>
    <n v="0"/>
    <n v="0"/>
    <n v="0"/>
    <n v="0"/>
    <n v="5"/>
    <n v="1"/>
    <x v="0"/>
    <x v="94"/>
    <d v="1899-12-30T17:30:00"/>
    <d v="1899-12-30T18:00:00"/>
  </r>
  <r>
    <d v="2024-10-02T00:00:00"/>
    <n v="924"/>
    <s v="S2S No Premium"/>
    <s v="N2m_Maggio, Kevin"/>
    <x v="162"/>
    <d v="1899-12-30T17:00:00"/>
    <s v="-"/>
    <d v="1899-12-30T17:30:00"/>
    <n v="1433"/>
    <n v="0"/>
    <n v="0"/>
    <n v="16"/>
    <n v="0"/>
    <n v="0"/>
    <n v="0"/>
    <n v="25"/>
    <n v="12"/>
    <n v="0"/>
    <n v="0"/>
    <n v="0"/>
    <n v="0"/>
    <n v="0"/>
    <n v="0"/>
    <n v="0"/>
    <n v="0"/>
    <n v="0"/>
    <n v="0"/>
    <n v="4"/>
    <n v="0"/>
    <x v="0"/>
    <x v="94"/>
    <d v="1899-12-30T17:00:00"/>
    <d v="1899-12-30T17:30:00"/>
  </r>
  <r>
    <d v="2024-10-02T00:00:00"/>
    <n v="924"/>
    <s v="S2S No Premium"/>
    <s v="*N2m_Retamozo SofíaM"/>
    <x v="163"/>
    <d v="1899-12-30T15:00:00"/>
    <s v="-"/>
    <d v="1899-12-30T15:30:00"/>
    <n v="484"/>
    <n v="0"/>
    <n v="0"/>
    <n v="0"/>
    <n v="0"/>
    <n v="0"/>
    <n v="0"/>
    <n v="216"/>
    <n v="17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Retamozo SofíaM"/>
    <x v="163"/>
    <d v="1899-12-30T14:00:00"/>
    <s v="-"/>
    <d v="1899-12-30T14:30:00"/>
    <n v="909"/>
    <n v="0"/>
    <n v="0"/>
    <n v="12"/>
    <n v="0"/>
    <n v="0"/>
    <n v="0"/>
    <n v="139"/>
    <n v="126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2m_Retamozo SofíaM"/>
    <x v="163"/>
    <d v="1899-12-30T14:30:00"/>
    <s v="-"/>
    <d v="1899-12-30T15:00:00"/>
    <n v="9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2m_Uria Febe"/>
    <x v="164"/>
    <d v="1899-12-30T17:30:00"/>
    <s v="-"/>
    <d v="1899-12-30T18:00:00"/>
    <n v="335"/>
    <n v="0"/>
    <n v="0"/>
    <n v="8"/>
    <n v="0"/>
    <n v="0"/>
    <n v="0"/>
    <n v="288"/>
    <n v="272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*N2m_Uria Febe"/>
    <x v="164"/>
    <d v="1899-12-30T16:30:00"/>
    <s v="-"/>
    <d v="1899-12-30T17:00:00"/>
    <n v="347"/>
    <n v="0"/>
    <n v="0"/>
    <n v="8"/>
    <n v="0"/>
    <n v="0"/>
    <n v="0"/>
    <n v="1132"/>
    <n v="996"/>
    <n v="0"/>
    <n v="0"/>
    <n v="0"/>
    <n v="0"/>
    <n v="0"/>
    <n v="0"/>
    <n v="0"/>
    <n v="0"/>
    <n v="0"/>
    <n v="0"/>
    <n v="3"/>
    <n v="1"/>
    <x v="0"/>
    <x v="94"/>
    <d v="1899-12-30T16:30:00"/>
    <d v="1899-12-30T17:00:00"/>
  </r>
  <r>
    <d v="2024-10-02T00:00:00"/>
    <n v="924"/>
    <s v="S2S No Premium"/>
    <s v="*N2m_Uria Febe"/>
    <x v="164"/>
    <d v="1899-12-30T19:00:00"/>
    <s v="-"/>
    <d v="1899-12-30T19:30:00"/>
    <n v="509"/>
    <n v="0"/>
    <n v="0"/>
    <n v="8"/>
    <n v="0"/>
    <n v="0"/>
    <n v="0"/>
    <n v="1"/>
    <n v="39"/>
    <n v="0"/>
    <n v="0"/>
    <n v="0"/>
    <n v="0"/>
    <n v="0"/>
    <n v="0"/>
    <n v="0"/>
    <n v="0"/>
    <n v="0"/>
    <n v="0"/>
    <n v="1"/>
    <n v="1"/>
    <x v="0"/>
    <x v="94"/>
    <d v="1899-12-30T19:00:00"/>
    <d v="1899-12-30T19:30:00"/>
  </r>
  <r>
    <d v="2024-10-02T00:00:00"/>
    <n v="924"/>
    <s v="S2S No Premium"/>
    <s v="*N2m_Uria Febe"/>
    <x v="164"/>
    <d v="1899-12-30T18:30:00"/>
    <s v="-"/>
    <d v="1899-12-30T19:00:00"/>
    <n v="607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94"/>
    <d v="1899-12-30T18:30:00"/>
    <d v="1899-12-30T19:00:00"/>
  </r>
  <r>
    <d v="2024-10-02T00:00:00"/>
    <n v="924"/>
    <s v="S2S No Premium"/>
    <s v="*N2m_Uria Febe"/>
    <x v="164"/>
    <d v="1899-12-30T15:00:00"/>
    <s v="-"/>
    <d v="1899-12-30T15:30:00"/>
    <n v="839"/>
    <n v="0"/>
    <n v="0"/>
    <n v="11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5:00:00"/>
    <d v="1899-12-30T15:30:00"/>
  </r>
  <r>
    <d v="2024-10-02T00:00:00"/>
    <n v="924"/>
    <s v="S2S No Premium"/>
    <s v="*N2m_Uria Febe"/>
    <x v="164"/>
    <d v="1899-12-30T15:30:00"/>
    <s v="-"/>
    <d v="1899-12-30T16:00:00"/>
    <n v="87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N2m_Uria Febe"/>
    <x v="164"/>
    <d v="1899-12-30T19:30:00"/>
    <s v="-"/>
    <d v="1899-12-30T20:00:00"/>
    <n v="1134"/>
    <n v="0"/>
    <n v="0"/>
    <n v="8"/>
    <n v="0"/>
    <n v="0"/>
    <n v="0"/>
    <n v="45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*N2m_Uria Febe"/>
    <x v="164"/>
    <d v="1899-12-30T16:00:00"/>
    <s v="-"/>
    <d v="1899-12-30T16:30:00"/>
    <n v="1172"/>
    <n v="0"/>
    <n v="0"/>
    <n v="12"/>
    <n v="0"/>
    <n v="0"/>
    <n v="0"/>
    <n v="263"/>
    <n v="333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*N2m_Uria Febe"/>
    <x v="164"/>
    <d v="1899-12-30T17:00:00"/>
    <s v="-"/>
    <d v="1899-12-30T17:30:00"/>
    <n v="1468"/>
    <n v="0"/>
    <n v="0"/>
    <n v="15"/>
    <n v="0"/>
    <n v="0"/>
    <n v="0"/>
    <n v="91"/>
    <n v="0"/>
    <n v="0"/>
    <n v="0"/>
    <n v="0"/>
    <n v="0"/>
    <n v="0"/>
    <n v="0"/>
    <n v="0"/>
    <n v="0"/>
    <n v="0"/>
    <n v="0"/>
    <n v="3"/>
    <n v="2"/>
    <x v="0"/>
    <x v="94"/>
    <d v="1899-12-30T17:00:00"/>
    <d v="1899-12-30T17:30:00"/>
  </r>
  <r>
    <d v="2024-10-02T00:00:00"/>
    <n v="924"/>
    <s v="S2S No Premium"/>
    <s v="*N2m_Uria Febe"/>
    <x v="164"/>
    <d v="1899-12-30T18:00:00"/>
    <s v="-"/>
    <d v="1899-12-30T18:30:00"/>
    <n v="159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8:00:00"/>
    <d v="1899-12-30T18:30:00"/>
  </r>
  <r>
    <d v="2024-10-02T00:00:00"/>
    <n v="924"/>
    <s v="S2S No Premium"/>
    <s v="N2m_Vlachoff Rocio"/>
    <x v="165"/>
    <d v="1899-12-30T15:00:00"/>
    <s v="-"/>
    <d v="1899-12-30T15:30:00"/>
    <n v="393"/>
    <n v="0"/>
    <n v="0"/>
    <n v="16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94"/>
    <d v="1899-12-30T15:00:00"/>
    <d v="1899-12-30T15:30:00"/>
  </r>
  <r>
    <d v="2024-10-02T00:00:00"/>
    <n v="924"/>
    <s v="S2S No Premium"/>
    <s v="N2m_Vlachoff Rocio"/>
    <x v="165"/>
    <d v="1899-12-30T18:30:00"/>
    <s v="-"/>
    <d v="1899-12-30T19:00:00"/>
    <n v="50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94"/>
    <d v="1899-12-30T18:30:00"/>
    <d v="1899-12-30T19:00:00"/>
  </r>
  <r>
    <d v="2024-10-02T00:00:00"/>
    <n v="924"/>
    <s v="S2S No Premium"/>
    <s v="N2m_Vlachoff Rocio"/>
    <x v="165"/>
    <d v="1899-12-30T15:30:00"/>
    <s v="-"/>
    <d v="1899-12-30T16:00:00"/>
    <n v="669"/>
    <n v="0"/>
    <n v="0"/>
    <n v="8"/>
    <n v="0"/>
    <n v="0"/>
    <n v="0"/>
    <n v="421"/>
    <n v="375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N2m_Vlachoff Rocio"/>
    <x v="165"/>
    <d v="1899-12-30T18:00:00"/>
    <s v="-"/>
    <d v="1899-12-30T18:30:00"/>
    <n v="669"/>
    <n v="0"/>
    <n v="0"/>
    <n v="8"/>
    <n v="0"/>
    <n v="0"/>
    <n v="0"/>
    <n v="400"/>
    <n v="0"/>
    <n v="0"/>
    <n v="0"/>
    <n v="0"/>
    <n v="0"/>
    <n v="0"/>
    <n v="0"/>
    <n v="0"/>
    <n v="0"/>
    <n v="0"/>
    <n v="0"/>
    <n v="3"/>
    <n v="1"/>
    <x v="0"/>
    <x v="94"/>
    <d v="1899-12-30T18:00:00"/>
    <d v="1899-12-30T18:30:00"/>
  </r>
  <r>
    <d v="2024-10-02T00:00:00"/>
    <n v="924"/>
    <s v="S2S No Premium"/>
    <s v="N2m_Vlachoff Rocio"/>
    <x v="165"/>
    <d v="1899-12-30T19:30:00"/>
    <s v="-"/>
    <d v="1899-12-30T20:00:00"/>
    <n v="949"/>
    <n v="0"/>
    <n v="0"/>
    <n v="8"/>
    <n v="0"/>
    <n v="0"/>
    <n v="0"/>
    <n v="124"/>
    <n v="62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2m_Vlachoff Rocio"/>
    <x v="165"/>
    <d v="1899-12-30T17:30:00"/>
    <s v="-"/>
    <d v="1899-12-30T18:00:00"/>
    <n v="1146"/>
    <n v="0"/>
    <n v="0"/>
    <n v="20"/>
    <n v="0"/>
    <n v="0"/>
    <n v="0"/>
    <n v="53"/>
    <n v="44"/>
    <n v="0"/>
    <n v="0"/>
    <n v="0"/>
    <n v="0"/>
    <n v="0"/>
    <n v="0"/>
    <n v="0"/>
    <n v="0"/>
    <n v="0"/>
    <n v="0"/>
    <n v="5"/>
    <n v="4"/>
    <x v="0"/>
    <x v="94"/>
    <d v="1899-12-30T17:30:00"/>
    <d v="1899-12-30T18:00:00"/>
  </r>
  <r>
    <d v="2024-10-02T00:00:00"/>
    <n v="924"/>
    <s v="S2S No Premium"/>
    <s v="N2m_Vlachoff Rocio"/>
    <x v="165"/>
    <d v="1899-12-30T19:00:00"/>
    <s v="-"/>
    <d v="1899-12-30T19:30:00"/>
    <n v="1211"/>
    <n v="0"/>
    <n v="0"/>
    <n v="8"/>
    <n v="0"/>
    <n v="0"/>
    <n v="0"/>
    <n v="191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2m_Vlachoff Rocio"/>
    <x v="165"/>
    <d v="1899-12-30T16:00:00"/>
    <s v="-"/>
    <d v="1899-12-30T16:30:00"/>
    <n v="1252"/>
    <n v="0"/>
    <n v="0"/>
    <n v="12"/>
    <n v="0"/>
    <n v="0"/>
    <n v="0"/>
    <n v="174"/>
    <n v="149"/>
    <n v="0"/>
    <n v="0"/>
    <n v="0"/>
    <n v="0"/>
    <n v="0"/>
    <n v="0"/>
    <n v="0"/>
    <n v="0"/>
    <n v="0"/>
    <n v="0"/>
    <n v="2"/>
    <n v="1"/>
    <x v="0"/>
    <x v="94"/>
    <d v="1899-12-30T16:00:00"/>
    <d v="1899-12-30T16:30:00"/>
  </r>
  <r>
    <d v="2024-10-02T00:00:00"/>
    <n v="924"/>
    <s v="S2S No Premium"/>
    <s v="N2m_Vlachoff Rocio"/>
    <x v="165"/>
    <d v="1899-12-30T16:30:00"/>
    <s v="-"/>
    <d v="1899-12-30T17:00:00"/>
    <n v="1284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2m_Vlachoff Rocio"/>
    <x v="165"/>
    <d v="1899-12-30T17:00:00"/>
    <s v="-"/>
    <d v="1899-12-30T17:30:00"/>
    <n v="1424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5"/>
    <s v="S2S Premium"/>
    <s v="Pm_Lencinas, Lucio"/>
    <x v="166"/>
    <d v="1899-12-30T15:00:00"/>
    <s v="-"/>
    <d v="1899-12-30T15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m_Lencinas, Lucio"/>
    <x v="166"/>
    <d v="1899-12-30T14:00:00"/>
    <s v="-"/>
    <d v="1899-12-30T14:30:00"/>
    <n v="655"/>
    <n v="14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4:00:00"/>
    <d v="1899-12-30T14:30:00"/>
  </r>
  <r>
    <d v="2024-10-02T00:00:00"/>
    <n v="925"/>
    <s v="S2S Premium"/>
    <s v="Pm_Lencinas, Lucio"/>
    <x v="166"/>
    <d v="1899-12-30T14:30:00"/>
    <s v="-"/>
    <d v="1899-12-30T15:00:00"/>
    <n v="872"/>
    <n v="65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4"/>
    <s v="S2S No Premium"/>
    <s v="XN2m_Rodriguez, Bar"/>
    <x v="16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XN2m_Rodriguez, Bar"/>
    <x v="167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XN2m_Rodriguez, Bar"/>
    <x v="167"/>
    <d v="1899-12-30T18:30:00"/>
    <s v="-"/>
    <d v="1899-12-30T19:00:00"/>
    <n v="479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4"/>
    <s v="S2S No Premium"/>
    <s v="XN2m_Rodriguez, Bar"/>
    <x v="167"/>
    <d v="1899-12-30T17:30:00"/>
    <s v="-"/>
    <d v="1899-12-30T18:00:00"/>
    <n v="578"/>
    <n v="0"/>
    <n v="0"/>
    <n v="4"/>
    <n v="0"/>
    <n v="0"/>
    <n v="0"/>
    <n v="124"/>
    <n v="49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XN2m_Rodriguez, Bar"/>
    <x v="167"/>
    <d v="1899-12-30T19:00:00"/>
    <s v="-"/>
    <d v="1899-12-30T19:30:00"/>
    <n v="58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9:00:00"/>
    <d v="1899-12-30T19:30:00"/>
  </r>
  <r>
    <d v="2024-10-02T00:00:00"/>
    <n v="924"/>
    <s v="S2S No Premium"/>
    <s v="XN2m_Rodriguez, Bar"/>
    <x v="167"/>
    <d v="1899-12-30T15:30:00"/>
    <s v="-"/>
    <d v="1899-12-30T16:00:00"/>
    <n v="741"/>
    <n v="0"/>
    <n v="0"/>
    <n v="12"/>
    <n v="0"/>
    <n v="0"/>
    <n v="0"/>
    <n v="2"/>
    <n v="106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XN2m_Rodriguez, Bar"/>
    <x v="167"/>
    <d v="1899-12-30T16:00:00"/>
    <s v="-"/>
    <d v="1899-12-30T16:30:00"/>
    <n v="774"/>
    <n v="0"/>
    <n v="0"/>
    <n v="8"/>
    <n v="0"/>
    <n v="0"/>
    <n v="0"/>
    <n v="511"/>
    <n v="269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XN2m_Rodriguez, Bar"/>
    <x v="167"/>
    <d v="1899-12-30T17:00:00"/>
    <s v="-"/>
    <d v="1899-12-30T17:30:00"/>
    <n v="856"/>
    <n v="0"/>
    <n v="0"/>
    <n v="4"/>
    <n v="0"/>
    <n v="0"/>
    <n v="0"/>
    <n v="502"/>
    <n v="474"/>
    <n v="0"/>
    <n v="0"/>
    <n v="0"/>
    <n v="0"/>
    <n v="0"/>
    <n v="0"/>
    <n v="0"/>
    <n v="0"/>
    <n v="0"/>
    <n v="0"/>
    <n v="1"/>
    <n v="1"/>
    <x v="0"/>
    <x v="94"/>
    <d v="1899-12-30T17:00:00"/>
    <d v="1899-12-30T17:30:00"/>
  </r>
  <r>
    <d v="2024-10-02T00:00:00"/>
    <n v="924"/>
    <s v="S2S No Premium"/>
    <s v="XN2m_Rodriguez, Bar"/>
    <x v="167"/>
    <d v="1899-12-30T16:30:00"/>
    <s v="-"/>
    <d v="1899-12-30T17:00:00"/>
    <n v="11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94"/>
    <d v="1899-12-30T16:30:00"/>
    <d v="1899-12-30T17:00:00"/>
  </r>
  <r>
    <d v="2024-10-02T00:00:00"/>
    <n v="924"/>
    <s v="S2S No Premium"/>
    <s v="XN2m_Rodriguez, Bar"/>
    <x v="167"/>
    <d v="1899-12-30T18:00:00"/>
    <s v="-"/>
    <d v="1899-12-30T18:30:00"/>
    <n v="1542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94"/>
    <d v="1899-12-30T18:00:00"/>
    <d v="1899-12-30T18:30:00"/>
  </r>
  <r>
    <d v="2024-10-02T00:00:00"/>
    <n v="925"/>
    <s v="S2S Premium"/>
    <s v="XPCC_Palavecino, F."/>
    <x v="168"/>
    <d v="1899-12-30T15:00:00"/>
    <s v="-"/>
    <d v="1899-12-30T15:30:00"/>
    <n v="178"/>
    <n v="0"/>
    <n v="0"/>
    <n v="8"/>
    <n v="0"/>
    <n v="0"/>
    <n v="0"/>
    <n v="719"/>
    <n v="738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CC_Palavecino, F."/>
    <x v="168"/>
    <d v="1899-12-30T19:30:00"/>
    <s v="-"/>
    <d v="1899-12-30T20:00:00"/>
    <n v="223"/>
    <n v="0"/>
    <n v="0"/>
    <n v="8"/>
    <n v="0"/>
    <n v="0"/>
    <n v="0"/>
    <n v="39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XPCC_Palavecino, F."/>
    <x v="168"/>
    <d v="1899-12-30T17:30:00"/>
    <s v="-"/>
    <d v="1899-12-30T18:00:00"/>
    <n v="348"/>
    <n v="0"/>
    <n v="0"/>
    <n v="8"/>
    <n v="0"/>
    <n v="0"/>
    <n v="0"/>
    <n v="16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XPCC_Palavecino, F."/>
    <x v="168"/>
    <d v="1899-12-30T16:00:00"/>
    <s v="-"/>
    <d v="1899-12-30T16:30:00"/>
    <n v="588"/>
    <n v="0"/>
    <n v="0"/>
    <n v="20"/>
    <n v="0"/>
    <n v="0"/>
    <n v="0"/>
    <n v="33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XPCC_Palavecino, F."/>
    <x v="168"/>
    <d v="1899-12-30T15:30:00"/>
    <s v="-"/>
    <d v="1899-12-30T16:00:00"/>
    <n v="65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5"/>
    <s v="S2S Premium"/>
    <s v="XPCC_Palavecino, F."/>
    <x v="168"/>
    <d v="1899-12-30T17:00:00"/>
    <s v="-"/>
    <d v="1899-12-30T17:30:00"/>
    <n v="783"/>
    <n v="0"/>
    <n v="0"/>
    <n v="8"/>
    <n v="0"/>
    <n v="0"/>
    <n v="0"/>
    <n v="740"/>
    <n v="529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Palavecino, F."/>
    <x v="168"/>
    <d v="1899-12-30T18:30:00"/>
    <s v="-"/>
    <d v="1899-12-30T19:00:00"/>
    <n v="899"/>
    <n v="0"/>
    <n v="0"/>
    <n v="17"/>
    <n v="0"/>
    <n v="0"/>
    <n v="0"/>
    <n v="196"/>
    <n v="1"/>
    <n v="0"/>
    <n v="0"/>
    <n v="0"/>
    <n v="0"/>
    <n v="0"/>
    <n v="0"/>
    <n v="0"/>
    <n v="0"/>
    <n v="0"/>
    <n v="0"/>
    <n v="4"/>
    <n v="4"/>
    <x v="1"/>
    <x v="94"/>
    <d v="1899-12-30T18:30:00"/>
    <d v="1899-12-30T19:00:00"/>
  </r>
  <r>
    <d v="2024-10-02T00:00:00"/>
    <n v="925"/>
    <s v="S2S Premium"/>
    <s v="XPCC_Palavecino, F."/>
    <x v="168"/>
    <d v="1899-12-30T18:00:00"/>
    <s v="-"/>
    <d v="1899-12-30T18:30:00"/>
    <n v="939"/>
    <n v="0"/>
    <n v="0"/>
    <n v="16"/>
    <n v="0"/>
    <n v="0"/>
    <n v="0"/>
    <n v="45"/>
    <n v="0"/>
    <n v="0"/>
    <n v="0"/>
    <n v="0"/>
    <n v="0"/>
    <n v="0"/>
    <n v="0"/>
    <n v="0"/>
    <n v="0"/>
    <n v="0"/>
    <n v="0"/>
    <n v="4"/>
    <n v="3"/>
    <x v="1"/>
    <x v="94"/>
    <d v="1899-12-30T18:00:00"/>
    <d v="1899-12-30T18:30:00"/>
  </r>
  <r>
    <d v="2024-10-02T00:00:00"/>
    <n v="925"/>
    <s v="S2S Premium"/>
    <s v="XPCC_Palavecino, F."/>
    <x v="168"/>
    <d v="1899-12-30T19:00:00"/>
    <s v="-"/>
    <d v="1899-12-30T19:30:00"/>
    <n v="1049"/>
    <n v="0"/>
    <n v="0"/>
    <n v="15"/>
    <n v="0"/>
    <n v="0"/>
    <n v="0"/>
    <n v="181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PCC_Palavecino, F."/>
    <x v="168"/>
    <d v="1899-12-30T16:30:00"/>
    <s v="-"/>
    <d v="1899-12-30T17:00:00"/>
    <n v="1150"/>
    <n v="0"/>
    <n v="0"/>
    <n v="16"/>
    <n v="0"/>
    <n v="0"/>
    <n v="0"/>
    <n v="90"/>
    <n v="83"/>
    <n v="0"/>
    <n v="0"/>
    <n v="0"/>
    <n v="0"/>
    <n v="0"/>
    <n v="0"/>
    <n v="0"/>
    <n v="0"/>
    <n v="0"/>
    <n v="0"/>
    <n v="4"/>
    <n v="3"/>
    <x v="1"/>
    <x v="94"/>
    <d v="1899-12-30T16:30:00"/>
    <d v="1899-12-30T17:00:00"/>
  </r>
  <r>
    <d v="2024-10-02T00:00:00"/>
    <n v="925"/>
    <s v="S2S Premium"/>
    <s v="XPCC_Sayas, Sara"/>
    <x v="169"/>
    <d v="1899-12-30T18:00:00"/>
    <s v="-"/>
    <d v="1899-12-30T18:30:00"/>
    <n v="121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4"/>
    <s v="S2S No Premium"/>
    <s v="XPCC_Sayas, Sara"/>
    <x v="169"/>
    <d v="1899-12-30T18:00:00"/>
    <s v="-"/>
    <d v="1899-12-30T18:30:00"/>
    <n v="202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XPCC_Sayas, Sara"/>
    <x v="169"/>
    <d v="1899-12-30T15:00:00"/>
    <s v="-"/>
    <d v="1899-12-30T15:30:00"/>
    <n v="22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CC_Sayas, Sara"/>
    <x v="169"/>
    <d v="1899-12-30T15:30:00"/>
    <s v="-"/>
    <d v="1899-12-30T16:00:00"/>
    <n v="522"/>
    <n v="0"/>
    <n v="0"/>
    <n v="13"/>
    <n v="0"/>
    <n v="0"/>
    <n v="0"/>
    <n v="173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4"/>
    <s v="S2S No Premium"/>
    <s v="XPCC_Sayas, Sara"/>
    <x v="169"/>
    <d v="1899-12-30T19:00:00"/>
    <s v="-"/>
    <d v="1899-12-30T19:30:00"/>
    <n v="597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XPCC_Sayas, Sara"/>
    <x v="169"/>
    <d v="1899-12-30T19:30:00"/>
    <s v="-"/>
    <d v="1899-12-30T20:00:00"/>
    <n v="818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5"/>
    <s v="S2S Premium"/>
    <s v="XPCC_Sayas, Sara"/>
    <x v="169"/>
    <d v="1899-12-30T16:00:00"/>
    <s v="-"/>
    <d v="1899-12-30T16:30:00"/>
    <n v="877"/>
    <n v="0"/>
    <n v="0"/>
    <n v="12"/>
    <n v="0"/>
    <n v="0"/>
    <n v="0"/>
    <n v="3"/>
    <n v="1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4"/>
    <s v="S2S No Premium"/>
    <s v="XPCC_Sayas, Sara"/>
    <x v="169"/>
    <d v="1899-12-30T18:30:00"/>
    <s v="-"/>
    <d v="1899-12-30T19:00:00"/>
    <n v="92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5"/>
    <s v="S2S Premium"/>
    <s v="XPCC_Sayas, Sara"/>
    <x v="169"/>
    <d v="1899-12-30T17:00:00"/>
    <s v="-"/>
    <d v="1899-12-30T17:30:00"/>
    <n v="1099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PCC_Sayas, Sara"/>
    <x v="169"/>
    <d v="1899-12-30T17:30:00"/>
    <s v="-"/>
    <d v="1899-12-30T18:00:00"/>
    <n v="112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7:30:00"/>
    <d v="1899-12-30T18:00:00"/>
  </r>
  <r>
    <d v="2024-10-02T00:00:00"/>
    <n v="925"/>
    <s v="S2S Premium"/>
    <s v="XPCC_Sayas, Sara"/>
    <x v="169"/>
    <d v="1899-12-30T16:30:00"/>
    <s v="-"/>
    <d v="1899-12-30T17:00:00"/>
    <n v="1204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6"/>
    <n v="3"/>
    <x v="1"/>
    <x v="94"/>
    <d v="1899-12-30T16:30:00"/>
    <d v="1899-12-30T17:00:00"/>
  </r>
  <r>
    <d v="2024-10-02T00:00:00"/>
    <n v="925"/>
    <s v="S2S Premium"/>
    <s v="*Pm_Barrios,Facundo"/>
    <x v="170"/>
    <d v="1899-12-30T15:00:00"/>
    <s v="-"/>
    <d v="1899-12-30T15:30:00"/>
    <n v="22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*Pm_Barrios,Facundo"/>
    <x v="170"/>
    <d v="1899-12-30T14:30:00"/>
    <s v="-"/>
    <d v="1899-12-30T15:00:00"/>
    <n v="444"/>
    <n v="0"/>
    <n v="0"/>
    <n v="8"/>
    <n v="0"/>
    <n v="0"/>
    <n v="0"/>
    <n v="109"/>
    <n v="15"/>
    <n v="0"/>
    <n v="0"/>
    <n v="0"/>
    <n v="0"/>
    <n v="0"/>
    <n v="0"/>
    <n v="0"/>
    <n v="0"/>
    <n v="0"/>
    <n v="0"/>
    <n v="1"/>
    <n v="1"/>
    <x v="1"/>
    <x v="94"/>
    <d v="1899-12-30T14:30:00"/>
    <d v="1899-12-30T15:00:00"/>
  </r>
  <r>
    <d v="2024-10-02T00:00:00"/>
    <n v="925"/>
    <s v="S2S Premium"/>
    <s v="*Pm_Barrios,Facundo"/>
    <x v="170"/>
    <d v="1899-12-30T14:00:00"/>
    <s v="-"/>
    <d v="1899-12-30T14:30:00"/>
    <n v="1363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PEm_Alfonso, Matias"/>
    <x v="171"/>
    <d v="1899-12-30T18:00:00"/>
    <s v="-"/>
    <d v="1899-12-30T18:30:00"/>
    <n v="124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4"/>
    <s v="S2S No Premium"/>
    <s v="T*N2m_Alarcon, Maria"/>
    <x v="172"/>
    <d v="1899-12-30T15:30:00"/>
    <s v="-"/>
    <d v="1899-12-30T16:00:00"/>
    <n v="1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30:00"/>
    <d v="1899-12-30T16:00:00"/>
  </r>
  <r>
    <d v="2024-10-02T00:00:00"/>
    <n v="924"/>
    <s v="S2S No Premium"/>
    <s v="T*N2m_Alarcon, Maria"/>
    <x v="172"/>
    <d v="1899-12-30T14:00:00"/>
    <s v="-"/>
    <d v="1899-12-30T14:30:00"/>
    <n v="172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4:00:00"/>
    <d v="1899-12-30T14:30:00"/>
  </r>
  <r>
    <d v="2024-10-02T00:00:00"/>
    <n v="924"/>
    <s v="S2S No Premium"/>
    <s v="T*N2m_Alarcon, Maria"/>
    <x v="172"/>
    <d v="1899-12-30T15:00:00"/>
    <s v="-"/>
    <d v="1899-12-30T15:30:00"/>
    <n v="360"/>
    <n v="0"/>
    <n v="0"/>
    <n v="4"/>
    <n v="0"/>
    <n v="0"/>
    <n v="0"/>
    <n v="36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T*N2m_Alarcon, Maria"/>
    <x v="172"/>
    <d v="1899-12-30T14:30:00"/>
    <s v="-"/>
    <d v="1899-12-30T15:00:00"/>
    <n v="881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5"/>
    <s v="S2S Premium"/>
    <s v="XPm_Monteporc"/>
    <x v="173"/>
    <d v="1899-12-30T15:00:00"/>
    <s v="-"/>
    <d v="1899-12-30T15:30:00"/>
    <n v="57"/>
    <n v="0"/>
    <n v="0"/>
    <n v="4"/>
    <n v="0"/>
    <n v="0"/>
    <n v="0"/>
    <n v="1"/>
    <n v="1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4"/>
    <s v="S2S No Premium"/>
    <s v="XPm_Gutierrez,Veron"/>
    <x v="174"/>
    <d v="1899-12-30T15:30:00"/>
    <s v="-"/>
    <d v="1899-12-30T16:00:0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XPm_Gutierrez,Veron"/>
    <x v="174"/>
    <d v="1899-12-30T15:00:00"/>
    <s v="-"/>
    <d v="1899-12-30T15:30:00"/>
    <n v="11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5"/>
    <s v="S2S Premium"/>
    <s v="*Pm_Alvarez Franco"/>
    <x v="175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4"/>
    <s v="S2S No Premium"/>
    <s v="*Pm_Alvarez Franco"/>
    <x v="175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00:00"/>
    <d v="1899-12-30T19:30:00"/>
  </r>
  <r>
    <d v="2024-10-02T00:00:00"/>
    <n v="925"/>
    <s v="S2S Premium"/>
    <s v="*Pm_Alvarez Franco"/>
    <x v="17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4"/>
    <s v="S2S No Premium"/>
    <s v="*Pm_Alvarez Franco"/>
    <x v="175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5"/>
    <s v="S2S Premium"/>
    <s v="*Pm_Alvarez Franco"/>
    <x v="175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30:00"/>
    <d v="1899-12-30T16:00:00"/>
  </r>
  <r>
    <d v="2024-10-02T00:00:00"/>
    <n v="925"/>
    <s v="S2S Premium"/>
    <s v="*Pm_Alvarez Franco"/>
    <x v="175"/>
    <d v="1899-12-30T17:00:00"/>
    <s v="-"/>
    <d v="1899-12-30T17:30:00"/>
    <n v="103"/>
    <n v="0"/>
    <n v="0"/>
    <n v="4"/>
    <n v="0"/>
    <n v="0"/>
    <n v="0"/>
    <n v="460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4"/>
    <s v="S2S No Premium"/>
    <s v="*Pm_Alvarez Franco"/>
    <x v="175"/>
    <d v="1899-12-30T18:30:00"/>
    <s v="-"/>
    <d v="1899-12-30T19:00:00"/>
    <n v="155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*Pm_Alvarez Franco"/>
    <x v="175"/>
    <d v="1899-12-30T18:00:00"/>
    <s v="-"/>
    <d v="1899-12-30T18:30:00"/>
    <n v="19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*Pm_Alvarez Franco"/>
    <x v="175"/>
    <d v="1899-12-30T17:30:00"/>
    <s v="-"/>
    <d v="1899-12-30T18:00:00"/>
    <n v="285"/>
    <n v="0"/>
    <n v="0"/>
    <n v="12"/>
    <n v="0"/>
    <n v="0"/>
    <n v="0"/>
    <n v="96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*Pm_Alvarez Franco"/>
    <x v="175"/>
    <d v="1899-12-30T18:00:00"/>
    <s v="-"/>
    <d v="1899-12-30T18:30:00"/>
    <n v="49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*Pm_Alvarez Franco"/>
    <x v="175"/>
    <d v="1899-12-30T16:30:00"/>
    <s v="-"/>
    <d v="1899-12-30T17:00:00"/>
    <n v="553"/>
    <n v="0"/>
    <n v="0"/>
    <n v="8"/>
    <n v="0"/>
    <n v="0"/>
    <n v="0"/>
    <n v="126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XPm_Riquelme Ale"/>
    <x v="176"/>
    <d v="1899-12-30T17:30:00"/>
    <s v="-"/>
    <d v="1899-12-30T18:00:00"/>
    <n v="49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7:30:00"/>
    <d v="1899-12-30T18:00:00"/>
  </r>
  <r>
    <d v="2024-10-02T00:00:00"/>
    <n v="925"/>
    <s v="S2S Premium"/>
    <s v="XPm_Riquelme Ale"/>
    <x v="176"/>
    <d v="1899-12-30T16:30:00"/>
    <s v="-"/>
    <d v="1899-12-30T17:00:00"/>
    <n v="504"/>
    <n v="0"/>
    <n v="0"/>
    <n v="12"/>
    <n v="0"/>
    <n v="0"/>
    <n v="0"/>
    <n v="395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XPm_Riquelme Ale"/>
    <x v="176"/>
    <d v="1899-12-30T18:00:00"/>
    <s v="-"/>
    <d v="1899-12-30T18:30:00"/>
    <n v="580"/>
    <n v="0"/>
    <n v="0"/>
    <n v="16"/>
    <n v="0"/>
    <n v="0"/>
    <n v="0"/>
    <n v="56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Pm_Riquelme Ale"/>
    <x v="176"/>
    <d v="1899-12-30T19:30:00"/>
    <s v="-"/>
    <d v="1899-12-30T20:00:00"/>
    <n v="602"/>
    <n v="0"/>
    <n v="0"/>
    <n v="12"/>
    <n v="0"/>
    <n v="0"/>
    <n v="0"/>
    <n v="61"/>
    <n v="0"/>
    <n v="0"/>
    <n v="0"/>
    <n v="0"/>
    <n v="0"/>
    <n v="0"/>
    <n v="0"/>
    <n v="0"/>
    <n v="0"/>
    <n v="0"/>
    <n v="0"/>
    <n v="3"/>
    <n v="3"/>
    <x v="1"/>
    <x v="94"/>
    <d v="1899-12-30T19:30:00"/>
    <d v="1899-12-30T20:00:00"/>
  </r>
  <r>
    <d v="2024-10-02T00:00:00"/>
    <n v="925"/>
    <s v="S2S Premium"/>
    <s v="XPm_Riquelme Ale"/>
    <x v="176"/>
    <d v="1899-12-30T15:30:00"/>
    <s v="-"/>
    <d v="1899-12-30T16:00:00"/>
    <n v="609"/>
    <n v="0"/>
    <n v="0"/>
    <n v="15"/>
    <n v="0"/>
    <n v="0"/>
    <n v="0"/>
    <n v="223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m_Riquelme Ale"/>
    <x v="176"/>
    <d v="1899-12-30T16:00:00"/>
    <s v="-"/>
    <d v="1899-12-30T16:30:00"/>
    <n v="627"/>
    <n v="0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4"/>
    <d v="1899-12-30T16:00:00"/>
    <d v="1899-12-30T16:30:00"/>
  </r>
  <r>
    <d v="2024-10-02T00:00:00"/>
    <n v="925"/>
    <s v="S2S Premium"/>
    <s v="XPm_Riquelme Ale"/>
    <x v="176"/>
    <d v="1899-12-30T15:00:00"/>
    <s v="-"/>
    <d v="1899-12-30T15:30:00"/>
    <n v="646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00:00"/>
    <d v="1899-12-30T15:30:00"/>
  </r>
  <r>
    <d v="2024-10-02T00:00:00"/>
    <n v="925"/>
    <s v="S2S Premium"/>
    <s v="XPm_Riquelme Ale"/>
    <x v="176"/>
    <d v="1899-12-30T18:30:00"/>
    <s v="-"/>
    <d v="1899-12-30T19:00:00"/>
    <n v="808"/>
    <n v="0"/>
    <n v="0"/>
    <n v="8"/>
    <n v="0"/>
    <n v="0"/>
    <n v="0"/>
    <n v="64"/>
    <n v="0"/>
    <n v="0"/>
    <n v="0"/>
    <n v="0"/>
    <n v="0"/>
    <n v="0"/>
    <n v="0"/>
    <n v="0"/>
    <n v="0"/>
    <n v="0"/>
    <n v="0"/>
    <n v="3"/>
    <n v="2"/>
    <x v="1"/>
    <x v="94"/>
    <d v="1899-12-30T18:30:00"/>
    <d v="1899-12-30T19:00:00"/>
  </r>
  <r>
    <d v="2024-10-02T00:00:00"/>
    <n v="925"/>
    <s v="S2S Premium"/>
    <s v="XPm_Riquelme Ale"/>
    <x v="176"/>
    <d v="1899-12-30T17:00:00"/>
    <s v="-"/>
    <d v="1899-12-30T17:30:00"/>
    <n v="929"/>
    <n v="0"/>
    <n v="0"/>
    <n v="15"/>
    <n v="0"/>
    <n v="0"/>
    <n v="0"/>
    <n v="36"/>
    <n v="0"/>
    <n v="0"/>
    <n v="0"/>
    <n v="0"/>
    <n v="0"/>
    <n v="0"/>
    <n v="0"/>
    <n v="0"/>
    <n v="0"/>
    <n v="0"/>
    <n v="0"/>
    <n v="4"/>
    <n v="4"/>
    <x v="1"/>
    <x v="94"/>
    <d v="1899-12-30T17:00:00"/>
    <d v="1899-12-30T17:30:00"/>
  </r>
  <r>
    <d v="2024-10-02T00:00:00"/>
    <n v="925"/>
    <s v="S2S Premium"/>
    <s v="XPm_Riquelme Ale"/>
    <x v="176"/>
    <d v="1899-12-30T19:00:00"/>
    <s v="-"/>
    <d v="1899-12-30T19:30:00"/>
    <n v="1144"/>
    <n v="0"/>
    <n v="0"/>
    <n v="20"/>
    <n v="0"/>
    <n v="0"/>
    <n v="0"/>
    <n v="6"/>
    <n v="1"/>
    <n v="0"/>
    <n v="0"/>
    <n v="0"/>
    <n v="0"/>
    <n v="0"/>
    <n v="0"/>
    <n v="0"/>
    <n v="0"/>
    <n v="0"/>
    <n v="0"/>
    <n v="5"/>
    <n v="4"/>
    <x v="1"/>
    <x v="94"/>
    <d v="1899-12-30T19:00:00"/>
    <d v="1899-12-30T19:30:00"/>
  </r>
  <r>
    <d v="2024-10-02T00:00:00"/>
    <n v="924"/>
    <s v="S2S No Premium"/>
    <s v="N2rm_Butnariuk Erick"/>
    <x v="177"/>
    <d v="1899-12-30T17:00:00"/>
    <s v="-"/>
    <d v="1899-12-30T17:30:00"/>
    <n v="378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2rm_Butnariuk Erick"/>
    <x v="177"/>
    <d v="1899-12-30T19:00:00"/>
    <s v="-"/>
    <d v="1899-12-30T19:30:00"/>
    <n v="55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2rm_Butnariuk Erick"/>
    <x v="177"/>
    <d v="1899-12-30T15:30:00"/>
    <s v="-"/>
    <d v="1899-12-30T16:00:00"/>
    <n v="65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N2rm_Butnariuk Erick"/>
    <x v="177"/>
    <d v="1899-12-30T19:30:00"/>
    <s v="-"/>
    <d v="1899-12-30T20:00:00"/>
    <n v="912"/>
    <n v="0"/>
    <n v="0"/>
    <n v="12"/>
    <n v="0"/>
    <n v="0"/>
    <n v="0"/>
    <n v="28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2rm_Butnariuk Erick"/>
    <x v="177"/>
    <d v="1899-12-30T18:30:00"/>
    <s v="-"/>
    <d v="1899-12-30T19:00:00"/>
    <n v="977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4"/>
    <s v="S2S No Premium"/>
    <s v="N2rm_Butnariuk Erick"/>
    <x v="177"/>
    <d v="1899-12-30T16:30:00"/>
    <s v="-"/>
    <d v="1899-12-30T17:00:00"/>
    <n v="1123"/>
    <n v="0"/>
    <n v="0"/>
    <n v="16"/>
    <n v="0"/>
    <n v="0"/>
    <n v="0"/>
    <n v="178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N2rm_Butnariuk Erick"/>
    <x v="177"/>
    <d v="1899-12-30T16:00:00"/>
    <s v="-"/>
    <d v="1899-12-30T16:30:00"/>
    <n v="1135"/>
    <n v="0"/>
    <n v="0"/>
    <n v="19"/>
    <n v="0"/>
    <n v="0"/>
    <n v="0"/>
    <n v="106"/>
    <n v="0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N2rm_Butnariuk Erick"/>
    <x v="177"/>
    <d v="1899-12-30T17:30:00"/>
    <s v="-"/>
    <d v="1899-12-30T18:00:00"/>
    <n v="1354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N2rm_Butnariuk Erick"/>
    <x v="177"/>
    <d v="1899-12-30T18:00:00"/>
    <s v="-"/>
    <d v="1899-12-30T18:30:00"/>
    <n v="1373"/>
    <n v="0"/>
    <n v="0"/>
    <n v="16"/>
    <n v="0"/>
    <n v="0"/>
    <n v="0"/>
    <n v="34"/>
    <n v="0"/>
    <n v="0"/>
    <n v="0"/>
    <n v="0"/>
    <n v="0"/>
    <n v="0"/>
    <n v="0"/>
    <n v="0"/>
    <n v="0"/>
    <n v="0"/>
    <n v="0"/>
    <n v="4"/>
    <n v="4"/>
    <x v="0"/>
    <x v="94"/>
    <d v="1899-12-30T18:00:00"/>
    <d v="1899-12-30T18:30:00"/>
  </r>
  <r>
    <d v="2024-10-02T00:00:00"/>
    <n v="924"/>
    <s v="S2S No Premium"/>
    <s v="XPm_Coceres,Tan"/>
    <x v="178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XPm_Coceres,Tan"/>
    <x v="178"/>
    <d v="1899-12-30T15:00:00"/>
    <s v="-"/>
    <d v="1899-12-30T15:30:00"/>
    <n v="25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XPm_Chamorro,Rocio"/>
    <x v="179"/>
    <d v="1899-12-30T18:00:00"/>
    <s v="-"/>
    <d v="1899-12-30T18:30:00"/>
    <n v="17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5"/>
    <s v="S2S Premium"/>
    <s v="XPm_Chamorro,Rocio"/>
    <x v="179"/>
    <d v="1899-12-30T18:00:00"/>
    <s v="-"/>
    <d v="1899-12-30T18:30:00"/>
    <n v="246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8:00:00"/>
    <d v="1899-12-30T18:30:00"/>
  </r>
  <r>
    <d v="2024-10-02T00:00:00"/>
    <n v="925"/>
    <s v="S2S Premium"/>
    <s v="XPm_Chamorro,Rocio"/>
    <x v="179"/>
    <d v="1899-12-30T15:00:00"/>
    <s v="-"/>
    <d v="1899-12-30T15:30:00"/>
    <n v="389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m_Chamorro,Rocio"/>
    <x v="179"/>
    <d v="1899-12-30T15:30:00"/>
    <s v="-"/>
    <d v="1899-12-30T16:00:00"/>
    <n v="448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4"/>
    <s v="S2S No Premium"/>
    <s v="XPm_Chamorro,Rocio"/>
    <x v="179"/>
    <d v="1899-12-30T19:30:00"/>
    <s v="-"/>
    <d v="1899-12-30T20:00:00"/>
    <n v="554"/>
    <n v="0"/>
    <n v="0"/>
    <n v="12"/>
    <n v="0"/>
    <n v="0"/>
    <n v="0"/>
    <n v="85"/>
    <n v="0"/>
    <n v="0"/>
    <n v="0"/>
    <n v="0"/>
    <n v="0"/>
    <n v="0"/>
    <n v="0"/>
    <n v="0"/>
    <n v="0"/>
    <n v="0"/>
    <n v="0"/>
    <n v="4"/>
    <n v="4"/>
    <x v="0"/>
    <x v="94"/>
    <d v="1899-12-30T19:30:00"/>
    <d v="1899-12-30T20:00:00"/>
  </r>
  <r>
    <d v="2024-10-02T00:00:00"/>
    <n v="925"/>
    <s v="S2S Premium"/>
    <s v="XPm_Chamorro,Rocio"/>
    <x v="179"/>
    <d v="1899-12-30T17:00:00"/>
    <s v="-"/>
    <d v="1899-12-30T17:30:00"/>
    <n v="759"/>
    <n v="0"/>
    <n v="0"/>
    <n v="16"/>
    <n v="0"/>
    <n v="0"/>
    <n v="0"/>
    <n v="25"/>
    <n v="169"/>
    <n v="0"/>
    <n v="0"/>
    <n v="0"/>
    <n v="0"/>
    <n v="0"/>
    <n v="0"/>
    <n v="0"/>
    <n v="0"/>
    <n v="0"/>
    <n v="0"/>
    <n v="4"/>
    <n v="3"/>
    <x v="1"/>
    <x v="94"/>
    <d v="1899-12-30T17:00:00"/>
    <d v="1899-12-30T17:30:00"/>
  </r>
  <r>
    <d v="2024-10-02T00:00:00"/>
    <n v="925"/>
    <s v="S2S Premium"/>
    <s v="XPm_Chamorro,Rocio"/>
    <x v="179"/>
    <d v="1899-12-30T16:00:00"/>
    <s v="-"/>
    <d v="1899-12-30T16:30:00"/>
    <n v="789"/>
    <n v="0"/>
    <n v="0"/>
    <n v="20"/>
    <n v="0"/>
    <n v="0"/>
    <n v="0"/>
    <n v="3"/>
    <n v="14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XPm_Chamorro,Rocio"/>
    <x v="179"/>
    <d v="1899-12-30T17:30:00"/>
    <s v="-"/>
    <d v="1899-12-30T18:00:00"/>
    <n v="867"/>
    <n v="0"/>
    <n v="0"/>
    <n v="20"/>
    <n v="0"/>
    <n v="0"/>
    <n v="0"/>
    <n v="323"/>
    <n v="129"/>
    <n v="0"/>
    <n v="0"/>
    <n v="0"/>
    <n v="0"/>
    <n v="0"/>
    <n v="0"/>
    <n v="0"/>
    <n v="0"/>
    <n v="0"/>
    <n v="0"/>
    <n v="5"/>
    <n v="4"/>
    <x v="1"/>
    <x v="94"/>
    <d v="1899-12-30T17:30:00"/>
    <d v="1899-12-30T18:00:00"/>
  </r>
  <r>
    <d v="2024-10-02T00:00:00"/>
    <n v="924"/>
    <s v="S2S No Premium"/>
    <s v="XPm_Chamorro,Rocio"/>
    <x v="179"/>
    <d v="1899-12-30T18:30:00"/>
    <s v="-"/>
    <d v="1899-12-30T19:00:00"/>
    <n v="1000"/>
    <n v="0"/>
    <n v="0"/>
    <n v="16"/>
    <n v="0"/>
    <n v="0"/>
    <n v="0"/>
    <n v="213"/>
    <n v="147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5"/>
    <s v="S2S Premium"/>
    <s v="XPm_Chamorro,Rocio"/>
    <x v="179"/>
    <d v="1899-12-30T16:30:00"/>
    <s v="-"/>
    <d v="1899-12-30T17:00:00"/>
    <n v="1034"/>
    <n v="0"/>
    <n v="0"/>
    <n v="24"/>
    <n v="0"/>
    <n v="0"/>
    <n v="0"/>
    <n v="341"/>
    <n v="132"/>
    <n v="0"/>
    <n v="0"/>
    <n v="0"/>
    <n v="0"/>
    <n v="0"/>
    <n v="0"/>
    <n v="0"/>
    <n v="0"/>
    <n v="0"/>
    <n v="0"/>
    <n v="6"/>
    <n v="6"/>
    <x v="1"/>
    <x v="94"/>
    <d v="1899-12-30T16:30:00"/>
    <d v="1899-12-30T17:00:00"/>
  </r>
  <r>
    <d v="2024-10-02T00:00:00"/>
    <n v="924"/>
    <s v="S2S No Premium"/>
    <s v="XPm_Chamorro,Rocio"/>
    <x v="179"/>
    <d v="1899-12-30T19:00:00"/>
    <s v="-"/>
    <d v="1899-12-30T19:30:00"/>
    <n v="116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PCC_Schubert Ingrid"/>
    <x v="180"/>
    <d v="1899-12-30T15:00:00"/>
    <s v="-"/>
    <d v="1899-12-30T15:30:00"/>
    <n v="4"/>
    <n v="0"/>
    <n v="0"/>
    <n v="0"/>
    <n v="0"/>
    <n v="0"/>
    <n v="0"/>
    <n v="52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PCC_Schubert Ingrid"/>
    <x v="180"/>
    <d v="1899-12-30T14:30:00"/>
    <s v="-"/>
    <d v="1899-12-30T15:00:00"/>
    <n v="9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4:30:00"/>
    <d v="1899-12-30T15:00:00"/>
  </r>
  <r>
    <d v="2024-10-02T00:00:00"/>
    <n v="925"/>
    <s v="S2S Premium"/>
    <s v="PCC_Schubert Ingrid"/>
    <x v="180"/>
    <d v="1899-12-30T14:00:00"/>
    <s v="-"/>
    <d v="1899-12-30T14:30:00"/>
    <n v="371"/>
    <n v="0"/>
    <n v="0"/>
    <n v="12"/>
    <n v="0"/>
    <n v="0"/>
    <n v="0"/>
    <n v="798"/>
    <n v="0"/>
    <n v="0"/>
    <n v="0"/>
    <n v="0"/>
    <n v="0"/>
    <n v="0"/>
    <n v="0"/>
    <n v="0"/>
    <n v="0"/>
    <n v="0"/>
    <n v="0"/>
    <n v="4"/>
    <n v="3"/>
    <x v="1"/>
    <x v="94"/>
    <d v="1899-12-30T14:00:00"/>
    <d v="1899-12-30T14:30:00"/>
  </r>
  <r>
    <d v="2024-10-02T00:00:00"/>
    <n v="924"/>
    <s v="S2S No Premium"/>
    <s v="XDPCC_Aguirre Leandr"/>
    <x v="181"/>
    <d v="1899-12-30T18:00:00"/>
    <s v="-"/>
    <d v="1899-12-30T18:30:00"/>
    <n v="154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DPCC_Aguirre Leandr"/>
    <x v="181"/>
    <d v="1899-12-30T19:00:00"/>
    <s v="-"/>
    <d v="1899-12-30T19:30:00"/>
    <n v="306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XDPCC_Aguirre Leandr"/>
    <x v="181"/>
    <d v="1899-12-30T14:00:00"/>
    <s v="-"/>
    <d v="1899-12-30T14:30:00"/>
    <n v="358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DPCC_Aguirre Leandr"/>
    <x v="181"/>
    <d v="1899-12-30T17:00:00"/>
    <s v="-"/>
    <d v="1899-12-30T17:30:00"/>
    <n v="412"/>
    <n v="7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7:00:00"/>
    <d v="1899-12-30T17:30:00"/>
  </r>
  <r>
    <d v="2024-10-02T00:00:00"/>
    <n v="925"/>
    <s v="S2S Premium"/>
    <s v="XDPCC_Aguirre Leandr"/>
    <x v="181"/>
    <d v="1899-12-30T15:00:00"/>
    <s v="-"/>
    <d v="1899-12-30T15:30:00"/>
    <n v="419"/>
    <n v="2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5:00:00"/>
    <d v="1899-12-30T15:30:00"/>
  </r>
  <r>
    <d v="2024-10-02T00:00:00"/>
    <n v="924"/>
    <s v="S2S No Premium"/>
    <s v="XDPCC_Aguirre Leandr"/>
    <x v="181"/>
    <d v="1899-12-30T19:30:00"/>
    <s v="-"/>
    <d v="1899-12-30T20:00:00"/>
    <n v="505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4"/>
    <s v="S2S No Premium"/>
    <s v="XDPCC_Aguirre Leandr"/>
    <x v="181"/>
    <d v="1899-12-30T18:30:00"/>
    <s v="-"/>
    <d v="1899-12-30T19:00:00"/>
    <n v="557"/>
    <n v="0"/>
    <n v="0"/>
    <n v="20"/>
    <n v="0"/>
    <n v="0"/>
    <n v="0"/>
    <n v="2"/>
    <n v="1"/>
    <n v="0"/>
    <n v="0"/>
    <n v="0"/>
    <n v="0"/>
    <n v="0"/>
    <n v="0"/>
    <n v="0"/>
    <n v="0"/>
    <n v="0"/>
    <n v="0"/>
    <n v="5"/>
    <n v="2"/>
    <x v="0"/>
    <x v="94"/>
    <d v="1899-12-30T18:30:00"/>
    <d v="1899-12-30T19:00:00"/>
  </r>
  <r>
    <d v="2024-10-02T00:00:00"/>
    <n v="925"/>
    <s v="S2S Premium"/>
    <s v="XDPCC_Aguirre Leandr"/>
    <x v="181"/>
    <d v="1899-12-30T18:00:00"/>
    <s v="-"/>
    <d v="1899-12-30T18:30:00"/>
    <n v="573"/>
    <n v="0"/>
    <n v="0"/>
    <n v="16"/>
    <n v="0"/>
    <n v="0"/>
    <n v="0"/>
    <n v="130"/>
    <n v="0"/>
    <n v="0"/>
    <n v="0"/>
    <n v="0"/>
    <n v="0"/>
    <n v="0"/>
    <n v="0"/>
    <n v="0"/>
    <n v="0"/>
    <n v="0"/>
    <n v="0"/>
    <n v="5"/>
    <n v="4"/>
    <x v="1"/>
    <x v="94"/>
    <d v="1899-12-30T18:00:00"/>
    <d v="1899-12-30T18:30:00"/>
  </r>
  <r>
    <d v="2024-10-02T00:00:00"/>
    <n v="925"/>
    <s v="S2S Premium"/>
    <s v="XDPCC_Aguirre Leandr"/>
    <x v="181"/>
    <d v="1899-12-30T15:30:00"/>
    <s v="-"/>
    <d v="1899-12-30T16:00:00"/>
    <n v="69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5:30:00"/>
    <d v="1899-12-30T16:00:00"/>
  </r>
  <r>
    <d v="2024-10-02T00:00:00"/>
    <n v="925"/>
    <s v="S2S Premium"/>
    <s v="XDPCC_Aguirre Leandr"/>
    <x v="181"/>
    <d v="1899-12-30T16:30:00"/>
    <s v="-"/>
    <d v="1899-12-30T17:00:00"/>
    <n v="752"/>
    <n v="4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XDPCC_Aguirre Leandr"/>
    <x v="181"/>
    <d v="1899-12-30T14:30:00"/>
    <s v="-"/>
    <d v="1899-12-30T15:00:00"/>
    <n v="792"/>
    <n v="0"/>
    <n v="0"/>
    <n v="16"/>
    <n v="0"/>
    <n v="0"/>
    <n v="0"/>
    <n v="48"/>
    <n v="37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PCC_Aguirre Leandr"/>
    <x v="181"/>
    <d v="1899-12-30T17:30:00"/>
    <s v="-"/>
    <d v="1899-12-30T18:00:00"/>
    <n v="1011"/>
    <n v="0"/>
    <n v="0"/>
    <n v="20"/>
    <n v="0"/>
    <n v="0"/>
    <n v="0"/>
    <n v="153"/>
    <n v="138"/>
    <n v="0"/>
    <n v="0"/>
    <n v="0"/>
    <n v="0"/>
    <n v="0"/>
    <n v="0"/>
    <n v="0"/>
    <n v="0"/>
    <n v="0"/>
    <n v="0"/>
    <n v="5"/>
    <n v="4"/>
    <x v="1"/>
    <x v="94"/>
    <d v="1899-12-30T17:30:00"/>
    <d v="1899-12-30T18:00:00"/>
  </r>
  <r>
    <d v="2024-10-02T00:00:00"/>
    <n v="925"/>
    <s v="S2S Premium"/>
    <s v="XDPCC_Aguirre Leandr"/>
    <x v="181"/>
    <d v="1899-12-30T16:00:00"/>
    <s v="-"/>
    <d v="1899-12-30T16:30:00"/>
    <n v="1385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Pereyra,Tamar"/>
    <x v="182"/>
    <d v="1899-12-30T18:30:00"/>
    <s v="-"/>
    <d v="1899-12-30T19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8:30:00"/>
    <d v="1899-12-30T19:00:00"/>
  </r>
  <r>
    <d v="2024-10-02T00:00:00"/>
    <n v="925"/>
    <s v="S2S Premium"/>
    <s v="XDPCC_Pereyra,Tamar"/>
    <x v="182"/>
    <d v="1899-12-30T18:00:00"/>
    <s v="-"/>
    <d v="1899-12-30T18:30:00"/>
    <n v="236"/>
    <n v="0"/>
    <n v="0"/>
    <n v="9"/>
    <n v="0"/>
    <n v="0"/>
    <n v="0"/>
    <n v="213"/>
    <n v="125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XDPCC_Pereyra,Tamar"/>
    <x v="182"/>
    <d v="1899-12-30T17:00:00"/>
    <s v="-"/>
    <d v="1899-12-30T17:30:00"/>
    <n v="360"/>
    <n v="0"/>
    <n v="0"/>
    <n v="4"/>
    <n v="0"/>
    <n v="0"/>
    <n v="0"/>
    <n v="107"/>
    <n v="0"/>
    <n v="0"/>
    <n v="0"/>
    <n v="0"/>
    <n v="0"/>
    <n v="0"/>
    <n v="0"/>
    <n v="0"/>
    <n v="0"/>
    <n v="0"/>
    <n v="0"/>
    <n v="2"/>
    <n v="2"/>
    <x v="1"/>
    <x v="94"/>
    <d v="1899-12-30T17:00:00"/>
    <d v="1899-12-30T17:30:00"/>
  </r>
  <r>
    <d v="2024-10-02T00:00:00"/>
    <n v="925"/>
    <s v="S2S Premium"/>
    <s v="XDPCC_Pereyra,Tamar"/>
    <x v="182"/>
    <d v="1899-12-30T15:30:00"/>
    <s v="-"/>
    <d v="1899-12-30T16:00:00"/>
    <n v="51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30:00"/>
    <d v="1899-12-30T16:00:00"/>
  </r>
  <r>
    <d v="2024-10-02T00:00:00"/>
    <n v="925"/>
    <s v="S2S Premium"/>
    <s v="XDPCC_Pereyra,Tamar"/>
    <x v="182"/>
    <d v="1899-12-30T16:00:00"/>
    <s v="-"/>
    <d v="1899-12-30T16:30:00"/>
    <n v="856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4"/>
    <n v="2"/>
    <x v="1"/>
    <x v="94"/>
    <d v="1899-12-30T16:00:00"/>
    <d v="1899-12-30T16:30:00"/>
  </r>
  <r>
    <d v="2024-10-02T00:00:00"/>
    <n v="925"/>
    <s v="S2S Premium"/>
    <s v="XDPCC_Pereyra,Tamar"/>
    <x v="182"/>
    <d v="1899-12-30T16:30:00"/>
    <s v="-"/>
    <d v="1899-12-30T17:00:00"/>
    <n v="895"/>
    <n v="0"/>
    <n v="0"/>
    <n v="24"/>
    <n v="0"/>
    <n v="0"/>
    <n v="0"/>
    <n v="224"/>
    <n v="166"/>
    <n v="0"/>
    <n v="0"/>
    <n v="0"/>
    <n v="0"/>
    <n v="0"/>
    <n v="0"/>
    <n v="0"/>
    <n v="0"/>
    <n v="0"/>
    <n v="0"/>
    <n v="5"/>
    <n v="3"/>
    <x v="1"/>
    <x v="94"/>
    <d v="1899-12-30T16:30:00"/>
    <d v="1899-12-30T17:00:00"/>
  </r>
  <r>
    <d v="2024-10-02T00:00:00"/>
    <n v="925"/>
    <s v="S2S Premium"/>
    <s v="XDPCC_Pereyra,Tamar"/>
    <x v="182"/>
    <d v="1899-12-30T17:30:00"/>
    <s v="-"/>
    <d v="1899-12-30T18:00:00"/>
    <n v="1099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n v="6"/>
    <n v="2"/>
    <x v="1"/>
    <x v="94"/>
    <d v="1899-12-30T17:30:00"/>
    <d v="1899-12-30T18:00:00"/>
  </r>
  <r>
    <d v="2024-10-02T00:00:00"/>
    <n v="925"/>
    <s v="S2S Premium"/>
    <s v="DPCC_Rocio Sanchez"/>
    <x v="18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DPCC_Rocio Sanchez"/>
    <x v="183"/>
    <d v="1899-12-30T14:00:00"/>
    <s v="-"/>
    <d v="1899-12-30T14:30:00"/>
    <n v="517"/>
    <n v="0"/>
    <n v="0"/>
    <n v="10"/>
    <n v="0"/>
    <n v="0"/>
    <n v="0"/>
    <n v="10"/>
    <n v="0"/>
    <n v="0"/>
    <n v="0"/>
    <n v="0"/>
    <n v="0"/>
    <n v="0"/>
    <n v="0"/>
    <n v="0"/>
    <n v="0"/>
    <n v="0"/>
    <n v="0"/>
    <n v="2"/>
    <n v="0"/>
    <x v="1"/>
    <x v="94"/>
    <d v="1899-12-30T14:00:00"/>
    <d v="1899-12-30T14:30:00"/>
  </r>
  <r>
    <d v="2024-10-02T00:00:00"/>
    <n v="925"/>
    <s v="S2S Premium"/>
    <s v="DPCC_Rocio Sanchez"/>
    <x v="183"/>
    <d v="1899-12-30T14:30:00"/>
    <s v="-"/>
    <d v="1899-12-30T15:00:00"/>
    <n v="1006"/>
    <n v="0"/>
    <n v="0"/>
    <n v="10"/>
    <n v="0"/>
    <n v="0"/>
    <n v="0"/>
    <n v="8"/>
    <n v="2"/>
    <n v="0"/>
    <n v="0"/>
    <n v="0"/>
    <n v="0"/>
    <n v="0"/>
    <n v="0"/>
    <n v="0"/>
    <n v="0"/>
    <n v="0"/>
    <n v="0"/>
    <n v="3"/>
    <n v="0"/>
    <x v="1"/>
    <x v="94"/>
    <d v="1899-12-30T14:30:00"/>
    <d v="1899-12-30T15:00:00"/>
  </r>
  <r>
    <d v="2024-10-02T00:00:00"/>
    <n v="925"/>
    <s v="S2S Premium"/>
    <s v="XDPCC_GutierrezEvely"/>
    <x v="184"/>
    <d v="1899-12-30T18:00:00"/>
    <s v="-"/>
    <d v="1899-12-30T18:30:00"/>
    <n v="154"/>
    <n v="7"/>
    <n v="0"/>
    <n v="4"/>
    <n v="0"/>
    <n v="0"/>
    <n v="0"/>
    <n v="48"/>
    <n v="43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XDPCC_GutierrezEvely"/>
    <x v="184"/>
    <d v="1899-12-30T15:00:00"/>
    <s v="-"/>
    <d v="1899-12-30T15:30:00"/>
    <n v="237"/>
    <n v="0"/>
    <n v="0"/>
    <n v="8"/>
    <n v="0"/>
    <n v="0"/>
    <n v="0"/>
    <n v="90"/>
    <n v="0"/>
    <n v="0"/>
    <n v="0"/>
    <n v="0"/>
    <n v="0"/>
    <n v="0"/>
    <n v="0"/>
    <n v="0"/>
    <n v="0"/>
    <n v="0"/>
    <n v="0"/>
    <n v="2"/>
    <n v="1"/>
    <x v="1"/>
    <x v="94"/>
    <d v="1899-12-30T15:00:00"/>
    <d v="1899-12-30T15:30:00"/>
  </r>
  <r>
    <d v="2024-10-02T00:00:00"/>
    <n v="925"/>
    <s v="S2S Premium"/>
    <s v="XDPCC_GutierrezEvely"/>
    <x v="184"/>
    <d v="1899-12-30T17:00:00"/>
    <s v="-"/>
    <d v="1899-12-30T17:30:00"/>
    <n v="459"/>
    <n v="0"/>
    <n v="0"/>
    <n v="12"/>
    <n v="0"/>
    <n v="0"/>
    <n v="0"/>
    <n v="3"/>
    <n v="343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DPCC_GutierrezEvely"/>
    <x v="184"/>
    <d v="1899-12-30T16:00:00"/>
    <s v="-"/>
    <d v="1899-12-30T16:30:00"/>
    <n v="615"/>
    <n v="116"/>
    <n v="0"/>
    <n v="12"/>
    <n v="0"/>
    <n v="0"/>
    <n v="0"/>
    <n v="347"/>
    <n v="201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GutierrezEvely"/>
    <x v="184"/>
    <d v="1899-12-30T15:30:00"/>
    <s v="-"/>
    <d v="1899-12-30T16:00:00"/>
    <n v="731"/>
    <n v="0"/>
    <n v="0"/>
    <n v="15"/>
    <n v="0"/>
    <n v="0"/>
    <n v="0"/>
    <n v="101"/>
    <n v="0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XDPCC_GutierrezEvely"/>
    <x v="184"/>
    <d v="1899-12-30T19:30:00"/>
    <s v="-"/>
    <d v="1899-12-30T20:00:00"/>
    <n v="800"/>
    <n v="120"/>
    <n v="0"/>
    <n v="8"/>
    <n v="0"/>
    <n v="0"/>
    <n v="0"/>
    <n v="403"/>
    <n v="0"/>
    <n v="0"/>
    <n v="0"/>
    <n v="0"/>
    <n v="0"/>
    <n v="0"/>
    <n v="0"/>
    <n v="0"/>
    <n v="0"/>
    <n v="0"/>
    <n v="0"/>
    <n v="3"/>
    <n v="3"/>
    <x v="1"/>
    <x v="94"/>
    <d v="1899-12-30T19:30:00"/>
    <d v="1899-12-30T20:00:00"/>
  </r>
  <r>
    <d v="2024-10-02T00:00:00"/>
    <n v="925"/>
    <s v="S2S Premium"/>
    <s v="XDPCC_GutierrezEvely"/>
    <x v="184"/>
    <d v="1899-12-30T18:30:00"/>
    <s v="-"/>
    <d v="1899-12-30T19:00:00"/>
    <n v="801"/>
    <n v="0"/>
    <n v="0"/>
    <n v="12"/>
    <n v="0"/>
    <n v="0"/>
    <n v="0"/>
    <n v="130"/>
    <n v="251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DPCC_GutierrezEvely"/>
    <x v="184"/>
    <d v="1899-12-30T16:30:00"/>
    <s v="-"/>
    <d v="1899-12-30T17:00:00"/>
    <n v="853"/>
    <n v="0"/>
    <n v="0"/>
    <n v="8"/>
    <n v="0"/>
    <n v="0"/>
    <n v="0"/>
    <n v="391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DPCC_GutierrezEvely"/>
    <x v="184"/>
    <d v="1899-12-30T19:00:00"/>
    <s v="-"/>
    <d v="1899-12-30T19:30:00"/>
    <n v="1005"/>
    <n v="150"/>
    <n v="0"/>
    <n v="20"/>
    <n v="0"/>
    <n v="0"/>
    <n v="0"/>
    <n v="455"/>
    <n v="0"/>
    <n v="0"/>
    <n v="0"/>
    <n v="0"/>
    <n v="0"/>
    <n v="0"/>
    <n v="0"/>
    <n v="0"/>
    <n v="0"/>
    <n v="0"/>
    <n v="0"/>
    <n v="5"/>
    <n v="4"/>
    <x v="1"/>
    <x v="94"/>
    <d v="1899-12-30T19:00:00"/>
    <d v="1899-12-30T19:30:00"/>
  </r>
  <r>
    <d v="2024-10-02T00:00:00"/>
    <n v="925"/>
    <s v="S2S Premium"/>
    <s v="XDPCC_GutierrezEvely"/>
    <x v="184"/>
    <d v="1899-12-30T17:30:00"/>
    <s v="-"/>
    <d v="1899-12-30T18:00:00"/>
    <n v="1041"/>
    <n v="0"/>
    <n v="0"/>
    <n v="20"/>
    <n v="0"/>
    <n v="0"/>
    <n v="0"/>
    <n v="652"/>
    <n v="0"/>
    <n v="0"/>
    <n v="0"/>
    <n v="0"/>
    <n v="0"/>
    <n v="0"/>
    <n v="0"/>
    <n v="0"/>
    <n v="0"/>
    <n v="0"/>
    <n v="0"/>
    <n v="6"/>
    <n v="6"/>
    <x v="1"/>
    <x v="94"/>
    <d v="1899-12-30T17:30:00"/>
    <d v="1899-12-30T18:00:00"/>
  </r>
  <r>
    <d v="2024-10-02T00:00:00"/>
    <n v="925"/>
    <s v="S2S Premium"/>
    <s v="DPCC_Paciello Irma"/>
    <x v="185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DPCC_Paciello Irma"/>
    <x v="185"/>
    <d v="1899-12-30T15:00:00"/>
    <s v="-"/>
    <d v="1899-12-30T15:30:00"/>
    <n v="446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DPCC_Paciello Irma"/>
    <x v="185"/>
    <d v="1899-12-30T15:30:00"/>
    <s v="-"/>
    <d v="1899-12-30T16:00:00"/>
    <n v="522"/>
    <n v="0"/>
    <n v="0"/>
    <n v="12"/>
    <n v="0"/>
    <n v="0"/>
    <n v="0"/>
    <n v="406"/>
    <n v="297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DPCC_Paciello Irma"/>
    <x v="185"/>
    <d v="1899-12-30T14:30:00"/>
    <s v="-"/>
    <d v="1899-12-30T15:00:00"/>
    <n v="569"/>
    <n v="0"/>
    <n v="0"/>
    <n v="20"/>
    <n v="0"/>
    <n v="0"/>
    <n v="0"/>
    <n v="287"/>
    <n v="0"/>
    <n v="0"/>
    <n v="0"/>
    <n v="0"/>
    <n v="0"/>
    <n v="0"/>
    <n v="0"/>
    <n v="0"/>
    <n v="0"/>
    <n v="0"/>
    <n v="0"/>
    <n v="6"/>
    <n v="3"/>
    <x v="1"/>
    <x v="94"/>
    <d v="1899-12-30T14:30:00"/>
    <d v="1899-12-30T15:00:00"/>
  </r>
  <r>
    <d v="2024-10-02T00:00:00"/>
    <n v="925"/>
    <s v="S2S Premium"/>
    <s v="DPCC_Paciello Irma"/>
    <x v="185"/>
    <d v="1899-12-30T14:00:00"/>
    <s v="-"/>
    <d v="1899-12-30T14:30:00"/>
    <n v="782"/>
    <n v="0"/>
    <n v="0"/>
    <n v="8"/>
    <n v="0"/>
    <n v="0"/>
    <n v="0"/>
    <n v="57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PCC_Silvia Iglesias"/>
    <x v="186"/>
    <d v="1899-12-30T15:00:00"/>
    <s v="-"/>
    <d v="1899-12-30T15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PCC_Silvia Iglesias"/>
    <x v="186"/>
    <d v="1899-12-30T14:30:00"/>
    <s v="-"/>
    <d v="1899-12-30T15:00:00"/>
    <n v="865"/>
    <n v="0"/>
    <n v="0"/>
    <n v="11"/>
    <n v="0"/>
    <n v="0"/>
    <n v="0"/>
    <n v="105"/>
    <n v="1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XPCC_Silvia Iglesias"/>
    <x v="186"/>
    <d v="1899-12-30T14:00:00"/>
    <s v="-"/>
    <d v="1899-12-30T14:30:00"/>
    <n v="1337"/>
    <n v="0"/>
    <n v="0"/>
    <n v="8"/>
    <n v="0"/>
    <n v="0"/>
    <n v="0"/>
    <n v="123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XPCC_Espindola,Malen"/>
    <x v="187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00:00"/>
    <d v="1899-12-30T19:30:00"/>
  </r>
  <r>
    <d v="2024-10-02T00:00:00"/>
    <n v="925"/>
    <s v="S2S Premium"/>
    <s v="XPCC_Espindola,Malen"/>
    <x v="187"/>
    <d v="1899-12-30T14:30:00"/>
    <s v="-"/>
    <d v="1899-12-30T15:00:00"/>
    <n v="419"/>
    <n v="0"/>
    <n v="0"/>
    <n v="16"/>
    <n v="0"/>
    <n v="0"/>
    <n v="0"/>
    <n v="230"/>
    <n v="224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XPCC_Espindola,Malen"/>
    <x v="187"/>
    <d v="1899-12-30T17:00:00"/>
    <s v="-"/>
    <d v="1899-12-30T17:30:00"/>
    <n v="455"/>
    <n v="0"/>
    <n v="0"/>
    <n v="8"/>
    <n v="0"/>
    <n v="0"/>
    <n v="0"/>
    <n v="171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Espindola,Malen"/>
    <x v="187"/>
    <d v="1899-12-30T15:00:00"/>
    <s v="-"/>
    <d v="1899-12-30T15:30:00"/>
    <n v="550"/>
    <n v="0"/>
    <n v="0"/>
    <n v="8"/>
    <n v="0"/>
    <n v="0"/>
    <n v="0"/>
    <n v="126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CC_Espindola,Malen"/>
    <x v="187"/>
    <d v="1899-12-30T15:30:00"/>
    <s v="-"/>
    <d v="1899-12-30T16:00:00"/>
    <n v="66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XPCC_Espindola,Malen"/>
    <x v="187"/>
    <d v="1899-12-30T16:30:00"/>
    <s v="-"/>
    <d v="1899-12-30T17:00:00"/>
    <n v="688"/>
    <n v="0"/>
    <n v="0"/>
    <n v="12"/>
    <n v="0"/>
    <n v="0"/>
    <n v="0"/>
    <n v="788"/>
    <n v="382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PCC_Espindola,Malen"/>
    <x v="187"/>
    <d v="1899-12-30T18:00:00"/>
    <s v="-"/>
    <d v="1899-12-30T18:30:00"/>
    <n v="750"/>
    <n v="0"/>
    <n v="0"/>
    <n v="16"/>
    <n v="0"/>
    <n v="0"/>
    <n v="0"/>
    <n v="69"/>
    <n v="0"/>
    <n v="0"/>
    <n v="0"/>
    <n v="0"/>
    <n v="0"/>
    <n v="0"/>
    <n v="0"/>
    <n v="0"/>
    <n v="0"/>
    <n v="0"/>
    <n v="0"/>
    <n v="5"/>
    <n v="4"/>
    <x v="1"/>
    <x v="94"/>
    <d v="1899-12-30T18:00:00"/>
    <d v="1899-12-30T18:30:00"/>
  </r>
  <r>
    <d v="2024-10-02T00:00:00"/>
    <n v="925"/>
    <s v="S2S Premium"/>
    <s v="XPCC_Espindola,Malen"/>
    <x v="187"/>
    <d v="1899-12-30T16:00:00"/>
    <s v="-"/>
    <d v="1899-12-30T16:30:00"/>
    <n v="832"/>
    <n v="0"/>
    <n v="0"/>
    <n v="12"/>
    <n v="0"/>
    <n v="0"/>
    <n v="0"/>
    <n v="293"/>
    <n v="0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PCC_Espindola,Malen"/>
    <x v="187"/>
    <d v="1899-12-30T18:30:00"/>
    <s v="-"/>
    <d v="1899-12-30T19:00:00"/>
    <n v="832"/>
    <n v="0"/>
    <n v="0"/>
    <n v="20"/>
    <n v="0"/>
    <n v="0"/>
    <n v="0"/>
    <n v="94"/>
    <n v="0"/>
    <n v="0"/>
    <n v="0"/>
    <n v="0"/>
    <n v="0"/>
    <n v="0"/>
    <n v="0"/>
    <n v="0"/>
    <n v="0"/>
    <n v="0"/>
    <n v="0"/>
    <n v="5"/>
    <n v="2"/>
    <x v="1"/>
    <x v="94"/>
    <d v="1899-12-30T18:30:00"/>
    <d v="1899-12-30T19:00:00"/>
  </r>
  <r>
    <d v="2024-10-02T00:00:00"/>
    <n v="925"/>
    <s v="S2S Premium"/>
    <s v="XPCC_Espindola,Malen"/>
    <x v="187"/>
    <d v="1899-12-30T14:00:00"/>
    <s v="-"/>
    <d v="1899-12-30T14:30:00"/>
    <n v="909"/>
    <n v="0"/>
    <n v="0"/>
    <n v="8"/>
    <n v="0"/>
    <n v="0"/>
    <n v="0"/>
    <n v="296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PCC_Espindola,Malen"/>
    <x v="187"/>
    <d v="1899-12-30T17:30:00"/>
    <s v="-"/>
    <d v="1899-12-30T18:00:00"/>
    <n v="1191"/>
    <n v="0"/>
    <n v="0"/>
    <n v="20"/>
    <n v="0"/>
    <n v="0"/>
    <n v="0"/>
    <n v="24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E*_Viviana Zardi"/>
    <x v="188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E*_Viviana Zardi"/>
    <x v="188"/>
    <d v="1899-12-30T15:30:00"/>
    <s v="-"/>
    <d v="1899-12-30T16:00:00"/>
    <n v="122"/>
    <n v="0"/>
    <n v="0"/>
    <n v="4"/>
    <n v="0"/>
    <n v="0"/>
    <n v="0"/>
    <n v="82"/>
    <n v="0"/>
    <n v="0"/>
    <n v="0"/>
    <n v="0"/>
    <n v="0"/>
    <n v="0"/>
    <n v="0"/>
    <n v="0"/>
    <n v="0"/>
    <n v="0"/>
    <n v="0"/>
    <n v="1"/>
    <n v="0"/>
    <x v="1"/>
    <x v="94"/>
    <d v="1899-12-30T15:30:00"/>
    <d v="1899-12-30T16:00:00"/>
  </r>
  <r>
    <d v="2024-10-02T00:00:00"/>
    <n v="925"/>
    <s v="S2S Premium"/>
    <s v="E*_Viviana Zardi"/>
    <x v="188"/>
    <d v="1899-12-30T15:00:00"/>
    <s v="-"/>
    <d v="1899-12-30T15:30:00"/>
    <n v="380"/>
    <n v="0"/>
    <n v="0"/>
    <n v="4"/>
    <n v="0"/>
    <n v="0"/>
    <n v="0"/>
    <n v="727"/>
    <n v="544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DPCC_Bordon Debora"/>
    <x v="189"/>
    <d v="1899-12-30T18:30:00"/>
    <s v="-"/>
    <d v="1899-12-30T19:00:00"/>
    <n v="63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1"/>
    <x v="1"/>
    <x v="94"/>
    <d v="1899-12-30T18:30:00"/>
    <d v="1899-12-30T19:00:00"/>
  </r>
  <r>
    <d v="2024-10-02T00:00:00"/>
    <n v="925"/>
    <s v="S2S Premium"/>
    <s v="XDPCC_Bordon Debora"/>
    <x v="189"/>
    <d v="1899-12-30T19:00:00"/>
    <s v="-"/>
    <d v="1899-12-30T19:30:00"/>
    <n v="1014"/>
    <n v="59"/>
    <n v="0"/>
    <n v="20"/>
    <n v="0"/>
    <n v="0"/>
    <n v="0"/>
    <n v="278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DPCC_Bordon Debora"/>
    <x v="189"/>
    <d v="1899-12-30T19:30:00"/>
    <s v="-"/>
    <d v="1899-12-30T20:00:00"/>
    <n v="1199"/>
    <n v="0"/>
    <n v="0"/>
    <n v="16"/>
    <n v="0"/>
    <n v="0"/>
    <n v="0"/>
    <n v="105"/>
    <n v="0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4"/>
    <s v="S2S No Premium"/>
    <s v="*N2m_Avalos Diana"/>
    <x v="190"/>
    <d v="1899-12-30T16:00:00"/>
    <s v="-"/>
    <d v="1899-12-30T16:30:00"/>
    <n v="40"/>
    <n v="32"/>
    <n v="0"/>
    <n v="0"/>
    <n v="0"/>
    <n v="0"/>
    <n v="0"/>
    <n v="73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N2m_Avalos Diana"/>
    <x v="190"/>
    <d v="1899-12-30T15:00:00"/>
    <s v="-"/>
    <d v="1899-12-30T15:30:00"/>
    <n v="232"/>
    <n v="0"/>
    <n v="0"/>
    <n v="0"/>
    <n v="0"/>
    <n v="0"/>
    <n v="0"/>
    <n v="704"/>
    <n v="26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Avalos Diana"/>
    <x v="190"/>
    <d v="1899-12-30T14:00:00"/>
    <s v="-"/>
    <d v="1899-12-30T14:30:00"/>
    <n v="418"/>
    <n v="14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*N2m_Avalos Diana"/>
    <x v="190"/>
    <d v="1899-12-30T15:30:00"/>
    <s v="-"/>
    <d v="1899-12-30T16:00:00"/>
    <n v="664"/>
    <n v="90"/>
    <n v="0"/>
    <n v="11"/>
    <n v="0"/>
    <n v="0"/>
    <n v="0"/>
    <n v="78"/>
    <n v="0"/>
    <n v="0"/>
    <n v="0"/>
    <n v="0"/>
    <n v="0"/>
    <n v="0"/>
    <n v="0"/>
    <n v="0"/>
    <n v="0"/>
    <n v="0"/>
    <n v="0"/>
    <n v="2"/>
    <n v="1"/>
    <x v="0"/>
    <x v="94"/>
    <d v="1899-12-30T15:30:00"/>
    <d v="1899-12-30T16:00:00"/>
  </r>
  <r>
    <d v="2024-10-02T00:00:00"/>
    <n v="924"/>
    <s v="S2S No Premium"/>
    <s v="*N2m_Avalos Diana"/>
    <x v="190"/>
    <d v="1899-12-30T14:30:00"/>
    <s v="-"/>
    <d v="1899-12-30T15:00:00"/>
    <n v="671"/>
    <n v="79"/>
    <n v="0"/>
    <n v="11"/>
    <n v="0"/>
    <n v="0"/>
    <n v="0"/>
    <n v="2"/>
    <n v="2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5"/>
    <s v="S2S Premium"/>
    <s v="DPCC_Mateo Margarit"/>
    <x v="191"/>
    <d v="1899-12-30T15:00:00"/>
    <s v="-"/>
    <d v="1899-12-30T15:30:00"/>
    <n v="644"/>
    <n v="2"/>
    <n v="0"/>
    <n v="0"/>
    <n v="0"/>
    <n v="0"/>
    <n v="0"/>
    <n v="1"/>
    <n v="2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DPCC_Mateo Margarit"/>
    <x v="191"/>
    <d v="1899-12-30T14:00:00"/>
    <s v="-"/>
    <d v="1899-12-30T14:30:00"/>
    <n v="704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94"/>
    <d v="1899-12-30T14:00:00"/>
    <d v="1899-12-30T14:30:00"/>
  </r>
  <r>
    <d v="2024-10-02T00:00:00"/>
    <n v="925"/>
    <s v="S2S Premium"/>
    <s v="DPCC_Mateo Margarit"/>
    <x v="191"/>
    <d v="1899-12-30T14:30:00"/>
    <s v="-"/>
    <d v="1899-12-30T15:00:00"/>
    <n v="904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PCC_Escual Gabriela"/>
    <x v="192"/>
    <d v="1899-12-30T14:00:00"/>
    <s v="-"/>
    <d v="1899-12-30T14:30:00"/>
    <n v="7"/>
    <n v="10"/>
    <n v="0"/>
    <n v="0"/>
    <n v="0"/>
    <n v="0"/>
    <n v="0"/>
    <n v="11"/>
    <n v="0"/>
    <n v="0"/>
    <n v="0"/>
    <n v="0"/>
    <n v="0"/>
    <n v="0"/>
    <n v="0"/>
    <n v="0"/>
    <n v="0"/>
    <n v="0"/>
    <n v="0"/>
    <n v="1"/>
    <n v="0"/>
    <x v="1"/>
    <x v="94"/>
    <d v="1899-12-30T14:00:00"/>
    <d v="1899-12-30T14:30:00"/>
  </r>
  <r>
    <d v="2024-10-02T00:00:00"/>
    <n v="925"/>
    <s v="S2S Premium"/>
    <s v="XDE_BaezRieraFloren"/>
    <x v="193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00:00"/>
    <d v="1899-12-30T19:30:00"/>
  </r>
  <r>
    <d v="2024-10-02T00:00:00"/>
    <n v="925"/>
    <s v="S2S Premium"/>
    <s v="XDE_BaezRieraFloren"/>
    <x v="193"/>
    <d v="1899-12-30T16:00:00"/>
    <s v="-"/>
    <d v="1899-12-30T16:30:00"/>
    <n v="78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6:00:00"/>
    <d v="1899-12-30T16:30:00"/>
  </r>
  <r>
    <d v="2024-10-02T00:00:00"/>
    <n v="925"/>
    <s v="S2S Premium"/>
    <s v="XDE_BaezRieraFloren"/>
    <x v="193"/>
    <d v="1899-12-30T17:30:00"/>
    <s v="-"/>
    <d v="1899-12-30T18:00:00"/>
    <n v="105"/>
    <n v="0"/>
    <n v="0"/>
    <n v="0"/>
    <n v="0"/>
    <n v="0"/>
    <n v="0"/>
    <n v="476"/>
    <n v="29"/>
    <n v="0"/>
    <n v="0"/>
    <n v="0"/>
    <n v="0"/>
    <n v="0"/>
    <n v="0"/>
    <n v="0"/>
    <n v="0"/>
    <n v="0"/>
    <n v="0"/>
    <n v="1"/>
    <n v="1"/>
    <x v="1"/>
    <x v="94"/>
    <d v="1899-12-30T17:30:00"/>
    <d v="1899-12-30T18:00:00"/>
  </r>
  <r>
    <d v="2024-10-02T00:00:00"/>
    <n v="925"/>
    <s v="S2S Premium"/>
    <s v="XDE_BaezRieraFloren"/>
    <x v="193"/>
    <d v="1899-12-30T16:30:00"/>
    <s v="-"/>
    <d v="1899-12-30T17:00:00"/>
    <n v="312"/>
    <n v="0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XDE_BaezRieraFloren"/>
    <x v="193"/>
    <d v="1899-12-30T18:00:00"/>
    <s v="-"/>
    <d v="1899-12-30T18:30:00"/>
    <n v="440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DE_BaezRieraFloren"/>
    <x v="193"/>
    <d v="1899-12-30T19:30:00"/>
    <s v="-"/>
    <d v="1899-12-30T20:00:00"/>
    <n v="53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1"/>
    <x v="1"/>
    <x v="94"/>
    <d v="1899-12-30T19:30:00"/>
    <d v="1899-12-30T20:00:00"/>
  </r>
  <r>
    <d v="2024-10-02T00:00:00"/>
    <n v="925"/>
    <s v="S2S Premium"/>
    <s v="XDE_BaezRieraFloren"/>
    <x v="193"/>
    <d v="1899-12-30T18:30:00"/>
    <s v="-"/>
    <d v="1899-12-30T19:00:00"/>
    <n v="799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DE_BaezRieraFloren"/>
    <x v="193"/>
    <d v="1899-12-30T14:30:00"/>
    <s v="-"/>
    <d v="1899-12-30T15:00:00"/>
    <n v="862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E_BaezRieraFloren"/>
    <x v="193"/>
    <d v="1899-12-30T17:00:00"/>
    <s v="-"/>
    <d v="1899-12-30T17:30:00"/>
    <n v="870"/>
    <n v="0"/>
    <n v="0"/>
    <n v="8"/>
    <n v="0"/>
    <n v="0"/>
    <n v="0"/>
    <n v="0"/>
    <n v="373"/>
    <n v="0"/>
    <n v="0"/>
    <n v="0"/>
    <n v="0"/>
    <n v="0"/>
    <n v="0"/>
    <n v="0"/>
    <n v="0"/>
    <n v="0"/>
    <n v="0"/>
    <n v="2"/>
    <n v="0"/>
    <x v="1"/>
    <x v="94"/>
    <d v="1899-12-30T17:00:00"/>
    <d v="1899-12-30T17:30:00"/>
  </r>
  <r>
    <d v="2024-10-02T00:00:00"/>
    <n v="925"/>
    <s v="S2S Premium"/>
    <s v="XDE_BaezRieraFloren"/>
    <x v="193"/>
    <d v="1899-12-30T15:00:00"/>
    <s v="-"/>
    <d v="1899-12-30T15:30:00"/>
    <n v="995"/>
    <n v="0"/>
    <n v="0"/>
    <n v="16"/>
    <n v="0"/>
    <n v="0"/>
    <n v="0"/>
    <n v="135"/>
    <n v="131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DE_BaezRieraFloren"/>
    <x v="193"/>
    <d v="1899-12-30T15:30:00"/>
    <s v="-"/>
    <d v="1899-12-30T16:00:00"/>
    <n v="109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5"/>
    <s v="S2S Premium"/>
    <s v="PCC_Bordón Melisa A"/>
    <x v="194"/>
    <d v="1899-12-30T19:00:00"/>
    <s v="-"/>
    <d v="1899-12-30T19:30:00"/>
    <n v="2"/>
    <n v="0"/>
    <n v="0"/>
    <n v="0"/>
    <n v="0"/>
    <n v="0"/>
    <n v="0"/>
    <n v="397"/>
    <n v="0"/>
    <n v="0"/>
    <n v="0"/>
    <n v="0"/>
    <n v="0"/>
    <n v="0"/>
    <n v="0"/>
    <n v="0"/>
    <n v="0"/>
    <n v="0"/>
    <n v="0"/>
    <n v="1"/>
    <n v="0"/>
    <x v="1"/>
    <x v="94"/>
    <d v="1899-12-30T19:00:00"/>
    <d v="1899-12-30T19:30:00"/>
  </r>
  <r>
    <d v="2024-10-02T00:00:00"/>
    <n v="925"/>
    <s v="S2S Premium"/>
    <s v="PCC_Bordón Melisa A"/>
    <x v="194"/>
    <d v="1899-12-30T17:00:00"/>
    <s v="-"/>
    <d v="1899-12-30T17:30:00"/>
    <n v="214"/>
    <n v="0"/>
    <n v="0"/>
    <n v="3"/>
    <n v="0"/>
    <n v="0"/>
    <n v="0"/>
    <n v="343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PCC_Bordón Melisa A"/>
    <x v="194"/>
    <d v="1899-12-30T15:00:00"/>
    <s v="-"/>
    <d v="1899-12-30T15:30:00"/>
    <n v="21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CC_Bordón Melisa A"/>
    <x v="194"/>
    <d v="1899-12-30T15:30:00"/>
    <s v="-"/>
    <d v="1899-12-30T16:00:00"/>
    <n v="612"/>
    <n v="0"/>
    <n v="0"/>
    <n v="16"/>
    <n v="0"/>
    <n v="0"/>
    <n v="0"/>
    <n v="0"/>
    <n v="15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PCC_Bordón Melisa A"/>
    <x v="194"/>
    <d v="1899-12-30T16:30:00"/>
    <s v="-"/>
    <d v="1899-12-30T17:00:00"/>
    <n v="70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PCC_Bordón Melisa A"/>
    <x v="194"/>
    <d v="1899-12-30T18:30:00"/>
    <s v="-"/>
    <d v="1899-12-30T19:00:00"/>
    <n v="779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3"/>
    <n v="1"/>
    <x v="1"/>
    <x v="94"/>
    <d v="1899-12-30T18:30:00"/>
    <d v="1899-12-30T19:00:00"/>
  </r>
  <r>
    <d v="2024-10-02T00:00:00"/>
    <n v="925"/>
    <s v="S2S Premium"/>
    <s v="PCC_Bordón Melisa A"/>
    <x v="194"/>
    <d v="1899-12-30T18:00:00"/>
    <s v="-"/>
    <d v="1899-12-30T18:30:00"/>
    <n v="862"/>
    <n v="0"/>
    <n v="0"/>
    <n v="12"/>
    <n v="0"/>
    <n v="0"/>
    <n v="0"/>
    <n v="62"/>
    <n v="0"/>
    <n v="0"/>
    <n v="0"/>
    <n v="0"/>
    <n v="0"/>
    <n v="0"/>
    <n v="0"/>
    <n v="0"/>
    <n v="0"/>
    <n v="0"/>
    <n v="0"/>
    <n v="4"/>
    <n v="2"/>
    <x v="1"/>
    <x v="94"/>
    <d v="1899-12-30T18:00:00"/>
    <d v="1899-12-30T18:30:00"/>
  </r>
  <r>
    <d v="2024-10-02T00:00:00"/>
    <n v="925"/>
    <s v="S2S Premium"/>
    <s v="PCC_Bordón Melisa A"/>
    <x v="194"/>
    <d v="1899-12-30T17:30:00"/>
    <s v="-"/>
    <d v="1899-12-30T18:00:00"/>
    <n v="865"/>
    <n v="0"/>
    <n v="0"/>
    <n v="16"/>
    <n v="0"/>
    <n v="0"/>
    <n v="0"/>
    <n v="486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PCC_Bordón Melisa A"/>
    <x v="194"/>
    <d v="1899-12-30T16:00:00"/>
    <s v="-"/>
    <d v="1899-12-30T16:30:00"/>
    <n v="1295"/>
    <n v="0"/>
    <n v="0"/>
    <n v="7"/>
    <n v="0"/>
    <n v="0"/>
    <n v="0"/>
    <n v="91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PCC_GomezG Merce"/>
    <x v="195"/>
    <d v="1899-12-30T17:30:00"/>
    <s v="-"/>
    <d v="1899-12-30T18:00:00"/>
    <n v="112"/>
    <n v="0"/>
    <n v="0"/>
    <n v="4"/>
    <n v="0"/>
    <n v="0"/>
    <n v="0"/>
    <n v="424"/>
    <n v="82"/>
    <n v="0"/>
    <n v="0"/>
    <n v="0"/>
    <n v="0"/>
    <n v="0"/>
    <n v="0"/>
    <n v="0"/>
    <n v="0"/>
    <n v="0"/>
    <n v="0"/>
    <n v="2"/>
    <n v="1"/>
    <x v="1"/>
    <x v="94"/>
    <d v="1899-12-30T17:30:00"/>
    <d v="1899-12-30T18:00:00"/>
  </r>
  <r>
    <d v="2024-10-02T00:00:00"/>
    <n v="924"/>
    <s v="S2S No Premium"/>
    <s v="XPCC_GomezG Merce"/>
    <x v="195"/>
    <d v="1899-12-30T18:00:00"/>
    <s v="-"/>
    <d v="1899-12-30T18:30:00"/>
    <n v="200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PCC_GomezG Merce"/>
    <x v="195"/>
    <d v="1899-12-30T19:30:00"/>
    <s v="-"/>
    <d v="1899-12-30T20:00:00"/>
    <n v="496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PCC_GomezG Merce"/>
    <x v="195"/>
    <d v="1899-12-30T17:00:00"/>
    <s v="-"/>
    <d v="1899-12-30T17:30:00"/>
    <n v="662"/>
    <n v="0"/>
    <n v="0"/>
    <n v="16"/>
    <n v="0"/>
    <n v="0"/>
    <n v="0"/>
    <n v="41"/>
    <n v="339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GomezG Merce"/>
    <x v="195"/>
    <d v="1899-12-30T18:00:00"/>
    <s v="-"/>
    <d v="1899-12-30T18:30:00"/>
    <n v="704"/>
    <n v="0"/>
    <n v="0"/>
    <n v="12"/>
    <n v="0"/>
    <n v="0"/>
    <n v="0"/>
    <n v="97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4"/>
    <s v="S2S No Premium"/>
    <s v="XPCC_GomezG Merce"/>
    <x v="195"/>
    <d v="1899-12-30T18:30:00"/>
    <s v="-"/>
    <d v="1899-12-30T19:00:00"/>
    <n v="711"/>
    <n v="0"/>
    <n v="0"/>
    <n v="15"/>
    <n v="0"/>
    <n v="0"/>
    <n v="0"/>
    <n v="133"/>
    <n v="73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5"/>
    <s v="S2S Premium"/>
    <s v="XPCC_GomezG Merce"/>
    <x v="195"/>
    <d v="1899-12-30T16:30:00"/>
    <s v="-"/>
    <d v="1899-12-30T17:00:00"/>
    <n v="770"/>
    <n v="0"/>
    <n v="0"/>
    <n v="24"/>
    <n v="0"/>
    <n v="0"/>
    <n v="0"/>
    <n v="255"/>
    <n v="243"/>
    <n v="0"/>
    <n v="0"/>
    <n v="0"/>
    <n v="0"/>
    <n v="0"/>
    <n v="0"/>
    <n v="0"/>
    <n v="0"/>
    <n v="0"/>
    <n v="0"/>
    <n v="6"/>
    <n v="5"/>
    <x v="1"/>
    <x v="94"/>
    <d v="1899-12-30T16:30:00"/>
    <d v="1899-12-30T17:00:00"/>
  </r>
  <r>
    <d v="2024-10-02T00:00:00"/>
    <n v="925"/>
    <s v="S2S Premium"/>
    <s v="XPCC_GomezG Merce"/>
    <x v="195"/>
    <d v="1899-12-30T15:00:00"/>
    <s v="-"/>
    <d v="1899-12-30T15:30:00"/>
    <n v="845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4"/>
    <s v="S2S No Premium"/>
    <s v="XPCC_GomezG Merce"/>
    <x v="195"/>
    <d v="1899-12-30T19:00:00"/>
    <s v="-"/>
    <d v="1899-12-30T19:30:00"/>
    <n v="878"/>
    <n v="0"/>
    <n v="0"/>
    <n v="16"/>
    <n v="0"/>
    <n v="0"/>
    <n v="0"/>
    <n v="108"/>
    <n v="102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5"/>
    <s v="S2S Premium"/>
    <s v="XPCC_GomezG Merce"/>
    <x v="195"/>
    <d v="1899-12-30T15:30:00"/>
    <s v="-"/>
    <d v="1899-12-30T16:00:00"/>
    <n v="947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XPCC_GomezG Merce"/>
    <x v="195"/>
    <d v="1899-12-30T16:00:00"/>
    <s v="-"/>
    <d v="1899-12-30T16:30:00"/>
    <n v="1066"/>
    <n v="0"/>
    <n v="0"/>
    <n v="4"/>
    <n v="0"/>
    <n v="0"/>
    <n v="0"/>
    <n v="953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Mino,Valeria"/>
    <x v="196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DPCC_Mino,Valeria"/>
    <x v="196"/>
    <d v="1899-12-30T14:30:00"/>
    <s v="-"/>
    <d v="1899-12-30T15:00:00"/>
    <n v="461"/>
    <n v="0"/>
    <n v="0"/>
    <n v="4"/>
    <n v="0"/>
    <n v="0"/>
    <n v="0"/>
    <n v="493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XDPCC_Mino,Valeria"/>
    <x v="196"/>
    <d v="1899-12-30T14:00:00"/>
    <s v="-"/>
    <d v="1899-12-30T14:30:00"/>
    <n v="974"/>
    <n v="0"/>
    <n v="0"/>
    <n v="12"/>
    <n v="0"/>
    <n v="0"/>
    <n v="0"/>
    <n v="87"/>
    <n v="1"/>
    <n v="0"/>
    <n v="0"/>
    <n v="0"/>
    <n v="0"/>
    <n v="0"/>
    <n v="0"/>
    <n v="0"/>
    <n v="0"/>
    <n v="0"/>
    <n v="0"/>
    <n v="3"/>
    <n v="0"/>
    <x v="1"/>
    <x v="94"/>
    <d v="1899-12-30T14:00:00"/>
    <d v="1899-12-30T14:30:00"/>
  </r>
  <r>
    <d v="2024-10-02T00:00:00"/>
    <n v="925"/>
    <s v="S2S Premium"/>
    <s v="XPCC_Aquino Pamela"/>
    <x v="19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Aquino Pamela"/>
    <x v="197"/>
    <d v="1899-12-30T14:00:00"/>
    <s v="-"/>
    <d v="1899-12-30T14:30:00"/>
    <n v="776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5"/>
    <s v="S2S Premium"/>
    <s v="XPCC_Aquino Pamela"/>
    <x v="197"/>
    <d v="1899-12-30T14:30:00"/>
    <s v="-"/>
    <d v="1899-12-30T15:00:00"/>
    <n v="122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4"/>
    <s v="S2S No Premium"/>
    <s v="PCC_Coronel,Isaías"/>
    <x v="198"/>
    <d v="1899-12-30T18:00:00"/>
    <s v="-"/>
    <d v="1899-12-30T18:30:00"/>
    <n v="21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PCC_Coronel,Isaías"/>
    <x v="198"/>
    <d v="1899-12-30T17:30:00"/>
    <s v="-"/>
    <d v="1899-12-30T18:00:00"/>
    <n v="236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PCC_Coronel,Isaías"/>
    <x v="198"/>
    <d v="1899-12-30T15:00:00"/>
    <s v="-"/>
    <d v="1899-12-30T15:30:00"/>
    <n v="447"/>
    <n v="9"/>
    <n v="0"/>
    <n v="8"/>
    <n v="0"/>
    <n v="0"/>
    <n v="0"/>
    <n v="5"/>
    <n v="1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PCC_Coronel,Isaías"/>
    <x v="198"/>
    <d v="1899-12-30T17:00:00"/>
    <s v="-"/>
    <d v="1899-12-30T17:30:00"/>
    <n v="535"/>
    <n v="0"/>
    <n v="0"/>
    <n v="15"/>
    <n v="0"/>
    <n v="0"/>
    <n v="0"/>
    <n v="364"/>
    <n v="204"/>
    <n v="0"/>
    <n v="0"/>
    <n v="0"/>
    <n v="0"/>
    <n v="0"/>
    <n v="0"/>
    <n v="0"/>
    <n v="0"/>
    <n v="0"/>
    <n v="0"/>
    <n v="4"/>
    <n v="0"/>
    <x v="1"/>
    <x v="94"/>
    <d v="1899-12-30T17:00:00"/>
    <d v="1899-12-30T17:30:00"/>
  </r>
  <r>
    <d v="2024-10-02T00:00:00"/>
    <n v="925"/>
    <s v="S2S Premium"/>
    <s v="PCC_Coronel,Isaías"/>
    <x v="198"/>
    <d v="1899-12-30T18:00:00"/>
    <s v="-"/>
    <d v="1899-12-30T18:30:00"/>
    <n v="612"/>
    <n v="0"/>
    <n v="0"/>
    <n v="12"/>
    <n v="0"/>
    <n v="0"/>
    <n v="0"/>
    <n v="16"/>
    <n v="1"/>
    <n v="0"/>
    <n v="0"/>
    <n v="0"/>
    <n v="0"/>
    <n v="0"/>
    <n v="0"/>
    <n v="0"/>
    <n v="0"/>
    <n v="0"/>
    <n v="0"/>
    <n v="3"/>
    <n v="0"/>
    <x v="1"/>
    <x v="94"/>
    <d v="1899-12-30T18:00:00"/>
    <d v="1899-12-30T18:30:00"/>
  </r>
  <r>
    <d v="2024-10-02T00:00:00"/>
    <n v="925"/>
    <s v="S2S Premium"/>
    <s v="PCC_Coronel,Isaías"/>
    <x v="198"/>
    <d v="1899-12-30T16:00:00"/>
    <s v="-"/>
    <d v="1899-12-30T16:30:00"/>
    <n v="617"/>
    <n v="0"/>
    <n v="0"/>
    <n v="8"/>
    <n v="0"/>
    <n v="0"/>
    <n v="0"/>
    <n v="12"/>
    <n v="3"/>
    <n v="0"/>
    <n v="0"/>
    <n v="0"/>
    <n v="0"/>
    <n v="0"/>
    <n v="0"/>
    <n v="0"/>
    <n v="0"/>
    <n v="0"/>
    <n v="0"/>
    <n v="3"/>
    <n v="0"/>
    <x v="1"/>
    <x v="94"/>
    <d v="1899-12-30T16:00:00"/>
    <d v="1899-12-30T16:30:00"/>
  </r>
  <r>
    <d v="2024-10-02T00:00:00"/>
    <n v="925"/>
    <s v="S2S Premium"/>
    <s v="PCC_Coronel,Isaías"/>
    <x v="198"/>
    <d v="1899-12-30T15:30:00"/>
    <s v="-"/>
    <d v="1899-12-30T16:00:00"/>
    <n v="651"/>
    <n v="0"/>
    <n v="0"/>
    <n v="12"/>
    <n v="0"/>
    <n v="0"/>
    <n v="0"/>
    <n v="568"/>
    <n v="0"/>
    <n v="0"/>
    <n v="0"/>
    <n v="0"/>
    <n v="0"/>
    <n v="0"/>
    <n v="0"/>
    <n v="0"/>
    <n v="0"/>
    <n v="0"/>
    <n v="0"/>
    <n v="3"/>
    <n v="0"/>
    <x v="1"/>
    <x v="94"/>
    <d v="1899-12-30T15:30:00"/>
    <d v="1899-12-30T16:00:00"/>
  </r>
  <r>
    <d v="2024-10-02T00:00:00"/>
    <n v="925"/>
    <s v="S2S Premium"/>
    <s v="PCC_Coronel,Isaías"/>
    <x v="198"/>
    <d v="1899-12-30T16:30:00"/>
    <s v="-"/>
    <d v="1899-12-30T17:00:00"/>
    <n v="829"/>
    <n v="8"/>
    <n v="0"/>
    <n v="20"/>
    <n v="0"/>
    <n v="0"/>
    <n v="0"/>
    <n v="57"/>
    <n v="1"/>
    <n v="0"/>
    <n v="0"/>
    <n v="0"/>
    <n v="0"/>
    <n v="0"/>
    <n v="0"/>
    <n v="0"/>
    <n v="0"/>
    <n v="0"/>
    <n v="0"/>
    <n v="4"/>
    <n v="0"/>
    <x v="1"/>
    <x v="94"/>
    <d v="1899-12-30T16:30:00"/>
    <d v="1899-12-30T17:00:00"/>
  </r>
  <r>
    <d v="2024-10-02T00:00:00"/>
    <n v="924"/>
    <s v="S2S No Premium"/>
    <s v="PCC_Coronel,Isaías"/>
    <x v="198"/>
    <d v="1899-12-30T19:30:00"/>
    <s v="-"/>
    <d v="1899-12-30T20:00:00"/>
    <n v="863"/>
    <n v="0"/>
    <n v="0"/>
    <n v="8"/>
    <n v="0"/>
    <n v="0"/>
    <n v="0"/>
    <n v="298"/>
    <n v="85"/>
    <n v="0"/>
    <n v="0"/>
    <n v="0"/>
    <n v="0"/>
    <n v="0"/>
    <n v="0"/>
    <n v="0"/>
    <n v="0"/>
    <n v="0"/>
    <n v="0"/>
    <n v="2"/>
    <n v="0"/>
    <x v="0"/>
    <x v="94"/>
    <d v="1899-12-30T19:30:00"/>
    <d v="1899-12-30T20:00:00"/>
  </r>
  <r>
    <d v="2024-10-02T00:00:00"/>
    <n v="924"/>
    <s v="S2S No Premium"/>
    <s v="PCC_Coronel,Isaías"/>
    <x v="198"/>
    <d v="1899-12-30T18:30:00"/>
    <s v="-"/>
    <d v="1899-12-30T19:00:00"/>
    <n v="936"/>
    <n v="0"/>
    <n v="0"/>
    <n v="12"/>
    <n v="0"/>
    <n v="0"/>
    <n v="0"/>
    <n v="35"/>
    <n v="17"/>
    <n v="0"/>
    <n v="0"/>
    <n v="0"/>
    <n v="0"/>
    <n v="0"/>
    <n v="0"/>
    <n v="0"/>
    <n v="0"/>
    <n v="0"/>
    <n v="0"/>
    <n v="4"/>
    <n v="0"/>
    <x v="0"/>
    <x v="94"/>
    <d v="1899-12-30T18:30:00"/>
    <d v="1899-12-30T19:00:00"/>
  </r>
  <r>
    <d v="2024-10-02T00:00:00"/>
    <n v="924"/>
    <s v="S2S No Premium"/>
    <s v="PCC_Coronel,Isaías"/>
    <x v="198"/>
    <d v="1899-12-30T19:00:00"/>
    <s v="-"/>
    <d v="1899-12-30T19:30:00"/>
    <n v="1120"/>
    <n v="0"/>
    <n v="0"/>
    <n v="12"/>
    <n v="0"/>
    <n v="0"/>
    <n v="0"/>
    <n v="106"/>
    <n v="1"/>
    <n v="0"/>
    <n v="0"/>
    <n v="0"/>
    <n v="0"/>
    <n v="0"/>
    <n v="0"/>
    <n v="0"/>
    <n v="0"/>
    <n v="0"/>
    <n v="0"/>
    <n v="3"/>
    <n v="0"/>
    <x v="0"/>
    <x v="94"/>
    <d v="1899-12-30T19:00:00"/>
    <d v="1899-12-30T19:30:00"/>
  </r>
  <r>
    <d v="2024-10-02T00:00:00"/>
    <n v="925"/>
    <s v="S2S Premium"/>
    <s v="XDPCC_Alvarez,Ana"/>
    <x v="19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DPCC_Alvarez,Ana"/>
    <x v="199"/>
    <d v="1899-12-30T14:00:00"/>
    <s v="-"/>
    <d v="1899-12-30T14:30:00"/>
    <n v="563"/>
    <n v="0"/>
    <n v="0"/>
    <n v="12"/>
    <n v="0"/>
    <n v="0"/>
    <n v="0"/>
    <n v="457"/>
    <n v="99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XDPCC_Alvarez,Ana"/>
    <x v="199"/>
    <d v="1899-12-30T14:30:00"/>
    <s v="-"/>
    <d v="1899-12-30T15:00:00"/>
    <n v="982"/>
    <n v="0"/>
    <n v="0"/>
    <n v="7"/>
    <n v="0"/>
    <n v="0"/>
    <n v="0"/>
    <n v="203"/>
    <n v="0"/>
    <n v="0"/>
    <n v="0"/>
    <n v="0"/>
    <n v="0"/>
    <n v="0"/>
    <n v="0"/>
    <n v="0"/>
    <n v="0"/>
    <n v="0"/>
    <n v="0"/>
    <n v="3"/>
    <n v="1"/>
    <x v="1"/>
    <x v="94"/>
    <d v="1899-12-30T14:30:00"/>
    <d v="1899-12-30T15:00:00"/>
  </r>
  <r>
    <d v="2024-10-02T00:00:00"/>
    <n v="924"/>
    <s v="S2S No Premium"/>
    <s v="XN2m_SkarpHoracio"/>
    <x v="20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XN2m_SkarpHoracio"/>
    <x v="200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XN2m_SkarpHoracio"/>
    <x v="200"/>
    <d v="1899-12-30T14:00:00"/>
    <s v="-"/>
    <d v="1899-12-30T14:30:00"/>
    <n v="376"/>
    <n v="0"/>
    <n v="0"/>
    <n v="3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XPm_Benitez,Alejan"/>
    <x v="201"/>
    <d v="1899-12-30T18:00:00"/>
    <s v="-"/>
    <d v="1899-12-30T18:30:00"/>
    <n v="144"/>
    <n v="4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Pm_Benitez,Alejan"/>
    <x v="201"/>
    <d v="1899-12-30T19:00:00"/>
    <s v="-"/>
    <d v="1899-12-30T19:30:00"/>
    <n v="399"/>
    <n v="146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9:00:00"/>
    <d v="1899-12-30T19:30:00"/>
  </r>
  <r>
    <d v="2024-10-02T00:00:00"/>
    <n v="925"/>
    <s v="S2S Premium"/>
    <s v="XPm_Benitez,Alejan"/>
    <x v="201"/>
    <d v="1899-12-30T18:00:00"/>
    <s v="-"/>
    <d v="1899-12-30T18:30:00"/>
    <n v="703"/>
    <n v="64"/>
    <n v="0"/>
    <n v="8"/>
    <n v="0"/>
    <n v="0"/>
    <n v="0"/>
    <n v="303"/>
    <n v="0"/>
    <n v="0"/>
    <n v="0"/>
    <n v="0"/>
    <n v="0"/>
    <n v="0"/>
    <n v="0"/>
    <n v="0"/>
    <n v="0"/>
    <n v="0"/>
    <n v="0"/>
    <n v="3"/>
    <n v="2"/>
    <x v="1"/>
    <x v="94"/>
    <d v="1899-12-30T18:00:00"/>
    <d v="1899-12-30T18:30:00"/>
  </r>
  <r>
    <d v="2024-10-02T00:00:00"/>
    <n v="925"/>
    <s v="S2S Premium"/>
    <s v="XPm_Benitez,Alejan"/>
    <x v="201"/>
    <d v="1899-12-30T17:00:00"/>
    <s v="-"/>
    <d v="1899-12-30T17:30:00"/>
    <n v="825"/>
    <n v="75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4"/>
    <s v="S2S No Premium"/>
    <s v="XPm_Benitez,Alejan"/>
    <x v="201"/>
    <d v="1899-12-30T18:30:00"/>
    <s v="-"/>
    <d v="1899-12-30T19:00:00"/>
    <n v="937"/>
    <n v="26"/>
    <n v="0"/>
    <n v="16"/>
    <n v="0"/>
    <n v="0"/>
    <n v="0"/>
    <n v="72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4"/>
    <s v="S2S No Premium"/>
    <s v="XPm_Benitez,Alejan"/>
    <x v="201"/>
    <d v="1899-12-30T19:30:00"/>
    <s v="-"/>
    <d v="1899-12-30T20:00:00"/>
    <n v="1210"/>
    <n v="0"/>
    <n v="0"/>
    <n v="3"/>
    <n v="0"/>
    <n v="0"/>
    <n v="0"/>
    <n v="182"/>
    <n v="127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Pm_Benitez,Alejan"/>
    <x v="201"/>
    <d v="1899-12-30T17:30:00"/>
    <s v="-"/>
    <d v="1899-12-30T18:00:00"/>
    <n v="1233"/>
    <n v="125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7:30:00"/>
    <d v="1899-12-30T18:00:00"/>
  </r>
  <r>
    <d v="2024-10-02T00:00:00"/>
    <n v="925"/>
    <s v="S2S Premium"/>
    <s v="XPCC_Mitoire,Cecilia"/>
    <x v="20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Mitoire,Cecilia"/>
    <x v="202"/>
    <d v="1899-12-30T14:00:00"/>
    <s v="-"/>
    <d v="1899-12-30T14:30:00"/>
    <n v="3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4:00:00"/>
    <d v="1899-12-30T14:30:00"/>
  </r>
  <r>
    <d v="2024-10-02T00:00:00"/>
    <n v="925"/>
    <s v="S2S Premium"/>
    <s v="XPCC_Mitoire,Cecilia"/>
    <x v="202"/>
    <d v="1899-12-30T14:30:00"/>
    <s v="-"/>
    <d v="1899-12-30T15:00:00"/>
    <n v="1457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E_ZalazarAlejandra"/>
    <x v="203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XDE_ZalazarAlejandra"/>
    <x v="203"/>
    <d v="1899-12-30T14:00:00"/>
    <s v="-"/>
    <d v="1899-12-30T14:30:00"/>
    <n v="26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5"/>
    <s v="S2S Premium"/>
    <s v="XDE_ZalazarAlejandra"/>
    <x v="203"/>
    <d v="1899-12-30T15:00:00"/>
    <s v="-"/>
    <d v="1899-12-30T15:30:00"/>
    <n v="340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DE_ZalazarAlejandra"/>
    <x v="203"/>
    <d v="1899-12-30T15:30:00"/>
    <s v="-"/>
    <d v="1899-12-30T16:00:00"/>
    <n v="684"/>
    <n v="0"/>
    <n v="0"/>
    <n v="13"/>
    <n v="0"/>
    <n v="0"/>
    <n v="0"/>
    <n v="6"/>
    <n v="0"/>
    <n v="0"/>
    <n v="0"/>
    <n v="0"/>
    <n v="0"/>
    <n v="0"/>
    <n v="0"/>
    <n v="0"/>
    <n v="0"/>
    <n v="0"/>
    <n v="0"/>
    <n v="4"/>
    <n v="3"/>
    <x v="1"/>
    <x v="94"/>
    <d v="1899-12-30T15:30:00"/>
    <d v="1899-12-30T16:00:00"/>
  </r>
  <r>
    <d v="2024-10-02T00:00:00"/>
    <n v="925"/>
    <s v="S2S Premium"/>
    <s v="XDE_ZalazarAlejandra"/>
    <x v="203"/>
    <d v="1899-12-30T14:30:00"/>
    <s v="-"/>
    <d v="1899-12-30T15:00:00"/>
    <n v="8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DPCC_Guex, Lara"/>
    <x v="204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DPCC_Guex, Lara"/>
    <x v="204"/>
    <d v="1899-12-30T15:30:00"/>
    <s v="-"/>
    <d v="1899-12-30T16:00:00"/>
    <n v="24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DPCC_Guex, Lara"/>
    <x v="204"/>
    <d v="1899-12-30T14:00:00"/>
    <s v="-"/>
    <d v="1899-12-30T14:30:00"/>
    <n v="459"/>
    <n v="0"/>
    <n v="0"/>
    <n v="8"/>
    <n v="0"/>
    <n v="0"/>
    <n v="0"/>
    <n v="164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DPCC_Guex, Lara"/>
    <x v="204"/>
    <d v="1899-12-30T14:30:00"/>
    <s v="-"/>
    <d v="1899-12-30T15:00:00"/>
    <n v="468"/>
    <n v="0"/>
    <n v="0"/>
    <n v="8"/>
    <n v="0"/>
    <n v="0"/>
    <n v="0"/>
    <n v="16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DPCC_Guex, Lara"/>
    <x v="204"/>
    <d v="1899-12-30T15:00:00"/>
    <s v="-"/>
    <d v="1899-12-30T15:30:00"/>
    <n v="499"/>
    <n v="2"/>
    <n v="0"/>
    <n v="4"/>
    <n v="0"/>
    <n v="0"/>
    <n v="0"/>
    <n v="398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4"/>
    <s v="S2S No Premium"/>
    <s v="N2m_Amundarrey Jo"/>
    <x v="205"/>
    <d v="1899-12-30T15:00:00"/>
    <s v="-"/>
    <d v="1899-12-30T15:30:00"/>
    <n v="13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5"/>
    <d v="1899-12-30T15:00:00"/>
    <d v="1899-12-30T15:30:00"/>
  </r>
  <r>
    <d v="2024-10-02T00:00:00"/>
    <n v="924"/>
    <s v="S2S No Premium"/>
    <s v="N2m_Amundarrey Jo"/>
    <x v="205"/>
    <d v="1899-12-30T14:30:00"/>
    <s v="-"/>
    <d v="1899-12-30T15:00:00"/>
    <n v="696"/>
    <n v="0"/>
    <n v="0"/>
    <n v="28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5"/>
    <d v="1899-12-30T14:30:00"/>
    <d v="1899-12-30T15:00:00"/>
  </r>
  <r>
    <d v="2024-10-02T00:00:00"/>
    <n v="924"/>
    <s v="S2S No Premium"/>
    <s v="N2m_Amundarrey Jo"/>
    <x v="205"/>
    <d v="1899-12-30T14:00:00"/>
    <s v="-"/>
    <d v="1899-12-30T14:30:00"/>
    <n v="714"/>
    <n v="0"/>
    <n v="0"/>
    <n v="28"/>
    <n v="0"/>
    <n v="0"/>
    <n v="0"/>
    <n v="102"/>
    <n v="0"/>
    <n v="0"/>
    <n v="0"/>
    <n v="0"/>
    <n v="0"/>
    <n v="0"/>
    <n v="0"/>
    <n v="0"/>
    <n v="0"/>
    <n v="0"/>
    <n v="0"/>
    <n v="3"/>
    <n v="3"/>
    <x v="0"/>
    <x v="95"/>
    <d v="1899-12-30T14:00:00"/>
    <d v="1899-12-30T14:30:00"/>
  </r>
  <r>
    <d v="2024-10-02T00:00:00"/>
    <n v="925"/>
    <s v="S2S Premium"/>
    <s v="S2_Rodriguez Susana"/>
    <x v="206"/>
    <d v="1899-12-30T14:00:00"/>
    <s v="-"/>
    <d v="1899-12-30T14:30:00"/>
    <n v="57"/>
    <n v="0"/>
    <n v="0"/>
    <n v="0"/>
    <n v="0"/>
    <n v="0"/>
    <n v="0"/>
    <n v="463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S2_Rodriguez Susana"/>
    <x v="206"/>
    <d v="1899-12-30T17:00:00"/>
    <s v="-"/>
    <d v="1899-12-30T17:30:00"/>
    <n v="453"/>
    <n v="2"/>
    <n v="0"/>
    <n v="0"/>
    <n v="0"/>
    <n v="0"/>
    <n v="0"/>
    <n v="104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S2_Rodriguez Susana"/>
    <x v="206"/>
    <d v="1899-12-30T14:30:00"/>
    <s v="-"/>
    <d v="1899-12-30T15:00:00"/>
    <n v="589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S2_Rodriguez Susana"/>
    <x v="206"/>
    <d v="1899-12-30T15:00:00"/>
    <s v="-"/>
    <d v="1899-12-30T15:30:00"/>
    <n v="794"/>
    <n v="0"/>
    <n v="0"/>
    <n v="12"/>
    <n v="0"/>
    <n v="0"/>
    <n v="0"/>
    <n v="369"/>
    <n v="0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5"/>
    <s v="S2S Premium"/>
    <s v="S2_Rodriguez Susana"/>
    <x v="206"/>
    <d v="1899-12-30T16:00:00"/>
    <s v="-"/>
    <d v="1899-12-30T16:30:00"/>
    <n v="834"/>
    <n v="0"/>
    <n v="0"/>
    <n v="16"/>
    <n v="0"/>
    <n v="0"/>
    <n v="0"/>
    <n v="3"/>
    <n v="2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S2_Rodriguez Susana"/>
    <x v="206"/>
    <d v="1899-12-30T15:30:00"/>
    <s v="-"/>
    <d v="1899-12-30T16:00:00"/>
    <n v="873"/>
    <n v="0"/>
    <n v="0"/>
    <n v="8"/>
    <n v="0"/>
    <n v="0"/>
    <n v="0"/>
    <n v="111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S2_Rodriguez Susana"/>
    <x v="206"/>
    <d v="1899-12-30T16:30:00"/>
    <s v="-"/>
    <d v="1899-12-30T17:00:00"/>
    <n v="948"/>
    <n v="0"/>
    <n v="0"/>
    <n v="16"/>
    <n v="0"/>
    <n v="0"/>
    <n v="0"/>
    <n v="396"/>
    <n v="1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4"/>
    <s v="S2S No Premium"/>
    <s v="TN1f_Luna Andrea Car"/>
    <x v="207"/>
    <d v="1899-12-30T18:00:00"/>
    <s v="-"/>
    <d v="1899-12-30T18:30:00"/>
    <n v="74"/>
    <n v="26"/>
    <n v="0"/>
    <n v="0"/>
    <n v="0"/>
    <n v="0"/>
    <n v="0"/>
    <n v="773"/>
    <n v="287"/>
    <n v="0"/>
    <n v="0"/>
    <n v="0"/>
    <n v="0"/>
    <n v="0"/>
    <n v="0"/>
    <n v="0"/>
    <n v="0"/>
    <n v="0"/>
    <n v="0"/>
    <n v="1"/>
    <n v="0"/>
    <x v="0"/>
    <x v="94"/>
    <d v="1899-12-30T18:00:00"/>
    <d v="1899-12-30T18:30:00"/>
  </r>
  <r>
    <d v="2024-10-02T00:00:00"/>
    <n v="924"/>
    <s v="S2S No Premium"/>
    <s v="TN1f_Luna Andrea Car"/>
    <x v="207"/>
    <d v="1899-12-30T19:00:00"/>
    <s v="-"/>
    <d v="1899-12-30T19:30:00"/>
    <n v="329"/>
    <n v="0"/>
    <n v="0"/>
    <n v="12"/>
    <n v="0"/>
    <n v="0"/>
    <n v="0"/>
    <n v="281"/>
    <n v="169"/>
    <n v="0"/>
    <n v="0"/>
    <n v="0"/>
    <n v="0"/>
    <n v="0"/>
    <n v="0"/>
    <n v="0"/>
    <n v="0"/>
    <n v="0"/>
    <n v="0"/>
    <n v="2"/>
    <n v="1"/>
    <x v="0"/>
    <x v="94"/>
    <d v="1899-12-30T19:00:00"/>
    <d v="1899-12-30T19:30:00"/>
  </r>
  <r>
    <d v="2024-10-02T00:00:00"/>
    <n v="924"/>
    <s v="S2S No Premium"/>
    <s v="TN1f_Luna Andrea Car"/>
    <x v="207"/>
    <d v="1899-12-30T18:30:00"/>
    <s v="-"/>
    <d v="1899-12-30T19:00:00"/>
    <n v="482"/>
    <n v="0"/>
    <n v="0"/>
    <n v="8"/>
    <n v="0"/>
    <n v="0"/>
    <n v="0"/>
    <n v="341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TN1f_Luna Andrea Car"/>
    <x v="207"/>
    <d v="1899-12-30T15:00:00"/>
    <s v="-"/>
    <d v="1899-12-30T15:30:00"/>
    <n v="656"/>
    <n v="18"/>
    <n v="0"/>
    <n v="8"/>
    <n v="0"/>
    <n v="0"/>
    <n v="0"/>
    <n v="364"/>
    <n v="4"/>
    <n v="0"/>
    <n v="0"/>
    <n v="0"/>
    <n v="0"/>
    <n v="0"/>
    <n v="0"/>
    <n v="0"/>
    <n v="0"/>
    <n v="0"/>
    <n v="0"/>
    <n v="3"/>
    <n v="2"/>
    <x v="0"/>
    <x v="94"/>
    <d v="1899-12-30T15:00:00"/>
    <d v="1899-12-30T15:30:00"/>
  </r>
  <r>
    <d v="2024-10-02T00:00:00"/>
    <n v="924"/>
    <s v="S2S No Premium"/>
    <s v="TN1f_Luna Andrea Car"/>
    <x v="207"/>
    <d v="1899-12-30T14:00:00"/>
    <s v="-"/>
    <d v="1899-12-30T14:30:00"/>
    <n v="706"/>
    <n v="0"/>
    <n v="0"/>
    <n v="12"/>
    <n v="0"/>
    <n v="0"/>
    <n v="0"/>
    <n v="75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TN1f_Luna Andrea Car"/>
    <x v="207"/>
    <d v="1899-12-30T19:30:00"/>
    <s v="-"/>
    <d v="1899-12-30T20:00:00"/>
    <n v="752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TN1f_Luna Andrea Car"/>
    <x v="207"/>
    <d v="1899-12-30T14:30:00"/>
    <s v="-"/>
    <d v="1899-12-30T15:00:00"/>
    <n v="754"/>
    <n v="0"/>
    <n v="0"/>
    <n v="11"/>
    <n v="0"/>
    <n v="0"/>
    <n v="0"/>
    <n v="184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TN1f_Luna Andrea Car"/>
    <x v="207"/>
    <d v="1899-12-30T17:30:00"/>
    <s v="-"/>
    <d v="1899-12-30T18:00:00"/>
    <n v="785"/>
    <n v="0"/>
    <n v="0"/>
    <n v="16"/>
    <n v="0"/>
    <n v="0"/>
    <n v="0"/>
    <n v="206"/>
    <n v="345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TN1f_Luna Andrea Car"/>
    <x v="207"/>
    <d v="1899-12-30T15:30:00"/>
    <s v="-"/>
    <d v="1899-12-30T16:00:00"/>
    <n v="79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TN1f_Luna Andrea Car"/>
    <x v="207"/>
    <d v="1899-12-30T17:00:00"/>
    <s v="-"/>
    <d v="1899-12-30T17:30:00"/>
    <n v="1052"/>
    <n v="10"/>
    <n v="0"/>
    <n v="16"/>
    <n v="0"/>
    <n v="0"/>
    <n v="0"/>
    <n v="324"/>
    <n v="208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TN1f_Luna Andrea Car"/>
    <x v="207"/>
    <d v="1899-12-30T16:00:00"/>
    <s v="-"/>
    <d v="1899-12-30T16:30:00"/>
    <n v="1101"/>
    <n v="0"/>
    <n v="0"/>
    <n v="16"/>
    <n v="0"/>
    <n v="0"/>
    <n v="0"/>
    <n v="266"/>
    <n v="64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TN1f_Luna Andrea Car"/>
    <x v="207"/>
    <d v="1899-12-30T16:30:00"/>
    <s v="-"/>
    <d v="1899-12-30T17:00:00"/>
    <n v="1558"/>
    <n v="0"/>
    <n v="0"/>
    <n v="12"/>
    <n v="0"/>
    <n v="0"/>
    <n v="0"/>
    <n v="117"/>
    <n v="0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1" cacheId="6" dataOnRows="0" dataCaption="Valores" showError="0" showMissing="1" updatedVersion="8" minRefreshableVersion="3" asteriskTotals="0" showItems="1" editData="0" disableFieldList="0" showCalcMbrs="1" visualTotals="1" showMultipleLabel="1" showDataDropDown="1" showDrill="0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1" mergeItem="0" showDropZones="1" createdVersion="8" indent="0" showEmptyRow="0" showEmptyCol="0" showHeaders="1" compact="0" outline="0" outlineData="0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B8:E229" firstHeaderRow="1" firstDataRow="1" firstDataCol="3"/>
  <pivotFields count="33">
    <pivotField showDropDowns="1" compact="0" numFmtId="14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axis="axisRow" showDropDowns="1" compact="0" outline="0" subtotalTop="1" dragToRow="1" dragToCol="1" dragToPage="1" dragToData="1" dragOff="1" showAll="0" topAutoShow="1" itemPageCount="10" sortType="manual" defaultSubtotal="0">
      <items count="644">
        <item t="data" sd="1" x="0"/>
        <item t="data" sd="1" x="3"/>
        <item t="data" sd="1" m="1" x="510"/>
        <item t="data" sd="1" x="6"/>
        <item t="data" sd="1" m="1" x="210"/>
        <item t="data" sd="1" m="1" x="301"/>
        <item t="data" sd="1" m="1" x="211"/>
        <item t="data" sd="1" m="1" x="404"/>
        <item t="data" sd="1" x="15"/>
        <item t="data" sd="1" x="17"/>
        <item t="data" sd="1" m="1" x="214"/>
        <item t="data" sd="1" m="1" x="235"/>
        <item t="data" sd="1" m="1" x="508"/>
        <item t="data" sd="1" x="28"/>
        <item t="data" sd="1" m="1" x="525"/>
        <item t="data" sd="1" m="1" x="586"/>
        <item t="data" sd="1" x="29"/>
        <item t="data" sd="1" x="30"/>
        <item t="data" sd="1" x="33"/>
        <item t="data" sd="1" x="35"/>
        <item t="data" sd="1" m="1" x="411"/>
        <item t="data" sd="1" m="1" x="237"/>
        <item t="data" sd="1" m="1" x="265"/>
        <item t="data" sd="1" x="41"/>
        <item t="data" sd="1" x="46"/>
        <item t="data" sd="1" x="52"/>
        <item t="data" sd="1" x="53"/>
        <item t="data" sd="1" x="54"/>
        <item t="data" sd="1" m="1" x="600"/>
        <item t="data" sd="1" m="1" x="240"/>
        <item t="data" sd="1" m="1" x="220"/>
        <item t="data" sd="1" m="1" x="573"/>
        <item t="data" sd="1" m="1" x="222"/>
        <item t="data" sd="1" m="1" x="223"/>
        <item t="data" sd="1" m="1" x="224"/>
        <item t="data" sd="1" m="1" x="226"/>
        <item t="data" sd="1" m="1" x="227"/>
        <item t="data" sd="1" x="74"/>
        <item t="data" sd="1" x="75"/>
        <item t="data" sd="1" x="76"/>
        <item t="data" sd="1" m="1" x="605"/>
        <item t="data" sd="1" x="78"/>
        <item t="data" sd="1" x="79"/>
        <item t="data" sd="1" m="1" x="403"/>
        <item t="data" sd="1" m="1" x="340"/>
        <item t="data" sd="1" m="1" x="323"/>
        <item t="data" sd="1" x="83"/>
        <item t="data" sd="1" x="84"/>
        <item t="data" sd="1" m="1" x="598"/>
        <item t="data" sd="1" x="85"/>
        <item t="data" sd="1" m="1" x="341"/>
        <item t="data" sd="1" m="1" x="242"/>
        <item t="data" sd="1" x="93"/>
        <item t="data" sd="1" m="1" x="502"/>
        <item t="data" sd="1" x="48"/>
        <item t="data" sd="1" m="1" x="264"/>
        <item t="data" sd="1" x="20"/>
        <item t="data" sd="1" m="1" x="330"/>
        <item t="data" sd="1" x="13"/>
        <item t="data" sd="1" m="1" x="453"/>
        <item t="data" sd="1" m="1" x="239"/>
        <item t="data" sd="1" m="1" x="229"/>
        <item t="data" sd="1" m="1" x="324"/>
        <item t="data" sd="1" m="1" x="587"/>
        <item t="data" sd="1" m="1" x="643"/>
        <item t="data" sd="1" m="1" x="312"/>
        <item t="data" sd="1" m="1" x="470"/>
        <item t="data" sd="1" x="88"/>
        <item t="data" sd="1" x="208"/>
        <item t="data" sd="1" x="7"/>
        <item t="data" sd="1" m="1" x="233"/>
        <item t="data" sd="1" x="11"/>
        <item t="data" sd="1" m="1" x="538"/>
        <item t="data" sd="1" x="12"/>
        <item t="data" sd="1" m="1" x="602"/>
        <item t="data" sd="1" m="1" x="506"/>
        <item t="data" sd="1" m="1" x="300"/>
        <item t="data" sd="1" m="1" x="500"/>
        <item t="data" sd="1" m="1" x="372"/>
        <item t="data" sd="1" m="1" x="303"/>
        <item t="data" sd="1" m="1" x="234"/>
        <item t="data" sd="1" x="23"/>
        <item t="data" sd="1" m="1" x="304"/>
        <item t="data" sd="1" m="1" x="236"/>
        <item t="data" sd="1" m="1" x="305"/>
        <item t="data" sd="1" m="1" x="306"/>
        <item t="data" sd="1" m="1" x="307"/>
        <item t="data" sd="1" x="27"/>
        <item t="data" sd="1" m="1" x="332"/>
        <item t="data" sd="1" m="1" x="606"/>
        <item t="data" sd="1" m="1" x="215"/>
        <item t="data" sd="1" x="34"/>
        <item t="data" sd="1" x="36"/>
        <item t="data" sd="1" m="1" x="374"/>
        <item t="data" sd="1" x="37"/>
        <item t="data" sd="1" m="1" x="439"/>
        <item t="data" sd="1" m="1" x="599"/>
        <item t="data" sd="1" m="1" x="435"/>
        <item t="data" sd="1" m="1" x="422"/>
        <item t="data" sd="1" m="1" x="447"/>
        <item t="data" sd="1" m="1" x="417"/>
        <item t="data" sd="1" m="1" x="418"/>
        <item t="data" sd="1" m="1" x="309"/>
        <item t="data" sd="1" m="1" x="596"/>
        <item t="data" sd="1" x="43"/>
        <item t="data" sd="1" x="44"/>
        <item t="data" sd="1" m="1" x="561"/>
        <item t="data" sd="1" x="49"/>
        <item t="data" sd="1" x="50"/>
        <item t="data" sd="1" x="51"/>
        <item t="data" sd="1" m="1" x="456"/>
        <item t="data" sd="1" x="55"/>
        <item t="data" sd="1" x="56"/>
        <item t="data" sd="1" m="1" x="335"/>
        <item t="data" sd="1" m="1" x="537"/>
        <item t="data" sd="1" x="58"/>
        <item t="data" sd="1" m="1" x="375"/>
        <item t="data" sd="1" m="1" x="611"/>
        <item t="data" sd="1" x="61"/>
        <item t="data" sd="1" x="62"/>
        <item t="data" sd="1" m="1" x="395"/>
        <item t="data" sd="1" m="1" x="549"/>
        <item t="data" sd="1" x="63"/>
        <item t="data" sd="1" x="64"/>
        <item t="data" sd="1" x="65"/>
        <item t="data" sd="1" m="1" x="337"/>
        <item t="data" sd="1" m="1" x="319"/>
        <item t="data" sd="1" m="1" x="559"/>
        <item t="data" sd="1" m="1" x="321"/>
        <item t="data" sd="1" m="1" x="338"/>
        <item t="data" sd="1" m="1" x="339"/>
        <item t="data" sd="1" m="1" x="446"/>
        <item t="data" sd="1" m="1" x="241"/>
        <item t="data" sd="1" m="1" x="548"/>
        <item t="data" sd="1" x="86"/>
        <item t="data" sd="1" m="1" x="412"/>
        <item t="data" sd="1" m="1" x="451"/>
        <item t="data" sd="1" m="1" x="550"/>
        <item t="data" sd="1" x="90"/>
        <item t="data" sd="1" x="205"/>
        <item t="data" sd="1" m="1" x="427"/>
        <item t="data" sd="1" x="21"/>
        <item t="data" sd="1" x="24"/>
        <item t="data" sd="1" m="1" x="501"/>
        <item t="data" sd="1" m="1" x="426"/>
        <item t="data" sd="1" m="1" x="216"/>
        <item t="data" sd="1" m="1" x="364"/>
        <item t="data" sd="1" m="1" x="352"/>
        <item t="data" sd="1" x="60"/>
        <item t="data" sd="1" x="69"/>
        <item t="data" sd="1" m="1" x="228"/>
        <item t="data" sd="1" x="73"/>
        <item t="data" sd="1" m="1" x="505"/>
        <item t="data" sd="1" m="1" x="230"/>
        <item t="data" sd="1" m="1" x="419"/>
        <item t="data" sd="1" m="1" x="563"/>
        <item t="data" sd="1" x="5"/>
        <item t="data" sd="1" x="32"/>
        <item t="data" sd="1" m="1" x="542"/>
        <item t="data" sd="1" m="1" x="562"/>
        <item t="data" sd="1" m="1" x="603"/>
        <item t="data" sd="1" m="1" x="469"/>
        <item t="data" sd="1" x="82"/>
        <item t="data" sd="1" m="1" x="477"/>
        <item t="data" sd="1" m="1" x="615"/>
        <item t="data" sd="1" m="1" x="244"/>
        <item t="data" sd="1" x="126"/>
        <item t="data" sd="1" m="1" x="266"/>
        <item t="data" sd="1" x="128"/>
        <item t="data" sd="1" x="132"/>
        <item t="data" sd="1" m="1" x="499"/>
        <item t="data" sd="1" x="134"/>
        <item t="data" sd="1" x="135"/>
        <item t="data" sd="1" x="136"/>
        <item t="data" sd="1" m="1" x="245"/>
        <item t="data" sd="1" x="137"/>
        <item t="data" sd="1" x="139"/>
        <item t="data" sd="1" m="1" x="328"/>
        <item t="data" sd="1" m="1" x="636"/>
        <item t="data" sd="1" x="143"/>
        <item t="data" sd="1" x="144"/>
        <item t="data" sd="1" x="147"/>
        <item t="data" sd="1" x="148"/>
        <item t="data" sd="1" m="1" x="619"/>
        <item t="data" sd="1" m="1" x="246"/>
        <item t="data" sd="1" m="1" x="273"/>
        <item t="data" sd="1" x="158"/>
        <item t="data" sd="1" x="160"/>
        <item t="data" sd="1" x="161"/>
        <item t="data" sd="1" x="162"/>
        <item t="data" sd="1" m="1" x="517"/>
        <item t="data" sd="1" x="165"/>
        <item t="data" sd="1" x="166"/>
        <item t="data" sd="1" x="167"/>
        <item t="data" sd="1" m="1" x="329"/>
        <item t="data" sd="1" x="168"/>
        <item t="data" sd="1" x="169"/>
        <item t="data" sd="1" x="170"/>
        <item t="data" sd="1" x="176"/>
        <item t="data" sd="1" m="1" x="632"/>
        <item t="data" sd="1" m="1" x="597"/>
        <item t="data" sd="1" x="180"/>
        <item t="data" sd="1" x="181"/>
        <item t="data" sd="1" m="1" x="373"/>
        <item t="data" sd="1" x="184"/>
        <item t="data" sd="1" x="185"/>
        <item t="data" sd="1" x="186"/>
        <item t="data" sd="1" x="187"/>
        <item t="data" sd="1" x="189"/>
        <item t="data" sd="1" m="1" x="290"/>
        <item t="data" sd="1" m="1" x="259"/>
        <item t="data" sd="1" x="193"/>
        <item t="data" sd="1" x="194"/>
        <item t="data" sd="1" x="195"/>
        <item t="data" sd="1" m="1" x="391"/>
        <item t="data" sd="1" m="1" x="261"/>
        <item t="data" sd="1" x="197"/>
        <item t="data" sd="1" x="198"/>
        <item t="data" sd="1" x="199"/>
        <item t="data" sd="1" m="1" x="262"/>
        <item t="data" sd="1" m="1" x="263"/>
        <item t="data" sd="1" x="200"/>
        <item t="data" sd="1" x="202"/>
        <item t="data" sd="1" m="1" x="299"/>
        <item t="data" sd="1" m="1" x="521"/>
        <item t="data" sd="1" x="38"/>
        <item t="data" sd="1" m="1" x="218"/>
        <item t="data" sd="1" m="1" x="313"/>
        <item t="data" sd="1" m="1" x="219"/>
        <item t="data" sd="1" m="1" x="221"/>
        <item t="data" sd="1" x="4"/>
        <item t="data" sd="1" m="1" x="560"/>
        <item t="data" sd="1" m="1" x="434"/>
        <item t="data" sd="1" m="1" x="536"/>
        <item t="data" sd="1" m="1" x="462"/>
        <item t="data" sd="1" m="1" x="311"/>
        <item t="data" sd="1" m="1" x="317"/>
        <item t="data" sd="1" x="87"/>
        <item t="data" sd="1" m="1" x="331"/>
        <item t="data" sd="1" m="1" x="302"/>
        <item t="data" sd="1" m="1" x="232"/>
        <item t="data" sd="1" x="9"/>
        <item t="data" sd="1" x="18"/>
        <item t="data" sd="1" x="42"/>
        <item t="data" sd="1" m="1" x="432"/>
        <item t="data" sd="1" m="1" x="315"/>
        <item t="data" sd="1" x="67"/>
        <item t="data" sd="1" m="1" x="320"/>
        <item t="data" sd="1" m="1" x="476"/>
        <item t="data" sd="1" x="81"/>
        <item t="data" sd="1" m="1" x="635"/>
        <item t="data" sd="1" m="1" x="480"/>
        <item t="data" sd="1" m="1" x="640"/>
        <item t="data" sd="1" m="1" x="509"/>
        <item t="data" sd="1" m="1" x="380"/>
        <item t="data" sd="1" m="1" x="641"/>
        <item t="data" sd="1" m="1" x="633"/>
        <item t="data" sd="1" m="1" x="483"/>
        <item t="data" sd="1" m="1" x="531"/>
        <item t="data" sd="1" m="1" x="281"/>
        <item t="data" sd="1" m="1" x="283"/>
        <item t="data" sd="1" m="1" x="642"/>
        <item t="data" sd="1" m="1" x="405"/>
        <item t="data" sd="1" m="1" x="212"/>
        <item t="data" sd="1" m="1" x="351"/>
        <item t="data" sd="1" x="141"/>
        <item t="data" sd="1" x="196"/>
        <item t="data" sd="1" x="39"/>
        <item t="data" sd="1" x="57"/>
        <item t="data" sd="1" m="1" x="639"/>
        <item t="data" sd="1" x="10"/>
        <item t="data" sd="1" m="1" x="431"/>
        <item t="data" sd="1" m="1" x="437"/>
        <item t="data" sd="1" m="1" x="425"/>
        <item t="data" sd="1" m="1" x="638"/>
        <item t="data" sd="1" m="1" x="637"/>
        <item t="data" sd="1" x="40"/>
        <item t="data" sd="1" m="1" x="310"/>
        <item t="data" sd="1" m="1" x="314"/>
        <item t="data" sd="1" m="1" x="316"/>
        <item t="data" sd="1" m="1" x="325"/>
        <item t="data" sd="1" x="203"/>
        <item t="data" sd="1" m="1" x="634"/>
        <item t="data" sd="1" m="1" x="292"/>
        <item t="data" sd="1" m="1" x="213"/>
        <item t="data" sd="1" m="1" x="396"/>
        <item t="data" sd="1" m="1" x="397"/>
        <item t="data" sd="1" x="91"/>
        <item t="data" sd="1" m="1" x="296"/>
        <item t="data" sd="1" m="1" x="298"/>
        <item t="data" sd="1" m="1" x="225"/>
        <item t="data" sd="1" m="1" x="318"/>
        <item t="data" sd="1" x="71"/>
        <item t="data" sd="1" m="1" x="326"/>
        <item t="data" sd="1" m="1" x="387"/>
        <item t="data" sd="1" m="1" x="433"/>
        <item t="data" sd="1" m="1" x="421"/>
        <item t="data" sd="1" m="1" x="571"/>
        <item t="data" sd="1" m="1" x="608"/>
        <item t="data" sd="1" m="1" x="613"/>
        <item t="data" sd="1" m="1" x="614"/>
        <item t="data" sd="1" m="1" x="616"/>
        <item t="data" sd="1" m="1" x="617"/>
        <item t="data" sd="1" m="1" x="618"/>
        <item t="data" sd="1" m="1" x="620"/>
        <item t="data" sd="1" m="1" x="621"/>
        <item t="data" sd="1" m="1" x="622"/>
        <item t="data" sd="1" m="1" x="623"/>
        <item t="data" sd="1" m="1" x="624"/>
        <item t="data" sd="1" m="1" x="625"/>
        <item t="data" sd="1" m="1" x="626"/>
        <item t="data" sd="1" m="1" x="519"/>
        <item t="data" sd="1" m="1" x="627"/>
        <item t="data" sd="1" m="1" x="628"/>
        <item t="data" sd="1" m="1" x="629"/>
        <item t="data" sd="1" m="1" x="630"/>
        <item t="data" sd="1" m="1" x="631"/>
        <item t="data" sd="1" m="1" x="400"/>
        <item t="data" sd="1" x="2"/>
        <item t="data" sd="1" m="1" x="407"/>
        <item t="data" sd="1" m="1" x="408"/>
        <item t="data" sd="1" m="1" x="429"/>
        <item t="data" sd="1" m="1" x="409"/>
        <item t="data" sd="1" m="1" x="410"/>
        <item t="data" sd="1" m="1" x="539"/>
        <item t="data" sd="1" m="1" x="452"/>
        <item t="data" sd="1" m="1" x="454"/>
        <item t="data" sd="1" m="1" x="333"/>
        <item t="data" sd="1" x="45"/>
        <item t="data" sd="1" m="1" x="336"/>
        <item t="data" sd="1" x="59"/>
        <item t="data" sd="1" m="1" x="565"/>
        <item t="data" sd="1" m="1" x="322"/>
        <item t="data" sd="1" m="1" x="492"/>
        <item t="data" sd="1" x="22"/>
        <item t="data" sd="1" m="1" x="461"/>
        <item t="data" sd="1" m="1" x="512"/>
        <item t="data" sd="1" m="1" x="612"/>
        <item t="data" sd="1" m="1" x="493"/>
        <item t="data" sd="1" x="66"/>
        <item t="data" sd="1" m="1" x="604"/>
        <item t="data" sd="1" m="1" x="513"/>
        <item t="data" sd="1" x="72"/>
        <item t="data" sd="1" m="1" x="496"/>
        <item t="data" sd="1" m="1" x="474"/>
        <item t="data" sd="1" m="1" x="475"/>
        <item t="data" sd="1" m="1" x="497"/>
        <item t="data" sd="1" m="1" x="514"/>
        <item t="data" sd="1" m="1" x="430"/>
        <item t="data" sd="1" m="1" x="450"/>
        <item t="data" sd="1" m="1" x="449"/>
        <item t="data" sd="1" x="191"/>
        <item t="data" sd="1" m="1" x="401"/>
        <item t="data" sd="1" x="26"/>
        <item t="data" sd="1" x="183"/>
        <item t="data" sd="1" x="92"/>
        <item t="data" sd="1" m="1" x="472"/>
        <item t="data" sd="1" m="1" x="601"/>
        <item t="data" sd="1" m="1" x="507"/>
        <item t="data" sd="1" m="1" x="529"/>
        <item t="data" sd="1" m="1" x="255"/>
        <item t="data" sd="1" m="1" x="610"/>
        <item t="data" sd="1" m="1" x="504"/>
        <item t="data" sd="1" m="1" x="466"/>
        <item t="data" sd="1" m="1" x="609"/>
        <item t="data" sd="1" x="68"/>
        <item t="data" sd="1" m="1" x="448"/>
        <item t="data" sd="1" m="1" x="607"/>
        <item t="data" sd="1" m="1" x="231"/>
        <item t="data" sd="1" m="1" x="594"/>
        <item t="data" sd="1" x="70"/>
        <item t="data" sd="1" m="1" x="524"/>
        <item t="data" sd="1" m="1" x="564"/>
        <item t="data" sd="1" m="1" x="473"/>
        <item t="data" sd="1" x="19"/>
        <item t="data" sd="1" m="1" x="495"/>
        <item t="data" sd="1" m="1" x="498"/>
        <item t="data" sd="1" m="1" x="511"/>
        <item t="data" sd="1" x="89"/>
        <item t="data" sd="1" m="1" x="471"/>
        <item t="data" sd="1" m="1" x="428"/>
        <item t="data" sd="1" x="16"/>
        <item t="data" sd="1" x="8"/>
        <item t="data" sd="1" m="1" x="593"/>
        <item t="data" sd="1" m="1" x="583"/>
        <item t="data" sd="1" m="1" x="551"/>
        <item t="data" sd="1" x="47"/>
        <item t="data" sd="1" m="1" x="584"/>
        <item t="data" sd="1" m="1" x="595"/>
        <item t="data" sd="1" m="1" x="438"/>
        <item t="data" sd="1" m="1" x="459"/>
        <item t="data" sd="1" m="1" x="463"/>
        <item t="data" sd="1" m="1" x="465"/>
        <item t="data" sd="1" m="1" x="467"/>
        <item t="data" sd="1" m="1" x="566"/>
        <item t="data" sd="1" m="1" x="590"/>
        <item t="data" sd="1" m="1" x="269"/>
        <item t="data" sd="1" x="146"/>
        <item t="data" sd="1" x="154"/>
        <item t="data" sd="1" m="1" x="399"/>
        <item t="data" sd="1" x="174"/>
        <item t="data" sd="1" m="1" x="591"/>
        <item t="data" sd="1" m="1" x="588"/>
        <item t="data" sd="1" m="1" x="254"/>
        <item t="data" sd="1" x="179"/>
        <item t="data" sd="1" m="1" x="382"/>
        <item t="data" sd="1" m="1" x="383"/>
        <item t="data" sd="1" m="1" x="592"/>
        <item t="data" sd="1" m="1" x="589"/>
        <item t="data" sd="1" x="25"/>
        <item t="data" sd="1" m="1" x="464"/>
        <item t="data" sd="1" x="80"/>
        <item t="data" sd="1" m="1" x="247"/>
        <item t="data" sd="1" m="1" x="486"/>
        <item t="data" sd="1" m="1" x="277"/>
        <item t="data" sd="1" m="1" x="390"/>
        <item t="data" sd="1" x="149"/>
        <item t="data" sd="1" x="164"/>
        <item t="data" sd="1" m="1" x="413"/>
        <item t="data" sd="1" m="1" x="415"/>
        <item t="data" sd="1" m="1" x="217"/>
        <item t="data" sd="1" m="1" x="468"/>
        <item t="data" sd="1" m="1" x="494"/>
        <item t="data" sd="1" m="1" x="377"/>
        <item t="data" sd="1" m="1" x="251"/>
        <item t="data" sd="1" x="77"/>
        <item t="data" sd="1" m="1" x="585"/>
        <item t="data" sd="1" m="1" x="552"/>
        <item t="data" sd="1" m="1" x="575"/>
        <item t="data" sd="1" m="1" x="576"/>
        <item t="data" sd="1" x="172"/>
        <item t="data" sd="1" m="1" x="577"/>
        <item t="data" sd="1" m="1" x="578"/>
        <item t="data" sd="1" m="1" x="579"/>
        <item t="data" sd="1" m="1" x="349"/>
        <item t="data" sd="1" m="1" x="580"/>
        <item t="data" sd="1" m="1" x="581"/>
        <item t="data" sd="1" m="1" x="369"/>
        <item t="data" sd="1" m="1" x="582"/>
        <item t="data" sd="1" m="1" x="363"/>
        <item t="data" sd="1" m="1" x="485"/>
        <item t="data" sd="1" m="1" x="250"/>
        <item t="data" sd="1" m="1" x="286"/>
        <item t="data" sd="1" m="1" x="572"/>
        <item t="data" sd="1" m="1" x="574"/>
        <item t="data" sd="1" m="1" x="567"/>
        <item t="data" sd="1" m="1" x="568"/>
        <item t="data" sd="1" m="1" x="569"/>
        <item t="data" sd="1" m="1" x="570"/>
        <item t="data" sd="1" m="1" x="553"/>
        <item t="data" sd="1" m="1" x="554"/>
        <item t="data" sd="1" m="1" x="555"/>
        <item t="data" sd="1" m="1" x="556"/>
        <item t="data" sd="1" m="1" x="557"/>
        <item t="data" sd="1" m="1" x="558"/>
        <item t="data" sd="1" m="1" x="541"/>
        <item t="data" sd="1" m="1" x="540"/>
        <item t="data" sd="1" m="1" x="270"/>
        <item t="data" sd="1" x="142"/>
        <item t="data" sd="1" x="151"/>
        <item t="data" sd="1" m="1" x="248"/>
        <item t="data" sd="1" x="156"/>
        <item t="data" sd="1" m="1" x="278"/>
        <item t="data" sd="1" m="1" x="545"/>
        <item t="data" sd="1" m="1" x="443"/>
        <item t="data" sd="1" m="1" x="253"/>
        <item t="data" sd="1" m="1" x="546"/>
        <item t="data" sd="1" m="1" x="547"/>
        <item t="data" sd="1" m="1" x="543"/>
        <item t="data" sd="1" m="1" x="482"/>
        <item t="data" sd="1" m="1" x="544"/>
        <item t="data" sd="1" x="190"/>
        <item t="data" sd="1" m="1" x="293"/>
        <item t="data" sd="1" x="1"/>
        <item t="data" sd="1" m="1" x="297"/>
        <item t="data" sd="1" m="1" x="414"/>
        <item t="data" sd="1" x="31"/>
        <item t="data" sd="1" m="1" x="416"/>
        <item t="data" sd="1" m="1" x="523"/>
        <item t="data" sd="1" m="1" x="503"/>
        <item t="data" sd="1" m="1" x="455"/>
        <item t="data" sd="1" m="1" x="535"/>
        <item t="data" sd="1" x="94"/>
        <item t="data" sd="1" x="96"/>
        <item t="data" sd="1" x="98"/>
        <item t="data" sd="1" x="100"/>
        <item t="data" sd="1" x="102"/>
        <item t="data" sd="1" x="103"/>
        <item t="data" sd="1" x="104"/>
        <item t="data" sd="1" x="106"/>
        <item t="data" sd="1" x="108"/>
        <item t="data" sd="1" x="109"/>
        <item t="data" sd="1" x="110"/>
        <item t="data" sd="1" m="1" x="243"/>
        <item t="data" sd="1" x="111"/>
        <item t="data" sd="1" x="112"/>
        <item t="data" sd="1" x="114"/>
        <item t="data" sd="1" x="116"/>
        <item t="data" sd="1" x="117"/>
        <item t="data" sd="1" x="119"/>
        <item t="data" sd="1" m="1" x="526"/>
        <item t="data" sd="1" m="1" x="527"/>
        <item t="data" sd="1" m="1" x="528"/>
        <item t="data" sd="1" x="131"/>
        <item t="data" sd="1" x="133"/>
        <item t="data" sd="1" x="159"/>
        <item t="data" sd="1" m="1" x="530"/>
        <item t="data" sd="1" m="1" x="532"/>
        <item t="data" sd="1" m="1" x="533"/>
        <item t="data" sd="1" m="1" x="384"/>
        <item t="data" sd="1" m="1" x="534"/>
        <item t="data" sd="1" x="192"/>
        <item t="data" sd="1" x="206"/>
        <item t="data" sd="1" m="1" x="522"/>
        <item t="data" sd="1" x="99"/>
        <item t="data" sd="1" m="1" x="268"/>
        <item t="data" sd="1" m="1" x="366"/>
        <item t="data" sd="1" m="1" x="379"/>
        <item t="data" sd="1" m="1" x="518"/>
        <item t="data" sd="1" m="1" x="282"/>
        <item t="data" sd="1" m="1" x="520"/>
        <item t="data" sd="1" m="1" x="406"/>
        <item t="data" sd="1" x="204"/>
        <item t="data" sd="1" m="1" x="327"/>
        <item t="data" sd="1" m="1" x="515"/>
        <item t="data" sd="1" x="95"/>
        <item t="data" sd="1" x="97"/>
        <item t="data" sd="1" x="101"/>
        <item t="data" sd="1" x="105"/>
        <item t="data" sd="1" x="107"/>
        <item t="data" sd="1" x="115"/>
        <item t="data" sd="1" x="118"/>
        <item t="data" sd="1" x="120"/>
        <item t="data" sd="1" x="122"/>
        <item t="data" sd="1" m="1" x="516"/>
        <item t="data" sd="1" x="121"/>
        <item t="data" sd="1" x="150"/>
        <item t="data" sd="1" x="124"/>
        <item t="data" sd="1" x="140"/>
        <item t="data" sd="1" m="1" x="272"/>
        <item t="data" sd="1" x="207"/>
        <item t="data" sd="1" m="1" x="209"/>
        <item t="data" sd="1" m="1" x="238"/>
        <item t="data" sd="1" x="113"/>
        <item t="data" sd="1" x="127"/>
        <item t="data" sd="1" m="1" x="267"/>
        <item t="data" sd="1" m="1" x="385"/>
        <item t="data" sd="1" m="1" x="386"/>
        <item t="data" sd="1" m="1" x="484"/>
        <item t="data" sd="1" m="1" x="479"/>
        <item t="data" sd="1" x="153"/>
        <item t="data" sd="1" x="155"/>
        <item t="data" sd="1" m="1" x="388"/>
        <item t="data" sd="1" m="1" x="442"/>
        <item t="data" sd="1" x="163"/>
        <item t="data" sd="1" m="1" x="481"/>
        <item t="data" sd="1" m="1" x="487"/>
        <item t="data" sd="1" m="1" x="488"/>
        <item t="data" sd="1" m="1" x="489"/>
        <item t="data" sd="1" m="1" x="490"/>
        <item t="data" sd="1" m="1" x="285"/>
        <item t="data" sd="1" m="1" x="491"/>
        <item t="data" sd="1" m="1" x="457"/>
        <item t="data" sd="1" m="1" x="458"/>
        <item t="data" sd="1" m="1" x="460"/>
        <item t="data" sd="1" m="1" x="308"/>
        <item t="data" sd="1" m="1" x="478"/>
        <item t="data" sd="1" m="1" x="365"/>
        <item t="data" sd="1" m="1" x="280"/>
        <item t="data" sd="1" m="1" x="284"/>
        <item t="data" sd="1" m="1" x="289"/>
        <item t="data" sd="1" x="157"/>
        <item t="data" sd="1" m="1" x="257"/>
        <item t="data" sd="1" m="1" x="342"/>
        <item t="data" sd="1" x="129"/>
        <item t="data" sd="1" m="1" x="440"/>
        <item t="data" sd="1" m="1" x="441"/>
        <item t="data" sd="1" m="1" x="444"/>
        <item t="data" sd="1" m="1" x="423"/>
        <item t="data" sd="1" m="1" x="445"/>
        <item t="data" sd="1" m="1" x="394"/>
        <item t="data" sd="1" m="1" x="288"/>
        <item t="data" sd="1" m="1" x="291"/>
        <item t="data" sd="1" m="1" x="370"/>
        <item t="data" sd="1" m="1" x="371"/>
        <item t="data" sd="1" m="1" x="424"/>
        <item t="data" sd="1" m="1" x="436"/>
        <item t="data" sd="1" m="1" x="420"/>
        <item t="data" sd="1" m="1" x="389"/>
        <item t="data" sd="1" m="1" x="368"/>
        <item t="data" sd="1" m="1" x="398"/>
        <item t="data" sd="1" m="1" x="402"/>
        <item t="data" sd="1" m="1" x="367"/>
        <item t="data" sd="1" m="1" x="287"/>
        <item t="data" sd="1" m="1" x="294"/>
        <item t="data" sd="1" m="1" x="392"/>
        <item t="data" sd="1" m="1" x="393"/>
        <item t="data" sd="1" m="1" x="334"/>
        <item t="data" sd="1" m="1" x="376"/>
        <item t="data" sd="1" m="1" x="378"/>
        <item t="data" sd="1" m="1" x="381"/>
        <item t="data" sd="1" m="1" x="353"/>
        <item t="data" sd="1" m="1" x="271"/>
        <item t="data" sd="1" m="1" x="275"/>
        <item t="data" sd="1" m="1" x="354"/>
        <item t="data" sd="1" m="1" x="279"/>
        <item t="data" sd="1" m="1" x="355"/>
        <item t="data" sd="1" m="1" x="356"/>
        <item t="data" sd="1" m="1" x="357"/>
        <item t="data" sd="1" m="1" x="358"/>
        <item t="data" sd="1" m="1" x="359"/>
        <item t="data" sd="1" m="1" x="360"/>
        <item t="data" sd="1" m="1" x="361"/>
        <item t="data" sd="1" m="1" x="362"/>
        <item t="data" sd="1" m="1" x="343"/>
        <item t="data" sd="1" m="1" x="344"/>
        <item t="data" sd="1" m="1" x="345"/>
        <item t="data" sd="1" m="1" x="346"/>
        <item t="data" sd="1" m="1" x="347"/>
        <item t="data" sd="1" m="1" x="348"/>
        <item t="data" sd="1" x="182"/>
        <item t="data" sd="1" m="1" x="350"/>
        <item t="data" sd="1" x="125"/>
        <item t="data" sd="1" m="1" x="274"/>
        <item t="data" sd="1" m="1" x="276"/>
        <item t="data" sd="1" x="175"/>
        <item t="data" sd="1" m="1" x="295"/>
        <item t="data" sd="1" x="123"/>
        <item t="data" sd="1" x="130"/>
        <item t="data" sd="1" x="138"/>
        <item t="data" sd="1" x="145"/>
        <item t="data" sd="1" x="152"/>
        <item t="data" sd="1" m="1" x="249"/>
        <item t="data" sd="1" x="171"/>
        <item t="data" sd="1" x="173"/>
        <item t="data" sd="1" m="1" x="252"/>
        <item t="data" sd="1" x="178"/>
        <item t="data" sd="1" m="1" x="256"/>
        <item t="data" sd="1" m="1" x="258"/>
        <item t="data" sd="1" x="188"/>
        <item t="data" sd="1" m="1" x="260"/>
        <item t="data" sd="1" x="201"/>
        <item t="data" sd="1" x="14"/>
        <item t="data" sd="1" x="177"/>
      </items>
    </pivotField>
    <pivotField showDropDowns="1" compact="0" numFmtId="2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numFmtId="2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dataField="1" showDropDowns="1" compact="0" outline="0" subtotalTop="1" dragToRow="1" dragToCol="1" dragToPage="1" dragToData="1" dragOff="1" showAll="0" topAutoShow="1" itemPageCount="10" sortType="manual" defaultSubtotal="0"/>
    <pivotField showDropDowns="1" compact="0" outline="0" subtotalTop="1" dragToRow="1" dragToCol="1" dragToPage="1" dragToData="1" dragOff="1" showAll="0" topAutoShow="1" itemPageCount="10" sortType="manual" defaultSubtotal="0"/>
    <pivotField axis="axisRow" showDropDowns="1" compact="0" outline="0" subtotalTop="1" dragToRow="1" dragToCol="1" dragToPage="1" dragToData="1" dragOff="1" showAll="0" topAutoShow="1" itemPageCount="10" sortType="ascending" defaultSubtotal="0">
      <items count="4">
        <item t="data" sd="1" m="1" x="3"/>
        <item t="data" sd="1" x="0"/>
        <item t="data" sd="1" x="1"/>
        <item t="data" sd="1" x="2"/>
      </items>
    </pivotField>
    <pivotField axis="axisRow" showDropDowns="1" compact="0" outline="0" subtotalTop="1" dragToRow="1" dragToCol="1" dragToPage="1" dragToData="1" dragOff="1" showAll="0" topAutoShow="1" itemPageCount="10" sortType="manual" defaultSubtotal="0">
      <items count="331">
        <item t="data" sd="1" x="58"/>
        <item t="data" sd="1" m="1" x="227"/>
        <item t="data" sd="1" x="0"/>
        <item t="data" sd="1" x="48"/>
        <item t="data" sd="1" m="1" x="319"/>
        <item t="data" sd="1" m="1" x="179"/>
        <item t="data" sd="1" m="1" x="329"/>
        <item t="data" sd="1" m="1" x="104"/>
        <item t="data" sd="1" x="72"/>
        <item t="data" sd="1" m="1" x="127"/>
        <item t="data" sd="1" x="95"/>
        <item t="data" sd="1" x="92"/>
        <item t="data" sd="1" m="1" x="288"/>
        <item t="data" sd="1" m="1" x="317"/>
        <item t="data" sd="1" m="1" x="106"/>
        <item t="data" sd="1" m="1" x="171"/>
        <item t="data" sd="1" m="1" x="290"/>
        <item t="data" sd="1" m="1" x="270"/>
        <item t="data" sd="1" m="1" x="305"/>
        <item t="data" sd="1" m="1" x="247"/>
        <item t="data" sd="1" m="1" x="130"/>
        <item t="data" sd="1" m="1" x="112"/>
        <item t="data" sd="1" m="1" x="261"/>
        <item t="data" sd="1" m="1" x="273"/>
        <item t="data" sd="1" m="1" x="278"/>
        <item t="data" sd="1" m="1" x="131"/>
        <item t="data" sd="1" x="80"/>
        <item t="data" sd="1" x="64"/>
        <item t="data" sd="1" m="1" x="249"/>
        <item t="data" sd="1" m="1" x="311"/>
        <item t="data" sd="1" x="32"/>
        <item t="data" sd="1" m="1" x="215"/>
        <item t="data" sd="1" x="8"/>
        <item t="data" sd="1" m="1" x="200"/>
        <item t="data" sd="1" m="1" x="265"/>
        <item t="data" sd="1" m="1" x="260"/>
        <item t="data" sd="1" m="1" x="117"/>
        <item t="data" sd="1" x="68"/>
        <item t="data" sd="1" m="1" x="223"/>
        <item t="data" sd="1" m="1" x="314"/>
        <item t="data" sd="1" m="1" x="173"/>
        <item t="data" sd="1" m="1" x="315"/>
        <item t="data" sd="1" m="1" x="241"/>
        <item t="data" sd="1" x="61"/>
        <item t="data" sd="1" m="1" x="257"/>
        <item t="data" sd="1" x="42"/>
        <item t="data" sd="1" m="1" x="132"/>
        <item t="data" sd="1" m="1" x="119"/>
        <item t="data" sd="1" m="1" x="188"/>
        <item t="data" sd="1" m="1" x="147"/>
        <item t="data" sd="1" m="1" x="180"/>
        <item t="data" sd="1" m="1" x="202"/>
        <item t="data" sd="1" m="1" x="141"/>
        <item t="data" sd="1" m="1" x="217"/>
        <item t="data" sd="1" x="26"/>
        <item t="data" sd="1" x="7"/>
        <item t="data" sd="1" m="1" x="113"/>
        <item t="data" sd="1" x="22"/>
        <item t="data" sd="1" m="1" x="196"/>
        <item t="data" sd="1" x="36"/>
        <item t="data" sd="1" m="1" x="218"/>
        <item t="data" sd="1" x="81"/>
        <item t="data" sd="1" m="1" x="186"/>
        <item t="data" sd="1" m="1" x="250"/>
        <item t="data" sd="1" x="90"/>
        <item t="data" sd="1" m="1" x="162"/>
        <item t="data" sd="1" m="1" x="116"/>
        <item t="data" sd="1" m="1" x="310"/>
        <item t="data" sd="1" x="88"/>
        <item t="data" sd="1" m="1" x="198"/>
        <item t="data" sd="1" m="1" x="292"/>
        <item t="data" sd="1" x="13"/>
        <item t="data" sd="1" x="17"/>
        <item t="data" sd="1" x="9"/>
        <item t="data" sd="1" m="1" x="304"/>
        <item t="data" sd="1" m="1" x="266"/>
        <item t="data" sd="1" x="11"/>
        <item t="data" sd="1" x="30"/>
        <item t="data" sd="1" m="1" x="219"/>
        <item t="data" sd="1" x="54"/>
        <item t="data" sd="1" m="1" x="282"/>
        <item t="data" sd="1" m="1" x="124"/>
        <item t="data" sd="1" x="47"/>
        <item t="data" sd="1" m="1" x="272"/>
        <item t="data" sd="1" m="1" x="148"/>
        <item t="data" sd="1" m="1" x="123"/>
        <item t="data" sd="1" x="25"/>
        <item t="data" sd="1" m="1" x="103"/>
        <item t="data" sd="1" m="1" x="291"/>
        <item t="data" sd="1" m="1" x="174"/>
        <item t="data" sd="1" m="1" x="100"/>
        <item t="data" sd="1" m="1" x="178"/>
        <item t="data" sd="1" m="1" x="121"/>
        <item t="data" sd="1" m="1" x="139"/>
        <item t="data" sd="1" m="1" x="105"/>
        <item t="data" sd="1" x="6"/>
        <item t="data" sd="1" m="1" x="230"/>
        <item t="data" sd="1" m="1" x="324"/>
        <item t="data" sd="1" m="1" x="254"/>
        <item t="data" sd="1" m="1" x="149"/>
        <item t="data" sd="1" x="35"/>
        <item t="data" sd="1" x="18"/>
        <item t="data" sd="1" m="1" x="222"/>
        <item t="data" sd="1" x="84"/>
        <item t="data" sd="1" m="1" x="155"/>
        <item t="data" sd="1" m="1" x="327"/>
        <item t="data" sd="1" m="1" x="146"/>
        <item t="data" sd="1" x="55"/>
        <item t="data" sd="1" m="1" x="158"/>
        <item t="data" sd="1" x="20"/>
        <item t="data" sd="1" x="70"/>
        <item t="data" sd="1" m="1" x="143"/>
        <item t="data" sd="1" m="1" x="192"/>
        <item t="data" sd="1" m="1" x="187"/>
        <item t="data" sd="1" m="1" x="240"/>
        <item t="data" sd="1" m="1" x="307"/>
        <item t="data" sd="1" m="1" x="157"/>
        <item t="data" sd="1" m="1" x="98"/>
        <item t="data" sd="1" x="69"/>
        <item t="data" sd="1" m="1" x="211"/>
        <item t="data" sd="1" x="63"/>
        <item t="data" sd="1" x="76"/>
        <item t="data" sd="1" m="1" x="233"/>
        <item t="data" sd="1" m="1" x="239"/>
        <item t="data" sd="1" m="1" x="212"/>
        <item t="data" sd="1" x="43"/>
        <item t="data" sd="1" x="65"/>
        <item t="data" sd="1" x="37"/>
        <item t="data" sd="1" m="1" x="320"/>
        <item t="data" sd="1" m="1" x="170"/>
        <item t="data" sd="1" m="1" x="166"/>
        <item t="data" sd="1" m="1" x="120"/>
        <item t="data" sd="1" x="62"/>
        <item t="data" sd="1" m="1" x="204"/>
        <item t="data" sd="1" x="24"/>
        <item t="data" sd="1" x="57"/>
        <item t="data" sd="1" m="1" x="115"/>
        <item t="data" sd="1" m="1" x="107"/>
        <item t="data" sd="1" m="1" x="144"/>
        <item t="data" sd="1" x="75"/>
        <item t="data" sd="1" m="1" x="163"/>
        <item t="data" sd="1" m="1" x="161"/>
        <item t="data" sd="1" m="1" x="264"/>
        <item t="data" sd="1" m="1" x="300"/>
        <item t="data" sd="1" x="27"/>
        <item t="data" sd="1" m="1" x="194"/>
        <item t="data" sd="1" m="1" x="280"/>
        <item t="data" sd="1" m="1" x="267"/>
        <item t="data" sd="1" m="1" x="236"/>
        <item t="data" sd="1" m="1" x="289"/>
        <item t="data" sd="1" m="1" x="136"/>
        <item t="data" sd="1" m="1" x="208"/>
        <item t="data" sd="1" m="1" x="138"/>
        <item t="data" sd="1" m="1" x="182"/>
        <item t="data" sd="1" m="1" x="302"/>
        <item t="data" sd="1" m="1" x="172"/>
        <item t="data" sd="1" m="1" x="154"/>
        <item t="data" sd="1" m="1" x="235"/>
        <item t="data" sd="1" m="1" x="228"/>
        <item t="data" sd="1" m="1" x="322"/>
        <item t="data" sd="1" x="52"/>
        <item t="data" sd="1" m="1" x="213"/>
        <item t="data" sd="1" m="1" x="313"/>
        <item t="data" sd="1" m="1" x="160"/>
        <item t="data" sd="1" m="1" x="256"/>
        <item t="data" sd="1" m="1" x="286"/>
        <item t="data" sd="1" m="1" x="299"/>
        <item t="data" sd="1" m="1" x="101"/>
        <item t="data" sd="1" x="71"/>
        <item t="data" sd="1" x="4"/>
        <item t="data" sd="1" x="44"/>
        <item t="data" sd="1" m="1" x="189"/>
        <item t="data" sd="1" m="1" x="210"/>
        <item t="data" sd="1" m="1" x="323"/>
        <item t="data" sd="1" m="1" x="128"/>
        <item t="data" sd="1" m="1" x="114"/>
        <item t="data" sd="1" x="12"/>
        <item t="data" sd="1" x="41"/>
        <item t="data" sd="1" m="1" x="245"/>
        <item t="data" sd="1" m="1" x="248"/>
        <item t="data" sd="1" m="1" x="253"/>
        <item t="data" sd="1" m="1" x="152"/>
        <item t="data" sd="1" x="15"/>
        <item t="data" sd="1" m="1" x="281"/>
        <item t="data" sd="1" x="59"/>
        <item t="data" sd="1" m="1" x="177"/>
        <item t="data" sd="1" m="1" x="191"/>
        <item t="data" sd="1" x="3"/>
        <item t="data" sd="1" x="40"/>
        <item t="data" sd="1" m="1" x="287"/>
        <item t="data" sd="1" m="1" x="185"/>
        <item t="data" sd="1" x="67"/>
        <item t="data" sd="1" m="1" x="258"/>
        <item t="data" sd="1" m="1" x="195"/>
        <item t="data" sd="1" x="56"/>
        <item t="data" sd="1" x="53"/>
        <item t="data" sd="1" m="1" x="321"/>
        <item t="data" sd="1" m="1" x="184"/>
        <item t="data" sd="1" m="1" x="99"/>
        <item t="data" sd="1" x="45"/>
        <item t="data" sd="1" m="1" x="201"/>
        <item t="data" sd="1" m="1" x="283"/>
        <item t="data" sd="1" m="1" x="220"/>
        <item t="data" sd="1" m="1" x="259"/>
        <item t="data" sd="1" m="1" x="207"/>
        <item t="data" sd="1" m="1" x="102"/>
        <item t="data" sd="1" m="1" x="190"/>
        <item t="data" sd="1" x="51"/>
        <item t="data" sd="1" x="38"/>
        <item t="data" sd="1" x="34"/>
        <item t="data" sd="1" m="1" x="268"/>
        <item t="data" sd="1" m="1" x="110"/>
        <item t="data" sd="1" x="49"/>
        <item t="data" sd="1" m="1" x="297"/>
        <item t="data" sd="1" m="1" x="193"/>
        <item t="data" sd="1" m="1" x="303"/>
        <item t="data" sd="1" m="1" x="150"/>
        <item t="data" sd="1" m="1" x="175"/>
        <item t="data" sd="1" m="1" x="255"/>
        <item t="data" sd="1" m="1" x="125"/>
        <item t="data" sd="1" m="1" x="209"/>
        <item t="data" sd="1" m="1" x="279"/>
        <item t="data" sd="1" x="39"/>
        <item t="data" sd="1" m="1" x="243"/>
        <item t="data" sd="1" m="1" x="269"/>
        <item t="data" sd="1" x="60"/>
        <item t="data" sd="1" m="1" x="153"/>
        <item t="data" sd="1" m="1" x="316"/>
        <item t="data" sd="1" m="1" x="251"/>
        <item t="data" sd="1" m="1" x="129"/>
        <item t="data" sd="1" m="1" x="295"/>
        <item t="data" sd="1" m="1" x="214"/>
        <item t="data" sd="1" m="1" x="275"/>
        <item t="data" sd="1" x="74"/>
        <item t="data" sd="1" m="1" x="237"/>
        <item t="data" sd="1" m="1" x="108"/>
        <item t="data" sd="1" m="1" x="135"/>
        <item t="data" sd="1" m="1" x="140"/>
        <item t="data" sd="1" m="1" x="318"/>
        <item t="data" sd="1" x="85"/>
        <item t="data" sd="1" m="1" x="183"/>
        <item t="data" sd="1" m="1" x="225"/>
        <item t="data" sd="1" m="1" x="176"/>
        <item t="data" sd="1" m="1" x="293"/>
        <item t="data" sd="1" m="1" x="308"/>
        <item t="data" sd="1" m="1" x="221"/>
        <item t="data" sd="1" m="1" x="262"/>
        <item t="data" sd="1" m="1" x="224"/>
        <item t="data" sd="1" m="1" x="301"/>
        <item t="data" sd="1" x="83"/>
        <item t="data" sd="1" m="1" x="142"/>
        <item t="data" sd="1" m="1" x="109"/>
        <item t="data" sd="1" m="1" x="111"/>
        <item t="data" sd="1" x="50"/>
        <item t="data" sd="1" m="1" x="133"/>
        <item t="data" sd="1" m="1" x="137"/>
        <item t="data" sd="1" x="87"/>
        <item t="data" sd="1" m="1" x="312"/>
        <item t="data" sd="1" m="1" x="226"/>
        <item t="data" sd="1" x="89"/>
        <item t="data" sd="1" m="1" x="298"/>
        <item t="data" sd="1" x="78"/>
        <item t="data" sd="1" m="1" x="284"/>
        <item t="data" sd="1" x="91"/>
        <item t="data" sd="1" m="1" x="206"/>
        <item t="data" sd="1" m="1" x="203"/>
        <item t="data" sd="1" x="66"/>
        <item t="data" sd="1" x="77"/>
        <item t="data" sd="1" m="1" x="167"/>
        <item t="data" sd="1" m="1" x="326"/>
        <item t="data" sd="1" m="1" x="271"/>
        <item t="data" sd="1" m="1" x="118"/>
        <item t="data" sd="1" m="1" x="325"/>
        <item t="data" sd="1" x="16"/>
        <item t="data" sd="1" m="1" x="151"/>
        <item t="data" sd="1" x="86"/>
        <item t="data" sd="1" x="28"/>
        <item t="data" sd="1" m="1" x="328"/>
        <item t="data" sd="1" x="21"/>
        <item t="data" sd="1" x="82"/>
        <item t="data" sd="1" x="10"/>
        <item t="data" sd="1" m="1" x="330"/>
        <item t="data" sd="1" m="1" x="165"/>
        <item t="data" sd="1" m="1" x="294"/>
        <item t="data" sd="1" m="1" x="309"/>
        <item t="data" sd="1" x="79"/>
        <item t="data" sd="1" x="2"/>
        <item t="data" sd="1" m="1" x="246"/>
        <item t="data" sd="1" m="1" x="238"/>
        <item t="data" sd="1" m="1" x="181"/>
        <item t="data" sd="1" x="46"/>
        <item t="data" sd="1" m="1" x="296"/>
        <item t="data" sd="1" m="1" x="285"/>
        <item t="data" sd="1" x="73"/>
        <item t="data" sd="1" m="1" x="122"/>
        <item t="data" sd="1" x="5"/>
        <item t="data" sd="1" m="1" x="242"/>
        <item t="data" sd="1" m="1" x="156"/>
        <item t="data" sd="1" x="29"/>
        <item t="data" sd="1" x="23"/>
        <item t="data" sd="1" m="1" x="205"/>
        <item t="data" sd="1" x="33"/>
        <item t="data" sd="1" m="1" x="306"/>
        <item t="data" sd="1" m="1" x="244"/>
        <item t="data" sd="1" x="93"/>
        <item t="data" sd="1" x="19"/>
        <item t="data" sd="1" m="1" x="168"/>
        <item t="data" sd="1" m="1" x="159"/>
        <item t="data" sd="1" x="94"/>
        <item t="data" sd="1" x="96"/>
        <item t="data" sd="1" x="1"/>
        <item t="data" sd="1" m="1" x="134"/>
        <item t="data" sd="1" m="1" x="197"/>
        <item t="data" sd="1" x="31"/>
        <item t="data" sd="1" m="1" x="199"/>
        <item t="data" sd="1" m="1" x="263"/>
        <item t="data" sd="1" m="1" x="229"/>
        <item t="data" sd="1" m="1" x="277"/>
        <item t="data" sd="1" m="1" x="276"/>
        <item t="data" sd="1" m="1" x="164"/>
        <item t="data" sd="1" m="1" x="274"/>
        <item t="data" sd="1" m="1" x="97"/>
        <item t="data" sd="1" m="1" x="126"/>
        <item t="data" sd="1" m="1" x="231"/>
        <item t="data" sd="1" m="1" x="232"/>
        <item t="data" sd="1" m="1" x="234"/>
        <item t="data" sd="1" m="1" x="145"/>
        <item t="data" sd="1" m="1" x="252"/>
        <item t="data" sd="1" m="1" x="216"/>
        <item t="data" sd="1" m="1" x="169"/>
        <item t="data" sd="1" x="14"/>
      </items>
    </pivotField>
    <pivotField showDropDowns="1" compact="0" numFmtId="20" outline="0" subtotalTop="1" dragToRow="1" dragToCol="1" dragToPage="1" dragToData="1" dragOff="1" showAll="0" topAutoShow="1" itemPageCount="10" sortType="manual" defaultSubtotal="0"/>
    <pivotField showDropDowns="1" compact="0" numFmtId="20" outline="0" subtotalTop="1" dragToRow="1" dragToCol="1" dragToPage="1" dragToData="1" dragOff="1" showAll="0" topAutoShow="1" itemPageCount="10" sortType="manual" defaultSubtotal="0"/>
  </pivotFields>
  <rowFields count="3">
    <field x="29"/>
    <field x="30"/>
    <field x="4"/>
  </rowFields>
  <rowItems count="221">
    <i t="data" r="0" i="0">
      <x v="1"/>
      <x v="2"/>
      <x v="0"/>
    </i>
    <i t="data" r="1" i="0">
      <x v="3"/>
      <x v="54"/>
    </i>
    <i t="data" r="1" i="0">
      <x v="8"/>
      <x v="342"/>
    </i>
    <i t="data" r="1" i="0">
      <x v="10"/>
      <x v="139"/>
    </i>
    <i t="data" r="1" i="0">
      <x v="11"/>
      <x v="355"/>
    </i>
    <i t="data" r="1" i="0">
      <x v="26"/>
      <x v="411"/>
    </i>
    <i t="data" r="1" i="0">
      <x v="27"/>
      <x v="123"/>
    </i>
    <i t="data" r="1" i="0">
      <x v="32"/>
      <x v="382"/>
    </i>
    <i t="data" r="1" i="0">
      <x v="37"/>
      <x v="365"/>
    </i>
    <i t="data" r="1" i="0">
      <x v="43"/>
      <x v="118"/>
    </i>
    <i t="data" r="1" i="0">
      <x v="45"/>
      <x v="243"/>
    </i>
    <i t="data" r="1" i="0">
      <x v="54"/>
      <x v="353"/>
    </i>
    <i t="data" r="1" i="0">
      <x v="57"/>
      <x v="334"/>
    </i>
    <i t="data" r="1" i="0">
      <x v="59"/>
      <x v="92"/>
    </i>
    <i t="data" r="1" i="0">
      <x v="64"/>
      <x v="138"/>
    </i>
    <i t="data" r="1" i="0">
      <x v="71"/>
      <x v="58"/>
    </i>
    <i t="data" r="1" i="0">
      <x v="82"/>
      <x v="386"/>
    </i>
    <i t="data" r="1" i="0">
      <x v="86"/>
      <x v="409"/>
    </i>
    <i t="data" r="1" i="0">
      <x v="100"/>
      <x v="19"/>
    </i>
    <i t="data" r="1" i="0">
      <x v="103"/>
      <x v="47"/>
    </i>
    <i t="data" r="1" i="0">
      <x v="109"/>
      <x v="56"/>
    </i>
    <i t="data" r="1" i="0">
      <x v="120"/>
      <x v="122"/>
    </i>
    <i t="data" r="1" i="0">
      <x v="121"/>
      <x v="39"/>
    </i>
    <i t="data" r="1" i="0">
      <x v="125"/>
      <x v="104"/>
    </i>
    <i t="data" r="1" i="0">
      <x v="126"/>
      <x v="124"/>
    </i>
    <i t="data" r="1" i="0">
      <x v="132"/>
      <x v="119"/>
    </i>
    <i t="data" r="1" i="0">
      <x v="139"/>
      <x v="38"/>
    </i>
    <i t="data" r="1" i="0">
      <x v="160"/>
      <x v="25"/>
    </i>
    <i t="data" r="1" i="0">
      <x v="184"/>
      <x v="330"/>
    </i>
    <i t="data" r="1" i="0">
      <x v="187"/>
      <x v="1"/>
    </i>
    <i t="data" r="1" i="0">
      <x v="194"/>
      <x v="112"/>
    </i>
    <i t="data" r="1" i="0">
      <x v="195"/>
      <x v="26"/>
    </i>
    <i t="data" r="1" i="0">
      <x v="199"/>
      <x v="328"/>
    </i>
    <i t="data" r="1" i="0">
      <x v="233"/>
      <x v="37"/>
    </i>
    <i t="data" r="1" i="0">
      <x v="239"/>
      <x v="49"/>
    </i>
    <i t="data" r="1" i="0">
      <x v="249"/>
      <x v="46"/>
    </i>
    <i t="data" r="1" i="0">
      <x v="253"/>
      <x v="108"/>
    </i>
    <i t="data" r="1" i="0">
      <x v="266"/>
      <x v="339"/>
    </i>
    <i t="data" r="1" i="0">
      <x v="267"/>
      <x v="425"/>
    </i>
    <i t="data" r="1" i="0">
      <x v="273"/>
      <x v="381"/>
    </i>
    <i t="data" r="1" i="0">
      <x v="275"/>
      <x v="134"/>
    </i>
    <i t="data" r="1" i="0">
      <x v="279"/>
      <x v="162"/>
    </i>
    <i t="data" r="1" i="0">
      <x v="285"/>
      <x v="42"/>
    </i>
    <i t="data" r="1" i="0">
      <x v="286"/>
      <x v="318"/>
    </i>
    <i t="data" r="1" i="0">
      <x v="290"/>
      <x v="24"/>
    </i>
    <i t="data" r="1" i="0">
      <x v="293"/>
      <x v="151"/>
    </i>
    <i t="data" r="1" i="0">
      <x v="305"/>
      <x v="374"/>
    </i>
    <i t="data" r="1" i="0">
      <x v="308"/>
      <x v="173"/>
    </i>
    <i t="data" r="2" i="0">
      <x v="176"/>
    </i>
    <i t="data" r="2" i="0">
      <x v="182"/>
    </i>
    <i t="data" r="2" i="0">
      <x v="187"/>
    </i>
    <i t="data" r="2" i="0">
      <x v="188"/>
    </i>
    <i t="data" r="2" i="0">
      <x v="189"/>
    </i>
    <i t="data" r="2" i="0">
      <x v="191"/>
    </i>
    <i t="data" r="2" i="0">
      <x v="193"/>
    </i>
    <i t="data" r="2" i="0">
      <x v="196"/>
    </i>
    <i t="data" r="2" i="0">
      <x v="202"/>
    </i>
    <i t="data" r="2" i="0">
      <x v="213"/>
    </i>
    <i t="data" r="2" i="0">
      <x v="217"/>
    </i>
    <i t="data" r="2" i="0">
      <x v="221"/>
    </i>
    <i t="data" r="2" i="0">
      <x v="265"/>
    </i>
    <i t="data" r="2" i="0">
      <x v="397"/>
    </i>
    <i t="data" r="2" i="0">
      <x v="398"/>
    </i>
    <i t="data" r="2" i="0">
      <x v="400"/>
    </i>
    <i t="data" r="2" i="0">
      <x v="404"/>
    </i>
    <i t="data" r="2" i="0">
      <x v="416"/>
    </i>
    <i t="data" r="2" i="0">
      <x v="417"/>
    </i>
    <i t="data" r="2" i="0">
      <x v="430"/>
    </i>
    <i t="data" r="2" i="0">
      <x v="458"/>
    </i>
    <i t="data" r="2" i="0">
      <x v="459"/>
    </i>
    <i t="data" r="2" i="0">
      <x v="461"/>
    </i>
    <i t="data" r="2" i="0">
      <x v="471"/>
    </i>
    <i t="data" r="2" i="0">
      <x v="482"/>
    </i>
    <i t="data" r="2" i="0">
      <x v="484"/>
    </i>
    <i t="data" r="2" i="0">
      <x v="485"/>
    </i>
    <i t="data" r="2" i="0">
      <x v="486"/>
    </i>
    <i t="data" r="2" i="0">
      <x v="487"/>
    </i>
    <i t="data" r="2" i="0">
      <x v="488"/>
    </i>
    <i t="data" r="2" i="0">
      <x v="489"/>
    </i>
    <i t="data" r="2" i="0">
      <x v="490"/>
    </i>
    <i t="data" r="2" i="0">
      <x v="491"/>
    </i>
    <i t="data" r="2" i="0">
      <x v="492"/>
    </i>
    <i t="data" r="2" i="0">
      <x v="494"/>
    </i>
    <i t="data" r="2" i="0">
      <x v="495"/>
    </i>
    <i t="data" r="2" i="0">
      <x v="496"/>
    </i>
    <i t="data" r="2" i="0">
      <x v="497"/>
    </i>
    <i t="data" r="2" i="0">
      <x v="499"/>
    </i>
    <i t="data" r="2" i="0">
      <x v="504"/>
    </i>
    <i t="data" r="2" i="0">
      <x v="514"/>
    </i>
    <i t="data" r="2" i="0">
      <x v="525"/>
    </i>
    <i t="data" r="2" i="0">
      <x v="526"/>
    </i>
    <i t="data" r="2" i="0">
      <x v="527"/>
    </i>
    <i t="data" r="2" i="0">
      <x v="528"/>
    </i>
    <i t="data" r="2" i="0">
      <x v="529"/>
    </i>
    <i t="data" r="2" i="0">
      <x v="530"/>
    </i>
    <i t="data" r="2" i="0">
      <x v="531"/>
    </i>
    <i t="data" r="2" i="0">
      <x v="532"/>
    </i>
    <i t="data" r="2" i="0">
      <x v="537"/>
    </i>
    <i t="data" r="2" i="0">
      <x v="538"/>
    </i>
    <i t="data" r="2" i="0">
      <x v="540"/>
    </i>
    <i t="data" r="2" i="0">
      <x v="544"/>
    </i>
    <i t="data" r="2" i="0">
      <x v="550"/>
    </i>
    <i t="data" r="2" i="0">
      <x v="554"/>
    </i>
    <i t="data" r="2" i="0">
      <x v="571"/>
    </i>
    <i t="data" r="2" i="0">
      <x v="574"/>
    </i>
    <i t="data" r="2" i="0">
      <x v="625"/>
    </i>
    <i t="data" r="2" i="0">
      <x v="627"/>
    </i>
    <i t="data" r="2" i="0">
      <x v="628"/>
    </i>
    <i t="data" r="2" i="0">
      <x v="630"/>
    </i>
    <i t="data" r="2" i="0">
      <x v="631"/>
    </i>
    <i t="data" r="2" i="0">
      <x v="636"/>
    </i>
    <i t="data" r="2" i="0">
      <x v="641"/>
    </i>
    <i t="data" r="2" i="0">
      <x v="643"/>
    </i>
    <i t="data" r="1" i="0">
      <x v="310"/>
      <x v="473"/>
    </i>
    <i t="data" r="1" i="0">
      <x v="313"/>
      <x v="476"/>
    </i>
    <i t="data" r="0" i="0">
      <x v="2"/>
      <x v="0"/>
      <x v="115"/>
    </i>
    <i t="data" r="1" i="0">
      <x v="30"/>
      <x v="157"/>
    </i>
    <i t="data" r="1" i="0">
      <x v="55"/>
      <x v="69"/>
    </i>
    <i t="data" r="1" i="0">
      <x v="61"/>
      <x v="249"/>
    </i>
    <i t="data" r="1" i="0">
      <x v="68"/>
      <x v="67"/>
    </i>
    <i t="data" r="1" i="0">
      <x v="72"/>
      <x v="9"/>
    </i>
    <i t="data" r="1" i="0">
      <x v="73"/>
      <x v="241"/>
    </i>
    <i t="data" r="1" i="0">
      <x v="76"/>
      <x v="71"/>
    </i>
    <i t="data" r="1" i="0">
      <x v="77"/>
      <x v="17"/>
    </i>
    <i t="data" r="1" i="0">
      <x v="79"/>
      <x v="27"/>
    </i>
    <i t="data" r="1" i="0">
      <x v="95"/>
      <x v="3"/>
    </i>
    <i t="data" r="1" i="0">
      <x v="101"/>
      <x v="242"/>
    </i>
    <i t="data" r="1" i="0">
      <x v="107"/>
      <x v="111"/>
    </i>
    <i t="data" r="1" i="0">
      <x v="110"/>
      <x v="370"/>
    </i>
    <i t="data" r="1" i="0">
      <x v="118"/>
      <x v="149"/>
    </i>
    <i t="data" r="1" i="0">
      <x v="127"/>
      <x v="94"/>
    </i>
    <i t="data" r="1" i="0">
      <x v="134"/>
      <x v="142"/>
    </i>
    <i t="data" r="1" i="0">
      <x v="135"/>
      <x v="268"/>
    </i>
    <i t="data" r="1" i="0">
      <x v="144"/>
      <x v="87"/>
    </i>
    <i t="data" r="1" i="0">
      <x v="168"/>
      <x v="292"/>
    </i>
    <i t="data" r="1" i="0">
      <x v="169"/>
      <x v="230"/>
    </i>
    <i t="data" r="1" i="0">
      <x v="170"/>
      <x v="105"/>
    </i>
    <i t="data" r="1" i="0">
      <x v="176"/>
      <x v="73"/>
    </i>
    <i t="data" r="1" i="0">
      <x v="177"/>
      <x v="23"/>
    </i>
    <i t="data" r="1" i="0">
      <x v="182"/>
      <x v="8"/>
    </i>
    <i t="data" r="1" i="0">
      <x v="188"/>
      <x v="276"/>
    </i>
    <i t="data" r="1" i="0">
      <x v="191"/>
      <x v="246"/>
    </i>
    <i t="data" r="1" i="0">
      <x v="207"/>
      <x v="109"/>
    </i>
    <i t="data" r="1" i="0">
      <x v="208"/>
      <x v="225"/>
    </i>
    <i t="data" r="1" i="0">
      <x v="209"/>
      <x v="91"/>
    </i>
    <i t="data" r="1" i="0">
      <x v="212"/>
      <x v="107"/>
    </i>
    <i t="data" r="1" i="0">
      <x v="222"/>
      <x v="267"/>
    </i>
    <i t="data" r="1" i="0">
      <x v="225"/>
      <x v="148"/>
    </i>
    <i t="data" r="1" i="0">
      <x v="256"/>
      <x v="237"/>
    </i>
    <i t="data" r="1" i="0">
      <x v="259"/>
      <x v="378"/>
    </i>
    <i t="data" r="1" i="0">
      <x v="261"/>
      <x v="41"/>
    </i>
    <i t="data" r="1" i="0">
      <x v="263"/>
      <x v="287"/>
    </i>
    <i t="data" r="1" i="0">
      <x v="276"/>
      <x v="13"/>
    </i>
    <i t="data" r="1" i="0">
      <x v="278"/>
      <x v="141"/>
    </i>
    <i t="data" r="1" i="0">
      <x v="280"/>
      <x v="270"/>
    </i>
    <i t="data" r="1" i="0">
      <x v="295"/>
      <x v="156"/>
    </i>
    <i t="data" r="1" i="0">
      <x v="298"/>
      <x v="16"/>
    </i>
    <i t="data" r="1" i="0">
      <x v="299"/>
      <x v="81"/>
    </i>
    <i t="data" r="1" i="0">
      <x v="301"/>
      <x v="18"/>
    </i>
    <i t="data" r="1" i="0">
      <x v="304"/>
      <x v="52"/>
    </i>
    <i t="data" r="1" i="0">
      <x v="308"/>
      <x v="166"/>
    </i>
    <i t="data" r="2" i="0">
      <x v="168"/>
    </i>
    <i t="data" r="2" i="0">
      <x v="169"/>
    </i>
    <i t="data" r="2" i="0">
      <x v="171"/>
    </i>
    <i t="data" r="2" i="0">
      <x v="172"/>
    </i>
    <i t="data" r="2" i="0">
      <x v="175"/>
    </i>
    <i t="data" r="2" i="0">
      <x v="179"/>
    </i>
    <i t="data" r="2" i="0">
      <x v="180"/>
    </i>
    <i t="data" r="2" i="0">
      <x v="181"/>
    </i>
    <i t="data" r="2" i="0">
      <x v="182"/>
    </i>
    <i t="data" r="2" i="0">
      <x v="186"/>
    </i>
    <i t="data" r="2" i="0">
      <x v="187"/>
    </i>
    <i t="data" r="2" i="0">
      <x v="192"/>
    </i>
    <i t="data" r="2" i="0">
      <x v="195"/>
    </i>
    <i t="data" r="2" i="0">
      <x v="196"/>
    </i>
    <i t="data" r="2" i="0">
      <x v="197"/>
    </i>
    <i t="data" r="2" i="0">
      <x v="198"/>
    </i>
    <i t="data" r="2" i="0">
      <x v="201"/>
    </i>
    <i t="data" r="2" i="0">
      <x v="202"/>
    </i>
    <i t="data" r="2" i="0">
      <x v="204"/>
    </i>
    <i t="data" r="2" i="0">
      <x v="205"/>
    </i>
    <i t="data" r="2" i="0">
      <x v="206"/>
    </i>
    <i t="data" r="2" i="0">
      <x v="207"/>
    </i>
    <i t="data" r="2" i="0">
      <x v="208"/>
    </i>
    <i t="data" r="2" i="0">
      <x v="211"/>
    </i>
    <i t="data" r="2" i="0">
      <x v="212"/>
    </i>
    <i t="data" r="2" i="0">
      <x v="213"/>
    </i>
    <i t="data" r="2" i="0">
      <x v="216"/>
    </i>
    <i t="data" r="2" i="0">
      <x v="217"/>
    </i>
    <i t="data" r="2" i="0">
      <x v="218"/>
    </i>
    <i t="data" r="2" i="0">
      <x v="222"/>
    </i>
    <i t="data" r="2" i="0">
      <x v="266"/>
    </i>
    <i t="data" r="2" i="0">
      <x v="281"/>
    </i>
    <i t="data" r="2" i="0">
      <x v="351"/>
    </i>
    <i t="data" r="2" i="0">
      <x v="354"/>
    </i>
    <i t="data" r="2" i="0">
      <x v="404"/>
    </i>
    <i t="data" r="2" i="0">
      <x v="483"/>
    </i>
    <i t="data" r="2" i="0">
      <x v="498"/>
    </i>
    <i t="data" r="2" i="0">
      <x v="503"/>
    </i>
    <i t="data" r="2" i="0">
      <x v="504"/>
    </i>
    <i t="data" r="2" i="0">
      <x v="505"/>
    </i>
    <i t="data" r="2" i="0">
      <x v="511"/>
    </i>
    <i t="data" r="2" i="0">
      <x v="512"/>
    </i>
    <i t="data" r="2" i="0">
      <x v="522"/>
    </i>
    <i t="data" r="2" i="0">
      <x v="533"/>
    </i>
    <i t="data" r="2" i="0">
      <x v="535"/>
    </i>
    <i t="data" r="2" i="0">
      <x v="536"/>
    </i>
    <i t="data" r="2" i="0">
      <x v="543"/>
    </i>
    <i t="data" r="2" i="0">
      <x v="551"/>
    </i>
    <i t="data" r="2" i="0">
      <x v="620"/>
    </i>
    <i t="data" r="2" i="0">
      <x v="622"/>
    </i>
    <i t="data" r="2" i="0">
      <x v="625"/>
    </i>
    <i t="data" r="2" i="0">
      <x v="627"/>
    </i>
    <i t="data" r="2" i="0">
      <x v="629"/>
    </i>
    <i t="data" r="2" i="0">
      <x v="630"/>
    </i>
    <i t="data" r="2" i="0">
      <x v="633"/>
    </i>
    <i t="data" r="2" i="0">
      <x v="634"/>
    </i>
    <i t="data" r="2" i="0">
      <x v="639"/>
    </i>
    <i t="data" r="2" i="0">
      <x v="641"/>
    </i>
    <i t="data" r="1" i="0">
      <x v="330"/>
      <x v="642"/>
    </i>
    <i t="data" r="0" i="0">
      <x v="3"/>
      <x v="309"/>
      <x v="68"/>
    </i>
  </rowItems>
  <colItems count="1">
    <i t="data" r="0" i="0"/>
  </colItems>
  <dataFields count="1">
    <dataField name="Ll. ACD" fld="27" subtotal="sum" showDataAs="normal" baseField="0" baseItem="0"/>
  </dataFields>
  <formats count="902">
    <format action="formatting" dxfId="901">
      <pivotArea field="29" type="button" dataOnly="0" labelOnly="1" outline="0" axis="axisRow" fieldPosition="0"/>
    </format>
    <format action="formatting" dxfId="900">
      <pivotArea field="30" type="button" dataOnly="0" labelOnly="1" outline="0" axis="axisRow" fieldPosition="1"/>
    </format>
    <format action="formatting" dxfId="899">
      <pivotArea field="4" type="button" dataOnly="0" labelOnly="1" outline="0" axis="axisRow" fieldPosition="2"/>
    </format>
    <format action="formatting" dxfId="898">
      <pivotArea type="normal" dataOnly="0" labelOnly="1" outline="0" axis="axisValues" fieldPosition="0"/>
    </format>
    <format action="formatting" dxfId="897">
      <pivotArea type="normal" dataOnly="1" outline="0" collapsedLevelsAreSubtotals="1" fieldPosition="0"/>
    </format>
    <format action="formatting" dxfId="896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action="formatting" dxfId="895">
      <pivotArea type="normal" dataOnly="0" labelOnly="1" outline="0" fieldPosition="0">
        <references count="2">
          <reference field="29" selected="0">
            <x v="2"/>
          </reference>
          <reference field="30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action="formatting" dxfId="894">
      <pivotArea type="normal" dataOnly="0" labelOnly="1" outline="0" fieldPosition="0">
        <references count="2">
          <reference field="29" selected="0">
            <x v="2"/>
          </reference>
          <reference field="30">
            <x v="298"/>
            <x v="301"/>
            <x v="304"/>
          </reference>
        </references>
      </pivotArea>
    </format>
    <format action="formatting" dxfId="893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892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891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890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889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888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887">
      <pivotArea type="normal" dataOnly="0" labelOnly="1" outline="0" fieldPosition="0">
        <references count="3">
          <reference field="4">
            <x v="43"/>
          </reference>
          <reference field="29" selected="0">
            <x v="1"/>
          </reference>
          <reference field="30" selected="0">
            <x v="113"/>
          </reference>
        </references>
      </pivotArea>
    </format>
    <format action="formatting" dxfId="886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885">
      <pivotArea type="normal" dataOnly="0" labelOnly="1" outline="0" fieldPosition="0">
        <references count="3">
          <reference field="4">
            <x v="38"/>
          </reference>
          <reference field="29" selected="0">
            <x v="1"/>
          </reference>
          <reference field="30" selected="0">
            <x v="139"/>
          </reference>
        </references>
      </pivotArea>
    </format>
    <format action="formatting" dxfId="884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883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882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881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880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879">
      <pivotArea type="normal" dataOnly="0" labelOnly="1" outline="0" fieldPosition="0">
        <references count="3">
          <reference field="4">
            <x v="1"/>
          </reference>
          <reference field="29" selected="0">
            <x v="1"/>
          </reference>
          <reference field="30" selected="0">
            <x v="187"/>
          </reference>
        </references>
      </pivotArea>
    </format>
    <format action="formatting" dxfId="878">
      <pivotArea type="normal" dataOnly="0" labelOnly="1" outline="0" fieldPosition="0">
        <references count="3">
          <reference field="4">
            <x v="26"/>
          </reference>
          <reference field="29" selected="0">
            <x v="1"/>
          </reference>
          <reference field="30" selected="0">
            <x v="195"/>
          </reference>
        </references>
      </pivotArea>
    </format>
    <format action="formatting" dxfId="877">
      <pivotArea type="normal" dataOnly="0" labelOnly="1" outline="0" fieldPosition="0">
        <references count="3">
          <reference field="4">
            <x v="12"/>
          </reference>
          <reference field="29" selected="0">
            <x v="1"/>
          </reference>
          <reference field="30" selected="0">
            <x v="210"/>
          </reference>
        </references>
      </pivotArea>
    </format>
    <format action="formatting" dxfId="876">
      <pivotArea type="normal" dataOnly="0" labelOnly="1" outline="0" fieldPosition="0">
        <references count="3">
          <reference field="4">
            <x v="32"/>
          </reference>
          <reference field="29" selected="0">
            <x v="1"/>
          </reference>
          <reference field="30" selected="0">
            <x v="211"/>
          </reference>
        </references>
      </pivotArea>
    </format>
    <format action="formatting" dxfId="875">
      <pivotArea type="normal" dataOnly="0" labelOnly="1" outline="0" fieldPosition="0">
        <references count="3">
          <reference field="4">
            <x v="44"/>
          </reference>
          <reference field="29" selected="0">
            <x v="1"/>
          </reference>
          <reference field="30" selected="0">
            <x v="217"/>
          </reference>
        </references>
      </pivotArea>
    </format>
    <format action="formatting" dxfId="874">
      <pivotArea type="normal" dataOnly="0" labelOnly="1" outline="0" fieldPosition="0">
        <references count="3">
          <reference field="4">
            <x v="14"/>
          </reference>
          <reference field="29" selected="0">
            <x v="1"/>
          </reference>
          <reference field="30" selected="0">
            <x v="221"/>
          </reference>
        </references>
      </pivotArea>
    </format>
    <format action="formatting" dxfId="873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872">
      <pivotArea type="normal" dataOnly="0" labelOnly="1" outline="0" fieldPosition="0">
        <references count="3">
          <reference field="4">
            <x v="37"/>
          </reference>
          <reference field="29" selected="0">
            <x v="1"/>
          </reference>
          <reference field="30" selected="0">
            <x v="233"/>
          </reference>
        </references>
      </pivotArea>
    </format>
    <format action="formatting" dxfId="871">
      <pivotArea type="normal" dataOnly="0" labelOnly="1" outline="0" fieldPosition="0">
        <references count="3">
          <reference field="4">
            <x v="30"/>
          </reference>
          <reference field="29" selected="0">
            <x v="1"/>
          </reference>
          <reference field="30" selected="0">
            <x v="235"/>
          </reference>
        </references>
      </pivotArea>
    </format>
    <format action="formatting" dxfId="870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869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868">
      <pivotArea type="normal" dataOnly="0" labelOnly="1" outline="0" fieldPosition="0">
        <references count="3">
          <reference field="4">
            <x v="46"/>
          </reference>
          <reference field="29" selected="0">
            <x v="1"/>
          </reference>
          <reference field="30" selected="0">
            <x v="249"/>
          </reference>
        </references>
      </pivotArea>
    </format>
    <format action="formatting" dxfId="867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866">
      <pivotArea type="normal" dataOnly="0" labelOnly="1" outline="0" fieldPosition="0">
        <references count="3">
          <reference field="4">
            <x v="42"/>
          </reference>
          <reference field="29" selected="0">
            <x v="1"/>
          </reference>
          <reference field="30" selected="0">
            <x v="285"/>
          </reference>
        </references>
      </pivotArea>
    </format>
    <format action="formatting" dxfId="865">
      <pivotArea type="normal" dataOnly="0" labelOnly="1" outline="0" fieldPosition="0">
        <references count="3">
          <reference field="4">
            <x v="24"/>
          </reference>
          <reference field="29" selected="0">
            <x v="1"/>
          </reference>
          <reference field="30" selected="0">
            <x v="290"/>
          </reference>
        </references>
      </pivotArea>
    </format>
    <format action="formatting" dxfId="864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863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862">
      <pivotArea type="normal" dataOnly="0" labelOnly="1" outline="0" fieldPosition="0">
        <references count="3">
          <reference field="4">
            <x v="22"/>
          </reference>
          <reference field="29" selected="0">
            <x v="2"/>
          </reference>
          <reference field="30" selected="0">
            <x v="46"/>
          </reference>
        </references>
      </pivotArea>
    </format>
    <format action="formatting" dxfId="861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860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859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858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857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856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855">
      <pivotArea type="normal" dataOnly="0" labelOnly="1" outline="0" fieldPosition="0">
        <references count="3">
          <reference field="4">
            <x v="4"/>
          </reference>
          <reference field="29" selected="0">
            <x v="2"/>
          </reference>
          <reference field="30" selected="0">
            <x v="117"/>
          </reference>
        </references>
      </pivotArea>
    </format>
    <format action="formatting" dxfId="854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853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852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851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850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849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848">
      <pivotArea type="normal" dataOnly="0" labelOnly="1" outline="0" fieldPosition="0">
        <references count="3">
          <reference field="4">
            <x v="10"/>
          </reference>
          <reference field="29" selected="0">
            <x v="2"/>
          </reference>
          <reference field="30" selected="0">
            <x v="205"/>
          </reference>
        </references>
      </pivotArea>
    </format>
    <format action="formatting" dxfId="847">
      <pivotArea type="normal" dataOnly="0" labelOnly="1" outline="0" fieldPosition="0">
        <references count="3">
          <reference field="4">
            <x v="21"/>
          </reference>
          <reference field="29" selected="0">
            <x v="2"/>
          </reference>
          <reference field="30" selected="0">
            <x v="219"/>
          </reference>
        </references>
      </pivotArea>
    </format>
    <format action="formatting" dxfId="846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845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844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843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842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841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840">
      <pivotArea type="normal" dataOnly="0" labelOnly="1" outline="0" fieldPosition="0">
        <references count="1">
          <reference field="29"/>
        </references>
      </pivotArea>
    </format>
    <format action="formatting" dxfId="839">
      <pivotArea type="normal" dataOnly="0" labelOnly="1" outline="0" fieldPosition="0">
        <references count="1">
          <reference field="29"/>
        </references>
      </pivotArea>
    </format>
    <format action="formatting" dxfId="838">
      <pivotArea type="normal" dataOnly="0" labelOnly="1" outline="0" fieldPosition="0">
        <references count="1">
          <reference field="29"/>
        </references>
      </pivotArea>
    </format>
    <format action="formatting" dxfId="837">
      <pivotArea type="normal" dataOnly="1" outline="0" collapsedLevelsAreSubtotals="1" fieldPosition="0"/>
    </format>
    <format action="formatting" dxfId="836">
      <pivotArea type="normal" dataOnly="0" labelOnly="1" outline="0" fieldPosition="0">
        <references count="1">
          <reference field="29"/>
        </references>
      </pivotArea>
    </format>
    <format action="formatting" dxfId="835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action="formatting" dxfId="834">
      <pivotArea type="normal" dataOnly="0" labelOnly="1" outline="0" fieldPosition="0">
        <references count="2">
          <reference field="29" selected="0">
            <x v="2"/>
          </reference>
          <reference field="30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action="formatting" dxfId="833">
      <pivotArea type="normal" dataOnly="0" labelOnly="1" outline="0" fieldPosition="0">
        <references count="2">
          <reference field="29" selected="0">
            <x v="2"/>
          </reference>
          <reference field="30">
            <x v="298"/>
            <x v="301"/>
            <x v="304"/>
          </reference>
        </references>
      </pivotArea>
    </format>
    <format action="formatting" dxfId="832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831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830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829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828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827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826">
      <pivotArea type="normal" dataOnly="0" labelOnly="1" outline="0" fieldPosition="0">
        <references count="3">
          <reference field="4">
            <x v="43"/>
          </reference>
          <reference field="29" selected="0">
            <x v="1"/>
          </reference>
          <reference field="30" selected="0">
            <x v="113"/>
          </reference>
        </references>
      </pivotArea>
    </format>
    <format action="formatting" dxfId="825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824">
      <pivotArea type="normal" dataOnly="0" labelOnly="1" outline="0" fieldPosition="0">
        <references count="3">
          <reference field="4">
            <x v="38"/>
          </reference>
          <reference field="29" selected="0">
            <x v="1"/>
          </reference>
          <reference field="30" selected="0">
            <x v="139"/>
          </reference>
        </references>
      </pivotArea>
    </format>
    <format action="formatting" dxfId="823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822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821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820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819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818">
      <pivotArea type="normal" dataOnly="0" labelOnly="1" outline="0" fieldPosition="0">
        <references count="3">
          <reference field="4">
            <x v="1"/>
          </reference>
          <reference field="29" selected="0">
            <x v="1"/>
          </reference>
          <reference field="30" selected="0">
            <x v="187"/>
          </reference>
        </references>
      </pivotArea>
    </format>
    <format action="formatting" dxfId="817">
      <pivotArea type="normal" dataOnly="0" labelOnly="1" outline="0" fieldPosition="0">
        <references count="3">
          <reference field="4">
            <x v="26"/>
          </reference>
          <reference field="29" selected="0">
            <x v="1"/>
          </reference>
          <reference field="30" selected="0">
            <x v="195"/>
          </reference>
        </references>
      </pivotArea>
    </format>
    <format action="formatting" dxfId="816">
      <pivotArea type="normal" dataOnly="0" labelOnly="1" outline="0" fieldPosition="0">
        <references count="3">
          <reference field="4">
            <x v="12"/>
          </reference>
          <reference field="29" selected="0">
            <x v="1"/>
          </reference>
          <reference field="30" selected="0">
            <x v="210"/>
          </reference>
        </references>
      </pivotArea>
    </format>
    <format action="formatting" dxfId="815">
      <pivotArea type="normal" dataOnly="0" labelOnly="1" outline="0" fieldPosition="0">
        <references count="3">
          <reference field="4">
            <x v="32"/>
          </reference>
          <reference field="29" selected="0">
            <x v="1"/>
          </reference>
          <reference field="30" selected="0">
            <x v="211"/>
          </reference>
        </references>
      </pivotArea>
    </format>
    <format action="formatting" dxfId="814">
      <pivotArea type="normal" dataOnly="0" labelOnly="1" outline="0" fieldPosition="0">
        <references count="3">
          <reference field="4">
            <x v="44"/>
          </reference>
          <reference field="29" selected="0">
            <x v="1"/>
          </reference>
          <reference field="30" selected="0">
            <x v="217"/>
          </reference>
        </references>
      </pivotArea>
    </format>
    <format action="formatting" dxfId="813">
      <pivotArea type="normal" dataOnly="0" labelOnly="1" outline="0" fieldPosition="0">
        <references count="3">
          <reference field="4">
            <x v="14"/>
          </reference>
          <reference field="29" selected="0">
            <x v="1"/>
          </reference>
          <reference field="30" selected="0">
            <x v="221"/>
          </reference>
        </references>
      </pivotArea>
    </format>
    <format action="formatting" dxfId="812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811">
      <pivotArea type="normal" dataOnly="0" labelOnly="1" outline="0" fieldPosition="0">
        <references count="3">
          <reference field="4">
            <x v="37"/>
          </reference>
          <reference field="29" selected="0">
            <x v="1"/>
          </reference>
          <reference field="30" selected="0">
            <x v="233"/>
          </reference>
        </references>
      </pivotArea>
    </format>
    <format action="formatting" dxfId="810">
      <pivotArea type="normal" dataOnly="0" labelOnly="1" outline="0" fieldPosition="0">
        <references count="3">
          <reference field="4">
            <x v="30"/>
          </reference>
          <reference field="29" selected="0">
            <x v="1"/>
          </reference>
          <reference field="30" selected="0">
            <x v="235"/>
          </reference>
        </references>
      </pivotArea>
    </format>
    <format action="formatting" dxfId="809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808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807">
      <pivotArea type="normal" dataOnly="0" labelOnly="1" outline="0" fieldPosition="0">
        <references count="3">
          <reference field="4">
            <x v="46"/>
          </reference>
          <reference field="29" selected="0">
            <x v="1"/>
          </reference>
          <reference field="30" selected="0">
            <x v="249"/>
          </reference>
        </references>
      </pivotArea>
    </format>
    <format action="formatting" dxfId="806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805">
      <pivotArea type="normal" dataOnly="0" labelOnly="1" outline="0" fieldPosition="0">
        <references count="3">
          <reference field="4">
            <x v="42"/>
          </reference>
          <reference field="29" selected="0">
            <x v="1"/>
          </reference>
          <reference field="30" selected="0">
            <x v="285"/>
          </reference>
        </references>
      </pivotArea>
    </format>
    <format action="formatting" dxfId="804">
      <pivotArea type="normal" dataOnly="0" labelOnly="1" outline="0" fieldPosition="0">
        <references count="3">
          <reference field="4">
            <x v="24"/>
          </reference>
          <reference field="29" selected="0">
            <x v="1"/>
          </reference>
          <reference field="30" selected="0">
            <x v="290"/>
          </reference>
        </references>
      </pivotArea>
    </format>
    <format action="formatting" dxfId="803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802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801">
      <pivotArea type="normal" dataOnly="0" labelOnly="1" outline="0" fieldPosition="0">
        <references count="3">
          <reference field="4">
            <x v="22"/>
          </reference>
          <reference field="29" selected="0">
            <x v="2"/>
          </reference>
          <reference field="30" selected="0">
            <x v="46"/>
          </reference>
        </references>
      </pivotArea>
    </format>
    <format action="formatting" dxfId="800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799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798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797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796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795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794">
      <pivotArea type="normal" dataOnly="0" labelOnly="1" outline="0" fieldPosition="0">
        <references count="3">
          <reference field="4">
            <x v="4"/>
          </reference>
          <reference field="29" selected="0">
            <x v="2"/>
          </reference>
          <reference field="30" selected="0">
            <x v="117"/>
          </reference>
        </references>
      </pivotArea>
    </format>
    <format action="formatting" dxfId="793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792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791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790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789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788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787">
      <pivotArea type="normal" dataOnly="0" labelOnly="1" outline="0" fieldPosition="0">
        <references count="3">
          <reference field="4">
            <x v="10"/>
          </reference>
          <reference field="29" selected="0">
            <x v="2"/>
          </reference>
          <reference field="30" selected="0">
            <x v="205"/>
          </reference>
        </references>
      </pivotArea>
    </format>
    <format action="formatting" dxfId="786">
      <pivotArea type="normal" dataOnly="0" labelOnly="1" outline="0" fieldPosition="0">
        <references count="3">
          <reference field="4">
            <x v="21"/>
          </reference>
          <reference field="29" selected="0">
            <x v="2"/>
          </reference>
          <reference field="30" selected="0">
            <x v="219"/>
          </reference>
        </references>
      </pivotArea>
    </format>
    <format action="formatting" dxfId="785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784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783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782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781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780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779">
      <pivotArea type="normal" dataOnly="1" outline="0" collapsedLevelsAreSubtotals="1" fieldPosition="0"/>
    </format>
    <format action="formatting" dxfId="778">
      <pivotArea type="normal" dataOnly="0" labelOnly="1" outline="0" fieldPosition="0">
        <references count="1">
          <reference field="29"/>
        </references>
      </pivotArea>
    </format>
    <format action="formatting" dxfId="777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action="formatting" dxfId="776">
      <pivotArea type="normal" dataOnly="0" labelOnly="1" outline="0" fieldPosition="0">
        <references count="2">
          <reference field="29" selected="0">
            <x v="2"/>
          </reference>
          <reference field="30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action="formatting" dxfId="775">
      <pivotArea type="normal" dataOnly="0" labelOnly="1" outline="0" fieldPosition="0">
        <references count="2">
          <reference field="29" selected="0">
            <x v="2"/>
          </reference>
          <reference field="30">
            <x v="298"/>
            <x v="301"/>
            <x v="304"/>
          </reference>
        </references>
      </pivotArea>
    </format>
    <format action="formatting" dxfId="774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773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772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771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770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769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768">
      <pivotArea type="normal" dataOnly="0" labelOnly="1" outline="0" fieldPosition="0">
        <references count="3">
          <reference field="4">
            <x v="43"/>
          </reference>
          <reference field="29" selected="0">
            <x v="1"/>
          </reference>
          <reference field="30" selected="0">
            <x v="113"/>
          </reference>
        </references>
      </pivotArea>
    </format>
    <format action="formatting" dxfId="767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766">
      <pivotArea type="normal" dataOnly="0" labelOnly="1" outline="0" fieldPosition="0">
        <references count="3">
          <reference field="4">
            <x v="38"/>
          </reference>
          <reference field="29" selected="0">
            <x v="1"/>
          </reference>
          <reference field="30" selected="0">
            <x v="139"/>
          </reference>
        </references>
      </pivotArea>
    </format>
    <format action="formatting" dxfId="765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764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763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762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761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760">
      <pivotArea type="normal" dataOnly="0" labelOnly="1" outline="0" fieldPosition="0">
        <references count="3">
          <reference field="4">
            <x v="1"/>
          </reference>
          <reference field="29" selected="0">
            <x v="1"/>
          </reference>
          <reference field="30" selected="0">
            <x v="187"/>
          </reference>
        </references>
      </pivotArea>
    </format>
    <format action="formatting" dxfId="759">
      <pivotArea type="normal" dataOnly="0" labelOnly="1" outline="0" fieldPosition="0">
        <references count="3">
          <reference field="4">
            <x v="26"/>
          </reference>
          <reference field="29" selected="0">
            <x v="1"/>
          </reference>
          <reference field="30" selected="0">
            <x v="195"/>
          </reference>
        </references>
      </pivotArea>
    </format>
    <format action="formatting" dxfId="758">
      <pivotArea type="normal" dataOnly="0" labelOnly="1" outline="0" fieldPosition="0">
        <references count="3">
          <reference field="4">
            <x v="12"/>
          </reference>
          <reference field="29" selected="0">
            <x v="1"/>
          </reference>
          <reference field="30" selected="0">
            <x v="210"/>
          </reference>
        </references>
      </pivotArea>
    </format>
    <format action="formatting" dxfId="757">
      <pivotArea type="normal" dataOnly="0" labelOnly="1" outline="0" fieldPosition="0">
        <references count="3">
          <reference field="4">
            <x v="32"/>
          </reference>
          <reference field="29" selected="0">
            <x v="1"/>
          </reference>
          <reference field="30" selected="0">
            <x v="211"/>
          </reference>
        </references>
      </pivotArea>
    </format>
    <format action="formatting" dxfId="756">
      <pivotArea type="normal" dataOnly="0" labelOnly="1" outline="0" fieldPosition="0">
        <references count="3">
          <reference field="4">
            <x v="44"/>
          </reference>
          <reference field="29" selected="0">
            <x v="1"/>
          </reference>
          <reference field="30" selected="0">
            <x v="217"/>
          </reference>
        </references>
      </pivotArea>
    </format>
    <format action="formatting" dxfId="755">
      <pivotArea type="normal" dataOnly="0" labelOnly="1" outline="0" fieldPosition="0">
        <references count="3">
          <reference field="4">
            <x v="14"/>
          </reference>
          <reference field="29" selected="0">
            <x v="1"/>
          </reference>
          <reference field="30" selected="0">
            <x v="221"/>
          </reference>
        </references>
      </pivotArea>
    </format>
    <format action="formatting" dxfId="754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753">
      <pivotArea type="normal" dataOnly="0" labelOnly="1" outline="0" fieldPosition="0">
        <references count="3">
          <reference field="4">
            <x v="37"/>
          </reference>
          <reference field="29" selected="0">
            <x v="1"/>
          </reference>
          <reference field="30" selected="0">
            <x v="233"/>
          </reference>
        </references>
      </pivotArea>
    </format>
    <format action="formatting" dxfId="752">
      <pivotArea type="normal" dataOnly="0" labelOnly="1" outline="0" fieldPosition="0">
        <references count="3">
          <reference field="4">
            <x v="30"/>
          </reference>
          <reference field="29" selected="0">
            <x v="1"/>
          </reference>
          <reference field="30" selected="0">
            <x v="235"/>
          </reference>
        </references>
      </pivotArea>
    </format>
    <format action="formatting" dxfId="751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750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749">
      <pivotArea type="normal" dataOnly="0" labelOnly="1" outline="0" fieldPosition="0">
        <references count="3">
          <reference field="4">
            <x v="46"/>
          </reference>
          <reference field="29" selected="0">
            <x v="1"/>
          </reference>
          <reference field="30" selected="0">
            <x v="249"/>
          </reference>
        </references>
      </pivotArea>
    </format>
    <format action="formatting" dxfId="748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747">
      <pivotArea type="normal" dataOnly="0" labelOnly="1" outline="0" fieldPosition="0">
        <references count="3">
          <reference field="4">
            <x v="42"/>
          </reference>
          <reference field="29" selected="0">
            <x v="1"/>
          </reference>
          <reference field="30" selected="0">
            <x v="285"/>
          </reference>
        </references>
      </pivotArea>
    </format>
    <format action="formatting" dxfId="746">
      <pivotArea type="normal" dataOnly="0" labelOnly="1" outline="0" fieldPosition="0">
        <references count="3">
          <reference field="4">
            <x v="24"/>
          </reference>
          <reference field="29" selected="0">
            <x v="1"/>
          </reference>
          <reference field="30" selected="0">
            <x v="290"/>
          </reference>
        </references>
      </pivotArea>
    </format>
    <format action="formatting" dxfId="745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744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743">
      <pivotArea type="normal" dataOnly="0" labelOnly="1" outline="0" fieldPosition="0">
        <references count="3">
          <reference field="4">
            <x v="22"/>
          </reference>
          <reference field="29" selected="0">
            <x v="2"/>
          </reference>
          <reference field="30" selected="0">
            <x v="46"/>
          </reference>
        </references>
      </pivotArea>
    </format>
    <format action="formatting" dxfId="742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741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740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739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738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737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736">
      <pivotArea type="normal" dataOnly="0" labelOnly="1" outline="0" fieldPosition="0">
        <references count="3">
          <reference field="4">
            <x v="4"/>
          </reference>
          <reference field="29" selected="0">
            <x v="2"/>
          </reference>
          <reference field="30" selected="0">
            <x v="117"/>
          </reference>
        </references>
      </pivotArea>
    </format>
    <format action="formatting" dxfId="735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734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733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732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731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730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729">
      <pivotArea type="normal" dataOnly="0" labelOnly="1" outline="0" fieldPosition="0">
        <references count="3">
          <reference field="4">
            <x v="10"/>
          </reference>
          <reference field="29" selected="0">
            <x v="2"/>
          </reference>
          <reference field="30" selected="0">
            <x v="205"/>
          </reference>
        </references>
      </pivotArea>
    </format>
    <format action="formatting" dxfId="728">
      <pivotArea type="normal" dataOnly="0" labelOnly="1" outline="0" fieldPosition="0">
        <references count="3">
          <reference field="4">
            <x v="21"/>
          </reference>
          <reference field="29" selected="0">
            <x v="2"/>
          </reference>
          <reference field="30" selected="0">
            <x v="219"/>
          </reference>
        </references>
      </pivotArea>
    </format>
    <format action="formatting" dxfId="727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726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725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724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723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722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721">
      <pivotArea type="normal" dataOnly="1" outline="0" collapsedLevelsAreSubtotals="1" fieldPosition="0"/>
    </format>
    <format action="formatting" dxfId="720">
      <pivotArea type="normal" dataOnly="0" labelOnly="1" outline="0" fieldPosition="0">
        <references count="1">
          <reference field="29"/>
        </references>
      </pivotArea>
    </format>
    <format action="formatting" dxfId="719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action="formatting" dxfId="718">
      <pivotArea type="normal" dataOnly="0" labelOnly="1" outline="0" fieldPosition="0">
        <references count="2">
          <reference field="29" selected="0">
            <x v="2"/>
          </reference>
          <reference field="30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action="formatting" dxfId="717">
      <pivotArea type="normal" dataOnly="0" labelOnly="1" outline="0" fieldPosition="0">
        <references count="2">
          <reference field="29" selected="0">
            <x v="2"/>
          </reference>
          <reference field="30">
            <x v="298"/>
            <x v="301"/>
            <x v="304"/>
          </reference>
        </references>
      </pivotArea>
    </format>
    <format action="formatting" dxfId="716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715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714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713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712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711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710">
      <pivotArea type="normal" dataOnly="0" labelOnly="1" outline="0" fieldPosition="0">
        <references count="3">
          <reference field="4">
            <x v="43"/>
          </reference>
          <reference field="29" selected="0">
            <x v="1"/>
          </reference>
          <reference field="30" selected="0">
            <x v="113"/>
          </reference>
        </references>
      </pivotArea>
    </format>
    <format action="formatting" dxfId="709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708">
      <pivotArea type="normal" dataOnly="0" labelOnly="1" outline="0" fieldPosition="0">
        <references count="3">
          <reference field="4">
            <x v="38"/>
          </reference>
          <reference field="29" selected="0">
            <x v="1"/>
          </reference>
          <reference field="30" selected="0">
            <x v="139"/>
          </reference>
        </references>
      </pivotArea>
    </format>
    <format action="formatting" dxfId="707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706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705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704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703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702">
      <pivotArea type="normal" dataOnly="0" labelOnly="1" outline="0" fieldPosition="0">
        <references count="3">
          <reference field="4">
            <x v="1"/>
          </reference>
          <reference field="29" selected="0">
            <x v="1"/>
          </reference>
          <reference field="30" selected="0">
            <x v="187"/>
          </reference>
        </references>
      </pivotArea>
    </format>
    <format action="formatting" dxfId="701">
      <pivotArea type="normal" dataOnly="0" labelOnly="1" outline="0" fieldPosition="0">
        <references count="3">
          <reference field="4">
            <x v="26"/>
          </reference>
          <reference field="29" selected="0">
            <x v="1"/>
          </reference>
          <reference field="30" selected="0">
            <x v="195"/>
          </reference>
        </references>
      </pivotArea>
    </format>
    <format action="formatting" dxfId="700">
      <pivotArea type="normal" dataOnly="0" labelOnly="1" outline="0" fieldPosition="0">
        <references count="3">
          <reference field="4">
            <x v="12"/>
          </reference>
          <reference field="29" selected="0">
            <x v="1"/>
          </reference>
          <reference field="30" selected="0">
            <x v="210"/>
          </reference>
        </references>
      </pivotArea>
    </format>
    <format action="formatting" dxfId="699">
      <pivotArea type="normal" dataOnly="0" labelOnly="1" outline="0" fieldPosition="0">
        <references count="3">
          <reference field="4">
            <x v="32"/>
          </reference>
          <reference field="29" selected="0">
            <x v="1"/>
          </reference>
          <reference field="30" selected="0">
            <x v="211"/>
          </reference>
        </references>
      </pivotArea>
    </format>
    <format action="formatting" dxfId="698">
      <pivotArea type="normal" dataOnly="0" labelOnly="1" outline="0" fieldPosition="0">
        <references count="3">
          <reference field="4">
            <x v="44"/>
          </reference>
          <reference field="29" selected="0">
            <x v="1"/>
          </reference>
          <reference field="30" selected="0">
            <x v="217"/>
          </reference>
        </references>
      </pivotArea>
    </format>
    <format action="formatting" dxfId="697">
      <pivotArea type="normal" dataOnly="0" labelOnly="1" outline="0" fieldPosition="0">
        <references count="3">
          <reference field="4">
            <x v="14"/>
          </reference>
          <reference field="29" selected="0">
            <x v="1"/>
          </reference>
          <reference field="30" selected="0">
            <x v="221"/>
          </reference>
        </references>
      </pivotArea>
    </format>
    <format action="formatting" dxfId="696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695">
      <pivotArea type="normal" dataOnly="0" labelOnly="1" outline="0" fieldPosition="0">
        <references count="3">
          <reference field="4">
            <x v="37"/>
          </reference>
          <reference field="29" selected="0">
            <x v="1"/>
          </reference>
          <reference field="30" selected="0">
            <x v="233"/>
          </reference>
        </references>
      </pivotArea>
    </format>
    <format action="formatting" dxfId="694">
      <pivotArea type="normal" dataOnly="0" labelOnly="1" outline="0" fieldPosition="0">
        <references count="3">
          <reference field="4">
            <x v="30"/>
          </reference>
          <reference field="29" selected="0">
            <x v="1"/>
          </reference>
          <reference field="30" selected="0">
            <x v="235"/>
          </reference>
        </references>
      </pivotArea>
    </format>
    <format action="formatting" dxfId="693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692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691">
      <pivotArea type="normal" dataOnly="0" labelOnly="1" outline="0" fieldPosition="0">
        <references count="3">
          <reference field="4">
            <x v="46"/>
          </reference>
          <reference field="29" selected="0">
            <x v="1"/>
          </reference>
          <reference field="30" selected="0">
            <x v="249"/>
          </reference>
        </references>
      </pivotArea>
    </format>
    <format action="formatting" dxfId="690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689">
      <pivotArea type="normal" dataOnly="0" labelOnly="1" outline="0" fieldPosition="0">
        <references count="3">
          <reference field="4">
            <x v="42"/>
          </reference>
          <reference field="29" selected="0">
            <x v="1"/>
          </reference>
          <reference field="30" selected="0">
            <x v="285"/>
          </reference>
        </references>
      </pivotArea>
    </format>
    <format action="formatting" dxfId="688">
      <pivotArea type="normal" dataOnly="0" labelOnly="1" outline="0" fieldPosition="0">
        <references count="3">
          <reference field="4">
            <x v="24"/>
          </reference>
          <reference field="29" selected="0">
            <x v="1"/>
          </reference>
          <reference field="30" selected="0">
            <x v="290"/>
          </reference>
        </references>
      </pivotArea>
    </format>
    <format action="formatting" dxfId="687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686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685">
      <pivotArea type="normal" dataOnly="0" labelOnly="1" outline="0" fieldPosition="0">
        <references count="3">
          <reference field="4">
            <x v="22"/>
          </reference>
          <reference field="29" selected="0">
            <x v="2"/>
          </reference>
          <reference field="30" selected="0">
            <x v="46"/>
          </reference>
        </references>
      </pivotArea>
    </format>
    <format action="formatting" dxfId="684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683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682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681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680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679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678">
      <pivotArea type="normal" dataOnly="0" labelOnly="1" outline="0" fieldPosition="0">
        <references count="3">
          <reference field="4">
            <x v="4"/>
          </reference>
          <reference field="29" selected="0">
            <x v="2"/>
          </reference>
          <reference field="30" selected="0">
            <x v="117"/>
          </reference>
        </references>
      </pivotArea>
    </format>
    <format action="formatting" dxfId="677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676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675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674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673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672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671">
      <pivotArea type="normal" dataOnly="0" labelOnly="1" outline="0" fieldPosition="0">
        <references count="3">
          <reference field="4">
            <x v="10"/>
          </reference>
          <reference field="29" selected="0">
            <x v="2"/>
          </reference>
          <reference field="30" selected="0">
            <x v="205"/>
          </reference>
        </references>
      </pivotArea>
    </format>
    <format action="formatting" dxfId="670">
      <pivotArea type="normal" dataOnly="0" labelOnly="1" outline="0" fieldPosition="0">
        <references count="3">
          <reference field="4">
            <x v="21"/>
          </reference>
          <reference field="29" selected="0">
            <x v="2"/>
          </reference>
          <reference field="30" selected="0">
            <x v="219"/>
          </reference>
        </references>
      </pivotArea>
    </format>
    <format action="formatting" dxfId="669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668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667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666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665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664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663">
      <pivotArea type="normal" dataOnly="1" outline="0" collapsedLevelsAreSubtotals="1" fieldPosition="0"/>
    </format>
    <format action="formatting" dxfId="662">
      <pivotArea type="normal" dataOnly="0" labelOnly="1" outline="0" fieldPosition="0">
        <references count="1">
          <reference field="29"/>
        </references>
      </pivotArea>
    </format>
    <format action="formatting" dxfId="661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action="formatting" dxfId="660">
      <pivotArea type="normal" dataOnly="0" labelOnly="1" outline="0" fieldPosition="0">
        <references count="2">
          <reference field="29" selected="0">
            <x v="2"/>
          </reference>
          <reference field="30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action="formatting" dxfId="659">
      <pivotArea type="normal" dataOnly="0" labelOnly="1" outline="0" fieldPosition="0">
        <references count="2">
          <reference field="29" selected="0">
            <x v="2"/>
          </reference>
          <reference field="30">
            <x v="298"/>
            <x v="301"/>
            <x v="304"/>
          </reference>
        </references>
      </pivotArea>
    </format>
    <format action="formatting" dxfId="658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657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656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655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654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653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652">
      <pivotArea type="normal" dataOnly="0" labelOnly="1" outline="0" fieldPosition="0">
        <references count="3">
          <reference field="4">
            <x v="43"/>
          </reference>
          <reference field="29" selected="0">
            <x v="1"/>
          </reference>
          <reference field="30" selected="0">
            <x v="113"/>
          </reference>
        </references>
      </pivotArea>
    </format>
    <format action="formatting" dxfId="651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650">
      <pivotArea type="normal" dataOnly="0" labelOnly="1" outline="0" fieldPosition="0">
        <references count="3">
          <reference field="4">
            <x v="38"/>
          </reference>
          <reference field="29" selected="0">
            <x v="1"/>
          </reference>
          <reference field="30" selected="0">
            <x v="139"/>
          </reference>
        </references>
      </pivotArea>
    </format>
    <format action="formatting" dxfId="649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648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647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646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645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644">
      <pivotArea type="normal" dataOnly="0" labelOnly="1" outline="0" fieldPosition="0">
        <references count="3">
          <reference field="4">
            <x v="1"/>
          </reference>
          <reference field="29" selected="0">
            <x v="1"/>
          </reference>
          <reference field="30" selected="0">
            <x v="187"/>
          </reference>
        </references>
      </pivotArea>
    </format>
    <format action="formatting" dxfId="643">
      <pivotArea type="normal" dataOnly="0" labelOnly="1" outline="0" fieldPosition="0">
        <references count="3">
          <reference field="4">
            <x v="26"/>
          </reference>
          <reference field="29" selected="0">
            <x v="1"/>
          </reference>
          <reference field="30" selected="0">
            <x v="195"/>
          </reference>
        </references>
      </pivotArea>
    </format>
    <format action="formatting" dxfId="642">
      <pivotArea type="normal" dataOnly="0" labelOnly="1" outline="0" fieldPosition="0">
        <references count="3">
          <reference field="4">
            <x v="12"/>
          </reference>
          <reference field="29" selected="0">
            <x v="1"/>
          </reference>
          <reference field="30" selected="0">
            <x v="210"/>
          </reference>
        </references>
      </pivotArea>
    </format>
    <format action="formatting" dxfId="641">
      <pivotArea type="normal" dataOnly="0" labelOnly="1" outline="0" fieldPosition="0">
        <references count="3">
          <reference field="4">
            <x v="32"/>
          </reference>
          <reference field="29" selected="0">
            <x v="1"/>
          </reference>
          <reference field="30" selected="0">
            <x v="211"/>
          </reference>
        </references>
      </pivotArea>
    </format>
    <format action="formatting" dxfId="640">
      <pivotArea type="normal" dataOnly="0" labelOnly="1" outline="0" fieldPosition="0">
        <references count="3">
          <reference field="4">
            <x v="44"/>
          </reference>
          <reference field="29" selected="0">
            <x v="1"/>
          </reference>
          <reference field="30" selected="0">
            <x v="217"/>
          </reference>
        </references>
      </pivotArea>
    </format>
    <format action="formatting" dxfId="639">
      <pivotArea type="normal" dataOnly="0" labelOnly="1" outline="0" fieldPosition="0">
        <references count="3">
          <reference field="4">
            <x v="14"/>
          </reference>
          <reference field="29" selected="0">
            <x v="1"/>
          </reference>
          <reference field="30" selected="0">
            <x v="221"/>
          </reference>
        </references>
      </pivotArea>
    </format>
    <format action="formatting" dxfId="638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637">
      <pivotArea type="normal" dataOnly="0" labelOnly="1" outline="0" fieldPosition="0">
        <references count="3">
          <reference field="4">
            <x v="37"/>
          </reference>
          <reference field="29" selected="0">
            <x v="1"/>
          </reference>
          <reference field="30" selected="0">
            <x v="233"/>
          </reference>
        </references>
      </pivotArea>
    </format>
    <format action="formatting" dxfId="636">
      <pivotArea type="normal" dataOnly="0" labelOnly="1" outline="0" fieldPosition="0">
        <references count="3">
          <reference field="4">
            <x v="30"/>
          </reference>
          <reference field="29" selected="0">
            <x v="1"/>
          </reference>
          <reference field="30" selected="0">
            <x v="235"/>
          </reference>
        </references>
      </pivotArea>
    </format>
    <format action="formatting" dxfId="635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634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633">
      <pivotArea type="normal" dataOnly="0" labelOnly="1" outline="0" fieldPosition="0">
        <references count="3">
          <reference field="4">
            <x v="46"/>
          </reference>
          <reference field="29" selected="0">
            <x v="1"/>
          </reference>
          <reference field="30" selected="0">
            <x v="249"/>
          </reference>
        </references>
      </pivotArea>
    </format>
    <format action="formatting" dxfId="632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631">
      <pivotArea type="normal" dataOnly="0" labelOnly="1" outline="0" fieldPosition="0">
        <references count="3">
          <reference field="4">
            <x v="42"/>
          </reference>
          <reference field="29" selected="0">
            <x v="1"/>
          </reference>
          <reference field="30" selected="0">
            <x v="285"/>
          </reference>
        </references>
      </pivotArea>
    </format>
    <format action="formatting" dxfId="630">
      <pivotArea type="normal" dataOnly="0" labelOnly="1" outline="0" fieldPosition="0">
        <references count="3">
          <reference field="4">
            <x v="24"/>
          </reference>
          <reference field="29" selected="0">
            <x v="1"/>
          </reference>
          <reference field="30" selected="0">
            <x v="290"/>
          </reference>
        </references>
      </pivotArea>
    </format>
    <format action="formatting" dxfId="629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628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627">
      <pivotArea type="normal" dataOnly="0" labelOnly="1" outline="0" fieldPosition="0">
        <references count="3">
          <reference field="4">
            <x v="22"/>
          </reference>
          <reference field="29" selected="0">
            <x v="2"/>
          </reference>
          <reference field="30" selected="0">
            <x v="46"/>
          </reference>
        </references>
      </pivotArea>
    </format>
    <format action="formatting" dxfId="626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625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624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623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622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621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620">
      <pivotArea type="normal" dataOnly="0" labelOnly="1" outline="0" fieldPosition="0">
        <references count="3">
          <reference field="4">
            <x v="4"/>
          </reference>
          <reference field="29" selected="0">
            <x v="2"/>
          </reference>
          <reference field="30" selected="0">
            <x v="117"/>
          </reference>
        </references>
      </pivotArea>
    </format>
    <format action="formatting" dxfId="619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618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617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616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615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614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613">
      <pivotArea type="normal" dataOnly="0" labelOnly="1" outline="0" fieldPosition="0">
        <references count="3">
          <reference field="4">
            <x v="10"/>
          </reference>
          <reference field="29" selected="0">
            <x v="2"/>
          </reference>
          <reference field="30" selected="0">
            <x v="205"/>
          </reference>
        </references>
      </pivotArea>
    </format>
    <format action="formatting" dxfId="612">
      <pivotArea type="normal" dataOnly="0" labelOnly="1" outline="0" fieldPosition="0">
        <references count="3">
          <reference field="4">
            <x v="21"/>
          </reference>
          <reference field="29" selected="0">
            <x v="2"/>
          </reference>
          <reference field="30" selected="0">
            <x v="219"/>
          </reference>
        </references>
      </pivotArea>
    </format>
    <format action="formatting" dxfId="611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610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609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608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607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606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605">
      <pivotArea type="normal" dataOnly="1" outline="0" collapsedLevelsAreSubtotals="1" fieldPosition="0"/>
    </format>
    <format action="formatting" dxfId="604">
      <pivotArea type="normal" dataOnly="0" labelOnly="1" outline="0" fieldPosition="0">
        <references count="1">
          <reference field="29"/>
        </references>
      </pivotArea>
    </format>
    <format action="formatting" dxfId="603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action="formatting" dxfId="602">
      <pivotArea type="normal" dataOnly="0" labelOnly="1" outline="0" fieldPosition="0">
        <references count="2">
          <reference field="29" selected="0">
            <x v="2"/>
          </reference>
          <reference field="30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action="formatting" dxfId="601">
      <pivotArea type="normal" dataOnly="0" labelOnly="1" outline="0" fieldPosition="0">
        <references count="2">
          <reference field="29" selected="0">
            <x v="2"/>
          </reference>
          <reference field="30">
            <x v="298"/>
            <x v="301"/>
            <x v="304"/>
          </reference>
        </references>
      </pivotArea>
    </format>
    <format action="formatting" dxfId="600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599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598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597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596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595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594">
      <pivotArea type="normal" dataOnly="0" labelOnly="1" outline="0" fieldPosition="0">
        <references count="3">
          <reference field="4">
            <x v="43"/>
          </reference>
          <reference field="29" selected="0">
            <x v="1"/>
          </reference>
          <reference field="30" selected="0">
            <x v="113"/>
          </reference>
        </references>
      </pivotArea>
    </format>
    <format action="formatting" dxfId="593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592">
      <pivotArea type="normal" dataOnly="0" labelOnly="1" outline="0" fieldPosition="0">
        <references count="3">
          <reference field="4">
            <x v="38"/>
          </reference>
          <reference field="29" selected="0">
            <x v="1"/>
          </reference>
          <reference field="30" selected="0">
            <x v="139"/>
          </reference>
        </references>
      </pivotArea>
    </format>
    <format action="formatting" dxfId="591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590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589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588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587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586">
      <pivotArea type="normal" dataOnly="0" labelOnly="1" outline="0" fieldPosition="0">
        <references count="3">
          <reference field="4">
            <x v="1"/>
          </reference>
          <reference field="29" selected="0">
            <x v="1"/>
          </reference>
          <reference field="30" selected="0">
            <x v="187"/>
          </reference>
        </references>
      </pivotArea>
    </format>
    <format action="formatting" dxfId="585">
      <pivotArea type="normal" dataOnly="0" labelOnly="1" outline="0" fieldPosition="0">
        <references count="3">
          <reference field="4">
            <x v="26"/>
          </reference>
          <reference field="29" selected="0">
            <x v="1"/>
          </reference>
          <reference field="30" selected="0">
            <x v="195"/>
          </reference>
        </references>
      </pivotArea>
    </format>
    <format action="formatting" dxfId="584">
      <pivotArea type="normal" dataOnly="0" labelOnly="1" outline="0" fieldPosition="0">
        <references count="3">
          <reference field="4">
            <x v="12"/>
          </reference>
          <reference field="29" selected="0">
            <x v="1"/>
          </reference>
          <reference field="30" selected="0">
            <x v="210"/>
          </reference>
        </references>
      </pivotArea>
    </format>
    <format action="formatting" dxfId="583">
      <pivotArea type="normal" dataOnly="0" labelOnly="1" outline="0" fieldPosition="0">
        <references count="3">
          <reference field="4">
            <x v="32"/>
          </reference>
          <reference field="29" selected="0">
            <x v="1"/>
          </reference>
          <reference field="30" selected="0">
            <x v="211"/>
          </reference>
        </references>
      </pivotArea>
    </format>
    <format action="formatting" dxfId="582">
      <pivotArea type="normal" dataOnly="0" labelOnly="1" outline="0" fieldPosition="0">
        <references count="3">
          <reference field="4">
            <x v="44"/>
          </reference>
          <reference field="29" selected="0">
            <x v="1"/>
          </reference>
          <reference field="30" selected="0">
            <x v="217"/>
          </reference>
        </references>
      </pivotArea>
    </format>
    <format action="formatting" dxfId="581">
      <pivotArea type="normal" dataOnly="0" labelOnly="1" outline="0" fieldPosition="0">
        <references count="3">
          <reference field="4">
            <x v="14"/>
          </reference>
          <reference field="29" selected="0">
            <x v="1"/>
          </reference>
          <reference field="30" selected="0">
            <x v="221"/>
          </reference>
        </references>
      </pivotArea>
    </format>
    <format action="formatting" dxfId="580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579">
      <pivotArea type="normal" dataOnly="0" labelOnly="1" outline="0" fieldPosition="0">
        <references count="3">
          <reference field="4">
            <x v="37"/>
          </reference>
          <reference field="29" selected="0">
            <x v="1"/>
          </reference>
          <reference field="30" selected="0">
            <x v="233"/>
          </reference>
        </references>
      </pivotArea>
    </format>
    <format action="formatting" dxfId="578">
      <pivotArea type="normal" dataOnly="0" labelOnly="1" outline="0" fieldPosition="0">
        <references count="3">
          <reference field="4">
            <x v="30"/>
          </reference>
          <reference field="29" selected="0">
            <x v="1"/>
          </reference>
          <reference field="30" selected="0">
            <x v="235"/>
          </reference>
        </references>
      </pivotArea>
    </format>
    <format action="formatting" dxfId="577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576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575">
      <pivotArea type="normal" dataOnly="0" labelOnly="1" outline="0" fieldPosition="0">
        <references count="3">
          <reference field="4">
            <x v="46"/>
          </reference>
          <reference field="29" selected="0">
            <x v="1"/>
          </reference>
          <reference field="30" selected="0">
            <x v="249"/>
          </reference>
        </references>
      </pivotArea>
    </format>
    <format action="formatting" dxfId="574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573">
      <pivotArea type="normal" dataOnly="0" labelOnly="1" outline="0" fieldPosition="0">
        <references count="3">
          <reference field="4">
            <x v="42"/>
          </reference>
          <reference field="29" selected="0">
            <x v="1"/>
          </reference>
          <reference field="30" selected="0">
            <x v="285"/>
          </reference>
        </references>
      </pivotArea>
    </format>
    <format action="formatting" dxfId="572">
      <pivotArea type="normal" dataOnly="0" labelOnly="1" outline="0" fieldPosition="0">
        <references count="3">
          <reference field="4">
            <x v="24"/>
          </reference>
          <reference field="29" selected="0">
            <x v="1"/>
          </reference>
          <reference field="30" selected="0">
            <x v="290"/>
          </reference>
        </references>
      </pivotArea>
    </format>
    <format action="formatting" dxfId="571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570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569">
      <pivotArea type="normal" dataOnly="0" labelOnly="1" outline="0" fieldPosition="0">
        <references count="3">
          <reference field="4">
            <x v="22"/>
          </reference>
          <reference field="29" selected="0">
            <x v="2"/>
          </reference>
          <reference field="30" selected="0">
            <x v="46"/>
          </reference>
        </references>
      </pivotArea>
    </format>
    <format action="formatting" dxfId="568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567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566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565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564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563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562">
      <pivotArea type="normal" dataOnly="0" labelOnly="1" outline="0" fieldPosition="0">
        <references count="3">
          <reference field="4">
            <x v="4"/>
          </reference>
          <reference field="29" selected="0">
            <x v="2"/>
          </reference>
          <reference field="30" selected="0">
            <x v="117"/>
          </reference>
        </references>
      </pivotArea>
    </format>
    <format action="formatting" dxfId="561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560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559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558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557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556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555">
      <pivotArea type="normal" dataOnly="0" labelOnly="1" outline="0" fieldPosition="0">
        <references count="3">
          <reference field="4">
            <x v="10"/>
          </reference>
          <reference field="29" selected="0">
            <x v="2"/>
          </reference>
          <reference field="30" selected="0">
            <x v="205"/>
          </reference>
        </references>
      </pivotArea>
    </format>
    <format action="formatting" dxfId="554">
      <pivotArea type="normal" dataOnly="0" labelOnly="1" outline="0" fieldPosition="0">
        <references count="3">
          <reference field="4">
            <x v="21"/>
          </reference>
          <reference field="29" selected="0">
            <x v="2"/>
          </reference>
          <reference field="30" selected="0">
            <x v="219"/>
          </reference>
        </references>
      </pivotArea>
    </format>
    <format action="formatting" dxfId="553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552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551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550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549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548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547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546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545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544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543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542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541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540">
      <pivotArea type="normal" dataOnly="0" labelOnly="1" outline="0" fieldPosition="0">
        <references count="3">
          <reference field="4">
            <x v="22"/>
          </reference>
          <reference field="29" selected="0">
            <x v="2"/>
          </reference>
          <reference field="30" selected="0">
            <x v="46"/>
          </reference>
        </references>
      </pivotArea>
    </format>
    <format action="formatting" dxfId="539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538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537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536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535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action="formatting" dxfId="534">
      <pivotArea type="normal" dataOnly="0" labelOnly="1" outline="0" fieldPosition="0">
        <references count="2">
          <reference field="29" selected="0">
            <x v="2"/>
          </reference>
          <reference field="30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action="formatting" dxfId="533">
      <pivotArea type="normal" dataOnly="0" labelOnly="1" outline="0" fieldPosition="0">
        <references count="2">
          <reference field="29" selected="0">
            <x v="2"/>
          </reference>
          <reference field="30">
            <x v="298"/>
            <x v="301"/>
            <x v="304"/>
          </reference>
        </references>
      </pivotArea>
    </format>
    <format action="formatting" dxfId="532">
      <pivotArea type="normal" dataOnly="1" outline="0" collapsedLevelsAreSubtotals="1" fieldPosition="0"/>
    </format>
    <format action="formatting" dxfId="531">
      <pivotArea type="normal" dataOnly="0" labelOnly="1" outline="0" fieldPosition="0">
        <references count="1">
          <reference field="29"/>
        </references>
      </pivotArea>
    </format>
    <format action="formatting" dxfId="530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20"/>
            <x v="100"/>
            <x v="121"/>
            <x v="224"/>
            <x v="239"/>
          </reference>
        </references>
      </pivotArea>
    </format>
    <format action="formatting" dxfId="529">
      <pivotArea type="normal" dataOnly="0" labelOnly="1" outline="0" fieldPosition="0">
        <references count="2">
          <reference field="29" selected="0">
            <x v="2"/>
          </reference>
          <reference field="30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action="formatting" dxfId="528">
      <pivotArea type="normal" dataOnly="0" labelOnly="1" outline="0" fieldPosition="0">
        <references count="2">
          <reference field="29" selected="0">
            <x v="2"/>
          </reference>
          <reference field="30">
            <x v="246"/>
            <x v="261"/>
            <x v="276"/>
            <x v="298"/>
            <x v="304"/>
          </reference>
        </references>
      </pivotArea>
    </format>
    <format action="formatting" dxfId="527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526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525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524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523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522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521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520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519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518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517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516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515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514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513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512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511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510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509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508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507">
      <pivotArea type="normal" dataOnly="1" outline="0" collapsedLevelsAreSubtotals="1" fieldPosition="0"/>
    </format>
    <format action="formatting" dxfId="506">
      <pivotArea type="normal" dataOnly="0" labelOnly="1" outline="0" fieldPosition="0">
        <references count="1">
          <reference field="29"/>
        </references>
      </pivotArea>
    </format>
    <format action="formatting" dxfId="505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20"/>
            <x v="100"/>
            <x v="121"/>
            <x v="224"/>
            <x v="239"/>
          </reference>
        </references>
      </pivotArea>
    </format>
    <format action="formatting" dxfId="504">
      <pivotArea type="normal" dataOnly="0" labelOnly="1" outline="0" fieldPosition="0">
        <references count="2">
          <reference field="29" selected="0">
            <x v="2"/>
          </reference>
          <reference field="30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action="formatting" dxfId="503">
      <pivotArea type="normal" dataOnly="0" labelOnly="1" outline="0" fieldPosition="0">
        <references count="2">
          <reference field="29" selected="0">
            <x v="2"/>
          </reference>
          <reference field="30">
            <x v="246"/>
            <x v="261"/>
            <x v="276"/>
            <x v="298"/>
            <x v="304"/>
          </reference>
        </references>
      </pivotArea>
    </format>
    <format action="formatting" dxfId="502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501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500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499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498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497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496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495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494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493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492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491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490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489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488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487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486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485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484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483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482">
      <pivotArea type="normal" dataOnly="1" outline="0" collapsedLevelsAreSubtotals="1" fieldPosition="0"/>
    </format>
    <format action="formatting" dxfId="481">
      <pivotArea type="normal" dataOnly="0" labelOnly="1" outline="0" fieldPosition="0">
        <references count="1">
          <reference field="29"/>
        </references>
      </pivotArea>
    </format>
    <format action="formatting" dxfId="480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20"/>
            <x v="100"/>
            <x v="121"/>
            <x v="224"/>
            <x v="239"/>
          </reference>
        </references>
      </pivotArea>
    </format>
    <format action="formatting" dxfId="479">
      <pivotArea type="normal" dataOnly="0" labelOnly="1" outline="0" fieldPosition="0">
        <references count="2">
          <reference field="29" selected="0">
            <x v="2"/>
          </reference>
          <reference field="30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action="formatting" dxfId="478">
      <pivotArea type="normal" dataOnly="0" labelOnly="1" outline="0" fieldPosition="0">
        <references count="2">
          <reference field="29" selected="0">
            <x v="2"/>
          </reference>
          <reference field="30">
            <x v="246"/>
            <x v="261"/>
            <x v="276"/>
            <x v="298"/>
            <x v="304"/>
          </reference>
        </references>
      </pivotArea>
    </format>
    <format action="formatting" dxfId="477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476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475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474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473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472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471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470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469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468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467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466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465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464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463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462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461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460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459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458">
      <pivotArea type="normal" dataOnly="0" labelOnly="1" outline="0" fieldPosition="0">
        <references count="3">
          <reference field="4">
            <x v="52"/>
          </reference>
          <reference field="29" selected="0">
            <x v="2"/>
          </reference>
          <reference field="30" selected="0">
            <x v="304"/>
          </reference>
        </references>
      </pivotArea>
    </format>
    <format action="formatting" dxfId="457">
      <pivotArea type="normal" dataOnly="1" outline="0" collapsedLevelsAreSubtotals="1" fieldPosition="0"/>
    </format>
    <format action="formatting" dxfId="456">
      <pivotArea type="normal" dataOnly="0" labelOnly="1" outline="0" fieldPosition="0">
        <references count="1">
          <reference field="29"/>
        </references>
      </pivotArea>
    </format>
    <format action="formatting" dxfId="455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4"/>
            <x v="20"/>
            <x v="103"/>
            <x v="160"/>
            <x v="175"/>
            <x v="224"/>
            <x v="242"/>
            <x v="257"/>
          </reference>
        </references>
      </pivotArea>
    </format>
    <format action="formatting" dxfId="454">
      <pivotArea type="normal" dataOnly="0" labelOnly="1" outline="0" fieldPosition="0">
        <references count="2">
          <reference field="29" selected="0">
            <x v="2"/>
          </reference>
          <reference field="30">
            <x v="21"/>
            <x v="77"/>
            <x v="95"/>
            <x v="136"/>
            <x v="177"/>
            <x v="246"/>
          </reference>
        </references>
      </pivotArea>
    </format>
    <format action="formatting" dxfId="453">
      <pivotArea type="normal" dataOnly="0" labelOnly="1" outline="0" fieldPosition="0">
        <references count="2">
          <reference field="29" selected="0">
            <x v="2"/>
          </reference>
          <reference field="30">
            <x v="252"/>
            <x v="301"/>
          </reference>
        </references>
      </pivotArea>
    </format>
    <format action="formatting" dxfId="452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451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450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449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448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447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446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445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444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443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442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441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440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439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438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437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436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435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434">
      <pivotArea type="all" dataOnly="0" outline="0" fieldPosition="0"/>
    </format>
    <format action="formatting" dxfId="433">
      <pivotArea type="normal" dataOnly="1" outline="0" collapsedLevelsAreSubtotals="1" fieldPosition="0"/>
    </format>
    <format action="formatting" dxfId="432">
      <pivotArea field="29" type="button" dataOnly="0" labelOnly="1" outline="0" axis="axisRow" fieldPosition="0"/>
    </format>
    <format action="formatting" dxfId="431">
      <pivotArea field="30" type="button" dataOnly="0" labelOnly="1" outline="0" axis="axisRow" fieldPosition="1"/>
    </format>
    <format action="formatting" dxfId="430">
      <pivotArea field="4" type="button" dataOnly="0" labelOnly="1" outline="0" axis="axisRow" fieldPosition="2"/>
    </format>
    <format action="formatting" dxfId="429">
      <pivotArea type="normal" dataOnly="0" labelOnly="1" outline="0" fieldPosition="0">
        <references count="1">
          <reference field="29"/>
        </references>
      </pivotArea>
    </format>
    <format action="formatting" dxfId="428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103"/>
            <x v="145"/>
            <x v="163"/>
            <x v="224"/>
            <x v="257"/>
          </reference>
        </references>
      </pivotArea>
    </format>
    <format action="formatting" dxfId="427">
      <pivotArea type="normal" dataOnly="0" labelOnly="1" outline="0" fieldPosition="0">
        <references count="2">
          <reference field="29" selected="0">
            <x v="2"/>
          </reference>
          <reference field="30">
            <x v="72"/>
            <x v="77"/>
            <x v="95"/>
            <x v="182"/>
            <x v="246"/>
            <x v="298"/>
          </reference>
        </references>
      </pivotArea>
    </format>
    <format action="formatting" dxfId="426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425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424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423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422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421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420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419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418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417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416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415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414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413">
      <pivotArea type="normal" dataOnly="0" labelOnly="1" outline="0" axis="axisValues" fieldPosition="0"/>
    </format>
    <format action="formatting" dxfId="412">
      <pivotArea type="all" dataOnly="0" outline="0" fieldPosition="0"/>
    </format>
    <format action="formatting" dxfId="411">
      <pivotArea type="normal" dataOnly="1" outline="0" collapsedLevelsAreSubtotals="1" fieldPosition="0"/>
    </format>
    <format action="formatting" dxfId="410">
      <pivotArea field="29" type="button" dataOnly="0" labelOnly="1" outline="0" axis="axisRow" fieldPosition="0"/>
    </format>
    <format action="formatting" dxfId="409">
      <pivotArea field="30" type="button" dataOnly="0" labelOnly="1" outline="0" axis="axisRow" fieldPosition="1"/>
    </format>
    <format action="formatting" dxfId="408">
      <pivotArea field="4" type="button" dataOnly="0" labelOnly="1" outline="0" axis="axisRow" fieldPosition="2"/>
    </format>
    <format action="formatting" dxfId="407">
      <pivotArea type="normal" dataOnly="0" labelOnly="1" outline="0" fieldPosition="0">
        <references count="1">
          <reference field="29"/>
        </references>
      </pivotArea>
    </format>
    <format action="formatting" dxfId="406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103"/>
            <x v="145"/>
            <x v="163"/>
            <x v="224"/>
            <x v="257"/>
          </reference>
        </references>
      </pivotArea>
    </format>
    <format action="formatting" dxfId="405">
      <pivotArea type="normal" dataOnly="0" labelOnly="1" outline="0" fieldPosition="0">
        <references count="2">
          <reference field="29" selected="0">
            <x v="2"/>
          </reference>
          <reference field="30">
            <x v="72"/>
            <x v="77"/>
            <x v="95"/>
            <x v="182"/>
            <x v="246"/>
            <x v="298"/>
          </reference>
        </references>
      </pivotArea>
    </format>
    <format action="formatting" dxfId="404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403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402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401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400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399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398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397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396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395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394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393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392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391">
      <pivotArea type="normal" dataOnly="0" labelOnly="1" outline="0" axis="axisValues" fieldPosition="0"/>
    </format>
    <format action="formatting" dxfId="390">
      <pivotArea type="all" dataOnly="0" outline="0" fieldPosition="0"/>
    </format>
    <format action="formatting" dxfId="389">
      <pivotArea type="normal" dataOnly="1" outline="0" collapsedLevelsAreSubtotals="1" fieldPosition="0"/>
    </format>
    <format action="formatting" dxfId="388">
      <pivotArea field="29" type="button" dataOnly="0" labelOnly="1" outline="0" axis="axisRow" fieldPosition="0"/>
    </format>
    <format action="formatting" dxfId="387">
      <pivotArea field="30" type="button" dataOnly="0" labelOnly="1" outline="0" axis="axisRow" fieldPosition="1"/>
    </format>
    <format action="formatting" dxfId="386">
      <pivotArea field="4" type="button" dataOnly="0" labelOnly="1" outline="0" axis="axisRow" fieldPosition="2"/>
    </format>
    <format action="formatting" dxfId="385">
      <pivotArea type="normal" dataOnly="0" labelOnly="1" outline="0" fieldPosition="0">
        <references count="1">
          <reference field="29"/>
        </references>
      </pivotArea>
    </format>
    <format action="formatting" dxfId="384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103"/>
            <x v="145"/>
            <x v="163"/>
            <x v="224"/>
            <x v="257"/>
          </reference>
        </references>
      </pivotArea>
    </format>
    <format action="formatting" dxfId="383">
      <pivotArea type="normal" dataOnly="0" labelOnly="1" outline="0" fieldPosition="0">
        <references count="2">
          <reference field="29" selected="0">
            <x v="2"/>
          </reference>
          <reference field="30">
            <x v="72"/>
            <x v="77"/>
            <x v="95"/>
            <x v="182"/>
            <x v="246"/>
            <x v="298"/>
          </reference>
        </references>
      </pivotArea>
    </format>
    <format action="formatting" dxfId="382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381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380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379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378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377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376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375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374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373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372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371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370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369">
      <pivotArea type="normal" dataOnly="0" labelOnly="1" outline="0" axis="axisValues" fieldPosition="0"/>
    </format>
    <format action="formatting" dxfId="368">
      <pivotArea type="all" dataOnly="0" outline="0" fieldPosition="0"/>
    </format>
    <format action="formatting" dxfId="367">
      <pivotArea type="normal" dataOnly="1" outline="0" collapsedLevelsAreSubtotals="1" fieldPosition="0"/>
    </format>
    <format action="formatting" dxfId="366">
      <pivotArea field="29" type="button" dataOnly="0" labelOnly="1" outline="0" axis="axisRow" fieldPosition="0"/>
    </format>
    <format action="formatting" dxfId="365">
      <pivotArea field="30" type="button" dataOnly="0" labelOnly="1" outline="0" axis="axisRow" fieldPosition="1"/>
    </format>
    <format action="formatting" dxfId="364">
      <pivotArea field="4" type="button" dataOnly="0" labelOnly="1" outline="0" axis="axisRow" fieldPosition="2"/>
    </format>
    <format action="formatting" dxfId="363">
      <pivotArea type="normal" dataOnly="0" labelOnly="1" outline="0" fieldPosition="0">
        <references count="1">
          <reference field="29"/>
        </references>
      </pivotArea>
    </format>
    <format action="formatting" dxfId="362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103"/>
            <x v="145"/>
            <x v="163"/>
            <x v="224"/>
            <x v="257"/>
          </reference>
        </references>
      </pivotArea>
    </format>
    <format action="formatting" dxfId="361">
      <pivotArea type="normal" dataOnly="0" labelOnly="1" outline="0" fieldPosition="0">
        <references count="2">
          <reference field="29" selected="0">
            <x v="2"/>
          </reference>
          <reference field="30">
            <x v="72"/>
            <x v="77"/>
            <x v="95"/>
            <x v="182"/>
            <x v="246"/>
            <x v="298"/>
          </reference>
        </references>
      </pivotArea>
    </format>
    <format action="formatting" dxfId="360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359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358">
      <pivotArea type="normal" dataOnly="0" labelOnly="1" outline="0" fieldPosition="0">
        <references count="3">
          <reference field="4">
            <x v="47"/>
          </reference>
          <reference field="29" selected="0">
            <x v="1"/>
          </reference>
          <reference field="30" selected="0">
            <x v="103"/>
          </reference>
        </references>
      </pivotArea>
    </format>
    <format action="formatting" dxfId="357">
      <pivotArea type="normal" dataOnly="0" labelOnly="1" outline="0" fieldPosition="0">
        <references count="3">
          <reference field="4">
            <x v="20"/>
          </reference>
          <reference field="29" selected="0">
            <x v="1"/>
          </reference>
          <reference field="30" selected="0">
            <x v="145"/>
          </reference>
        </references>
      </pivotArea>
    </format>
    <format action="formatting" dxfId="356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355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354">
      <pivotArea type="normal" dataOnly="0" labelOnly="1" outline="0" fieldPosition="0">
        <references count="3">
          <reference field="4">
            <x v="48"/>
          </reference>
          <reference field="29" selected="0">
            <x v="1"/>
          </reference>
          <reference field="30" selected="0">
            <x v="257"/>
          </reference>
        </references>
      </pivotArea>
    </format>
    <format action="formatting" dxfId="353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352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351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350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349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348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347">
      <pivotArea type="normal" dataOnly="0" labelOnly="1" outline="0" axis="axisValues" fieldPosition="0"/>
    </format>
    <format action="formatting" dxfId="346">
      <pivotArea type="all" dataOnly="0" outline="0" fieldPosition="0"/>
    </format>
    <format action="formatting" dxfId="345">
      <pivotArea type="normal" dataOnly="1" outline="0" collapsedLevelsAreSubtotals="1" fieldPosition="0"/>
    </format>
    <format action="formatting" dxfId="344">
      <pivotArea field="29" type="button" dataOnly="0" labelOnly="1" outline="0" axis="axisRow" fieldPosition="0"/>
    </format>
    <format action="formatting" dxfId="343">
      <pivotArea field="30" type="button" dataOnly="0" labelOnly="1" outline="0" axis="axisRow" fieldPosition="1"/>
    </format>
    <format action="formatting" dxfId="342">
      <pivotArea field="4" type="button" dataOnly="0" labelOnly="1" outline="0" axis="axisRow" fieldPosition="2"/>
    </format>
    <format action="formatting" dxfId="341">
      <pivotArea type="normal" dataOnly="0" labelOnly="1" outline="0" fieldPosition="0">
        <references count="1">
          <reference field="29"/>
        </references>
      </pivotArea>
    </format>
    <format action="formatting" dxfId="340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18"/>
            <x v="100"/>
            <x v="152"/>
            <x v="160"/>
            <x v="224"/>
          </reference>
        </references>
      </pivotArea>
    </format>
    <format action="formatting" dxfId="339">
      <pivotArea type="normal" dataOnly="0" labelOnly="1" outline="0" fieldPosition="0">
        <references count="2">
          <reference field="29" selected="0">
            <x v="2"/>
          </reference>
          <reference field="30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action="formatting" dxfId="338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337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336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335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334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333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332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331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330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329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328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327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326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325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324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323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322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321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320">
      <pivotArea type="normal" dataOnly="0" labelOnly="1" outline="0" axis="axisValues" fieldPosition="0"/>
    </format>
    <format action="formatting" dxfId="319">
      <pivotArea type="all" dataOnly="0" outline="0" fieldPosition="0"/>
    </format>
    <format action="formatting" dxfId="318">
      <pivotArea type="normal" dataOnly="1" outline="0" collapsedLevelsAreSubtotals="1" fieldPosition="0"/>
    </format>
    <format action="formatting" dxfId="317">
      <pivotArea field="29" type="button" dataOnly="0" labelOnly="1" outline="0" axis="axisRow" fieldPosition="0"/>
    </format>
    <format action="formatting" dxfId="316">
      <pivotArea field="30" type="button" dataOnly="0" labelOnly="1" outline="0" axis="axisRow" fieldPosition="1"/>
    </format>
    <format action="formatting" dxfId="315">
      <pivotArea field="4" type="button" dataOnly="0" labelOnly="1" outline="0" axis="axisRow" fieldPosition="2"/>
    </format>
    <format action="formatting" dxfId="314">
      <pivotArea type="normal" dataOnly="0" labelOnly="1" outline="0" fieldPosition="0">
        <references count="1">
          <reference field="29"/>
        </references>
      </pivotArea>
    </format>
    <format action="formatting" dxfId="313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18"/>
            <x v="100"/>
            <x v="152"/>
            <x v="160"/>
            <x v="224"/>
          </reference>
        </references>
      </pivotArea>
    </format>
    <format action="formatting" dxfId="312">
      <pivotArea type="normal" dataOnly="0" labelOnly="1" outline="0" fieldPosition="0">
        <references count="2">
          <reference field="29" selected="0">
            <x v="2"/>
          </reference>
          <reference field="30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action="formatting" dxfId="311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310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309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308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307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306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305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304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303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302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301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300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299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298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297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296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295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294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293">
      <pivotArea type="normal" dataOnly="0" labelOnly="1" outline="0" axis="axisValues" fieldPosition="0"/>
    </format>
    <format action="formatting" dxfId="292">
      <pivotArea type="all" dataOnly="0" outline="0" fieldPosition="0"/>
    </format>
    <format action="formatting" dxfId="291">
      <pivotArea type="normal" dataOnly="1" outline="0" collapsedLevelsAreSubtotals="1" fieldPosition="0"/>
    </format>
    <format action="formatting" dxfId="290">
      <pivotArea field="29" type="button" dataOnly="0" labelOnly="1" outline="0" axis="axisRow" fieldPosition="0"/>
    </format>
    <format action="formatting" dxfId="289">
      <pivotArea field="30" type="button" dataOnly="0" labelOnly="1" outline="0" axis="axisRow" fieldPosition="1"/>
    </format>
    <format action="formatting" dxfId="288">
      <pivotArea field="4" type="button" dataOnly="0" labelOnly="1" outline="0" axis="axisRow" fieldPosition="2"/>
    </format>
    <format action="formatting" dxfId="287">
      <pivotArea type="normal" dataOnly="0" labelOnly="1" outline="0" fieldPosition="0">
        <references count="1">
          <reference field="29"/>
        </references>
      </pivotArea>
    </format>
    <format action="formatting" dxfId="286">
      <pivotArea type="normal" dataOnly="0" labelOnly="1" outline="0" fieldPosition="0">
        <references count="2">
          <reference field="29" selected="0">
            <x v="1"/>
          </reference>
          <reference field="30">
            <x v="2"/>
            <x v="3"/>
            <x v="18"/>
            <x v="100"/>
            <x v="152"/>
            <x v="160"/>
            <x v="224"/>
          </reference>
        </references>
      </pivotArea>
    </format>
    <format action="formatting" dxfId="285">
      <pivotArea type="normal" dataOnly="0" labelOnly="1" outline="0" fieldPosition="0">
        <references count="2">
          <reference field="29" selected="0">
            <x v="2"/>
          </reference>
          <reference field="30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action="formatting" dxfId="284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283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282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281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280">
      <pivotArea type="normal" dataOnly="0" labelOnly="1" outline="0" fieldPosition="0">
        <references count="3">
          <reference field="4">
            <x v="5"/>
          </reference>
          <reference field="29" selected="0">
            <x v="1"/>
          </reference>
          <reference field="30" selected="0">
            <x v="152"/>
          </reference>
        </references>
      </pivotArea>
    </format>
    <format action="formatting" dxfId="279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278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277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276">
      <pivotArea type="normal" dataOnly="0" labelOnly="1" outline="0" fieldPosition="0">
        <references count="3">
          <reference field="4">
            <x v="7"/>
          </reference>
          <reference field="29" selected="0">
            <x v="2"/>
          </reference>
          <reference field="30" selected="0">
            <x v="48"/>
          </reference>
        </references>
      </pivotArea>
    </format>
    <format action="formatting" dxfId="275">
      <pivotArea type="normal" dataOnly="0" labelOnly="1" outline="0" fieldPosition="0">
        <references count="3">
          <reference field="4">
            <x v="9"/>
          </reference>
          <reference field="29" selected="0">
            <x v="2"/>
          </reference>
          <reference field="30" selected="0">
            <x v="72"/>
          </reference>
        </references>
      </pivotArea>
    </format>
    <format action="formatting" dxfId="274">
      <pivotArea type="normal" dataOnly="0" labelOnly="1" outline="0" fieldPosition="0">
        <references count="3">
          <reference field="4">
            <x v="17"/>
          </reference>
          <reference field="29" selected="0">
            <x v="2"/>
          </reference>
          <reference field="30" selected="0">
            <x v="77"/>
          </reference>
        </references>
      </pivotArea>
    </format>
    <format action="formatting" dxfId="273">
      <pivotArea type="normal" dataOnly="0" labelOnly="1" outline="0" fieldPosition="0">
        <references count="3">
          <reference field="4">
            <x v="11"/>
          </reference>
          <reference field="29" selected="0">
            <x v="2"/>
          </reference>
          <reference field="30" selected="0">
            <x v="85"/>
          </reference>
        </references>
      </pivotArea>
    </format>
    <format action="formatting" dxfId="272">
      <pivotArea type="normal" dataOnly="0" labelOnly="1" outline="0" fieldPosition="0">
        <references count="3">
          <reference field="4">
            <x v="3"/>
          </reference>
          <reference field="29" selected="0">
            <x v="2"/>
          </reference>
          <reference field="30" selected="0">
            <x v="95"/>
          </reference>
        </references>
      </pivotArea>
    </format>
    <format action="formatting" dxfId="271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270">
      <pivotArea type="normal" dataOnly="0" labelOnly="1" outline="0" fieldPosition="0">
        <references count="3">
          <reference field="4">
            <x v="8"/>
          </reference>
          <reference field="29" selected="0">
            <x v="2"/>
          </reference>
          <reference field="30" selected="0">
            <x v="182"/>
          </reference>
        </references>
      </pivotArea>
    </format>
    <format action="formatting" dxfId="269">
      <pivotArea type="normal" dataOnly="0" labelOnly="1" outline="0" fieldPosition="0">
        <references count="3">
          <reference field="4">
            <x v="13"/>
          </reference>
          <reference field="29" selected="0">
            <x v="2"/>
          </reference>
          <reference field="30" selected="0">
            <x v="276"/>
          </reference>
        </references>
      </pivotArea>
    </format>
    <format action="formatting" dxfId="268">
      <pivotArea type="normal" dataOnly="0" labelOnly="1" outline="0" fieldPosition="0">
        <references count="3">
          <reference field="4">
            <x v="16"/>
          </reference>
          <reference field="29" selected="0">
            <x v="2"/>
          </reference>
          <reference field="30" selected="0">
            <x v="298"/>
          </reference>
        </references>
      </pivotArea>
    </format>
    <format action="formatting" dxfId="267">
      <pivotArea type="normal" dataOnly="0" labelOnly="1" outline="0" fieldPosition="0">
        <references count="3">
          <reference field="4">
            <x v="18"/>
          </reference>
          <reference field="29" selected="0">
            <x v="2"/>
          </reference>
          <reference field="30" selected="0">
            <x v="301"/>
          </reference>
        </references>
      </pivotArea>
    </format>
    <format action="formatting" dxfId="266">
      <pivotArea type="normal" dataOnly="0" labelOnly="1" outline="0" axis="axisValues" fieldPosition="0"/>
    </format>
    <format action="formatting" dxfId="265">
      <pivotArea type="all" dataOnly="0" outline="0" fieldPosition="0"/>
    </format>
    <format action="formatting" dxfId="264">
      <pivotArea type="normal" dataOnly="1" outline="0" collapsedLevelsAreSubtotals="1" fieldPosition="0"/>
    </format>
    <format action="formatting" dxfId="263">
      <pivotArea field="29" type="button" dataOnly="0" labelOnly="1" outline="0" axis="axisRow" fieldPosition="0"/>
    </format>
    <format action="formatting" dxfId="262">
      <pivotArea field="30" type="button" dataOnly="0" labelOnly="1" outline="0" axis="axisRow" fieldPosition="1"/>
    </format>
    <format action="formatting" dxfId="261">
      <pivotArea field="4" type="button" dataOnly="0" labelOnly="1" outline="0" axis="axisRow" fieldPosition="2"/>
    </format>
    <format action="formatting" dxfId="260">
      <pivotArea type="normal" dataOnly="0" labelOnly="1" outline="0" fieldPosition="0">
        <references count="1">
          <reference field="29"/>
        </references>
      </pivotArea>
    </format>
    <format action="formatting" dxfId="259">
      <pivotArea type="normal" dataOnly="0" labelOnly="1" outline="0" fieldPosition="0">
        <references count="2">
          <reference field="29" selected="0">
            <x v="1"/>
          </reference>
          <reference field="30">
            <x v="1"/>
            <x v="2"/>
            <x v="3"/>
            <x v="4"/>
            <x v="18"/>
            <x v="20"/>
            <x v="22"/>
            <x v="27"/>
            <x v="40"/>
            <x v="43"/>
            <x v="45"/>
            <x v="51"/>
            <x v="61"/>
            <x v="63"/>
            <x v="64"/>
            <x v="70"/>
            <x v="71"/>
            <x v="73"/>
            <x v="88"/>
            <x v="92"/>
            <x v="95"/>
            <x v="99"/>
            <x v="100"/>
            <x v="101"/>
            <x v="106"/>
            <x v="109"/>
            <x v="116"/>
            <x v="120"/>
            <x v="121"/>
            <x v="124"/>
            <x v="126"/>
            <x v="129"/>
            <x v="132"/>
            <x v="139"/>
            <x v="148"/>
            <x v="153"/>
            <x v="156"/>
            <x v="160"/>
            <x v="163"/>
            <x v="165"/>
            <x v="175"/>
            <x v="181"/>
            <x v="183"/>
            <x v="187"/>
            <x v="189"/>
            <x v="191"/>
            <x v="194"/>
            <x v="197"/>
            <x v="202"/>
            <x v="204"/>
          </reference>
        </references>
      </pivotArea>
    </format>
    <format action="formatting" dxfId="258">
      <pivotArea type="normal" dataOnly="0" labelOnly="1" outline="0" fieldPosition="0">
        <references count="2">
          <reference field="29" selected="0">
            <x v="1"/>
          </reference>
          <reference field="30">
            <x v="210"/>
            <x v="211"/>
            <x v="221"/>
            <x v="223"/>
            <x v="224"/>
            <x v="228"/>
            <x v="229"/>
            <x v="233"/>
            <x v="239"/>
            <x v="241"/>
            <x v="242"/>
            <x v="249"/>
            <x v="264"/>
            <x v="268"/>
            <x v="279"/>
            <x v="285"/>
            <x v="290"/>
            <x v="292"/>
            <x v="293"/>
            <x v="294"/>
            <x v="303"/>
            <x v="308"/>
          </reference>
        </references>
      </pivotArea>
    </format>
    <format action="formatting" dxfId="257">
      <pivotArea type="normal" dataOnly="0" labelOnly="1" outline="0" fieldPosition="0">
        <references count="2">
          <reference field="29" selected="0">
            <x v="2"/>
          </reference>
          <reference field="30">
            <x v="0"/>
            <x v="9"/>
            <x v="16"/>
            <x v="21"/>
            <x v="36"/>
            <x v="39"/>
            <x v="61"/>
            <x v="63"/>
            <x v="68"/>
            <x v="73"/>
            <x v="75"/>
            <x v="76"/>
            <x v="79"/>
            <x v="81"/>
            <x v="88"/>
            <x v="97"/>
            <x v="101"/>
            <x v="107"/>
            <x v="108"/>
            <x v="116"/>
            <x v="118"/>
            <x v="124"/>
            <x v="127"/>
            <x v="136"/>
            <x v="143"/>
            <x v="144"/>
            <x v="156"/>
            <x v="170"/>
            <x v="174"/>
            <x v="177"/>
            <x v="181"/>
            <x v="191"/>
            <x v="198"/>
            <x v="207"/>
            <x v="208"/>
            <x v="209"/>
            <x v="212"/>
            <x v="225"/>
            <x v="243"/>
            <x v="246"/>
            <x v="252"/>
            <x v="255"/>
            <x v="256"/>
            <x v="261"/>
            <x v="262"/>
            <x v="271"/>
            <x v="295"/>
            <x v="299"/>
            <x v="308"/>
          </reference>
        </references>
      </pivotArea>
    </format>
    <format action="formatting" dxfId="256">
      <pivotArea type="normal" dataOnly="0" labelOnly="1" outline="0" fieldPosition="0">
        <references count="2">
          <reference field="29" selected="0">
            <x v="3"/>
          </reference>
          <reference field="30">
            <x v="309"/>
          </reference>
        </references>
      </pivotArea>
    </format>
    <format action="formatting" dxfId="255">
      <pivotArea type="normal" dataOnly="0" labelOnly="1" outline="0" fieldPosition="0">
        <references count="3">
          <reference field="4">
            <x v="59"/>
          </reference>
          <reference field="29" selected="0">
            <x v="1"/>
          </reference>
          <reference field="30" selected="0">
            <x v="1"/>
          </reference>
        </references>
      </pivotArea>
    </format>
    <format action="formatting" dxfId="254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253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252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251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250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249">
      <pivotArea type="normal" dataOnly="0" labelOnly="1" outline="0" fieldPosition="0">
        <references count="3">
          <reference field="4">
            <x v="143"/>
          </reference>
          <reference field="29" selected="0">
            <x v="1"/>
          </reference>
          <reference field="30" selected="0">
            <x v="22"/>
          </reference>
        </references>
      </pivotArea>
    </format>
    <format action="formatting" dxfId="248">
      <pivotArea type="normal" dataOnly="0" labelOnly="1" outline="0" fieldPosition="0">
        <references count="3">
          <reference field="4">
            <x v="123"/>
          </reference>
          <reference field="29" selected="0">
            <x v="1"/>
          </reference>
          <reference field="30" selected="0">
            <x v="27"/>
          </reference>
        </references>
      </pivotArea>
    </format>
    <format action="formatting" dxfId="247">
      <pivotArea type="normal" dataOnly="0" labelOnly="1" outline="0" fieldPosition="0">
        <references count="3">
          <reference field="4">
            <x v="129"/>
          </reference>
          <reference field="29" selected="0">
            <x v="1"/>
          </reference>
          <reference field="30" selected="0">
            <x v="40"/>
          </reference>
        </references>
      </pivotArea>
    </format>
    <format action="formatting" dxfId="246">
      <pivotArea type="normal" dataOnly="0" labelOnly="1" outline="0" fieldPosition="0">
        <references count="3">
          <reference field="4">
            <x v="118"/>
          </reference>
          <reference field="29" selected="0">
            <x v="1"/>
          </reference>
          <reference field="30" selected="0">
            <x v="43"/>
          </reference>
        </references>
      </pivotArea>
    </format>
    <format action="formatting" dxfId="245">
      <pivotArea type="normal" dataOnly="0" labelOnly="1" outline="0" fieldPosition="0">
        <references count="3">
          <reference field="4">
            <x v="243"/>
          </reference>
          <reference field="29" selected="0">
            <x v="1"/>
          </reference>
          <reference field="30" selected="0">
            <x v="45"/>
          </reference>
        </references>
      </pivotArea>
    </format>
    <format action="formatting" dxfId="244">
      <pivotArea type="normal" dataOnly="0" labelOnly="1" outline="0" fieldPosition="0">
        <references count="3">
          <reference field="4">
            <x v="154"/>
          </reference>
          <reference field="29" selected="0">
            <x v="1"/>
          </reference>
          <reference field="30" selected="0">
            <x v="51"/>
          </reference>
        </references>
      </pivotArea>
    </format>
    <format action="formatting" dxfId="243">
      <pivotArea type="normal" dataOnly="0" labelOnly="1" outline="0" fieldPosition="0">
        <references count="3">
          <reference field="4">
            <x v="249"/>
          </reference>
          <reference field="29" selected="0">
            <x v="1"/>
          </reference>
          <reference field="30" selected="0">
            <x v="61"/>
          </reference>
        </references>
      </pivotArea>
    </format>
    <format action="formatting" dxfId="242">
      <pivotArea type="normal" dataOnly="0" labelOnly="1" outline="0" fieldPosition="0">
        <references count="3">
          <reference field="4">
            <x v="248"/>
          </reference>
          <reference field="29" selected="0">
            <x v="1"/>
          </reference>
          <reference field="30" selected="0">
            <x v="63"/>
          </reference>
        </references>
      </pivotArea>
    </format>
    <format action="formatting" dxfId="241">
      <pivotArea type="normal" dataOnly="0" labelOnly="1" outline="0" fieldPosition="0">
        <references count="3">
          <reference field="4">
            <x v="138"/>
          </reference>
          <reference field="29" selected="0">
            <x v="1"/>
          </reference>
          <reference field="30" selected="0">
            <x v="64"/>
          </reference>
        </references>
      </pivotArea>
    </format>
    <format action="formatting" dxfId="240">
      <pivotArea type="normal" dataOnly="0" labelOnly="1" outline="0" fieldPosition="0">
        <references count="3">
          <reference field="4">
            <x v="106"/>
          </reference>
          <reference field="29" selected="0">
            <x v="1"/>
          </reference>
          <reference field="30" selected="0">
            <x v="70"/>
          </reference>
        </references>
      </pivotArea>
    </format>
    <format action="formatting" dxfId="239">
      <pivotArea type="normal" dataOnly="0" labelOnly="1" outline="0" fieldPosition="0">
        <references count="3">
          <reference field="4">
            <x v="58"/>
          </reference>
          <reference field="29" selected="0">
            <x v="1"/>
          </reference>
          <reference field="30" selected="0">
            <x v="71"/>
          </reference>
        </references>
      </pivotArea>
    </format>
    <format action="formatting" dxfId="238">
      <pivotArea type="normal" dataOnly="0" labelOnly="1" outline="0" fieldPosition="0">
        <references count="3">
          <reference field="4">
            <x v="241"/>
          </reference>
          <reference field="29" selected="0">
            <x v="1"/>
          </reference>
          <reference field="30" selected="0">
            <x v="73"/>
          </reference>
        </references>
      </pivotArea>
    </format>
    <format action="formatting" dxfId="237">
      <pivotArea type="normal" dataOnly="0" labelOnly="1" outline="0" fieldPosition="0">
        <references count="3">
          <reference field="4">
            <x v="231"/>
          </reference>
          <reference field="29" selected="0">
            <x v="1"/>
          </reference>
          <reference field="30" selected="0">
            <x v="88"/>
          </reference>
        </references>
      </pivotArea>
    </format>
    <format action="formatting" dxfId="236">
      <pivotArea type="normal" dataOnly="0" labelOnly="1" outline="0" fieldPosition="0">
        <references count="3">
          <reference field="4">
            <x v="70"/>
          </reference>
          <reference field="29" selected="0">
            <x v="1"/>
          </reference>
          <reference field="30" selected="0">
            <x v="92"/>
          </reference>
        </references>
      </pivotArea>
    </format>
    <format action="formatting" dxfId="235">
      <pivotArea type="normal" dataOnly="0" labelOnly="1" outline="0" fieldPosition="0">
        <references count="3">
          <reference field="4">
            <x v="3"/>
          </reference>
          <reference field="29" selected="0">
            <x v="1"/>
          </reference>
          <reference field="30" selected="0">
            <x v="95"/>
          </reference>
        </references>
      </pivotArea>
    </format>
    <format action="formatting" dxfId="234">
      <pivotArea type="normal" dataOnly="0" labelOnly="1" outline="0" fieldPosition="0">
        <references count="3">
          <reference field="4">
            <x v="65"/>
          </reference>
          <reference field="29" selected="0">
            <x v="1"/>
          </reference>
          <reference field="30" selected="0">
            <x v="99"/>
          </reference>
        </references>
      </pivotArea>
    </format>
    <format action="formatting" dxfId="233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232">
      <pivotArea type="normal" dataOnly="0" labelOnly="1" outline="0" fieldPosition="0">
        <references count="3">
          <reference field="4">
            <x v="242"/>
          </reference>
          <reference field="29" selected="0">
            <x v="1"/>
          </reference>
          <reference field="30" selected="0">
            <x v="101"/>
          </reference>
        </references>
      </pivotArea>
    </format>
    <format action="formatting" dxfId="231">
      <pivotArea type="normal" dataOnly="0" labelOnly="1" outline="0" fieldPosition="0">
        <references count="3">
          <reference field="4">
            <x v="102"/>
          </reference>
          <reference field="29" selected="0">
            <x v="1"/>
          </reference>
          <reference field="30" selected="0">
            <x v="106"/>
          </reference>
        </references>
      </pivotArea>
    </format>
    <format action="formatting" dxfId="230">
      <pivotArea type="normal" dataOnly="0" labelOnly="1" outline="0" fieldPosition="0">
        <references count="3">
          <reference field="4">
            <x v="56"/>
          </reference>
          <reference field="29" selected="0">
            <x v="1"/>
          </reference>
          <reference field="30" selected="0">
            <x v="109"/>
          </reference>
        </references>
      </pivotArea>
    </format>
    <format action="formatting" dxfId="229">
      <pivotArea type="normal" dataOnly="0" labelOnly="1" outline="0" fieldPosition="0">
        <references count="3">
          <reference field="4">
            <x v="247"/>
          </reference>
          <reference field="29" selected="0">
            <x v="1"/>
          </reference>
          <reference field="30" selected="0">
            <x v="116"/>
          </reference>
        </references>
      </pivotArea>
    </format>
    <format action="formatting" dxfId="228">
      <pivotArea type="normal" dataOnly="0" labelOnly="1" outline="0" fieldPosition="0">
        <references count="3">
          <reference field="4">
            <x v="122"/>
          </reference>
          <reference field="29" selected="0">
            <x v="1"/>
          </reference>
          <reference field="30" selected="0">
            <x v="120"/>
          </reference>
        </references>
      </pivotArea>
    </format>
    <format action="formatting" dxfId="227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226">
      <pivotArea type="normal" dataOnly="0" labelOnly="1" outline="0" fieldPosition="0">
        <references count="3">
          <reference field="4">
            <x v="244"/>
          </reference>
          <reference field="29" selected="0">
            <x v="1"/>
          </reference>
          <reference field="30" selected="0">
            <x v="124"/>
          </reference>
        </references>
      </pivotArea>
    </format>
    <format action="formatting" dxfId="225">
      <pivotArea type="normal" dataOnly="0" labelOnly="1" outline="0" fieldPosition="0">
        <references count="3">
          <reference field="4">
            <x v="124"/>
          </reference>
          <reference field="29" selected="0">
            <x v="1"/>
          </reference>
          <reference field="30" selected="0">
            <x v="126"/>
          </reference>
        </references>
      </pivotArea>
    </format>
    <format action="formatting" dxfId="224">
      <pivotArea type="normal" dataOnly="0" labelOnly="1" outline="0" fieldPosition="0">
        <references count="3">
          <reference field="4">
            <x v="113"/>
          </reference>
          <reference field="29" selected="0">
            <x v="1"/>
          </reference>
          <reference field="30" selected="0">
            <x v="129"/>
          </reference>
        </references>
      </pivotArea>
    </format>
    <format action="formatting" dxfId="223">
      <pivotArea type="normal" dataOnly="0" labelOnly="1" outline="0" fieldPosition="0">
        <references count="3">
          <reference field="4">
            <x v="119"/>
          </reference>
          <reference field="29" selected="0">
            <x v="1"/>
          </reference>
          <reference field="30" selected="0">
            <x v="132"/>
          </reference>
        </references>
      </pivotArea>
    </format>
    <format action="formatting" dxfId="222">
      <pivotArea type="normal" dataOnly="0" labelOnly="1" outline="0" fieldPosition="0">
        <references count="3">
          <reference field="4">
            <x v="38"/>
          </reference>
          <reference field="29" selected="0">
            <x v="1"/>
          </reference>
          <reference field="30" selected="0">
            <x v="139"/>
          </reference>
        </references>
      </pivotArea>
    </format>
    <format action="formatting" dxfId="221">
      <pivotArea type="normal" dataOnly="0" labelOnly="1" outline="0" fieldPosition="0">
        <references count="3">
          <reference field="4">
            <x v="234"/>
          </reference>
          <reference field="29" selected="0">
            <x v="1"/>
          </reference>
          <reference field="30" selected="0">
            <x v="148"/>
          </reference>
        </references>
      </pivotArea>
    </format>
    <format action="formatting" dxfId="220">
      <pivotArea type="normal" dataOnly="0" labelOnly="1" outline="0" fieldPosition="0">
        <references count="3">
          <reference field="4">
            <x v="93"/>
          </reference>
          <reference field="29" selected="0">
            <x v="1"/>
          </reference>
          <reference field="30" selected="0">
            <x v="153"/>
          </reference>
        </references>
      </pivotArea>
    </format>
    <format action="formatting" dxfId="219">
      <pivotArea type="normal" dataOnly="0" labelOnly="1" outline="0" fieldPosition="0">
        <references count="3">
          <reference field="4">
            <x v="236"/>
          </reference>
          <reference field="29" selected="0">
            <x v="1"/>
          </reference>
          <reference field="30" selected="0">
            <x v="156"/>
          </reference>
        </references>
      </pivotArea>
    </format>
    <format action="formatting" dxfId="218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217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216">
      <pivotArea type="normal" dataOnly="0" labelOnly="1" outline="0" fieldPosition="0">
        <references count="3">
          <reference field="4">
            <x v="121"/>
          </reference>
          <reference field="29" selected="0">
            <x v="1"/>
          </reference>
          <reference field="30" selected="0">
            <x v="165"/>
          </reference>
        </references>
      </pivotArea>
    </format>
    <format action="formatting" dxfId="215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214">
      <pivotArea type="normal" dataOnly="0" labelOnly="1" outline="0" fieldPosition="0">
        <references count="3">
          <reference field="4">
            <x v="245"/>
          </reference>
          <reference field="29" selected="0">
            <x v="1"/>
          </reference>
          <reference field="30" selected="0">
            <x v="181"/>
          </reference>
        </references>
      </pivotArea>
    </format>
    <format action="formatting" dxfId="213">
      <pivotArea type="normal" dataOnly="0" labelOnly="1" outline="0" fieldPosition="0">
        <references count="3">
          <reference field="4">
            <x v="114"/>
          </reference>
          <reference field="29" selected="0">
            <x v="1"/>
          </reference>
          <reference field="30" selected="0">
            <x v="183"/>
          </reference>
        </references>
      </pivotArea>
    </format>
    <format action="formatting" dxfId="212">
      <pivotArea type="normal" dataOnly="0" labelOnly="1" outline="0" fieldPosition="0">
        <references count="3">
          <reference field="4">
            <x v="1"/>
          </reference>
          <reference field="29" selected="0">
            <x v="1"/>
          </reference>
          <reference field="30" selected="0">
            <x v="187"/>
          </reference>
        </references>
      </pivotArea>
    </format>
    <format action="formatting" dxfId="211">
      <pivotArea type="normal" dataOnly="0" labelOnly="1" outline="0" fieldPosition="0">
        <references count="3">
          <reference field="4">
            <x v="137"/>
          </reference>
          <reference field="29" selected="0">
            <x v="1"/>
          </reference>
          <reference field="30" selected="0">
            <x v="189"/>
          </reference>
        </references>
      </pivotArea>
    </format>
    <format action="formatting" dxfId="210">
      <pivotArea type="normal" dataOnly="0" labelOnly="1" outline="0" fieldPosition="0">
        <references count="3">
          <reference field="4">
            <x v="246"/>
          </reference>
          <reference field="29" selected="0">
            <x v="1"/>
          </reference>
          <reference field="30" selected="0">
            <x v="191"/>
          </reference>
        </references>
      </pivotArea>
    </format>
    <format action="formatting" dxfId="209">
      <pivotArea type="normal" dataOnly="0" labelOnly="1" outline="0" fieldPosition="0">
        <references count="3">
          <reference field="4">
            <x v="112"/>
          </reference>
          <reference field="29" selected="0">
            <x v="1"/>
          </reference>
          <reference field="30" selected="0">
            <x v="194"/>
          </reference>
        </references>
      </pivotArea>
    </format>
    <format action="formatting" dxfId="208">
      <pivotArea type="normal" dataOnly="0" labelOnly="1" outline="0" fieldPosition="0">
        <references count="3">
          <reference field="4">
            <x v="120"/>
          </reference>
          <reference field="29" selected="0">
            <x v="1"/>
          </reference>
          <reference field="30" selected="0">
            <x v="197"/>
          </reference>
        </references>
      </pivotArea>
    </format>
    <format action="formatting" dxfId="207">
      <pivotArea type="normal" dataOnly="0" labelOnly="1" outline="0" fieldPosition="0">
        <references count="3">
          <reference field="4">
            <x v="131"/>
          </reference>
          <reference field="29" selected="0">
            <x v="1"/>
          </reference>
          <reference field="30" selected="0">
            <x v="202"/>
          </reference>
        </references>
      </pivotArea>
    </format>
    <format action="formatting" dxfId="206">
      <pivotArea type="normal" dataOnly="0" labelOnly="1" outline="0" fieldPosition="0">
        <references count="3">
          <reference field="4">
            <x v="140"/>
          </reference>
          <reference field="29" selected="0">
            <x v="1"/>
          </reference>
          <reference field="30" selected="0">
            <x v="204"/>
          </reference>
        </references>
      </pivotArea>
    </format>
    <format action="formatting" dxfId="205">
      <pivotArea type="normal" dataOnly="0" labelOnly="1" outline="0" fieldPosition="0">
        <references count="3">
          <reference field="4">
            <x v="12"/>
          </reference>
          <reference field="29" selected="0">
            <x v="1"/>
          </reference>
          <reference field="30" selected="0">
            <x v="210"/>
          </reference>
        </references>
      </pivotArea>
    </format>
    <format action="formatting" dxfId="204">
      <pivotArea type="normal" dataOnly="0" labelOnly="1" outline="0" fieldPosition="0">
        <references count="3">
          <reference field="4">
            <x v="32"/>
          </reference>
          <reference field="29" selected="0">
            <x v="1"/>
          </reference>
          <reference field="30" selected="0">
            <x v="211"/>
          </reference>
        </references>
      </pivotArea>
    </format>
    <format action="formatting" dxfId="203">
      <pivotArea type="normal" dataOnly="0" labelOnly="1" outline="0" fieldPosition="0">
        <references count="3">
          <reference field="4">
            <x v="14"/>
          </reference>
          <reference field="29" selected="0">
            <x v="1"/>
          </reference>
          <reference field="30" selected="0">
            <x v="221"/>
          </reference>
        </references>
      </pivotArea>
    </format>
    <format action="formatting" dxfId="202">
      <pivotArea type="normal" dataOnly="0" labelOnly="1" outline="0" fieldPosition="0">
        <references count="3">
          <reference field="4">
            <x v="161"/>
          </reference>
          <reference field="29" selected="0">
            <x v="1"/>
          </reference>
          <reference field="30" selected="0">
            <x v="223"/>
          </reference>
        </references>
      </pivotArea>
    </format>
    <format action="formatting" dxfId="201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200">
      <pivotArea type="normal" dataOnly="0" labelOnly="1" outline="0" fieldPosition="0">
        <references count="3">
          <reference field="4">
            <x v="163"/>
          </reference>
          <reference field="29" selected="0">
            <x v="1"/>
          </reference>
          <reference field="30" selected="0">
            <x v="228"/>
          </reference>
        </references>
      </pivotArea>
    </format>
    <format action="formatting" dxfId="199">
      <pivotArea type="normal" dataOnly="0" labelOnly="1" outline="0" fieldPosition="0">
        <references count="3">
          <reference field="4">
            <x v="132"/>
          </reference>
          <reference field="29" selected="0">
            <x v="1"/>
          </reference>
          <reference field="30" selected="0">
            <x v="229"/>
          </reference>
        </references>
      </pivotArea>
    </format>
    <format action="formatting" dxfId="198">
      <pivotArea type="normal" dataOnly="0" labelOnly="1" outline="0" fieldPosition="0">
        <references count="3">
          <reference field="4">
            <x v="37"/>
          </reference>
          <reference field="29" selected="0">
            <x v="1"/>
          </reference>
          <reference field="30" selected="0">
            <x v="233"/>
          </reference>
        </references>
      </pivotArea>
    </format>
    <format action="formatting" dxfId="197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196">
      <pivotArea type="normal" dataOnly="0" labelOnly="1" outline="0" fieldPosition="0">
        <references count="3">
          <reference field="4">
            <x v="136"/>
          </reference>
          <reference field="29" selected="0">
            <x v="1"/>
          </reference>
          <reference field="30" selected="0">
            <x v="241"/>
          </reference>
        </references>
      </pivotArea>
    </format>
    <format action="formatting" dxfId="195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194">
      <pivotArea type="normal" dataOnly="0" labelOnly="1" outline="0" fieldPosition="0">
        <references count="3">
          <reference field="4">
            <x v="46"/>
          </reference>
          <reference field="29" selected="0">
            <x v="1"/>
          </reference>
          <reference field="30" selected="0">
            <x v="249"/>
          </reference>
        </references>
      </pivotArea>
    </format>
    <format action="formatting" dxfId="193">
      <pivotArea type="normal" dataOnly="0" labelOnly="1" outline="0" fieldPosition="0">
        <references count="3">
          <reference field="4">
            <x v="144"/>
          </reference>
          <reference field="29" selected="0">
            <x v="1"/>
          </reference>
          <reference field="30" selected="0">
            <x v="264"/>
          </reference>
        </references>
      </pivotArea>
    </format>
    <format action="formatting" dxfId="192">
      <pivotArea type="normal" dataOnly="0" labelOnly="1" outline="0" fieldPosition="0">
        <references count="3">
          <reference field="4">
            <x v="88"/>
          </reference>
          <reference field="29" selected="0">
            <x v="1"/>
          </reference>
          <reference field="30" selected="0">
            <x v="268"/>
          </reference>
        </references>
      </pivotArea>
    </format>
    <format action="formatting" dxfId="191">
      <pivotArea type="normal" dataOnly="0" labelOnly="1" outline="0" fieldPosition="0">
        <references count="3">
          <reference field="4">
            <x v="162"/>
          </reference>
          <reference field="29" selected="0">
            <x v="1"/>
          </reference>
          <reference field="30" selected="0">
            <x v="279"/>
          </reference>
        </references>
      </pivotArea>
    </format>
    <format action="formatting" dxfId="190">
      <pivotArea type="normal" dataOnly="0" labelOnly="1" outline="0" fieldPosition="0">
        <references count="3">
          <reference field="4">
            <x v="42"/>
          </reference>
          <reference field="29" selected="0">
            <x v="1"/>
          </reference>
          <reference field="30" selected="0">
            <x v="285"/>
          </reference>
        </references>
      </pivotArea>
    </format>
    <format action="formatting" dxfId="189">
      <pivotArea type="normal" dataOnly="0" labelOnly="1" outline="0" fieldPosition="0">
        <references count="3">
          <reference field="4">
            <x v="24"/>
          </reference>
          <reference field="29" selected="0">
            <x v="1"/>
          </reference>
          <reference field="30" selected="0">
            <x v="290"/>
          </reference>
        </references>
      </pivotArea>
    </format>
    <format action="formatting" dxfId="188">
      <pivotArea type="normal" dataOnly="0" labelOnly="1" outline="0" fieldPosition="0">
        <references count="3">
          <reference field="4">
            <x v="133"/>
          </reference>
          <reference field="29" selected="0">
            <x v="1"/>
          </reference>
          <reference field="30" selected="0">
            <x v="292"/>
          </reference>
        </references>
      </pivotArea>
    </format>
    <format action="formatting" dxfId="187">
      <pivotArea type="normal" dataOnly="0" labelOnly="1" outline="0" fieldPosition="0">
        <references count="3">
          <reference field="4">
            <x v="151"/>
          </reference>
          <reference field="29" selected="0">
            <x v="1"/>
          </reference>
          <reference field="30" selected="0">
            <x v="293"/>
          </reference>
        </references>
      </pivotArea>
    </format>
    <format action="formatting" dxfId="186">
      <pivotArea type="normal" dataOnly="0" labelOnly="1" outline="0" fieldPosition="0">
        <references count="3">
          <reference field="4">
            <x v="80"/>
          </reference>
          <reference field="29" selected="0">
            <x v="1"/>
          </reference>
          <reference field="30" selected="0">
            <x v="294"/>
          </reference>
        </references>
      </pivotArea>
    </format>
    <format action="formatting" dxfId="185">
      <pivotArea type="normal" dataOnly="0" labelOnly="1" outline="0" fieldPosition="0">
        <references count="3">
          <reference field="4">
            <x v="66"/>
          </reference>
          <reference field="29" selected="0">
            <x v="1"/>
          </reference>
          <reference field="30" selected="0">
            <x v="303"/>
          </reference>
        </references>
      </pivotArea>
    </format>
    <format action="formatting" dxfId="184">
      <pivotArea type="normal" dataOnly="0" labelOnly="1" outline="0" fieldPosition="0">
        <references count="3">
          <reference field="4">
            <x v="164"/>
            <x v="165"/>
            <x v="168"/>
            <x v="170"/>
            <x v="173"/>
            <x v="174"/>
            <x v="176"/>
            <x v="180"/>
            <x v="182"/>
            <x v="183"/>
            <x v="184"/>
            <x v="188"/>
            <x v="189"/>
            <x v="190"/>
            <x v="191"/>
            <x v="193"/>
            <x v="197"/>
            <x v="199"/>
            <x v="200"/>
            <x v="203"/>
            <x v="207"/>
            <x v="208"/>
            <x v="217"/>
            <x v="221"/>
            <x v="250"/>
            <x v="253"/>
            <x v="256"/>
          </reference>
          <reference field="29" selected="0">
            <x v="1"/>
          </reference>
          <reference field="30" selected="0">
            <x v="308"/>
          </reference>
        </references>
      </pivotArea>
    </format>
    <format action="formatting" dxfId="183">
      <pivotArea type="normal" dataOnly="0" labelOnly="1" outline="0" fieldPosition="0">
        <references count="3">
          <reference field="4">
            <x v="115"/>
          </reference>
          <reference field="29" selected="0">
            <x v="2"/>
          </reference>
          <reference field="30" selected="0">
            <x v="0"/>
          </reference>
        </references>
      </pivotArea>
    </format>
    <format action="formatting" dxfId="182">
      <pivotArea type="normal" dataOnly="0" labelOnly="1" outline="0" fieldPosition="0">
        <references count="3">
          <reference field="4">
            <x v="60"/>
          </reference>
          <reference field="29" selected="0">
            <x v="2"/>
          </reference>
          <reference field="30" selected="0">
            <x v="9"/>
          </reference>
        </references>
      </pivotArea>
    </format>
    <format action="formatting" dxfId="181">
      <pivotArea type="normal" dataOnly="0" labelOnly="1" outline="0" fieldPosition="0">
        <references count="3">
          <reference field="4">
            <x v="127"/>
          </reference>
          <reference field="29" selected="0">
            <x v="2"/>
          </reference>
          <reference field="30" selected="0">
            <x v="16"/>
          </reference>
        </references>
      </pivotArea>
    </format>
    <format action="formatting" dxfId="180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179">
      <pivotArea type="normal" dataOnly="0" labelOnly="1" outline="0" fieldPosition="0">
        <references count="3">
          <reference field="4">
            <x v="61"/>
          </reference>
          <reference field="29" selected="0">
            <x v="2"/>
          </reference>
          <reference field="30" selected="0">
            <x v="36"/>
          </reference>
        </references>
      </pivotArea>
    </format>
    <format action="formatting" dxfId="178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177">
      <pivotArea type="normal" dataOnly="0" labelOnly="1" outline="0" fieldPosition="0">
        <references count="3">
          <reference field="4">
            <x v="249"/>
          </reference>
          <reference field="29" selected="0">
            <x v="2"/>
          </reference>
          <reference field="30" selected="0">
            <x v="61"/>
          </reference>
        </references>
      </pivotArea>
    </format>
    <format action="formatting" dxfId="176">
      <pivotArea type="normal" dataOnly="0" labelOnly="1" outline="0" fieldPosition="0">
        <references count="3">
          <reference field="4">
            <x v="248"/>
          </reference>
          <reference field="29" selected="0">
            <x v="2"/>
          </reference>
          <reference field="30" selected="0">
            <x v="63"/>
          </reference>
        </references>
      </pivotArea>
    </format>
    <format action="formatting" dxfId="175">
      <pivotArea type="normal" dataOnly="0" labelOnly="1" outline="0" fieldPosition="0">
        <references count="3">
          <reference field="4">
            <x v="67"/>
          </reference>
          <reference field="29" selected="0">
            <x v="2"/>
          </reference>
          <reference field="30" selected="0">
            <x v="68"/>
          </reference>
        </references>
      </pivotArea>
    </format>
    <format action="formatting" dxfId="174">
      <pivotArea type="normal" dataOnly="0" labelOnly="1" outline="0" fieldPosition="0">
        <references count="3">
          <reference field="4">
            <x v="241"/>
          </reference>
          <reference field="29" selected="0">
            <x v="2"/>
          </reference>
          <reference field="30" selected="0">
            <x v="73"/>
          </reference>
        </references>
      </pivotArea>
    </format>
    <format action="formatting" dxfId="173">
      <pivotArea type="normal" dataOnly="0" labelOnly="1" outline="0" fieldPosition="0">
        <references count="3">
          <reference field="4">
            <x v="75"/>
          </reference>
          <reference field="29" selected="0">
            <x v="2"/>
          </reference>
          <reference field="30" selected="0">
            <x v="75"/>
          </reference>
        </references>
      </pivotArea>
    </format>
    <format action="formatting" dxfId="172">
      <pivotArea type="normal" dataOnly="0" labelOnly="1" outline="0" fieldPosition="0">
        <references count="3">
          <reference field="4">
            <x v="71"/>
          </reference>
          <reference field="29" selected="0">
            <x v="2"/>
          </reference>
          <reference field="30" selected="0">
            <x v="76"/>
          </reference>
        </references>
      </pivotArea>
    </format>
    <format action="formatting" dxfId="171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170">
      <pivotArea type="normal" dataOnly="0" labelOnly="1" outline="0" fieldPosition="0">
        <references count="3">
          <reference field="4">
            <x v="83"/>
          </reference>
          <reference field="29" selected="0">
            <x v="2"/>
          </reference>
          <reference field="30" selected="0">
            <x v="81"/>
          </reference>
        </references>
      </pivotArea>
    </format>
    <format action="formatting" dxfId="169">
      <pivotArea type="normal" dataOnly="0" labelOnly="1" outline="0" fieldPosition="0">
        <references count="3">
          <reference field="4">
            <x v="231"/>
          </reference>
          <reference field="29" selected="0">
            <x v="2"/>
          </reference>
          <reference field="30" selected="0">
            <x v="88"/>
          </reference>
        </references>
      </pivotArea>
    </format>
    <format action="formatting" dxfId="168">
      <pivotArea type="normal" dataOnly="0" labelOnly="1" outline="0" fieldPosition="0">
        <references count="3">
          <reference field="4">
            <x v="117"/>
          </reference>
          <reference field="29" selected="0">
            <x v="2"/>
          </reference>
          <reference field="30" selected="0">
            <x v="97"/>
          </reference>
        </references>
      </pivotArea>
    </format>
    <format action="formatting" dxfId="167">
      <pivotArea type="normal" dataOnly="0" labelOnly="1" outline="0" fieldPosition="0">
        <references count="3">
          <reference field="4">
            <x v="242"/>
          </reference>
          <reference field="29" selected="0">
            <x v="2"/>
          </reference>
          <reference field="30" selected="0">
            <x v="101"/>
          </reference>
        </references>
      </pivotArea>
    </format>
    <format action="formatting" dxfId="166">
      <pivotArea type="normal" dataOnly="0" labelOnly="1" outline="0" fieldPosition="0">
        <references count="3">
          <reference field="4">
            <x v="111"/>
          </reference>
          <reference field="29" selected="0">
            <x v="2"/>
          </reference>
          <reference field="30" selected="0">
            <x v="107"/>
          </reference>
        </references>
      </pivotArea>
    </format>
    <format action="formatting" dxfId="165">
      <pivotArea type="normal" dataOnly="0" labelOnly="1" outline="0" fieldPosition="0">
        <references count="3">
          <reference field="4">
            <x v="128"/>
          </reference>
          <reference field="29" selected="0">
            <x v="2"/>
          </reference>
          <reference field="30" selected="0">
            <x v="108"/>
          </reference>
        </references>
      </pivotArea>
    </format>
    <format action="formatting" dxfId="164">
      <pivotArea type="normal" dataOnly="0" labelOnly="1" outline="0" fieldPosition="0">
        <references count="3">
          <reference field="4">
            <x v="247"/>
          </reference>
          <reference field="29" selected="0">
            <x v="2"/>
          </reference>
          <reference field="30" selected="0">
            <x v="116"/>
          </reference>
        </references>
      </pivotArea>
    </format>
    <format action="formatting" dxfId="163">
      <pivotArea type="normal" dataOnly="0" labelOnly="1" outline="0" fieldPosition="0">
        <references count="3">
          <reference field="4">
            <x v="149"/>
          </reference>
          <reference field="29" selected="0">
            <x v="2"/>
          </reference>
          <reference field="30" selected="0">
            <x v="118"/>
          </reference>
        </references>
      </pivotArea>
    </format>
    <format action="formatting" dxfId="162">
      <pivotArea type="normal" dataOnly="0" labelOnly="1" outline="0" fieldPosition="0">
        <references count="3">
          <reference field="4">
            <x v="244"/>
          </reference>
          <reference field="29" selected="0">
            <x v="2"/>
          </reference>
          <reference field="30" selected="0">
            <x v="124"/>
          </reference>
        </references>
      </pivotArea>
    </format>
    <format action="formatting" dxfId="161">
      <pivotArea type="normal" dataOnly="0" labelOnly="1" outline="0" fieldPosition="0">
        <references count="3">
          <reference field="4">
            <x v="94"/>
          </reference>
          <reference field="29" selected="0">
            <x v="2"/>
          </reference>
          <reference field="30" selected="0">
            <x v="127"/>
          </reference>
        </references>
      </pivotArea>
    </format>
    <format action="formatting" dxfId="160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159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158">
      <pivotArea type="normal" dataOnly="0" labelOnly="1" outline="0" fieldPosition="0">
        <references count="3">
          <reference field="4">
            <x v="87"/>
          </reference>
          <reference field="29" selected="0">
            <x v="2"/>
          </reference>
          <reference field="30" selected="0">
            <x v="144"/>
          </reference>
        </references>
      </pivotArea>
    </format>
    <format action="formatting" dxfId="157">
      <pivotArea type="normal" dataOnly="0" labelOnly="1" outline="0" fieldPosition="0">
        <references count="3">
          <reference field="4">
            <x v="236"/>
          </reference>
          <reference field="29" selected="0">
            <x v="2"/>
          </reference>
          <reference field="30" selected="0">
            <x v="156"/>
          </reference>
        </references>
      </pivotArea>
    </format>
    <format action="formatting" dxfId="156">
      <pivotArea type="normal" dataOnly="0" labelOnly="1" outline="0" fieldPosition="0">
        <references count="3">
          <reference field="4">
            <x v="105"/>
          </reference>
          <reference field="29" selected="0">
            <x v="2"/>
          </reference>
          <reference field="30" selected="0">
            <x v="170"/>
          </reference>
        </references>
      </pivotArea>
    </format>
    <format action="formatting" dxfId="155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154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153">
      <pivotArea type="normal" dataOnly="0" labelOnly="1" outline="0" fieldPosition="0">
        <references count="3">
          <reference field="4">
            <x v="245"/>
          </reference>
          <reference field="29" selected="0">
            <x v="2"/>
          </reference>
          <reference field="30" selected="0">
            <x v="181"/>
          </reference>
        </references>
      </pivotArea>
    </format>
    <format action="formatting" dxfId="152">
      <pivotArea type="normal" dataOnly="0" labelOnly="1" outline="0" fieldPosition="0">
        <references count="3">
          <reference field="4">
            <x v="246"/>
          </reference>
          <reference field="29" selected="0">
            <x v="2"/>
          </reference>
          <reference field="30" selected="0">
            <x v="191"/>
          </reference>
        </references>
      </pivotArea>
    </format>
    <format action="formatting" dxfId="151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150">
      <pivotArea type="normal" dataOnly="0" labelOnly="1" outline="0" fieldPosition="0">
        <references count="3">
          <reference field="4">
            <x v="225"/>
          </reference>
          <reference field="29" selected="0">
            <x v="2"/>
          </reference>
          <reference field="30" selected="0">
            <x v="208"/>
          </reference>
        </references>
      </pivotArea>
    </format>
    <format action="formatting" dxfId="149">
      <pivotArea type="normal" dataOnly="0" labelOnly="1" outline="0" fieldPosition="0">
        <references count="3">
          <reference field="4">
            <x v="109"/>
          </reference>
          <reference field="29" selected="0">
            <x v="2"/>
          </reference>
          <reference field="30" selected="0">
            <x v="207"/>
          </reference>
        </references>
      </pivotArea>
    </format>
    <format action="formatting" dxfId="148">
      <pivotArea type="normal" dataOnly="0" labelOnly="1" outline="0" fieldPosition="0">
        <references count="3">
          <reference field="4">
            <x v="91"/>
          </reference>
          <reference field="29" selected="0">
            <x v="2"/>
          </reference>
          <reference field="30" selected="0">
            <x v="209"/>
          </reference>
        </references>
      </pivotArea>
    </format>
    <format action="formatting" dxfId="147">
      <pivotArea type="normal" dataOnly="0" labelOnly="1" outline="0" fieldPosition="0">
        <references count="3">
          <reference field="4">
            <x v="107"/>
          </reference>
          <reference field="29" selected="0">
            <x v="2"/>
          </reference>
          <reference field="30" selected="0">
            <x v="212"/>
          </reference>
        </references>
      </pivotArea>
    </format>
    <format action="formatting" dxfId="146">
      <pivotArea type="normal" dataOnly="0" labelOnly="1" outline="0" fieldPosition="0">
        <references count="3">
          <reference field="4">
            <x v="148"/>
          </reference>
          <reference field="29" selected="0">
            <x v="2"/>
          </reference>
          <reference field="30" selected="0">
            <x v="225"/>
          </reference>
        </references>
      </pivotArea>
    </format>
    <format action="formatting" dxfId="145">
      <pivotArea type="normal" dataOnly="0" labelOnly="1" outline="0" fieldPosition="0">
        <references count="3">
          <reference field="4">
            <x v="159"/>
          </reference>
          <reference field="29" selected="0">
            <x v="2"/>
          </reference>
          <reference field="30" selected="0">
            <x v="243"/>
          </reference>
        </references>
      </pivotArea>
    </format>
    <format action="formatting" dxfId="144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143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142">
      <pivotArea type="normal" dataOnly="0" labelOnly="1" outline="0" fieldPosition="0">
        <references count="3">
          <reference field="4">
            <x v="76"/>
          </reference>
          <reference field="29" selected="0">
            <x v="2"/>
          </reference>
          <reference field="30" selected="0">
            <x v="255"/>
          </reference>
        </references>
      </pivotArea>
    </format>
    <format action="formatting" dxfId="141">
      <pivotArea type="normal" dataOnly="0" labelOnly="1" outline="0" fieldPosition="0">
        <references count="3">
          <reference field="4">
            <x v="237"/>
          </reference>
          <reference field="29" selected="0">
            <x v="2"/>
          </reference>
          <reference field="30" selected="0">
            <x v="256"/>
          </reference>
        </references>
      </pivotArea>
    </format>
    <format action="formatting" dxfId="140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139">
      <pivotArea type="normal" dataOnly="0" labelOnly="1" outline="0" fieldPosition="0">
        <references count="3">
          <reference field="4">
            <x v="158"/>
          </reference>
          <reference field="29" selected="0">
            <x v="2"/>
          </reference>
          <reference field="30" selected="0">
            <x v="262"/>
          </reference>
        </references>
      </pivotArea>
    </format>
    <format action="formatting" dxfId="138">
      <pivotArea type="normal" dataOnly="0" labelOnly="1" outline="0" fieldPosition="0">
        <references count="3">
          <reference field="4">
            <x v="153"/>
          </reference>
          <reference field="29" selected="0">
            <x v="2"/>
          </reference>
          <reference field="30" selected="0">
            <x v="271"/>
          </reference>
        </references>
      </pivotArea>
    </format>
    <format action="formatting" dxfId="137">
      <pivotArea type="normal" dataOnly="0" labelOnly="1" outline="0" fieldPosition="0">
        <references count="3">
          <reference field="4">
            <x v="156"/>
          </reference>
          <reference field="29" selected="0">
            <x v="2"/>
          </reference>
          <reference field="30" selected="0">
            <x v="295"/>
          </reference>
        </references>
      </pivotArea>
    </format>
    <format action="formatting" dxfId="136">
      <pivotArea type="normal" dataOnly="0" labelOnly="1" outline="0" fieldPosition="0">
        <references count="3">
          <reference field="4">
            <x v="81"/>
          </reference>
          <reference field="29" selected="0">
            <x v="2"/>
          </reference>
          <reference field="30" selected="0">
            <x v="299"/>
          </reference>
        </references>
      </pivotArea>
    </format>
    <format action="formatting" dxfId="135">
      <pivotArea type="normal" dataOnly="0" labelOnly="1" outline="0" fieldPosition="0">
        <references count="3">
          <reference field="4">
            <x v="169"/>
            <x v="170"/>
            <x v="172"/>
            <x v="179"/>
            <x v="182"/>
            <x v="187"/>
            <x v="192"/>
            <x v="194"/>
            <x v="195"/>
            <x v="196"/>
            <x v="201"/>
            <x v="202"/>
            <x v="203"/>
            <x v="207"/>
            <x v="208"/>
            <x v="211"/>
            <x v="212"/>
            <x v="213"/>
            <x v="217"/>
            <x v="220"/>
            <x v="250"/>
            <x v="251"/>
            <x v="252"/>
            <x v="254"/>
            <x v="255"/>
            <x v="257"/>
            <x v="258"/>
            <x v="259"/>
            <x v="260"/>
            <x v="261"/>
          </reference>
          <reference field="29" selected="0">
            <x v="2"/>
          </reference>
          <reference field="30" selected="0">
            <x v="308"/>
          </reference>
        </references>
      </pivotArea>
    </format>
    <format action="formatting" dxfId="134">
      <pivotArea type="normal" dataOnly="0" labelOnly="1" outline="0" fieldPosition="0">
        <references count="3">
          <reference field="4">
            <x v="68"/>
          </reference>
          <reference field="29" selected="0">
            <x v="3"/>
          </reference>
          <reference field="30" selected="0">
            <x v="309"/>
          </reference>
        </references>
      </pivotArea>
    </format>
    <format action="formatting" dxfId="133">
      <pivotArea type="normal" dataOnly="0" labelOnly="1" outline="0" axis="axisValues" fieldPosition="0"/>
    </format>
    <format action="formatting" dxfId="132">
      <pivotArea type="all" dataOnly="0" outline="0" fieldPosition="0"/>
    </format>
    <format action="formatting" dxfId="131">
      <pivotArea type="normal" dataOnly="1" outline="0" collapsedLevelsAreSubtotals="1" fieldPosition="0"/>
    </format>
    <format action="formatting" dxfId="130">
      <pivotArea field="29" type="button" dataOnly="0" labelOnly="1" outline="0" axis="axisRow" fieldPosition="0"/>
    </format>
    <format action="formatting" dxfId="129">
      <pivotArea field="30" type="button" dataOnly="0" labelOnly="1" outline="0" axis="axisRow" fieldPosition="1"/>
    </format>
    <format action="formatting" dxfId="128">
      <pivotArea field="4" type="button" dataOnly="0" labelOnly="1" outline="0" axis="axisRow" fieldPosition="2"/>
    </format>
    <format action="formatting" dxfId="127">
      <pivotArea type="normal" dataOnly="0" labelOnly="1" outline="0" fieldPosition="0">
        <references count="1">
          <reference field="29"/>
        </references>
      </pivotArea>
    </format>
    <format action="formatting" dxfId="126">
      <pivotArea type="normal" dataOnly="0" labelOnly="1" outline="0" fieldPosition="0">
        <references count="2">
          <reference field="29" selected="0">
            <x v="1"/>
          </reference>
          <reference field="30">
            <x v="1"/>
            <x v="2"/>
            <x v="3"/>
            <x v="4"/>
            <x v="18"/>
            <x v="20"/>
            <x v="22"/>
            <x v="27"/>
            <x v="40"/>
            <x v="43"/>
            <x v="45"/>
            <x v="51"/>
            <x v="61"/>
            <x v="63"/>
            <x v="64"/>
            <x v="70"/>
            <x v="71"/>
            <x v="73"/>
            <x v="88"/>
            <x v="92"/>
            <x v="95"/>
            <x v="99"/>
            <x v="100"/>
            <x v="101"/>
            <x v="106"/>
            <x v="109"/>
            <x v="116"/>
            <x v="120"/>
            <x v="121"/>
            <x v="124"/>
            <x v="126"/>
            <x v="129"/>
            <x v="132"/>
            <x v="139"/>
            <x v="148"/>
            <x v="153"/>
            <x v="156"/>
            <x v="160"/>
            <x v="163"/>
            <x v="165"/>
            <x v="175"/>
            <x v="181"/>
            <x v="183"/>
            <x v="187"/>
            <x v="189"/>
            <x v="191"/>
            <x v="194"/>
            <x v="197"/>
            <x v="202"/>
            <x v="204"/>
          </reference>
        </references>
      </pivotArea>
    </format>
    <format action="formatting" dxfId="125">
      <pivotArea type="normal" dataOnly="0" labelOnly="1" outline="0" fieldPosition="0">
        <references count="2">
          <reference field="29" selected="0">
            <x v="1"/>
          </reference>
          <reference field="30">
            <x v="210"/>
            <x v="211"/>
            <x v="221"/>
            <x v="223"/>
            <x v="224"/>
            <x v="228"/>
            <x v="229"/>
            <x v="233"/>
            <x v="239"/>
            <x v="241"/>
            <x v="242"/>
            <x v="249"/>
            <x v="264"/>
            <x v="268"/>
            <x v="279"/>
            <x v="285"/>
            <x v="290"/>
            <x v="292"/>
            <x v="293"/>
            <x v="294"/>
            <x v="303"/>
            <x v="308"/>
          </reference>
        </references>
      </pivotArea>
    </format>
    <format action="formatting" dxfId="124">
      <pivotArea type="normal" dataOnly="0" labelOnly="1" outline="0" fieldPosition="0">
        <references count="2">
          <reference field="29" selected="0">
            <x v="2"/>
          </reference>
          <reference field="30">
            <x v="0"/>
            <x v="9"/>
            <x v="16"/>
            <x v="21"/>
            <x v="36"/>
            <x v="39"/>
            <x v="61"/>
            <x v="63"/>
            <x v="68"/>
            <x v="73"/>
            <x v="75"/>
            <x v="76"/>
            <x v="79"/>
            <x v="81"/>
            <x v="88"/>
            <x v="97"/>
            <x v="101"/>
            <x v="107"/>
            <x v="108"/>
            <x v="116"/>
            <x v="118"/>
            <x v="124"/>
            <x v="127"/>
            <x v="136"/>
            <x v="143"/>
            <x v="144"/>
            <x v="156"/>
            <x v="170"/>
            <x v="174"/>
            <x v="177"/>
            <x v="181"/>
            <x v="191"/>
            <x v="198"/>
            <x v="207"/>
            <x v="208"/>
            <x v="209"/>
            <x v="212"/>
            <x v="225"/>
            <x v="243"/>
            <x v="246"/>
            <x v="252"/>
            <x v="255"/>
            <x v="256"/>
            <x v="261"/>
            <x v="262"/>
            <x v="271"/>
            <x v="295"/>
            <x v="299"/>
            <x v="308"/>
          </reference>
        </references>
      </pivotArea>
    </format>
    <format action="formatting" dxfId="123">
      <pivotArea type="normal" dataOnly="0" labelOnly="1" outline="0" fieldPosition="0">
        <references count="2">
          <reference field="29" selected="0">
            <x v="3"/>
          </reference>
          <reference field="30">
            <x v="309"/>
          </reference>
        </references>
      </pivotArea>
    </format>
    <format action="formatting" dxfId="122">
      <pivotArea type="normal" dataOnly="0" labelOnly="1" outline="0" fieldPosition="0">
        <references count="3">
          <reference field="4">
            <x v="59"/>
          </reference>
          <reference field="29" selected="0">
            <x v="1"/>
          </reference>
          <reference field="30" selected="0">
            <x v="1"/>
          </reference>
        </references>
      </pivotArea>
    </format>
    <format action="formatting" dxfId="121">
      <pivotArea type="normal" dataOnly="0" labelOnly="1" outline="0" fieldPosition="0">
        <references count="3">
          <reference field="4">
            <x v="0"/>
          </reference>
          <reference field="29" selected="0">
            <x v="1"/>
          </reference>
          <reference field="30" selected="0">
            <x v="2"/>
          </reference>
        </references>
      </pivotArea>
    </format>
    <format action="formatting" dxfId="120">
      <pivotArea type="normal" dataOnly="0" labelOnly="1" outline="0" fieldPosition="0">
        <references count="3">
          <reference field="4">
            <x v="54"/>
          </reference>
          <reference field="29" selected="0">
            <x v="1"/>
          </reference>
          <reference field="30" selected="0">
            <x v="3"/>
          </reference>
        </references>
      </pivotArea>
    </format>
    <format action="formatting" dxfId="119">
      <pivotArea type="normal" dataOnly="0" labelOnly="1" outline="0" fieldPosition="0">
        <references count="3">
          <reference field="4">
            <x v="40"/>
          </reference>
          <reference field="29" selected="0">
            <x v="1"/>
          </reference>
          <reference field="30" selected="0">
            <x v="4"/>
          </reference>
        </references>
      </pivotArea>
    </format>
    <format action="formatting" dxfId="118">
      <pivotArea type="normal" dataOnly="0" labelOnly="1" outline="0" fieldPosition="0">
        <references count="3">
          <reference field="4">
            <x v="15"/>
          </reference>
          <reference field="29" selected="0">
            <x v="1"/>
          </reference>
          <reference field="30" selected="0">
            <x v="18"/>
          </reference>
        </references>
      </pivotArea>
    </format>
    <format action="formatting" dxfId="117">
      <pivotArea type="normal" dataOnly="0" labelOnly="1" outline="0" fieldPosition="0">
        <references count="3">
          <reference field="4">
            <x v="51"/>
          </reference>
          <reference field="29" selected="0">
            <x v="1"/>
          </reference>
          <reference field="30" selected="0">
            <x v="20"/>
          </reference>
        </references>
      </pivotArea>
    </format>
    <format action="formatting" dxfId="116">
      <pivotArea type="normal" dataOnly="0" labelOnly="1" outline="0" fieldPosition="0">
        <references count="3">
          <reference field="4">
            <x v="143"/>
          </reference>
          <reference field="29" selected="0">
            <x v="1"/>
          </reference>
          <reference field="30" selected="0">
            <x v="22"/>
          </reference>
        </references>
      </pivotArea>
    </format>
    <format action="formatting" dxfId="115">
      <pivotArea type="normal" dataOnly="0" labelOnly="1" outline="0" fieldPosition="0">
        <references count="3">
          <reference field="4">
            <x v="123"/>
          </reference>
          <reference field="29" selected="0">
            <x v="1"/>
          </reference>
          <reference field="30" selected="0">
            <x v="27"/>
          </reference>
        </references>
      </pivotArea>
    </format>
    <format action="formatting" dxfId="114">
      <pivotArea type="normal" dataOnly="0" labelOnly="1" outline="0" fieldPosition="0">
        <references count="3">
          <reference field="4">
            <x v="129"/>
          </reference>
          <reference field="29" selected="0">
            <x v="1"/>
          </reference>
          <reference field="30" selected="0">
            <x v="40"/>
          </reference>
        </references>
      </pivotArea>
    </format>
    <format action="formatting" dxfId="113">
      <pivotArea type="normal" dataOnly="0" labelOnly="1" outline="0" fieldPosition="0">
        <references count="3">
          <reference field="4">
            <x v="118"/>
          </reference>
          <reference field="29" selected="0">
            <x v="1"/>
          </reference>
          <reference field="30" selected="0">
            <x v="43"/>
          </reference>
        </references>
      </pivotArea>
    </format>
    <format action="formatting" dxfId="112">
      <pivotArea type="normal" dataOnly="0" labelOnly="1" outline="0" fieldPosition="0">
        <references count="3">
          <reference field="4">
            <x v="243"/>
          </reference>
          <reference field="29" selected="0">
            <x v="1"/>
          </reference>
          <reference field="30" selected="0">
            <x v="45"/>
          </reference>
        </references>
      </pivotArea>
    </format>
    <format action="formatting" dxfId="111">
      <pivotArea type="normal" dataOnly="0" labelOnly="1" outline="0" fieldPosition="0">
        <references count="3">
          <reference field="4">
            <x v="154"/>
          </reference>
          <reference field="29" selected="0">
            <x v="1"/>
          </reference>
          <reference field="30" selected="0">
            <x v="51"/>
          </reference>
        </references>
      </pivotArea>
    </format>
    <format action="formatting" dxfId="110">
      <pivotArea type="normal" dataOnly="0" labelOnly="1" outline="0" fieldPosition="0">
        <references count="3">
          <reference field="4">
            <x v="249"/>
          </reference>
          <reference field="29" selected="0">
            <x v="1"/>
          </reference>
          <reference field="30" selected="0">
            <x v="61"/>
          </reference>
        </references>
      </pivotArea>
    </format>
    <format action="formatting" dxfId="109">
      <pivotArea type="normal" dataOnly="0" labelOnly="1" outline="0" fieldPosition="0">
        <references count="3">
          <reference field="4">
            <x v="248"/>
          </reference>
          <reference field="29" selected="0">
            <x v="1"/>
          </reference>
          <reference field="30" selected="0">
            <x v="63"/>
          </reference>
        </references>
      </pivotArea>
    </format>
    <format action="formatting" dxfId="108">
      <pivotArea type="normal" dataOnly="0" labelOnly="1" outline="0" fieldPosition="0">
        <references count="3">
          <reference field="4">
            <x v="138"/>
          </reference>
          <reference field="29" selected="0">
            <x v="1"/>
          </reference>
          <reference field="30" selected="0">
            <x v="64"/>
          </reference>
        </references>
      </pivotArea>
    </format>
    <format action="formatting" dxfId="107">
      <pivotArea type="normal" dataOnly="0" labelOnly="1" outline="0" fieldPosition="0">
        <references count="3">
          <reference field="4">
            <x v="106"/>
          </reference>
          <reference field="29" selected="0">
            <x v="1"/>
          </reference>
          <reference field="30" selected="0">
            <x v="70"/>
          </reference>
        </references>
      </pivotArea>
    </format>
    <format action="formatting" dxfId="106">
      <pivotArea type="normal" dataOnly="0" labelOnly="1" outline="0" fieldPosition="0">
        <references count="3">
          <reference field="4">
            <x v="58"/>
          </reference>
          <reference field="29" selected="0">
            <x v="1"/>
          </reference>
          <reference field="30" selected="0">
            <x v="71"/>
          </reference>
        </references>
      </pivotArea>
    </format>
    <format action="formatting" dxfId="105">
      <pivotArea type="normal" dataOnly="0" labelOnly="1" outline="0" fieldPosition="0">
        <references count="3">
          <reference field="4">
            <x v="241"/>
          </reference>
          <reference field="29" selected="0">
            <x v="1"/>
          </reference>
          <reference field="30" selected="0">
            <x v="73"/>
          </reference>
        </references>
      </pivotArea>
    </format>
    <format action="formatting" dxfId="104">
      <pivotArea type="normal" dataOnly="0" labelOnly="1" outline="0" fieldPosition="0">
        <references count="3">
          <reference field="4">
            <x v="231"/>
          </reference>
          <reference field="29" selected="0">
            <x v="1"/>
          </reference>
          <reference field="30" selected="0">
            <x v="88"/>
          </reference>
        </references>
      </pivotArea>
    </format>
    <format action="formatting" dxfId="103">
      <pivotArea type="normal" dataOnly="0" labelOnly="1" outline="0" fieldPosition="0">
        <references count="3">
          <reference field="4">
            <x v="70"/>
          </reference>
          <reference field="29" selected="0">
            <x v="1"/>
          </reference>
          <reference field="30" selected="0">
            <x v="92"/>
          </reference>
        </references>
      </pivotArea>
    </format>
    <format action="formatting" dxfId="102">
      <pivotArea type="normal" dataOnly="0" labelOnly="1" outline="0" fieldPosition="0">
        <references count="3">
          <reference field="4">
            <x v="3"/>
          </reference>
          <reference field="29" selected="0">
            <x v="1"/>
          </reference>
          <reference field="30" selected="0">
            <x v="95"/>
          </reference>
        </references>
      </pivotArea>
    </format>
    <format action="formatting" dxfId="101">
      <pivotArea type="normal" dataOnly="0" labelOnly="1" outline="0" fieldPosition="0">
        <references count="3">
          <reference field="4">
            <x v="65"/>
          </reference>
          <reference field="29" selected="0">
            <x v="1"/>
          </reference>
          <reference field="30" selected="0">
            <x v="99"/>
          </reference>
        </references>
      </pivotArea>
    </format>
    <format action="formatting" dxfId="100">
      <pivotArea type="normal" dataOnly="0" labelOnly="1" outline="0" fieldPosition="0">
        <references count="3">
          <reference field="4">
            <x v="19"/>
          </reference>
          <reference field="29" selected="0">
            <x v="1"/>
          </reference>
          <reference field="30" selected="0">
            <x v="100"/>
          </reference>
        </references>
      </pivotArea>
    </format>
    <format action="formatting" dxfId="99">
      <pivotArea type="normal" dataOnly="0" labelOnly="1" outline="0" fieldPosition="0">
        <references count="3">
          <reference field="4">
            <x v="242"/>
          </reference>
          <reference field="29" selected="0">
            <x v="1"/>
          </reference>
          <reference field="30" selected="0">
            <x v="101"/>
          </reference>
        </references>
      </pivotArea>
    </format>
    <format action="formatting" dxfId="98">
      <pivotArea type="normal" dataOnly="0" labelOnly="1" outline="0" fieldPosition="0">
        <references count="3">
          <reference field="4">
            <x v="102"/>
          </reference>
          <reference field="29" selected="0">
            <x v="1"/>
          </reference>
          <reference field="30" selected="0">
            <x v="106"/>
          </reference>
        </references>
      </pivotArea>
    </format>
    <format action="formatting" dxfId="97">
      <pivotArea type="normal" dataOnly="0" labelOnly="1" outline="0" fieldPosition="0">
        <references count="3">
          <reference field="4">
            <x v="56"/>
          </reference>
          <reference field="29" selected="0">
            <x v="1"/>
          </reference>
          <reference field="30" selected="0">
            <x v="109"/>
          </reference>
        </references>
      </pivotArea>
    </format>
    <format action="formatting" dxfId="96">
      <pivotArea type="normal" dataOnly="0" labelOnly="1" outline="0" fieldPosition="0">
        <references count="3">
          <reference field="4">
            <x v="247"/>
          </reference>
          <reference field="29" selected="0">
            <x v="1"/>
          </reference>
          <reference field="30" selected="0">
            <x v="116"/>
          </reference>
        </references>
      </pivotArea>
    </format>
    <format action="formatting" dxfId="95">
      <pivotArea type="normal" dataOnly="0" labelOnly="1" outline="0" fieldPosition="0">
        <references count="3">
          <reference field="4">
            <x v="122"/>
          </reference>
          <reference field="29" selected="0">
            <x v="1"/>
          </reference>
          <reference field="30" selected="0">
            <x v="120"/>
          </reference>
        </references>
      </pivotArea>
    </format>
    <format action="formatting" dxfId="94">
      <pivotArea type="normal" dataOnly="0" labelOnly="1" outline="0" fieldPosition="0">
        <references count="3">
          <reference field="4">
            <x v="39"/>
          </reference>
          <reference field="29" selected="0">
            <x v="1"/>
          </reference>
          <reference field="30" selected="0">
            <x v="121"/>
          </reference>
        </references>
      </pivotArea>
    </format>
    <format action="formatting" dxfId="93">
      <pivotArea type="normal" dataOnly="0" labelOnly="1" outline="0" fieldPosition="0">
        <references count="3">
          <reference field="4">
            <x v="244"/>
          </reference>
          <reference field="29" selected="0">
            <x v="1"/>
          </reference>
          <reference field="30" selected="0">
            <x v="124"/>
          </reference>
        </references>
      </pivotArea>
    </format>
    <format action="formatting" dxfId="92">
      <pivotArea type="normal" dataOnly="0" labelOnly="1" outline="0" fieldPosition="0">
        <references count="3">
          <reference field="4">
            <x v="124"/>
          </reference>
          <reference field="29" selected="0">
            <x v="1"/>
          </reference>
          <reference field="30" selected="0">
            <x v="126"/>
          </reference>
        </references>
      </pivotArea>
    </format>
    <format action="formatting" dxfId="91">
      <pivotArea type="normal" dataOnly="0" labelOnly="1" outline="0" fieldPosition="0">
        <references count="3">
          <reference field="4">
            <x v="113"/>
          </reference>
          <reference field="29" selected="0">
            <x v="1"/>
          </reference>
          <reference field="30" selected="0">
            <x v="129"/>
          </reference>
        </references>
      </pivotArea>
    </format>
    <format action="formatting" dxfId="90">
      <pivotArea type="normal" dataOnly="0" labelOnly="1" outline="0" fieldPosition="0">
        <references count="3">
          <reference field="4">
            <x v="119"/>
          </reference>
          <reference field="29" selected="0">
            <x v="1"/>
          </reference>
          <reference field="30" selected="0">
            <x v="132"/>
          </reference>
        </references>
      </pivotArea>
    </format>
    <format action="formatting" dxfId="89">
      <pivotArea type="normal" dataOnly="0" labelOnly="1" outline="0" fieldPosition="0">
        <references count="3">
          <reference field="4">
            <x v="38"/>
          </reference>
          <reference field="29" selected="0">
            <x v="1"/>
          </reference>
          <reference field="30" selected="0">
            <x v="139"/>
          </reference>
        </references>
      </pivotArea>
    </format>
    <format action="formatting" dxfId="88">
      <pivotArea type="normal" dataOnly="0" labelOnly="1" outline="0" fieldPosition="0">
        <references count="3">
          <reference field="4">
            <x v="234"/>
          </reference>
          <reference field="29" selected="0">
            <x v="1"/>
          </reference>
          <reference field="30" selected="0">
            <x v="148"/>
          </reference>
        </references>
      </pivotArea>
    </format>
    <format action="formatting" dxfId="87">
      <pivotArea type="normal" dataOnly="0" labelOnly="1" outline="0" fieldPosition="0">
        <references count="3">
          <reference field="4">
            <x v="93"/>
          </reference>
          <reference field="29" selected="0">
            <x v="1"/>
          </reference>
          <reference field="30" selected="0">
            <x v="153"/>
          </reference>
        </references>
      </pivotArea>
    </format>
    <format action="formatting" dxfId="86">
      <pivotArea type="normal" dataOnly="0" labelOnly="1" outline="0" fieldPosition="0">
        <references count="3">
          <reference field="4">
            <x v="236"/>
          </reference>
          <reference field="29" selected="0">
            <x v="1"/>
          </reference>
          <reference field="30" selected="0">
            <x v="156"/>
          </reference>
        </references>
      </pivotArea>
    </format>
    <format action="formatting" dxfId="85">
      <pivotArea type="normal" dataOnly="0" labelOnly="1" outline="0" fieldPosition="0">
        <references count="3">
          <reference field="4">
            <x v="25"/>
          </reference>
          <reference field="29" selected="0">
            <x v="1"/>
          </reference>
          <reference field="30" selected="0">
            <x v="160"/>
          </reference>
        </references>
      </pivotArea>
    </format>
    <format action="formatting" dxfId="84">
      <pivotArea type="normal" dataOnly="0" labelOnly="1" outline="0" fieldPosition="0">
        <references count="3">
          <reference field="4">
            <x v="45"/>
          </reference>
          <reference field="29" selected="0">
            <x v="1"/>
          </reference>
          <reference field="30" selected="0">
            <x v="163"/>
          </reference>
        </references>
      </pivotArea>
    </format>
    <format action="formatting" dxfId="83">
      <pivotArea type="normal" dataOnly="0" labelOnly="1" outline="0" fieldPosition="0">
        <references count="3">
          <reference field="4">
            <x v="121"/>
          </reference>
          <reference field="29" selected="0">
            <x v="1"/>
          </reference>
          <reference field="30" selected="0">
            <x v="165"/>
          </reference>
        </references>
      </pivotArea>
    </format>
    <format action="formatting" dxfId="82">
      <pivotArea type="normal" dataOnly="0" labelOnly="1" outline="0" fieldPosition="0">
        <references count="3">
          <reference field="4">
            <x v="35"/>
          </reference>
          <reference field="29" selected="0">
            <x v="1"/>
          </reference>
          <reference field="30" selected="0">
            <x v="175"/>
          </reference>
        </references>
      </pivotArea>
    </format>
    <format action="formatting" dxfId="81">
      <pivotArea type="normal" dataOnly="0" labelOnly="1" outline="0" fieldPosition="0">
        <references count="3">
          <reference field="4">
            <x v="245"/>
          </reference>
          <reference field="29" selected="0">
            <x v="1"/>
          </reference>
          <reference field="30" selected="0">
            <x v="181"/>
          </reference>
        </references>
      </pivotArea>
    </format>
    <format action="formatting" dxfId="80">
      <pivotArea type="normal" dataOnly="0" labelOnly="1" outline="0" fieldPosition="0">
        <references count="3">
          <reference field="4">
            <x v="114"/>
          </reference>
          <reference field="29" selected="0">
            <x v="1"/>
          </reference>
          <reference field="30" selected="0">
            <x v="183"/>
          </reference>
        </references>
      </pivotArea>
    </format>
    <format action="formatting" dxfId="79">
      <pivotArea type="normal" dataOnly="0" labelOnly="1" outline="0" fieldPosition="0">
        <references count="3">
          <reference field="4">
            <x v="1"/>
          </reference>
          <reference field="29" selected="0">
            <x v="1"/>
          </reference>
          <reference field="30" selected="0">
            <x v="187"/>
          </reference>
        </references>
      </pivotArea>
    </format>
    <format action="formatting" dxfId="78">
      <pivotArea type="normal" dataOnly="0" labelOnly="1" outline="0" fieldPosition="0">
        <references count="3">
          <reference field="4">
            <x v="137"/>
          </reference>
          <reference field="29" selected="0">
            <x v="1"/>
          </reference>
          <reference field="30" selected="0">
            <x v="189"/>
          </reference>
        </references>
      </pivotArea>
    </format>
    <format action="formatting" dxfId="77">
      <pivotArea type="normal" dataOnly="0" labelOnly="1" outline="0" fieldPosition="0">
        <references count="3">
          <reference field="4">
            <x v="246"/>
          </reference>
          <reference field="29" selected="0">
            <x v="1"/>
          </reference>
          <reference field="30" selected="0">
            <x v="191"/>
          </reference>
        </references>
      </pivotArea>
    </format>
    <format action="formatting" dxfId="76">
      <pivotArea type="normal" dataOnly="0" labelOnly="1" outline="0" fieldPosition="0">
        <references count="3">
          <reference field="4">
            <x v="112"/>
          </reference>
          <reference field="29" selected="0">
            <x v="1"/>
          </reference>
          <reference field="30" selected="0">
            <x v="194"/>
          </reference>
        </references>
      </pivotArea>
    </format>
    <format action="formatting" dxfId="75">
      <pivotArea type="normal" dataOnly="0" labelOnly="1" outline="0" fieldPosition="0">
        <references count="3">
          <reference field="4">
            <x v="120"/>
          </reference>
          <reference field="29" selected="0">
            <x v="1"/>
          </reference>
          <reference field="30" selected="0">
            <x v="197"/>
          </reference>
        </references>
      </pivotArea>
    </format>
    <format action="formatting" dxfId="74">
      <pivotArea type="normal" dataOnly="0" labelOnly="1" outline="0" fieldPosition="0">
        <references count="3">
          <reference field="4">
            <x v="131"/>
          </reference>
          <reference field="29" selected="0">
            <x v="1"/>
          </reference>
          <reference field="30" selected="0">
            <x v="202"/>
          </reference>
        </references>
      </pivotArea>
    </format>
    <format action="formatting" dxfId="73">
      <pivotArea type="normal" dataOnly="0" labelOnly="1" outline="0" fieldPosition="0">
        <references count="3">
          <reference field="4">
            <x v="140"/>
          </reference>
          <reference field="29" selected="0">
            <x v="1"/>
          </reference>
          <reference field="30" selected="0">
            <x v="204"/>
          </reference>
        </references>
      </pivotArea>
    </format>
    <format action="formatting" dxfId="72">
      <pivotArea type="normal" dataOnly="0" labelOnly="1" outline="0" fieldPosition="0">
        <references count="3">
          <reference field="4">
            <x v="12"/>
          </reference>
          <reference field="29" selected="0">
            <x v="1"/>
          </reference>
          <reference field="30" selected="0">
            <x v="210"/>
          </reference>
        </references>
      </pivotArea>
    </format>
    <format action="formatting" dxfId="71">
      <pivotArea type="normal" dataOnly="0" labelOnly="1" outline="0" fieldPosition="0">
        <references count="3">
          <reference field="4">
            <x v="32"/>
          </reference>
          <reference field="29" selected="0">
            <x v="1"/>
          </reference>
          <reference field="30" selected="0">
            <x v="211"/>
          </reference>
        </references>
      </pivotArea>
    </format>
    <format action="formatting" dxfId="70">
      <pivotArea type="normal" dataOnly="0" labelOnly="1" outline="0" fieldPosition="0">
        <references count="3">
          <reference field="4">
            <x v="14"/>
          </reference>
          <reference field="29" selected="0">
            <x v="1"/>
          </reference>
          <reference field="30" selected="0">
            <x v="221"/>
          </reference>
        </references>
      </pivotArea>
    </format>
    <format action="formatting" dxfId="69">
      <pivotArea type="normal" dataOnly="0" labelOnly="1" outline="0" fieldPosition="0">
        <references count="3">
          <reference field="4">
            <x v="161"/>
          </reference>
          <reference field="29" selected="0">
            <x v="1"/>
          </reference>
          <reference field="30" selected="0">
            <x v="223"/>
          </reference>
        </references>
      </pivotArea>
    </format>
    <format action="formatting" dxfId="68">
      <pivotArea type="normal" dataOnly="0" labelOnly="1" outline="0" fieldPosition="0">
        <references count="3">
          <reference field="4">
            <x v="2"/>
          </reference>
          <reference field="29" selected="0">
            <x v="1"/>
          </reference>
          <reference field="30" selected="0">
            <x v="224"/>
          </reference>
        </references>
      </pivotArea>
    </format>
    <format action="formatting" dxfId="67">
      <pivotArea type="normal" dataOnly="0" labelOnly="1" outline="0" fieldPosition="0">
        <references count="3">
          <reference field="4">
            <x v="163"/>
          </reference>
          <reference field="29" selected="0">
            <x v="1"/>
          </reference>
          <reference field="30" selected="0">
            <x v="228"/>
          </reference>
        </references>
      </pivotArea>
    </format>
    <format action="formatting" dxfId="66">
      <pivotArea type="normal" dataOnly="0" labelOnly="1" outline="0" fieldPosition="0">
        <references count="3">
          <reference field="4">
            <x v="132"/>
          </reference>
          <reference field="29" selected="0">
            <x v="1"/>
          </reference>
          <reference field="30" selected="0">
            <x v="229"/>
          </reference>
        </references>
      </pivotArea>
    </format>
    <format action="formatting" dxfId="65">
      <pivotArea type="normal" dataOnly="0" labelOnly="1" outline="0" fieldPosition="0">
        <references count="3">
          <reference field="4">
            <x v="37"/>
          </reference>
          <reference field="29" selected="0">
            <x v="1"/>
          </reference>
          <reference field="30" selected="0">
            <x v="233"/>
          </reference>
        </references>
      </pivotArea>
    </format>
    <format action="formatting" dxfId="64">
      <pivotArea type="normal" dataOnly="0" labelOnly="1" outline="0" fieldPosition="0">
        <references count="3">
          <reference field="4">
            <x v="49"/>
          </reference>
          <reference field="29" selected="0">
            <x v="1"/>
          </reference>
          <reference field="30" selected="0">
            <x v="239"/>
          </reference>
        </references>
      </pivotArea>
    </format>
    <format action="formatting" dxfId="63">
      <pivotArea type="normal" dataOnly="0" labelOnly="1" outline="0" fieldPosition="0">
        <references count="3">
          <reference field="4">
            <x v="136"/>
          </reference>
          <reference field="29" selected="0">
            <x v="1"/>
          </reference>
          <reference field="30" selected="0">
            <x v="241"/>
          </reference>
        </references>
      </pivotArea>
    </format>
    <format action="formatting" dxfId="62">
      <pivotArea type="normal" dataOnly="0" labelOnly="1" outline="0" fieldPosition="0">
        <references count="3">
          <reference field="4">
            <x v="50"/>
          </reference>
          <reference field="29" selected="0">
            <x v="1"/>
          </reference>
          <reference field="30" selected="0">
            <x v="242"/>
          </reference>
        </references>
      </pivotArea>
    </format>
    <format action="formatting" dxfId="61">
      <pivotArea type="normal" dataOnly="0" labelOnly="1" outline="0" fieldPosition="0">
        <references count="3">
          <reference field="4">
            <x v="46"/>
          </reference>
          <reference field="29" selected="0">
            <x v="1"/>
          </reference>
          <reference field="30" selected="0">
            <x v="249"/>
          </reference>
        </references>
      </pivotArea>
    </format>
    <format action="formatting" dxfId="60">
      <pivotArea type="normal" dataOnly="0" labelOnly="1" outline="0" fieldPosition="0">
        <references count="3">
          <reference field="4">
            <x v="144"/>
          </reference>
          <reference field="29" selected="0">
            <x v="1"/>
          </reference>
          <reference field="30" selected="0">
            <x v="264"/>
          </reference>
        </references>
      </pivotArea>
    </format>
    <format action="formatting" dxfId="59">
      <pivotArea type="normal" dataOnly="0" labelOnly="1" outline="0" fieldPosition="0">
        <references count="3">
          <reference field="4">
            <x v="88"/>
          </reference>
          <reference field="29" selected="0">
            <x v="1"/>
          </reference>
          <reference field="30" selected="0">
            <x v="268"/>
          </reference>
        </references>
      </pivotArea>
    </format>
    <format action="formatting" dxfId="58">
      <pivotArea type="normal" dataOnly="0" labelOnly="1" outline="0" fieldPosition="0">
        <references count="3">
          <reference field="4">
            <x v="162"/>
          </reference>
          <reference field="29" selected="0">
            <x v="1"/>
          </reference>
          <reference field="30" selected="0">
            <x v="279"/>
          </reference>
        </references>
      </pivotArea>
    </format>
    <format action="formatting" dxfId="57">
      <pivotArea type="normal" dataOnly="0" labelOnly="1" outline="0" fieldPosition="0">
        <references count="3">
          <reference field="4">
            <x v="42"/>
          </reference>
          <reference field="29" selected="0">
            <x v="1"/>
          </reference>
          <reference field="30" selected="0">
            <x v="285"/>
          </reference>
        </references>
      </pivotArea>
    </format>
    <format action="formatting" dxfId="56">
      <pivotArea type="normal" dataOnly="0" labelOnly="1" outline="0" fieldPosition="0">
        <references count="3">
          <reference field="4">
            <x v="24"/>
          </reference>
          <reference field="29" selected="0">
            <x v="1"/>
          </reference>
          <reference field="30" selected="0">
            <x v="290"/>
          </reference>
        </references>
      </pivotArea>
    </format>
    <format action="formatting" dxfId="55">
      <pivotArea type="normal" dataOnly="0" labelOnly="1" outline="0" fieldPosition="0">
        <references count="3">
          <reference field="4">
            <x v="133"/>
          </reference>
          <reference field="29" selected="0">
            <x v="1"/>
          </reference>
          <reference field="30" selected="0">
            <x v="292"/>
          </reference>
        </references>
      </pivotArea>
    </format>
    <format action="formatting" dxfId="54">
      <pivotArea type="normal" dataOnly="0" labelOnly="1" outline="0" fieldPosition="0">
        <references count="3">
          <reference field="4">
            <x v="151"/>
          </reference>
          <reference field="29" selected="0">
            <x v="1"/>
          </reference>
          <reference field="30" selected="0">
            <x v="293"/>
          </reference>
        </references>
      </pivotArea>
    </format>
    <format action="formatting" dxfId="53">
      <pivotArea type="normal" dataOnly="0" labelOnly="1" outline="0" fieldPosition="0">
        <references count="3">
          <reference field="4">
            <x v="80"/>
          </reference>
          <reference field="29" selected="0">
            <x v="1"/>
          </reference>
          <reference field="30" selected="0">
            <x v="294"/>
          </reference>
        </references>
      </pivotArea>
    </format>
    <format action="formatting" dxfId="52">
      <pivotArea type="normal" dataOnly="0" labelOnly="1" outline="0" fieldPosition="0">
        <references count="3">
          <reference field="4">
            <x v="66"/>
          </reference>
          <reference field="29" selected="0">
            <x v="1"/>
          </reference>
          <reference field="30" selected="0">
            <x v="303"/>
          </reference>
        </references>
      </pivotArea>
    </format>
    <format action="formatting" dxfId="51">
      <pivotArea type="normal" dataOnly="0" labelOnly="1" outline="0" fieldPosition="0">
        <references count="3">
          <reference field="4">
            <x v="164"/>
            <x v="165"/>
            <x v="168"/>
            <x v="170"/>
            <x v="173"/>
            <x v="174"/>
            <x v="176"/>
            <x v="180"/>
            <x v="182"/>
            <x v="183"/>
            <x v="184"/>
            <x v="188"/>
            <x v="189"/>
            <x v="190"/>
            <x v="191"/>
            <x v="193"/>
            <x v="197"/>
            <x v="199"/>
            <x v="200"/>
            <x v="203"/>
            <x v="207"/>
            <x v="208"/>
            <x v="217"/>
            <x v="221"/>
            <x v="250"/>
            <x v="253"/>
            <x v="256"/>
          </reference>
          <reference field="29" selected="0">
            <x v="1"/>
          </reference>
          <reference field="30" selected="0">
            <x v="308"/>
          </reference>
        </references>
      </pivotArea>
    </format>
    <format action="formatting" dxfId="50">
      <pivotArea type="normal" dataOnly="0" labelOnly="1" outline="0" fieldPosition="0">
        <references count="3">
          <reference field="4">
            <x v="115"/>
          </reference>
          <reference field="29" selected="0">
            <x v="2"/>
          </reference>
          <reference field="30" selected="0">
            <x v="0"/>
          </reference>
        </references>
      </pivotArea>
    </format>
    <format action="formatting" dxfId="49">
      <pivotArea type="normal" dataOnly="0" labelOnly="1" outline="0" fieldPosition="0">
        <references count="3">
          <reference field="4">
            <x v="60"/>
          </reference>
          <reference field="29" selected="0">
            <x v="2"/>
          </reference>
          <reference field="30" selected="0">
            <x v="9"/>
          </reference>
        </references>
      </pivotArea>
    </format>
    <format action="formatting" dxfId="48">
      <pivotArea type="normal" dataOnly="0" labelOnly="1" outline="0" fieldPosition="0">
        <references count="3">
          <reference field="4">
            <x v="127"/>
          </reference>
          <reference field="29" selected="0">
            <x v="2"/>
          </reference>
          <reference field="30" selected="0">
            <x v="16"/>
          </reference>
        </references>
      </pivotArea>
    </format>
    <format action="formatting" dxfId="47">
      <pivotArea type="normal" dataOnly="0" labelOnly="1" outline="0" fieldPosition="0">
        <references count="3">
          <reference field="4">
            <x v="34"/>
          </reference>
          <reference field="29" selected="0">
            <x v="2"/>
          </reference>
          <reference field="30" selected="0">
            <x v="21"/>
          </reference>
        </references>
      </pivotArea>
    </format>
    <format action="formatting" dxfId="46">
      <pivotArea type="normal" dataOnly="0" labelOnly="1" outline="0" fieldPosition="0">
        <references count="3">
          <reference field="4">
            <x v="61"/>
          </reference>
          <reference field="29" selected="0">
            <x v="2"/>
          </reference>
          <reference field="30" selected="0">
            <x v="36"/>
          </reference>
        </references>
      </pivotArea>
    </format>
    <format action="formatting" dxfId="45">
      <pivotArea type="normal" dataOnly="0" labelOnly="1" outline="0" fieldPosition="0">
        <references count="3">
          <reference field="4">
            <x v="28"/>
          </reference>
          <reference field="29" selected="0">
            <x v="2"/>
          </reference>
          <reference field="30" selected="0">
            <x v="39"/>
          </reference>
        </references>
      </pivotArea>
    </format>
    <format action="formatting" dxfId="44">
      <pivotArea type="normal" dataOnly="0" labelOnly="1" outline="0" fieldPosition="0">
        <references count="3">
          <reference field="4">
            <x v="249"/>
          </reference>
          <reference field="29" selected="0">
            <x v="2"/>
          </reference>
          <reference field="30" selected="0">
            <x v="61"/>
          </reference>
        </references>
      </pivotArea>
    </format>
    <format action="formatting" dxfId="43">
      <pivotArea type="normal" dataOnly="0" labelOnly="1" outline="0" fieldPosition="0">
        <references count="3">
          <reference field="4">
            <x v="248"/>
          </reference>
          <reference field="29" selected="0">
            <x v="2"/>
          </reference>
          <reference field="30" selected="0">
            <x v="63"/>
          </reference>
        </references>
      </pivotArea>
    </format>
    <format action="formatting" dxfId="42">
      <pivotArea type="normal" dataOnly="0" labelOnly="1" outline="0" fieldPosition="0">
        <references count="3">
          <reference field="4">
            <x v="67"/>
          </reference>
          <reference field="29" selected="0">
            <x v="2"/>
          </reference>
          <reference field="30" selected="0">
            <x v="68"/>
          </reference>
        </references>
      </pivotArea>
    </format>
    <format action="formatting" dxfId="41">
      <pivotArea type="normal" dataOnly="0" labelOnly="1" outline="0" fieldPosition="0">
        <references count="3">
          <reference field="4">
            <x v="241"/>
          </reference>
          <reference field="29" selected="0">
            <x v="2"/>
          </reference>
          <reference field="30" selected="0">
            <x v="73"/>
          </reference>
        </references>
      </pivotArea>
    </format>
    <format action="formatting" dxfId="40">
      <pivotArea type="normal" dataOnly="0" labelOnly="1" outline="0" fieldPosition="0">
        <references count="3">
          <reference field="4">
            <x v="75"/>
          </reference>
          <reference field="29" selected="0">
            <x v="2"/>
          </reference>
          <reference field="30" selected="0">
            <x v="75"/>
          </reference>
        </references>
      </pivotArea>
    </format>
    <format action="formatting" dxfId="39">
      <pivotArea type="normal" dataOnly="0" labelOnly="1" outline="0" fieldPosition="0">
        <references count="3">
          <reference field="4">
            <x v="71"/>
          </reference>
          <reference field="29" selected="0">
            <x v="2"/>
          </reference>
          <reference field="30" selected="0">
            <x v="76"/>
          </reference>
        </references>
      </pivotArea>
    </format>
    <format action="formatting" dxfId="38">
      <pivotArea type="normal" dataOnly="0" labelOnly="1" outline="0" fieldPosition="0">
        <references count="3">
          <reference field="4">
            <x v="27"/>
          </reference>
          <reference field="29" selected="0">
            <x v="2"/>
          </reference>
          <reference field="30" selected="0">
            <x v="79"/>
          </reference>
        </references>
      </pivotArea>
    </format>
    <format action="formatting" dxfId="37">
      <pivotArea type="normal" dataOnly="0" labelOnly="1" outline="0" fieldPosition="0">
        <references count="3">
          <reference field="4">
            <x v="83"/>
          </reference>
          <reference field="29" selected="0">
            <x v="2"/>
          </reference>
          <reference field="30" selected="0">
            <x v="81"/>
          </reference>
        </references>
      </pivotArea>
    </format>
    <format action="formatting" dxfId="36">
      <pivotArea type="normal" dataOnly="0" labelOnly="1" outline="0" fieldPosition="0">
        <references count="3">
          <reference field="4">
            <x v="231"/>
          </reference>
          <reference field="29" selected="0">
            <x v="2"/>
          </reference>
          <reference field="30" selected="0">
            <x v="88"/>
          </reference>
        </references>
      </pivotArea>
    </format>
    <format action="formatting" dxfId="35">
      <pivotArea type="normal" dataOnly="0" labelOnly="1" outline="0" fieldPosition="0">
        <references count="3">
          <reference field="4">
            <x v="117"/>
          </reference>
          <reference field="29" selected="0">
            <x v="2"/>
          </reference>
          <reference field="30" selected="0">
            <x v="97"/>
          </reference>
        </references>
      </pivotArea>
    </format>
    <format action="formatting" dxfId="34">
      <pivotArea type="normal" dataOnly="0" labelOnly="1" outline="0" fieldPosition="0">
        <references count="3">
          <reference field="4">
            <x v="242"/>
          </reference>
          <reference field="29" selected="0">
            <x v="2"/>
          </reference>
          <reference field="30" selected="0">
            <x v="101"/>
          </reference>
        </references>
      </pivotArea>
    </format>
    <format action="formatting" dxfId="33">
      <pivotArea type="normal" dataOnly="0" labelOnly="1" outline="0" fieldPosition="0">
        <references count="3">
          <reference field="4">
            <x v="111"/>
          </reference>
          <reference field="29" selected="0">
            <x v="2"/>
          </reference>
          <reference field="30" selected="0">
            <x v="107"/>
          </reference>
        </references>
      </pivotArea>
    </format>
    <format action="formatting" dxfId="32">
      <pivotArea type="normal" dataOnly="0" labelOnly="1" outline="0" fieldPosition="0">
        <references count="3">
          <reference field="4">
            <x v="128"/>
          </reference>
          <reference field="29" selected="0">
            <x v="2"/>
          </reference>
          <reference field="30" selected="0">
            <x v="108"/>
          </reference>
        </references>
      </pivotArea>
    </format>
    <format action="formatting" dxfId="31">
      <pivotArea type="normal" dataOnly="0" labelOnly="1" outline="0" fieldPosition="0">
        <references count="3">
          <reference field="4">
            <x v="247"/>
          </reference>
          <reference field="29" selected="0">
            <x v="2"/>
          </reference>
          <reference field="30" selected="0">
            <x v="116"/>
          </reference>
        </references>
      </pivotArea>
    </format>
    <format action="formatting" dxfId="30">
      <pivotArea type="normal" dataOnly="0" labelOnly="1" outline="0" fieldPosition="0">
        <references count="3">
          <reference field="4">
            <x v="149"/>
          </reference>
          <reference field="29" selected="0">
            <x v="2"/>
          </reference>
          <reference field="30" selected="0">
            <x v="118"/>
          </reference>
        </references>
      </pivotArea>
    </format>
    <format action="formatting" dxfId="29">
      <pivotArea type="normal" dataOnly="0" labelOnly="1" outline="0" fieldPosition="0">
        <references count="3">
          <reference field="4">
            <x v="244"/>
          </reference>
          <reference field="29" selected="0">
            <x v="2"/>
          </reference>
          <reference field="30" selected="0">
            <x v="124"/>
          </reference>
        </references>
      </pivotArea>
    </format>
    <format action="formatting" dxfId="28">
      <pivotArea type="normal" dataOnly="0" labelOnly="1" outline="0" fieldPosition="0">
        <references count="3">
          <reference field="4">
            <x v="94"/>
          </reference>
          <reference field="29" selected="0">
            <x v="2"/>
          </reference>
          <reference field="30" selected="0">
            <x v="127"/>
          </reference>
        </references>
      </pivotArea>
    </format>
    <format action="formatting" dxfId="27">
      <pivotArea type="normal" dataOnly="0" labelOnly="1" outline="0" fieldPosition="0">
        <references count="3">
          <reference field="4">
            <x v="36"/>
          </reference>
          <reference field="29" selected="0">
            <x v="2"/>
          </reference>
          <reference field="30" selected="0">
            <x v="136"/>
          </reference>
        </references>
      </pivotArea>
    </format>
    <format action="formatting" dxfId="26">
      <pivotArea type="normal" dataOnly="0" labelOnly="1" outline="0" fieldPosition="0">
        <references count="3">
          <reference field="4">
            <x v="31"/>
          </reference>
          <reference field="29" selected="0">
            <x v="2"/>
          </reference>
          <reference field="30" selected="0">
            <x v="143"/>
          </reference>
        </references>
      </pivotArea>
    </format>
    <format action="formatting" dxfId="25">
      <pivotArea type="normal" dataOnly="0" labelOnly="1" outline="0" fieldPosition="0">
        <references count="3">
          <reference field="4">
            <x v="87"/>
          </reference>
          <reference field="29" selected="0">
            <x v="2"/>
          </reference>
          <reference field="30" selected="0">
            <x v="144"/>
          </reference>
        </references>
      </pivotArea>
    </format>
    <format action="formatting" dxfId="24">
      <pivotArea type="normal" dataOnly="0" labelOnly="1" outline="0" fieldPosition="0">
        <references count="3">
          <reference field="4">
            <x v="236"/>
          </reference>
          <reference field="29" selected="0">
            <x v="2"/>
          </reference>
          <reference field="30" selected="0">
            <x v="156"/>
          </reference>
        </references>
      </pivotArea>
    </format>
    <format action="formatting" dxfId="23">
      <pivotArea type="normal" dataOnly="0" labelOnly="1" outline="0" fieldPosition="0">
        <references count="3">
          <reference field="4">
            <x v="105"/>
          </reference>
          <reference field="29" selected="0">
            <x v="2"/>
          </reference>
          <reference field="30" selected="0">
            <x v="170"/>
          </reference>
        </references>
      </pivotArea>
    </format>
    <format action="formatting" dxfId="22">
      <pivotArea type="normal" dataOnly="0" labelOnly="1" outline="0" fieldPosition="0">
        <references count="3">
          <reference field="4">
            <x v="29"/>
          </reference>
          <reference field="29" selected="0">
            <x v="2"/>
          </reference>
          <reference field="30" selected="0">
            <x v="174"/>
          </reference>
        </references>
      </pivotArea>
    </format>
    <format action="formatting" dxfId="21">
      <pivotArea type="normal" dataOnly="0" labelOnly="1" outline="0" fieldPosition="0">
        <references count="3">
          <reference field="4">
            <x v="23"/>
          </reference>
          <reference field="29" selected="0">
            <x v="2"/>
          </reference>
          <reference field="30" selected="0">
            <x v="177"/>
          </reference>
        </references>
      </pivotArea>
    </format>
    <format action="formatting" dxfId="20">
      <pivotArea type="normal" dataOnly="0" labelOnly="1" outline="0" fieldPosition="0">
        <references count="3">
          <reference field="4">
            <x v="245"/>
          </reference>
          <reference field="29" selected="0">
            <x v="2"/>
          </reference>
          <reference field="30" selected="0">
            <x v="181"/>
          </reference>
        </references>
      </pivotArea>
    </format>
    <format action="formatting" dxfId="19">
      <pivotArea type="normal" dataOnly="0" labelOnly="1" outline="0" fieldPosition="0">
        <references count="3">
          <reference field="4">
            <x v="246"/>
          </reference>
          <reference field="29" selected="0">
            <x v="2"/>
          </reference>
          <reference field="30" selected="0">
            <x v="191"/>
          </reference>
        </references>
      </pivotArea>
    </format>
    <format action="formatting" dxfId="18">
      <pivotArea type="normal" dataOnly="0" labelOnly="1" outline="0" fieldPosition="0">
        <references count="3">
          <reference field="4">
            <x v="6"/>
          </reference>
          <reference field="29" selected="0">
            <x v="2"/>
          </reference>
          <reference field="30" selected="0">
            <x v="198"/>
          </reference>
        </references>
      </pivotArea>
    </format>
    <format action="formatting" dxfId="17">
      <pivotArea type="normal" dataOnly="0" labelOnly="1" outline="0" fieldPosition="0">
        <references count="3">
          <reference field="4">
            <x v="225"/>
          </reference>
          <reference field="29" selected="0">
            <x v="2"/>
          </reference>
          <reference field="30" selected="0">
            <x v="208"/>
          </reference>
        </references>
      </pivotArea>
    </format>
    <format action="formatting" dxfId="16">
      <pivotArea type="normal" dataOnly="0" labelOnly="1" outline="0" fieldPosition="0">
        <references count="3">
          <reference field="4">
            <x v="109"/>
          </reference>
          <reference field="29" selected="0">
            <x v="2"/>
          </reference>
          <reference field="30" selected="0">
            <x v="207"/>
          </reference>
        </references>
      </pivotArea>
    </format>
    <format action="formatting" dxfId="15">
      <pivotArea type="normal" dataOnly="0" labelOnly="1" outline="0" fieldPosition="0">
        <references count="3">
          <reference field="4">
            <x v="91"/>
          </reference>
          <reference field="29" selected="0">
            <x v="2"/>
          </reference>
          <reference field="30" selected="0">
            <x v="209"/>
          </reference>
        </references>
      </pivotArea>
    </format>
    <format action="formatting" dxfId="14">
      <pivotArea type="normal" dataOnly="0" labelOnly="1" outline="0" fieldPosition="0">
        <references count="3">
          <reference field="4">
            <x v="107"/>
          </reference>
          <reference field="29" selected="0">
            <x v="2"/>
          </reference>
          <reference field="30" selected="0">
            <x v="212"/>
          </reference>
        </references>
      </pivotArea>
    </format>
    <format action="formatting" dxfId="13">
      <pivotArea type="normal" dataOnly="0" labelOnly="1" outline="0" fieldPosition="0">
        <references count="3">
          <reference field="4">
            <x v="148"/>
          </reference>
          <reference field="29" selected="0">
            <x v="2"/>
          </reference>
          <reference field="30" selected="0">
            <x v="225"/>
          </reference>
        </references>
      </pivotArea>
    </format>
    <format action="formatting" dxfId="12">
      <pivotArea type="normal" dataOnly="0" labelOnly="1" outline="0" fieldPosition="0">
        <references count="3">
          <reference field="4">
            <x v="159"/>
          </reference>
          <reference field="29" selected="0">
            <x v="2"/>
          </reference>
          <reference field="30" selected="0">
            <x v="243"/>
          </reference>
        </references>
      </pivotArea>
    </format>
    <format action="formatting" dxfId="11">
      <pivotArea type="normal" dataOnly="0" labelOnly="1" outline="0" fieldPosition="0">
        <references count="3">
          <reference field="4">
            <x v="53"/>
          </reference>
          <reference field="29" selected="0">
            <x v="2"/>
          </reference>
          <reference field="30" selected="0">
            <x v="246"/>
          </reference>
        </references>
      </pivotArea>
    </format>
    <format action="formatting" dxfId="10">
      <pivotArea type="normal" dataOnly="0" labelOnly="1" outline="0" fieldPosition="0">
        <references count="3">
          <reference field="4">
            <x v="33"/>
          </reference>
          <reference field="29" selected="0">
            <x v="2"/>
          </reference>
          <reference field="30" selected="0">
            <x v="252"/>
          </reference>
        </references>
      </pivotArea>
    </format>
    <format action="formatting" dxfId="9">
      <pivotArea type="normal" dataOnly="0" labelOnly="1" outline="0" fieldPosition="0">
        <references count="3">
          <reference field="4">
            <x v="76"/>
          </reference>
          <reference field="29" selected="0">
            <x v="2"/>
          </reference>
          <reference field="30" selected="0">
            <x v="255"/>
          </reference>
        </references>
      </pivotArea>
    </format>
    <format action="formatting" dxfId="8">
      <pivotArea type="normal" dataOnly="0" labelOnly="1" outline="0" fieldPosition="0">
        <references count="3">
          <reference field="4">
            <x v="237"/>
          </reference>
          <reference field="29" selected="0">
            <x v="2"/>
          </reference>
          <reference field="30" selected="0">
            <x v="256"/>
          </reference>
        </references>
      </pivotArea>
    </format>
    <format action="formatting" dxfId="7">
      <pivotArea type="normal" dataOnly="0" labelOnly="1" outline="0" fieldPosition="0">
        <references count="3">
          <reference field="4">
            <x v="41"/>
          </reference>
          <reference field="29" selected="0">
            <x v="2"/>
          </reference>
          <reference field="30" selected="0">
            <x v="261"/>
          </reference>
        </references>
      </pivotArea>
    </format>
    <format action="formatting" dxfId="6">
      <pivotArea type="normal" dataOnly="0" labelOnly="1" outline="0" fieldPosition="0">
        <references count="3">
          <reference field="4">
            <x v="158"/>
          </reference>
          <reference field="29" selected="0">
            <x v="2"/>
          </reference>
          <reference field="30" selected="0">
            <x v="262"/>
          </reference>
        </references>
      </pivotArea>
    </format>
    <format action="formatting" dxfId="5">
      <pivotArea type="normal" dataOnly="0" labelOnly="1" outline="0" fieldPosition="0">
        <references count="3">
          <reference field="4">
            <x v="153"/>
          </reference>
          <reference field="29" selected="0">
            <x v="2"/>
          </reference>
          <reference field="30" selected="0">
            <x v="271"/>
          </reference>
        </references>
      </pivotArea>
    </format>
    <format action="formatting" dxfId="4">
      <pivotArea type="normal" dataOnly="0" labelOnly="1" outline="0" fieldPosition="0">
        <references count="3">
          <reference field="4">
            <x v="156"/>
          </reference>
          <reference field="29" selected="0">
            <x v="2"/>
          </reference>
          <reference field="30" selected="0">
            <x v="295"/>
          </reference>
        </references>
      </pivotArea>
    </format>
    <format action="formatting" dxfId="3">
      <pivotArea type="normal" dataOnly="0" labelOnly="1" outline="0" fieldPosition="0">
        <references count="3">
          <reference field="4">
            <x v="81"/>
          </reference>
          <reference field="29" selected="0">
            <x v="2"/>
          </reference>
          <reference field="30" selected="0">
            <x v="299"/>
          </reference>
        </references>
      </pivotArea>
    </format>
    <format action="formatting" dxfId="2">
      <pivotArea type="normal" dataOnly="0" labelOnly="1" outline="0" fieldPosition="0">
        <references count="3">
          <reference field="4">
            <x v="169"/>
            <x v="170"/>
            <x v="172"/>
            <x v="179"/>
            <x v="182"/>
            <x v="187"/>
            <x v="192"/>
            <x v="194"/>
            <x v="195"/>
            <x v="196"/>
            <x v="201"/>
            <x v="202"/>
            <x v="203"/>
            <x v="207"/>
            <x v="208"/>
            <x v="211"/>
            <x v="212"/>
            <x v="213"/>
            <x v="217"/>
            <x v="220"/>
            <x v="250"/>
            <x v="251"/>
            <x v="252"/>
            <x v="254"/>
            <x v="255"/>
            <x v="257"/>
            <x v="258"/>
            <x v="259"/>
            <x v="260"/>
            <x v="261"/>
          </reference>
          <reference field="29" selected="0">
            <x v="2"/>
          </reference>
          <reference field="30" selected="0">
            <x v="308"/>
          </reference>
        </references>
      </pivotArea>
    </format>
    <format action="formatting" dxfId="1">
      <pivotArea type="normal" dataOnly="0" labelOnly="1" outline="0" fieldPosition="0">
        <references count="3">
          <reference field="4">
            <x v="68"/>
          </reference>
          <reference field="29" selected="0">
            <x v="3"/>
          </reference>
          <reference field="30" selected="0">
            <x v="309"/>
          </reference>
        </references>
      </pivotArea>
    </format>
    <format action="formatting" dxfId="0">
      <pivotArea type="normal"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G1223"/>
  <sheetViews>
    <sheetView showGridLines="0" zoomScale="70" zoomScaleNormal="70" workbookViewId="0">
      <selection activeCell="M12" sqref="M12"/>
    </sheetView>
  </sheetViews>
  <sheetFormatPr baseColWidth="10" defaultRowHeight="14.4" outlineLevelCol="0"/>
  <cols>
    <col width="13.109375" bestFit="1" customWidth="1" min="1" max="1"/>
    <col width="14.33203125" bestFit="1" customWidth="1" min="3" max="3"/>
    <col width="24.109375" bestFit="1" customWidth="1" min="4" max="4"/>
    <col width="22" bestFit="1" customWidth="1" min="8" max="8"/>
    <col width="17.33203125" bestFit="1" customWidth="1" min="9" max="9"/>
    <col width="18.109375" bestFit="1" customWidth="1" min="10" max="10"/>
    <col width="13.6640625" bestFit="1" customWidth="1" min="11" max="11"/>
    <col width="15.109375" bestFit="1" customWidth="1" min="12" max="12"/>
    <col width="17.33203125" bestFit="1" customWidth="1" min="13" max="13"/>
    <col width="20.109375" bestFit="1" customWidth="1" min="14" max="14"/>
    <col width="25.44140625" bestFit="1" customWidth="1" min="15" max="15"/>
    <col width="21.33203125" bestFit="1" customWidth="1" min="16" max="16"/>
    <col width="22.88671875" bestFit="1" customWidth="1" min="17" max="17"/>
    <col width="14.5546875" bestFit="1" customWidth="1" min="18" max="18"/>
    <col width="14.33203125" bestFit="1" customWidth="1" min="19" max="19"/>
    <col width="14.5546875" bestFit="1" customWidth="1" min="20" max="27"/>
    <col width="19.33203125" bestFit="1" customWidth="1" min="28" max="28"/>
    <col width="24.6640625" bestFit="1" customWidth="1" min="29" max="29"/>
    <col width="18.5546875" bestFit="1" customWidth="1" min="30" max="30"/>
    <col width="40.33203125" customWidth="1" min="31" max="31"/>
  </cols>
  <sheetData>
    <row r="1" ht="13.2" customHeight="1">
      <c r="A1" s="1" t="inlineStr">
        <is>
          <t>Skills:</t>
        </is>
      </c>
      <c r="B1" t="inlineStr">
        <is>
          <t>S2S No Premium;S2S Premium</t>
        </is>
      </c>
      <c r="C1" t="inlineStr">
        <is>
          <t>Nombre Skill</t>
        </is>
      </c>
      <c r="D1" t="inlineStr">
        <is>
          <t>Nombre Agente</t>
        </is>
      </c>
      <c r="E1" t="inlineStr">
        <is>
          <t>Cod. Agente</t>
        </is>
      </c>
      <c r="F1" s="2" t="inlineStr">
        <is>
          <t>Hora Inicio Intervalo</t>
        </is>
      </c>
      <c r="G1" t="inlineStr">
        <is>
          <t>-</t>
        </is>
      </c>
      <c r="H1" s="2" t="inlineStr">
        <is>
          <t>Hora Fin Intervalo</t>
        </is>
      </c>
      <c r="I1" t="inlineStr">
        <is>
          <t>Tiempo ACD</t>
        </is>
      </c>
      <c r="J1" t="inlineStr">
        <is>
          <t>Tiempo ACW</t>
        </is>
      </c>
      <c r="K1" t="inlineStr">
        <is>
          <t>Otra hora</t>
        </is>
      </c>
      <c r="L1" s="1" t="inlineStr">
        <is>
          <t>Ring Time</t>
        </is>
      </c>
      <c r="M1" t="inlineStr">
        <is>
          <t>Tiempo AUX</t>
        </is>
      </c>
      <c r="N1" t="inlineStr">
        <is>
          <t>Tiempo dispon.</t>
        </is>
      </c>
      <c r="O1" t="inlineStr">
        <is>
          <t>Tiempo con personal</t>
        </is>
      </c>
      <c r="P1" t="inlineStr">
        <is>
          <t>Tiempo de reten.</t>
        </is>
      </c>
      <c r="Q1" s="2" t="inlineStr">
        <is>
          <t>Tiempo Sa. de Ext</t>
        </is>
      </c>
      <c r="R1" t="inlineStr">
        <is>
          <t>Auxtime 0</t>
        </is>
      </c>
      <c r="S1" s="2" t="inlineStr">
        <is>
          <t>Auxtime 1</t>
        </is>
      </c>
      <c r="T1" t="inlineStr">
        <is>
          <t>Auxtime 2</t>
        </is>
      </c>
      <c r="U1" t="inlineStr">
        <is>
          <t>Auxtime 3</t>
        </is>
      </c>
      <c r="V1" t="inlineStr">
        <is>
          <t>Auxtime 4</t>
        </is>
      </c>
      <c r="W1" t="inlineStr">
        <is>
          <t>Auxtime 5</t>
        </is>
      </c>
      <c r="X1" t="inlineStr">
        <is>
          <t>Auxtime 6</t>
        </is>
      </c>
      <c r="Y1" t="inlineStr">
        <is>
          <t>Auxtime 7</t>
        </is>
      </c>
      <c r="Z1" t="inlineStr">
        <is>
          <t>Auxtime 8</t>
        </is>
      </c>
      <c r="AA1" t="inlineStr">
        <is>
          <t>Auxtime 9</t>
        </is>
      </c>
      <c r="AB1" t="inlineStr">
        <is>
          <t>Llamadas ACD</t>
        </is>
      </c>
      <c r="AC1" t="inlineStr">
        <is>
          <t>Llamadas Liberadas</t>
        </is>
      </c>
      <c r="AD1" s="4" t="inlineStr">
        <is>
          <t>PCRC</t>
        </is>
      </c>
      <c r="AE1" s="4" t="inlineStr">
        <is>
          <t>OPERADOR</t>
        </is>
      </c>
      <c r="AF1" s="4" t="inlineStr">
        <is>
          <t>Inicio</t>
        </is>
      </c>
      <c r="AG1" s="4" t="inlineStr">
        <is>
          <t>Fin</t>
        </is>
      </c>
    </row>
    <row r="2">
      <c r="A2" s="1" t="inlineStr">
        <is>
          <t>9/10/2024</t>
        </is>
      </c>
      <c r="B2" t="inlineStr">
        <is>
          <t>924</t>
        </is>
      </c>
      <c r="C2" t="inlineStr">
        <is>
          <t>S2S No Premium</t>
        </is>
      </c>
      <c r="D2" t="inlineStr">
        <is>
          <t>N2m_Acosta, Ayelen</t>
        </is>
      </c>
      <c r="E2" t="inlineStr">
        <is>
          <t>605502</t>
        </is>
      </c>
      <c r="F2" s="2" t="inlineStr">
        <is>
          <t>08:30</t>
        </is>
      </c>
      <c r="G2" t="inlineStr">
        <is>
          <t>-</t>
        </is>
      </c>
      <c r="H2" s="2" t="inlineStr">
        <is>
          <t>09:00</t>
        </is>
      </c>
      <c r="I2" t="inlineStr">
        <is>
          <t>,000000000</t>
        </is>
      </c>
      <c r="J2" t="inlineStr">
        <is>
          <t>,000000000</t>
        </is>
      </c>
      <c r="K2" t="inlineStr">
        <is>
          <t>,000000000</t>
        </is>
      </c>
      <c r="L2" t="inlineStr">
        <is>
          <t>,000000000</t>
        </is>
      </c>
      <c r="M2" t="inlineStr">
        <is>
          <t>,000000000</t>
        </is>
      </c>
      <c r="N2" t="inlineStr">
        <is>
          <t>,000000000</t>
        </is>
      </c>
      <c r="O2" t="inlineStr">
        <is>
          <t>,000000000</t>
        </is>
      </c>
      <c r="P2" t="inlineStr">
        <is>
          <t>,000000000</t>
        </is>
      </c>
      <c r="Q2" t="inlineStr">
        <is>
          <t>,000000000</t>
        </is>
      </c>
      <c r="R2" t="inlineStr">
        <is>
          <t>,000000000</t>
        </is>
      </c>
      <c r="S2" t="inlineStr">
        <is>
          <t>,000000000</t>
        </is>
      </c>
      <c r="T2" t="inlineStr">
        <is>
          <t>,000000000</t>
        </is>
      </c>
      <c r="U2" t="inlineStr">
        <is>
          <t>,000000000</t>
        </is>
      </c>
      <c r="V2" t="inlineStr">
        <is>
          <t>,000000000</t>
        </is>
      </c>
      <c r="W2" t="inlineStr">
        <is>
          <t>,000000000</t>
        </is>
      </c>
      <c r="X2" t="inlineStr">
        <is>
          <t>,000000000</t>
        </is>
      </c>
      <c r="Y2" t="inlineStr">
        <is>
          <t>,000000000</t>
        </is>
      </c>
      <c r="Z2" t="inlineStr">
        <is>
          <t>,000000000</t>
        </is>
      </c>
      <c r="AA2" t="inlineStr">
        <is>
          <t>,000000000</t>
        </is>
      </c>
      <c r="AB2" t="inlineStr">
        <is>
          <t>0</t>
        </is>
      </c>
      <c r="AC2" t="inlineStr">
        <is>
          <t>0</t>
        </is>
      </c>
      <c r="AD2" s="3">
        <f>UPPER(C3)</f>
        <v/>
      </c>
      <c r="AE2" s="3">
        <f>VLOOKUP(E3,'[1]Nómina Agentes'!$C:$D,3,0)</f>
        <v/>
      </c>
      <c r="AF2" s="5">
        <f>F3</f>
        <v/>
      </c>
      <c r="AG2" s="5">
        <f>H3</f>
        <v/>
      </c>
    </row>
    <row r="3">
      <c r="A3" s="1" t="inlineStr">
        <is>
          <t>9/10/2024</t>
        </is>
      </c>
      <c r="B3" t="inlineStr">
        <is>
          <t>924</t>
        </is>
      </c>
      <c r="C3" t="inlineStr">
        <is>
          <t>S2S No Premium</t>
        </is>
      </c>
      <c r="D3" t="inlineStr">
        <is>
          <t>N2m_Acosta, Ayelen</t>
        </is>
      </c>
      <c r="E3" t="inlineStr">
        <is>
          <t>605502</t>
        </is>
      </c>
      <c r="F3" s="2" t="inlineStr">
        <is>
          <t>10:00</t>
        </is>
      </c>
      <c r="G3" t="inlineStr">
        <is>
          <t>-</t>
        </is>
      </c>
      <c r="H3" s="2" t="inlineStr">
        <is>
          <t>10:30</t>
        </is>
      </c>
      <c r="I3" t="inlineStr">
        <is>
          <t>963,000000000</t>
        </is>
      </c>
      <c r="J3" t="inlineStr">
        <is>
          <t>,000000000</t>
        </is>
      </c>
      <c r="K3" t="inlineStr">
        <is>
          <t>,000000000</t>
        </is>
      </c>
      <c r="L3" t="inlineStr">
        <is>
          <t>16,000000000</t>
        </is>
      </c>
      <c r="M3" t="inlineStr">
        <is>
          <t>,000000000</t>
        </is>
      </c>
      <c r="N3" t="inlineStr">
        <is>
          <t>,000000000</t>
        </is>
      </c>
      <c r="O3" t="inlineStr">
        <is>
          <t>,000000000</t>
        </is>
      </c>
      <c r="P3" t="inlineStr">
        <is>
          <t>3,000000000</t>
        </is>
      </c>
      <c r="Q3" t="inlineStr">
        <is>
          <t>,000000000</t>
        </is>
      </c>
      <c r="R3" t="inlineStr">
        <is>
          <t>,000000000</t>
        </is>
      </c>
      <c r="S3" t="inlineStr">
        <is>
          <t>,000000000</t>
        </is>
      </c>
      <c r="T3" t="inlineStr">
        <is>
          <t>,000000000</t>
        </is>
      </c>
      <c r="U3" t="inlineStr">
        <is>
          <t>,000000000</t>
        </is>
      </c>
      <c r="V3" t="inlineStr">
        <is>
          <t>,000000000</t>
        </is>
      </c>
      <c r="W3" t="inlineStr">
        <is>
          <t>,000000000</t>
        </is>
      </c>
      <c r="X3" t="inlineStr">
        <is>
          <t>,000000000</t>
        </is>
      </c>
      <c r="Y3" t="inlineStr">
        <is>
          <t>,000000000</t>
        </is>
      </c>
      <c r="Z3" t="inlineStr">
        <is>
          <t>,000000000</t>
        </is>
      </c>
      <c r="AA3" t="inlineStr">
        <is>
          <t>,000000000</t>
        </is>
      </c>
      <c r="AB3" t="inlineStr">
        <is>
          <t>3</t>
        </is>
      </c>
      <c r="AC3" t="inlineStr">
        <is>
          <t>3</t>
        </is>
      </c>
      <c r="AD3" s="3">
        <f>UPPER(C3)</f>
        <v/>
      </c>
      <c r="AE3" s="3">
        <f>VLOOKUP(E3,'[1]Nómina Agentes'!$C:$D,3,0)</f>
        <v/>
      </c>
      <c r="AF3" s="5">
        <f>F3</f>
        <v/>
      </c>
      <c r="AG3" s="5">
        <f>H3</f>
        <v/>
      </c>
    </row>
    <row r="4">
      <c r="A4" s="1" t="inlineStr">
        <is>
          <t>9/10/2024</t>
        </is>
      </c>
      <c r="B4" t="inlineStr">
        <is>
          <t>924</t>
        </is>
      </c>
      <c r="C4" t="inlineStr">
        <is>
          <t>S2S No Premium</t>
        </is>
      </c>
      <c r="D4" t="inlineStr">
        <is>
          <t>N2m_Acosta, Ayelen</t>
        </is>
      </c>
      <c r="E4" t="inlineStr">
        <is>
          <t>605502</t>
        </is>
      </c>
      <c r="F4" s="2" t="inlineStr">
        <is>
          <t>09:00</t>
        </is>
      </c>
      <c r="G4" t="inlineStr">
        <is>
          <t>-</t>
        </is>
      </c>
      <c r="H4" s="2" t="inlineStr">
        <is>
          <t>09:30</t>
        </is>
      </c>
      <c r="I4" t="inlineStr">
        <is>
          <t>1147,000000000</t>
        </is>
      </c>
      <c r="J4" t="inlineStr">
        <is>
          <t>,000000000</t>
        </is>
      </c>
      <c r="K4" t="inlineStr">
        <is>
          <t>,000000000</t>
        </is>
      </c>
      <c r="L4" t="inlineStr">
        <is>
          <t>13,000000000</t>
        </is>
      </c>
      <c r="M4" t="inlineStr">
        <is>
          <t>,000000000</t>
        </is>
      </c>
      <c r="N4" t="inlineStr">
        <is>
          <t>,000000000</t>
        </is>
      </c>
      <c r="O4" t="inlineStr">
        <is>
          <t>,000000000</t>
        </is>
      </c>
      <c r="P4" t="inlineStr">
        <is>
          <t>2,000000000</t>
        </is>
      </c>
      <c r="Q4" t="inlineStr">
        <is>
          <t>,000000000</t>
        </is>
      </c>
      <c r="R4" t="inlineStr">
        <is>
          <t>,000000000</t>
        </is>
      </c>
      <c r="S4" t="inlineStr">
        <is>
          <t>,000000000</t>
        </is>
      </c>
      <c r="T4" t="inlineStr">
        <is>
          <t>,000000000</t>
        </is>
      </c>
      <c r="U4" t="inlineStr">
        <is>
          <t>,000000000</t>
        </is>
      </c>
      <c r="V4" t="inlineStr">
        <is>
          <t>,000000000</t>
        </is>
      </c>
      <c r="W4" t="inlineStr">
        <is>
          <t>,000000000</t>
        </is>
      </c>
      <c r="X4" t="inlineStr">
        <is>
          <t>,000000000</t>
        </is>
      </c>
      <c r="Y4" t="inlineStr">
        <is>
          <t>,000000000</t>
        </is>
      </c>
      <c r="Z4" t="inlineStr">
        <is>
          <t>,000000000</t>
        </is>
      </c>
      <c r="AA4" t="inlineStr">
        <is>
          <t>,000000000</t>
        </is>
      </c>
      <c r="AB4" t="inlineStr">
        <is>
          <t>2</t>
        </is>
      </c>
      <c r="AC4" t="inlineStr">
        <is>
          <t>2</t>
        </is>
      </c>
      <c r="AD4" s="3">
        <f>UPPER(C3)</f>
        <v/>
      </c>
      <c r="AE4" s="3">
        <f>VLOOKUP(E3,'[1]Nómina Agentes'!$C:$D,3,0)</f>
        <v/>
      </c>
      <c r="AF4" s="5">
        <f>F3</f>
        <v/>
      </c>
      <c r="AG4" s="5">
        <f>H3</f>
        <v/>
      </c>
    </row>
    <row r="5">
      <c r="A5" s="1" t="inlineStr">
        <is>
          <t>9/10/2024</t>
        </is>
      </c>
      <c r="B5" t="inlineStr">
        <is>
          <t>924</t>
        </is>
      </c>
      <c r="C5" t="inlineStr">
        <is>
          <t>S2S No Premium</t>
        </is>
      </c>
      <c r="D5" t="inlineStr">
        <is>
          <t>N2m_Acosta, Ayelen</t>
        </is>
      </c>
      <c r="E5" t="inlineStr">
        <is>
          <t>605502</t>
        </is>
      </c>
      <c r="F5" s="2" t="inlineStr">
        <is>
          <t>09:30</t>
        </is>
      </c>
      <c r="G5" t="inlineStr">
        <is>
          <t>-</t>
        </is>
      </c>
      <c r="H5" s="2" t="inlineStr">
        <is>
          <t>10:00</t>
        </is>
      </c>
      <c r="I5" t="inlineStr">
        <is>
          <t>1277,000000000</t>
        </is>
      </c>
      <c r="J5" t="inlineStr">
        <is>
          <t>,000000000</t>
        </is>
      </c>
      <c r="K5" t="inlineStr">
        <is>
          <t>,000000000</t>
        </is>
      </c>
      <c r="L5" t="inlineStr">
        <is>
          <t>12,000000000</t>
        </is>
      </c>
      <c r="M5" t="inlineStr">
        <is>
          <t>,000000000</t>
        </is>
      </c>
      <c r="N5" t="inlineStr">
        <is>
          <t>,000000000</t>
        </is>
      </c>
      <c r="O5" t="inlineStr">
        <is>
          <t>,000000000</t>
        </is>
      </c>
      <c r="P5" t="inlineStr">
        <is>
          <t>148,000000000</t>
        </is>
      </c>
      <c r="Q5" t="inlineStr">
        <is>
          <t>,000000000</t>
        </is>
      </c>
      <c r="R5" t="inlineStr">
        <is>
          <t>,000000000</t>
        </is>
      </c>
      <c r="S5" t="inlineStr">
        <is>
          <t>,000000000</t>
        </is>
      </c>
      <c r="T5" t="inlineStr">
        <is>
          <t>,000000000</t>
        </is>
      </c>
      <c r="U5" t="inlineStr">
        <is>
          <t>,000000000</t>
        </is>
      </c>
      <c r="V5" t="inlineStr">
        <is>
          <t>,000000000</t>
        </is>
      </c>
      <c r="W5" t="inlineStr">
        <is>
          <t>,000000000</t>
        </is>
      </c>
      <c r="X5" t="inlineStr">
        <is>
          <t>,000000000</t>
        </is>
      </c>
      <c r="Y5" t="inlineStr">
        <is>
          <t>,000000000</t>
        </is>
      </c>
      <c r="Z5" t="inlineStr">
        <is>
          <t>,000000000</t>
        </is>
      </c>
      <c r="AA5" t="inlineStr">
        <is>
          <t>,000000000</t>
        </is>
      </c>
      <c r="AB5" t="inlineStr">
        <is>
          <t>4</t>
        </is>
      </c>
      <c r="AC5" t="inlineStr">
        <is>
          <t>3</t>
        </is>
      </c>
      <c r="AD5" s="3">
        <f>UPPER(C3)</f>
        <v/>
      </c>
      <c r="AE5" s="3">
        <f>VLOOKUP(E3,'[1]Nómina Agentes'!$C:$D,3,0)</f>
        <v/>
      </c>
      <c r="AF5" s="5">
        <f>F3</f>
        <v/>
      </c>
      <c r="AG5" s="5">
        <f>H3</f>
        <v/>
      </c>
    </row>
    <row r="6">
      <c r="A6" s="1" t="inlineStr">
        <is>
          <t>9/10/2024</t>
        </is>
      </c>
      <c r="B6" t="inlineStr">
        <is>
          <t>924</t>
        </is>
      </c>
      <c r="C6" t="inlineStr">
        <is>
          <t>S2S No Premium</t>
        </is>
      </c>
      <c r="D6" t="inlineStr">
        <is>
          <t>N2m_Acosta, Ayelen</t>
        </is>
      </c>
      <c r="E6" t="inlineStr">
        <is>
          <t>605502</t>
        </is>
      </c>
      <c r="F6" s="2" t="inlineStr">
        <is>
          <t>10:30</t>
        </is>
      </c>
      <c r="G6" t="inlineStr">
        <is>
          <t>-</t>
        </is>
      </c>
      <c r="H6" s="2" t="inlineStr">
        <is>
          <t>11:00</t>
        </is>
      </c>
      <c r="I6" t="inlineStr">
        <is>
          <t>1422,000000000</t>
        </is>
      </c>
      <c r="J6" t="inlineStr">
        <is>
          <t>,000000000</t>
        </is>
      </c>
      <c r="K6" t="inlineStr">
        <is>
          <t>,000000000</t>
        </is>
      </c>
      <c r="L6" t="inlineStr">
        <is>
          <t>20,000000000</t>
        </is>
      </c>
      <c r="M6" t="inlineStr">
        <is>
          <t>,000000000</t>
        </is>
      </c>
      <c r="N6" t="inlineStr">
        <is>
          <t>,000000000</t>
        </is>
      </c>
      <c r="O6" t="inlineStr">
        <is>
          <t>,000000000</t>
        </is>
      </c>
      <c r="P6" t="inlineStr">
        <is>
          <t>5,000000000</t>
        </is>
      </c>
      <c r="Q6" t="inlineStr">
        <is>
          <t>,000000000</t>
        </is>
      </c>
      <c r="R6" t="inlineStr">
        <is>
          <t>,000000000</t>
        </is>
      </c>
      <c r="S6" t="inlineStr">
        <is>
          <t>,000000000</t>
        </is>
      </c>
      <c r="T6" t="inlineStr">
        <is>
          <t>,000000000</t>
        </is>
      </c>
      <c r="U6" t="inlineStr">
        <is>
          <t>,000000000</t>
        </is>
      </c>
      <c r="V6" t="inlineStr">
        <is>
          <t>,000000000</t>
        </is>
      </c>
      <c r="W6" t="inlineStr">
        <is>
          <t>,000000000</t>
        </is>
      </c>
      <c r="X6" t="inlineStr">
        <is>
          <t>,000000000</t>
        </is>
      </c>
      <c r="Y6" t="inlineStr">
        <is>
          <t>,000000000</t>
        </is>
      </c>
      <c r="Z6" t="inlineStr">
        <is>
          <t>,000000000</t>
        </is>
      </c>
      <c r="AA6" t="inlineStr">
        <is>
          <t>,000000000</t>
        </is>
      </c>
      <c r="AB6" t="inlineStr">
        <is>
          <t>5</t>
        </is>
      </c>
      <c r="AC6" t="inlineStr">
        <is>
          <t>5</t>
        </is>
      </c>
      <c r="AD6" s="3">
        <f>UPPER(C3)</f>
        <v/>
      </c>
      <c r="AE6" s="3">
        <f>VLOOKUP(E3,'[1]Nómina Agentes'!$C:$D,3,0)</f>
        <v/>
      </c>
      <c r="AF6" s="5">
        <f>F3</f>
        <v/>
      </c>
      <c r="AG6" s="5">
        <f>H3</f>
        <v/>
      </c>
    </row>
    <row r="7">
      <c r="A7" s="1" t="inlineStr">
        <is>
          <t>9/10/2024</t>
        </is>
      </c>
      <c r="B7" t="inlineStr">
        <is>
          <t>924</t>
        </is>
      </c>
      <c r="C7" t="inlineStr">
        <is>
          <t>S2S No Premium</t>
        </is>
      </c>
      <c r="D7" t="inlineStr">
        <is>
          <t>N2_Russo, Rocio</t>
        </is>
      </c>
      <c r="E7" t="inlineStr">
        <is>
          <t>605503</t>
        </is>
      </c>
      <c r="F7" s="2" t="inlineStr">
        <is>
          <t>09:30</t>
        </is>
      </c>
      <c r="G7" t="inlineStr">
        <is>
          <t>-</t>
        </is>
      </c>
      <c r="H7" s="2" t="inlineStr">
        <is>
          <t>10:00</t>
        </is>
      </c>
      <c r="I7" t="inlineStr">
        <is>
          <t>,000000000</t>
        </is>
      </c>
      <c r="J7" t="inlineStr">
        <is>
          <t>,000000000</t>
        </is>
      </c>
      <c r="K7" t="inlineStr">
        <is>
          <t>,000000000</t>
        </is>
      </c>
      <c r="L7" t="inlineStr">
        <is>
          <t>,000000000</t>
        </is>
      </c>
      <c r="M7" t="inlineStr">
        <is>
          <t>,000000000</t>
        </is>
      </c>
      <c r="N7" t="inlineStr">
        <is>
          <t>,000000000</t>
        </is>
      </c>
      <c r="O7" t="inlineStr">
        <is>
          <t>,000000000</t>
        </is>
      </c>
      <c r="P7" t="inlineStr">
        <is>
          <t>,000000000</t>
        </is>
      </c>
      <c r="Q7" t="inlineStr">
        <is>
          <t>,000000000</t>
        </is>
      </c>
      <c r="R7" t="inlineStr">
        <is>
          <t>,000000000</t>
        </is>
      </c>
      <c r="S7" t="inlineStr">
        <is>
          <t>,000000000</t>
        </is>
      </c>
      <c r="T7" t="inlineStr">
        <is>
          <t>,000000000</t>
        </is>
      </c>
      <c r="U7" t="inlineStr">
        <is>
          <t>,000000000</t>
        </is>
      </c>
      <c r="V7" t="inlineStr">
        <is>
          <t>,000000000</t>
        </is>
      </c>
      <c r="W7" t="inlineStr">
        <is>
          <t>,000000000</t>
        </is>
      </c>
      <c r="X7" t="inlineStr">
        <is>
          <t>,000000000</t>
        </is>
      </c>
      <c r="Y7" t="inlineStr">
        <is>
          <t>,000000000</t>
        </is>
      </c>
      <c r="Z7" t="inlineStr">
        <is>
          <t>,000000000</t>
        </is>
      </c>
      <c r="AA7" t="inlineStr">
        <is>
          <t>,000000000</t>
        </is>
      </c>
      <c r="AB7" t="inlineStr">
        <is>
          <t>0</t>
        </is>
      </c>
      <c r="AC7" t="inlineStr">
        <is>
          <t>0</t>
        </is>
      </c>
      <c r="AD7" s="3">
        <f>UPPER(C3)</f>
        <v/>
      </c>
      <c r="AE7" s="3">
        <f>VLOOKUP(E3,'[1]Nómina Agentes'!$C:$D,3,0)</f>
        <v/>
      </c>
      <c r="AF7" s="5">
        <f>F3</f>
        <v/>
      </c>
      <c r="AG7" s="5">
        <f>H3</f>
        <v/>
      </c>
    </row>
    <row r="8">
      <c r="A8" s="1" t="inlineStr">
        <is>
          <t>9/10/2024</t>
        </is>
      </c>
      <c r="B8" t="inlineStr">
        <is>
          <t>924</t>
        </is>
      </c>
      <c r="C8" t="inlineStr">
        <is>
          <t>S2S No Premium</t>
        </is>
      </c>
      <c r="D8" t="inlineStr">
        <is>
          <t>N2_Russo, Rocio</t>
        </is>
      </c>
      <c r="E8" t="inlineStr">
        <is>
          <t>605503</t>
        </is>
      </c>
      <c r="F8" s="2" t="inlineStr">
        <is>
          <t>10:00</t>
        </is>
      </c>
      <c r="G8" t="inlineStr">
        <is>
          <t>-</t>
        </is>
      </c>
      <c r="H8" s="2" t="inlineStr">
        <is>
          <t>10:30</t>
        </is>
      </c>
      <c r="I8" t="inlineStr">
        <is>
          <t>665,000000000</t>
        </is>
      </c>
      <c r="J8" t="inlineStr">
        <is>
          <t>,000000000</t>
        </is>
      </c>
      <c r="K8" t="inlineStr">
        <is>
          <t>,000000000</t>
        </is>
      </c>
      <c r="L8" t="inlineStr">
        <is>
          <t>17,000000000</t>
        </is>
      </c>
      <c r="M8" t="inlineStr">
        <is>
          <t>,000000000</t>
        </is>
      </c>
      <c r="N8" t="inlineStr">
        <is>
          <t>,000000000</t>
        </is>
      </c>
      <c r="O8" t="inlineStr">
        <is>
          <t>,000000000</t>
        </is>
      </c>
      <c r="P8" t="inlineStr">
        <is>
          <t>2,000000000</t>
        </is>
      </c>
      <c r="Q8" t="inlineStr">
        <is>
          <t>,000000000</t>
        </is>
      </c>
      <c r="R8" t="inlineStr">
        <is>
          <t>,000000000</t>
        </is>
      </c>
      <c r="S8" t="inlineStr">
        <is>
          <t>,000000000</t>
        </is>
      </c>
      <c r="T8" t="inlineStr">
        <is>
          <t>,000000000</t>
        </is>
      </c>
      <c r="U8" t="inlineStr">
        <is>
          <t>,000000000</t>
        </is>
      </c>
      <c r="V8" t="inlineStr">
        <is>
          <t>,000000000</t>
        </is>
      </c>
      <c r="W8" t="inlineStr">
        <is>
          <t>,000000000</t>
        </is>
      </c>
      <c r="X8" t="inlineStr">
        <is>
          <t>,000000000</t>
        </is>
      </c>
      <c r="Y8" t="inlineStr">
        <is>
          <t>,000000000</t>
        </is>
      </c>
      <c r="Z8" t="inlineStr">
        <is>
          <t>,000000000</t>
        </is>
      </c>
      <c r="AA8" t="inlineStr">
        <is>
          <t>,000000000</t>
        </is>
      </c>
      <c r="AB8" t="inlineStr">
        <is>
          <t>4</t>
        </is>
      </c>
      <c r="AC8" t="inlineStr">
        <is>
          <t>2</t>
        </is>
      </c>
      <c r="AD8" s="3">
        <f>UPPER(C3)</f>
        <v/>
      </c>
      <c r="AE8" s="3">
        <f>VLOOKUP(E3,'[1]Nómina Agentes'!$C:$D,3,0)</f>
        <v/>
      </c>
      <c r="AF8" s="5">
        <f>F3</f>
        <v/>
      </c>
      <c r="AG8" s="5">
        <f>H3</f>
        <v/>
      </c>
    </row>
    <row r="9">
      <c r="A9" s="1" t="inlineStr">
        <is>
          <t>9/10/2024</t>
        </is>
      </c>
      <c r="B9" t="inlineStr">
        <is>
          <t>924</t>
        </is>
      </c>
      <c r="C9" t="inlineStr">
        <is>
          <t>S2S No Premium</t>
        </is>
      </c>
      <c r="D9" t="inlineStr">
        <is>
          <t>N2_Mendoza, Natalia</t>
        </is>
      </c>
      <c r="E9" t="inlineStr">
        <is>
          <t>605511</t>
        </is>
      </c>
      <c r="F9" s="2" t="inlineStr">
        <is>
          <t>08:30</t>
        </is>
      </c>
      <c r="G9" t="inlineStr">
        <is>
          <t>-</t>
        </is>
      </c>
      <c r="H9" s="2" t="inlineStr">
        <is>
          <t>09:00</t>
        </is>
      </c>
      <c r="I9" t="inlineStr">
        <is>
          <t>,000000000</t>
        </is>
      </c>
      <c r="J9" t="inlineStr">
        <is>
          <t>,000000000</t>
        </is>
      </c>
      <c r="K9" t="inlineStr">
        <is>
          <t>,000000000</t>
        </is>
      </c>
      <c r="L9" t="inlineStr">
        <is>
          <t>,000000000</t>
        </is>
      </c>
      <c r="M9" t="inlineStr">
        <is>
          <t>,000000000</t>
        </is>
      </c>
      <c r="N9" t="inlineStr">
        <is>
          <t>,000000000</t>
        </is>
      </c>
      <c r="O9" t="inlineStr">
        <is>
          <t>,000000000</t>
        </is>
      </c>
      <c r="P9" t="inlineStr">
        <is>
          <t>,000000000</t>
        </is>
      </c>
      <c r="Q9" t="inlineStr">
        <is>
          <t>,000000000</t>
        </is>
      </c>
      <c r="R9" t="inlineStr">
        <is>
          <t>,000000000</t>
        </is>
      </c>
      <c r="S9" t="inlineStr">
        <is>
          <t>,000000000</t>
        </is>
      </c>
      <c r="T9" t="inlineStr">
        <is>
          <t>,000000000</t>
        </is>
      </c>
      <c r="U9" t="inlineStr">
        <is>
          <t>,000000000</t>
        </is>
      </c>
      <c r="V9" t="inlineStr">
        <is>
          <t>,000000000</t>
        </is>
      </c>
      <c r="W9" t="inlineStr">
        <is>
          <t>,000000000</t>
        </is>
      </c>
      <c r="X9" t="inlineStr">
        <is>
          <t>,000000000</t>
        </is>
      </c>
      <c r="Y9" t="inlineStr">
        <is>
          <t>,000000000</t>
        </is>
      </c>
      <c r="Z9" t="inlineStr">
        <is>
          <t>,000000000</t>
        </is>
      </c>
      <c r="AA9" t="inlineStr">
        <is>
          <t>,000000000</t>
        </is>
      </c>
      <c r="AB9" t="inlineStr">
        <is>
          <t>0</t>
        </is>
      </c>
      <c r="AC9" t="inlineStr">
        <is>
          <t>0</t>
        </is>
      </c>
      <c r="AD9" s="3">
        <f>UPPER(C3)</f>
        <v/>
      </c>
      <c r="AE9" s="3">
        <f>VLOOKUP(E3,'[1]Nómina Agentes'!$C:$D,3,0)</f>
        <v/>
      </c>
      <c r="AF9" s="5">
        <f>F3</f>
        <v/>
      </c>
      <c r="AG9" s="5">
        <f>H3</f>
        <v/>
      </c>
    </row>
    <row r="10">
      <c r="A10" s="1" t="inlineStr">
        <is>
          <t>9/10/2024</t>
        </is>
      </c>
      <c r="B10" t="inlineStr">
        <is>
          <t>924</t>
        </is>
      </c>
      <c r="C10" t="inlineStr">
        <is>
          <t>S2S No Premium</t>
        </is>
      </c>
      <c r="D10" t="inlineStr">
        <is>
          <t>N2_Mendoza, Natalia</t>
        </is>
      </c>
      <c r="E10" t="inlineStr">
        <is>
          <t>605511</t>
        </is>
      </c>
      <c r="F10" s="2" t="inlineStr">
        <is>
          <t>10:00</t>
        </is>
      </c>
      <c r="G10" t="inlineStr">
        <is>
          <t>-</t>
        </is>
      </c>
      <c r="H10" s="2" t="inlineStr">
        <is>
          <t>10:30</t>
        </is>
      </c>
      <c r="I10" t="inlineStr">
        <is>
          <t>764,000000000</t>
        </is>
      </c>
      <c r="J10" t="inlineStr">
        <is>
          <t>,000000000</t>
        </is>
      </c>
      <c r="K10" t="inlineStr">
        <is>
          <t>,000000000</t>
        </is>
      </c>
      <c r="L10" t="inlineStr">
        <is>
          <t>16,000000000</t>
        </is>
      </c>
      <c r="M10" t="inlineStr">
        <is>
          <t>,000000000</t>
        </is>
      </c>
      <c r="N10" t="inlineStr">
        <is>
          <t>,000000000</t>
        </is>
      </c>
      <c r="O10" t="inlineStr">
        <is>
          <t>,000000000</t>
        </is>
      </c>
      <c r="P10" t="inlineStr">
        <is>
          <t>200,000000000</t>
        </is>
      </c>
      <c r="Q10" t="inlineStr">
        <is>
          <t>,000000000</t>
        </is>
      </c>
      <c r="R10" t="inlineStr">
        <is>
          <t>,000000000</t>
        </is>
      </c>
      <c r="S10" t="inlineStr">
        <is>
          <t>,000000000</t>
        </is>
      </c>
      <c r="T10" t="inlineStr">
        <is>
          <t>,000000000</t>
        </is>
      </c>
      <c r="U10" t="inlineStr">
        <is>
          <t>,000000000</t>
        </is>
      </c>
      <c r="V10" t="inlineStr">
        <is>
          <t>,000000000</t>
        </is>
      </c>
      <c r="W10" t="inlineStr">
        <is>
          <t>,000000000</t>
        </is>
      </c>
      <c r="X10" t="inlineStr">
        <is>
          <t>,000000000</t>
        </is>
      </c>
      <c r="Y10" t="inlineStr">
        <is>
          <t>,000000000</t>
        </is>
      </c>
      <c r="Z10" t="inlineStr">
        <is>
          <t>,000000000</t>
        </is>
      </c>
      <c r="AA10" t="inlineStr">
        <is>
          <t>,000000000</t>
        </is>
      </c>
      <c r="AB10" t="inlineStr">
        <is>
          <t>4</t>
        </is>
      </c>
      <c r="AC10" t="inlineStr">
        <is>
          <t>3</t>
        </is>
      </c>
      <c r="AD10" s="3">
        <f>UPPER(C3)</f>
        <v/>
      </c>
      <c r="AE10" s="3">
        <f>VLOOKUP(E3,'[1]Nómina Agentes'!$C:$D,3,0)</f>
        <v/>
      </c>
      <c r="AF10" s="5">
        <f>F3</f>
        <v/>
      </c>
      <c r="AG10" s="5">
        <f>H3</f>
        <v/>
      </c>
    </row>
    <row r="11">
      <c r="A11" s="1" t="inlineStr">
        <is>
          <t>9/10/2024</t>
        </is>
      </c>
      <c r="B11" t="inlineStr">
        <is>
          <t>924</t>
        </is>
      </c>
      <c r="C11" t="inlineStr">
        <is>
          <t>S2S No Premium</t>
        </is>
      </c>
      <c r="D11" t="inlineStr">
        <is>
          <t>N2_Mendoza, Natalia</t>
        </is>
      </c>
      <c r="E11" t="inlineStr">
        <is>
          <t>605511</t>
        </is>
      </c>
      <c r="F11" s="2" t="inlineStr">
        <is>
          <t>10:30</t>
        </is>
      </c>
      <c r="G11" t="inlineStr">
        <is>
          <t>-</t>
        </is>
      </c>
      <c r="H11" s="2" t="inlineStr">
        <is>
          <t>11:00</t>
        </is>
      </c>
      <c r="I11" t="inlineStr">
        <is>
          <t>851,000000000</t>
        </is>
      </c>
      <c r="J11" t="inlineStr">
        <is>
          <t>,000000000</t>
        </is>
      </c>
      <c r="K11" t="inlineStr">
        <is>
          <t>,000000000</t>
        </is>
      </c>
      <c r="L11" t="inlineStr">
        <is>
          <t>4,000000000</t>
        </is>
      </c>
      <c r="M11" t="inlineStr">
        <is>
          <t>,000000000</t>
        </is>
      </c>
      <c r="N11" t="inlineStr">
        <is>
          <t>,000000000</t>
        </is>
      </c>
      <c r="O11" t="inlineStr">
        <is>
          <t>,000000000</t>
        </is>
      </c>
      <c r="P11" t="inlineStr">
        <is>
          <t>2,000000000</t>
        </is>
      </c>
      <c r="Q11" t="inlineStr">
        <is>
          <t>,000000000</t>
        </is>
      </c>
      <c r="R11" t="inlineStr">
        <is>
          <t>,000000000</t>
        </is>
      </c>
      <c r="S11" t="inlineStr">
        <is>
          <t>,000000000</t>
        </is>
      </c>
      <c r="T11" t="inlineStr">
        <is>
          <t>,000000000</t>
        </is>
      </c>
      <c r="U11" t="inlineStr">
        <is>
          <t>,000000000</t>
        </is>
      </c>
      <c r="V11" t="inlineStr">
        <is>
          <t>,000000000</t>
        </is>
      </c>
      <c r="W11" t="inlineStr">
        <is>
          <t>,000000000</t>
        </is>
      </c>
      <c r="X11" t="inlineStr">
        <is>
          <t>,000000000</t>
        </is>
      </c>
      <c r="Y11" t="inlineStr">
        <is>
          <t>,000000000</t>
        </is>
      </c>
      <c r="Z11" t="inlineStr">
        <is>
          <t>,000000000</t>
        </is>
      </c>
      <c r="AA11" t="inlineStr">
        <is>
          <t>,000000000</t>
        </is>
      </c>
      <c r="AB11" t="inlineStr">
        <is>
          <t>2</t>
        </is>
      </c>
      <c r="AC11" t="inlineStr">
        <is>
          <t>2</t>
        </is>
      </c>
      <c r="AD11" s="3">
        <f>UPPER(C3)</f>
        <v/>
      </c>
      <c r="AE11" s="3">
        <f>VLOOKUP(E3,'[1]Nómina Agentes'!$C:$D,3,0)</f>
        <v/>
      </c>
      <c r="AF11" s="5">
        <f>F3</f>
        <v/>
      </c>
      <c r="AG11" s="5">
        <f>H3</f>
        <v/>
      </c>
    </row>
    <row r="12">
      <c r="A12" s="1" t="inlineStr">
        <is>
          <t>9/10/2024</t>
        </is>
      </c>
      <c r="B12" t="inlineStr">
        <is>
          <t>924</t>
        </is>
      </c>
      <c r="C12" t="inlineStr">
        <is>
          <t>S2S No Premium</t>
        </is>
      </c>
      <c r="D12" t="inlineStr">
        <is>
          <t>N2_Mendoza, Natalia</t>
        </is>
      </c>
      <c r="E12" t="inlineStr">
        <is>
          <t>605511</t>
        </is>
      </c>
      <c r="F12" s="2" t="inlineStr">
        <is>
          <t>09:00</t>
        </is>
      </c>
      <c r="G12" t="inlineStr">
        <is>
          <t>-</t>
        </is>
      </c>
      <c r="H12" s="2" t="inlineStr">
        <is>
          <t>09:30</t>
        </is>
      </c>
      <c r="I12" t="inlineStr">
        <is>
          <t>965,000000000</t>
        </is>
      </c>
      <c r="J12" t="inlineStr">
        <is>
          <t>,000000000</t>
        </is>
      </c>
      <c r="K12" t="inlineStr">
        <is>
          <t>,000000000</t>
        </is>
      </c>
      <c r="L12" t="inlineStr">
        <is>
          <t>14,000000000</t>
        </is>
      </c>
      <c r="M12" t="inlineStr">
        <is>
          <t>,000000000</t>
        </is>
      </c>
      <c r="N12" t="inlineStr">
        <is>
          <t>,000000000</t>
        </is>
      </c>
      <c r="O12" t="inlineStr">
        <is>
          <t>,000000000</t>
        </is>
      </c>
      <c r="P12" t="inlineStr">
        <is>
          <t>180,000000000</t>
        </is>
      </c>
      <c r="Q12" t="inlineStr">
        <is>
          <t>,000000000</t>
        </is>
      </c>
      <c r="R12" t="inlineStr">
        <is>
          <t>,000000000</t>
        </is>
      </c>
      <c r="S12" t="inlineStr">
        <is>
          <t>,000000000</t>
        </is>
      </c>
      <c r="T12" t="inlineStr">
        <is>
          <t>,000000000</t>
        </is>
      </c>
      <c r="U12" t="inlineStr">
        <is>
          <t>,000000000</t>
        </is>
      </c>
      <c r="V12" t="inlineStr">
        <is>
          <t>,000000000</t>
        </is>
      </c>
      <c r="W12" t="inlineStr">
        <is>
          <t>,000000000</t>
        </is>
      </c>
      <c r="X12" t="inlineStr">
        <is>
          <t>,000000000</t>
        </is>
      </c>
      <c r="Y12" t="inlineStr">
        <is>
          <t>,000000000</t>
        </is>
      </c>
      <c r="Z12" t="inlineStr">
        <is>
          <t>,000000000</t>
        </is>
      </c>
      <c r="AA12" t="inlineStr">
        <is>
          <t>,000000000</t>
        </is>
      </c>
      <c r="AB12" t="inlineStr">
        <is>
          <t>2</t>
        </is>
      </c>
      <c r="AC12" t="inlineStr">
        <is>
          <t>2</t>
        </is>
      </c>
      <c r="AD12" s="3">
        <f>UPPER(C3)</f>
        <v/>
      </c>
      <c r="AE12" s="3">
        <f>VLOOKUP(E3,'[1]Nómina Agentes'!$C:$D,3,0)</f>
        <v/>
      </c>
      <c r="AF12" s="5">
        <f>F3</f>
        <v/>
      </c>
      <c r="AG12" s="5">
        <f>H3</f>
        <v/>
      </c>
    </row>
    <row r="13">
      <c r="A13" s="1" t="inlineStr">
        <is>
          <t>9/10/2024</t>
        </is>
      </c>
      <c r="B13" t="inlineStr">
        <is>
          <t>924</t>
        </is>
      </c>
      <c r="C13" t="inlineStr">
        <is>
          <t>S2S No Premium</t>
        </is>
      </c>
      <c r="D13" t="inlineStr">
        <is>
          <t>N2_Mendoza, Natalia</t>
        </is>
      </c>
      <c r="E13" t="inlineStr">
        <is>
          <t>605511</t>
        </is>
      </c>
      <c r="F13" s="2" t="inlineStr">
        <is>
          <t>09:30</t>
        </is>
      </c>
      <c r="G13" t="inlineStr">
        <is>
          <t>-</t>
        </is>
      </c>
      <c r="H13" s="2" t="inlineStr">
        <is>
          <t>10:00</t>
        </is>
      </c>
      <c r="I13" t="inlineStr">
        <is>
          <t>1067,000000000</t>
        </is>
      </c>
      <c r="J13" t="inlineStr">
        <is>
          <t>,000000000</t>
        </is>
      </c>
      <c r="K13" t="inlineStr">
        <is>
          <t>,000000000</t>
        </is>
      </c>
      <c r="L13" t="inlineStr">
        <is>
          <t>12,000000000</t>
        </is>
      </c>
      <c r="M13" t="inlineStr">
        <is>
          <t>,000000000</t>
        </is>
      </c>
      <c r="N13" t="inlineStr">
        <is>
          <t>,000000000</t>
        </is>
      </c>
      <c r="O13" t="inlineStr">
        <is>
          <t>,000000000</t>
        </is>
      </c>
      <c r="P13" t="inlineStr">
        <is>
          <t>209,000000000</t>
        </is>
      </c>
      <c r="Q13" t="inlineStr">
        <is>
          <t>,000000000</t>
        </is>
      </c>
      <c r="R13" t="inlineStr">
        <is>
          <t>,000000000</t>
        </is>
      </c>
      <c r="S13" t="inlineStr">
        <is>
          <t>,000000000</t>
        </is>
      </c>
      <c r="T13" t="inlineStr">
        <is>
          <t>,000000000</t>
        </is>
      </c>
      <c r="U13" t="inlineStr">
        <is>
          <t>,000000000</t>
        </is>
      </c>
      <c r="V13" t="inlineStr">
        <is>
          <t>,000000000</t>
        </is>
      </c>
      <c r="W13" t="inlineStr">
        <is>
          <t>,000000000</t>
        </is>
      </c>
      <c r="X13" t="inlineStr">
        <is>
          <t>,000000000</t>
        </is>
      </c>
      <c r="Y13" t="inlineStr">
        <is>
          <t>,000000000</t>
        </is>
      </c>
      <c r="Z13" t="inlineStr">
        <is>
          <t>,000000000</t>
        </is>
      </c>
      <c r="AA13" t="inlineStr">
        <is>
          <t>,000000000</t>
        </is>
      </c>
      <c r="AB13" t="inlineStr">
        <is>
          <t>3</t>
        </is>
      </c>
      <c r="AC13" t="inlineStr">
        <is>
          <t>3</t>
        </is>
      </c>
      <c r="AD13" s="3">
        <f>UPPER(C3)</f>
        <v/>
      </c>
      <c r="AE13" s="3">
        <f>VLOOKUP(E3,'[1]Nómina Agentes'!$C:$D,3,0)</f>
        <v/>
      </c>
      <c r="AF13" s="5">
        <f>F3</f>
        <v/>
      </c>
      <c r="AG13" s="5">
        <f>H3</f>
        <v/>
      </c>
    </row>
    <row r="14">
      <c r="A14" s="1" t="inlineStr">
        <is>
          <t>9/10/2024</t>
        </is>
      </c>
      <c r="B14" t="inlineStr">
        <is>
          <t>925</t>
        </is>
      </c>
      <c r="C14" t="inlineStr">
        <is>
          <t>S2S Premium</t>
        </is>
      </c>
      <c r="D14" t="inlineStr">
        <is>
          <t>P_Ferreyra, Tomas</t>
        </is>
      </c>
      <c r="E14" t="inlineStr">
        <is>
          <t>605580</t>
        </is>
      </c>
      <c r="F14" s="2" t="inlineStr">
        <is>
          <t>10:00</t>
        </is>
      </c>
      <c r="G14" t="inlineStr">
        <is>
          <t>-</t>
        </is>
      </c>
      <c r="H14" s="2" t="inlineStr">
        <is>
          <t>10:30</t>
        </is>
      </c>
      <c r="I14" t="inlineStr">
        <is>
          <t>258,000000000</t>
        </is>
      </c>
      <c r="J14" t="inlineStr">
        <is>
          <t>,000000000</t>
        </is>
      </c>
      <c r="K14" t="inlineStr">
        <is>
          <t>,000000000</t>
        </is>
      </c>
      <c r="L14" t="inlineStr">
        <is>
          <t>8,000000000</t>
        </is>
      </c>
      <c r="M14" t="inlineStr">
        <is>
          <t>,000000000</t>
        </is>
      </c>
      <c r="N14" t="inlineStr">
        <is>
          <t>,000000000</t>
        </is>
      </c>
      <c r="O14" t="inlineStr">
        <is>
          <t>,000000000</t>
        </is>
      </c>
      <c r="P14" t="inlineStr">
        <is>
          <t>,000000000</t>
        </is>
      </c>
      <c r="Q14" t="inlineStr">
        <is>
          <t>,000000000</t>
        </is>
      </c>
      <c r="R14" t="inlineStr">
        <is>
          <t>,000000000</t>
        </is>
      </c>
      <c r="S14" t="inlineStr">
        <is>
          <t>,000000000</t>
        </is>
      </c>
      <c r="T14" t="inlineStr">
        <is>
          <t>,000000000</t>
        </is>
      </c>
      <c r="U14" t="inlineStr">
        <is>
          <t>,000000000</t>
        </is>
      </c>
      <c r="V14" t="inlineStr">
        <is>
          <t>,000000000</t>
        </is>
      </c>
      <c r="W14" t="inlineStr">
        <is>
          <t>,000000000</t>
        </is>
      </c>
      <c r="X14" t="inlineStr">
        <is>
          <t>,000000000</t>
        </is>
      </c>
      <c r="Y14" t="inlineStr">
        <is>
          <t>,000000000</t>
        </is>
      </c>
      <c r="Z14" t="inlineStr">
        <is>
          <t>,000000000</t>
        </is>
      </c>
      <c r="AA14" t="inlineStr">
        <is>
          <t>,000000000</t>
        </is>
      </c>
      <c r="AB14" t="inlineStr">
        <is>
          <t>1</t>
        </is>
      </c>
      <c r="AC14" t="inlineStr">
        <is>
          <t>0</t>
        </is>
      </c>
      <c r="AD14" s="3">
        <f>UPPER(C3)</f>
        <v/>
      </c>
      <c r="AE14" s="3">
        <f>VLOOKUP(E3,'[1]Nómina Agentes'!$C:$D,3,0)</f>
        <v/>
      </c>
      <c r="AF14" s="5">
        <f>F3</f>
        <v/>
      </c>
      <c r="AG14" s="5">
        <f>H3</f>
        <v/>
      </c>
    </row>
    <row r="15">
      <c r="A15" s="1" t="inlineStr">
        <is>
          <t>9/10/2024</t>
        </is>
      </c>
      <c r="B15" t="inlineStr">
        <is>
          <t>925</t>
        </is>
      </c>
      <c r="C15" t="inlineStr">
        <is>
          <t>S2S Premium</t>
        </is>
      </c>
      <c r="D15" t="inlineStr">
        <is>
          <t>P_Ferreyra, Tomas</t>
        </is>
      </c>
      <c r="E15" t="inlineStr">
        <is>
          <t>605580</t>
        </is>
      </c>
      <c r="F15" s="2" t="inlineStr">
        <is>
          <t>10:30</t>
        </is>
      </c>
      <c r="G15" t="inlineStr">
        <is>
          <t>-</t>
        </is>
      </c>
      <c r="H15" s="2" t="inlineStr">
        <is>
          <t>11:00</t>
        </is>
      </c>
      <c r="I15" t="inlineStr">
        <is>
          <t>748,000000000</t>
        </is>
      </c>
      <c r="J15" t="inlineStr">
        <is>
          <t>86,000000000</t>
        </is>
      </c>
      <c r="K15" t="inlineStr">
        <is>
          <t>,000000000</t>
        </is>
      </c>
      <c r="L15" t="inlineStr">
        <is>
          <t>45,000000000</t>
        </is>
      </c>
      <c r="M15" t="inlineStr">
        <is>
          <t>,000000000</t>
        </is>
      </c>
      <c r="N15" t="inlineStr">
        <is>
          <t>,000000000</t>
        </is>
      </c>
      <c r="O15" t="inlineStr">
        <is>
          <t>,000000000</t>
        </is>
      </c>
      <c r="P15" t="inlineStr">
        <is>
          <t>3,000000000</t>
        </is>
      </c>
      <c r="Q15" t="inlineStr">
        <is>
          <t>,000000000</t>
        </is>
      </c>
      <c r="R15" t="inlineStr">
        <is>
          <t>,000000000</t>
        </is>
      </c>
      <c r="S15" t="inlineStr">
        <is>
          <t>,000000000</t>
        </is>
      </c>
      <c r="T15" t="inlineStr">
        <is>
          <t>,000000000</t>
        </is>
      </c>
      <c r="U15" t="inlineStr">
        <is>
          <t>,000000000</t>
        </is>
      </c>
      <c r="V15" t="inlineStr">
        <is>
          <t>,000000000</t>
        </is>
      </c>
      <c r="W15" t="inlineStr">
        <is>
          <t>,000000000</t>
        </is>
      </c>
      <c r="X15" t="inlineStr">
        <is>
          <t>,000000000</t>
        </is>
      </c>
      <c r="Y15" t="inlineStr">
        <is>
          <t>,000000000</t>
        </is>
      </c>
      <c r="Z15" t="inlineStr">
        <is>
          <t>,000000000</t>
        </is>
      </c>
      <c r="AA15" t="inlineStr">
        <is>
          <t>,000000000</t>
        </is>
      </c>
      <c r="AB15" t="inlineStr">
        <is>
          <t>4</t>
        </is>
      </c>
      <c r="AC15" t="inlineStr">
        <is>
          <t>3</t>
        </is>
      </c>
      <c r="AD15" s="3">
        <f>UPPER(C3)</f>
        <v/>
      </c>
      <c r="AE15" s="3">
        <f>VLOOKUP(E3,'[1]Nómina Agentes'!$C:$D,3,0)</f>
        <v/>
      </c>
      <c r="AF15" s="5">
        <f>F3</f>
        <v/>
      </c>
      <c r="AG15" s="5">
        <f>H3</f>
        <v/>
      </c>
    </row>
    <row r="16">
      <c r="A16" s="1" t="inlineStr">
        <is>
          <t>9/10/2024</t>
        </is>
      </c>
      <c r="B16" t="inlineStr">
        <is>
          <t>924</t>
        </is>
      </c>
      <c r="C16" t="inlineStr">
        <is>
          <t>S2S No Premium</t>
        </is>
      </c>
      <c r="D16" t="inlineStr">
        <is>
          <t>N2m_Bertucci Agost</t>
        </is>
      </c>
      <c r="E16" t="inlineStr">
        <is>
          <t>605591</t>
        </is>
      </c>
      <c r="F16" s="2" t="inlineStr">
        <is>
          <t>09:30</t>
        </is>
      </c>
      <c r="G16" t="inlineStr">
        <is>
          <t>-</t>
        </is>
      </c>
      <c r="H16" s="2" t="inlineStr">
        <is>
          <t>10:00</t>
        </is>
      </c>
      <c r="I16" t="inlineStr">
        <is>
          <t>8,000000000</t>
        </is>
      </c>
      <c r="J16" t="inlineStr">
        <is>
          <t>,000000000</t>
        </is>
      </c>
      <c r="K16" t="inlineStr">
        <is>
          <t>,000000000</t>
        </is>
      </c>
      <c r="L16" t="inlineStr">
        <is>
          <t>10,000000000</t>
        </is>
      </c>
      <c r="M16" t="inlineStr">
        <is>
          <t>,000000000</t>
        </is>
      </c>
      <c r="N16" t="inlineStr">
        <is>
          <t>,000000000</t>
        </is>
      </c>
      <c r="O16" t="inlineStr">
        <is>
          <t>,000000000</t>
        </is>
      </c>
      <c r="P16" t="inlineStr">
        <is>
          <t>,000000000</t>
        </is>
      </c>
      <c r="Q16" t="inlineStr">
        <is>
          <t>,000000000</t>
        </is>
      </c>
      <c r="R16" t="inlineStr">
        <is>
          <t>,000000000</t>
        </is>
      </c>
      <c r="S16" t="inlineStr">
        <is>
          <t>,000000000</t>
        </is>
      </c>
      <c r="T16" t="inlineStr">
        <is>
          <t>,000000000</t>
        </is>
      </c>
      <c r="U16" t="inlineStr">
        <is>
          <t>,000000000</t>
        </is>
      </c>
      <c r="V16" t="inlineStr">
        <is>
          <t>,000000000</t>
        </is>
      </c>
      <c r="W16" t="inlineStr">
        <is>
          <t>,000000000</t>
        </is>
      </c>
      <c r="X16" t="inlineStr">
        <is>
          <t>,000000000</t>
        </is>
      </c>
      <c r="Y16" t="inlineStr">
        <is>
          <t>,000000000</t>
        </is>
      </c>
      <c r="Z16" t="inlineStr">
        <is>
          <t>,000000000</t>
        </is>
      </c>
      <c r="AA16" t="inlineStr">
        <is>
          <t>,000000000</t>
        </is>
      </c>
      <c r="AB16" t="inlineStr">
        <is>
          <t>0</t>
        </is>
      </c>
      <c r="AC16" t="inlineStr">
        <is>
          <t>0</t>
        </is>
      </c>
      <c r="AD16" s="3">
        <f>UPPER(C3)</f>
        <v/>
      </c>
      <c r="AE16" s="3">
        <f>VLOOKUP(E3,'[1]Nómina Agentes'!$C:$D,3,0)</f>
        <v/>
      </c>
      <c r="AF16" s="5">
        <f>F3</f>
        <v/>
      </c>
      <c r="AG16" s="5">
        <f>H3</f>
        <v/>
      </c>
    </row>
    <row r="17">
      <c r="A17" s="1" t="inlineStr">
        <is>
          <t>9/10/2024</t>
        </is>
      </c>
      <c r="B17" t="inlineStr">
        <is>
          <t>924</t>
        </is>
      </c>
      <c r="C17" t="inlineStr">
        <is>
          <t>S2S No Premium</t>
        </is>
      </c>
      <c r="D17" t="inlineStr">
        <is>
          <t>N2m_Bertucci Agost</t>
        </is>
      </c>
      <c r="E17" t="inlineStr">
        <is>
          <t>605591</t>
        </is>
      </c>
      <c r="F17" s="2" t="inlineStr">
        <is>
          <t>10:00</t>
        </is>
      </c>
      <c r="G17" t="inlineStr">
        <is>
          <t>-</t>
        </is>
      </c>
      <c r="H17" s="2" t="inlineStr">
        <is>
          <t>10:30</t>
        </is>
      </c>
      <c r="I17" t="inlineStr">
        <is>
          <t>443,000000000</t>
        </is>
      </c>
      <c r="J17" t="inlineStr">
        <is>
          <t>,000000000</t>
        </is>
      </c>
      <c r="K17" t="inlineStr">
        <is>
          <t>,000000000</t>
        </is>
      </c>
      <c r="L17" t="inlineStr">
        <is>
          <t>18,000000000</t>
        </is>
      </c>
      <c r="M17" t="inlineStr">
        <is>
          <t>,000000000</t>
        </is>
      </c>
      <c r="N17" t="inlineStr">
        <is>
          <t>,000000000</t>
        </is>
      </c>
      <c r="O17" t="inlineStr">
        <is>
          <t>,000000000</t>
        </is>
      </c>
      <c r="P17" t="inlineStr">
        <is>
          <t>1,000000000</t>
        </is>
      </c>
      <c r="Q17" t="inlineStr">
        <is>
          <t>,000000000</t>
        </is>
      </c>
      <c r="R17" t="inlineStr">
        <is>
          <t>,000000000</t>
        </is>
      </c>
      <c r="S17" t="inlineStr">
        <is>
          <t>,000000000</t>
        </is>
      </c>
      <c r="T17" t="inlineStr">
        <is>
          <t>,000000000</t>
        </is>
      </c>
      <c r="U17" t="inlineStr">
        <is>
          <t>,000000000</t>
        </is>
      </c>
      <c r="V17" t="inlineStr">
        <is>
          <t>,000000000</t>
        </is>
      </c>
      <c r="W17" t="inlineStr">
        <is>
          <t>,000000000</t>
        </is>
      </c>
      <c r="X17" t="inlineStr">
        <is>
          <t>,000000000</t>
        </is>
      </c>
      <c r="Y17" t="inlineStr">
        <is>
          <t>,000000000</t>
        </is>
      </c>
      <c r="Z17" t="inlineStr">
        <is>
          <t>,000000000</t>
        </is>
      </c>
      <c r="AA17" t="inlineStr">
        <is>
          <t>,000000000</t>
        </is>
      </c>
      <c r="AB17" t="inlineStr">
        <is>
          <t>3</t>
        </is>
      </c>
      <c r="AC17" t="inlineStr">
        <is>
          <t>1</t>
        </is>
      </c>
      <c r="AD17" s="3">
        <f>UPPER(C3)</f>
        <v/>
      </c>
      <c r="AE17" s="3">
        <f>VLOOKUP(E3,'[1]Nómina Agentes'!$C:$D,3,0)</f>
        <v/>
      </c>
      <c r="AF17" s="5">
        <f>F3</f>
        <v/>
      </c>
      <c r="AG17" s="5">
        <f>H3</f>
        <v/>
      </c>
    </row>
    <row r="18">
      <c r="A18" s="1" t="inlineStr">
        <is>
          <t>9/10/2024</t>
        </is>
      </c>
      <c r="B18" t="inlineStr">
        <is>
          <t>924</t>
        </is>
      </c>
      <c r="C18" t="inlineStr">
        <is>
          <t>S2S No Premium</t>
        </is>
      </c>
      <c r="D18" t="inlineStr">
        <is>
          <t>N2_Soto Jesus Agust</t>
        </is>
      </c>
      <c r="E18" t="inlineStr">
        <is>
          <t>605643</t>
        </is>
      </c>
      <c r="F18" s="2" t="inlineStr">
        <is>
          <t>08:30</t>
        </is>
      </c>
      <c r="G18" t="inlineStr">
        <is>
          <t>-</t>
        </is>
      </c>
      <c r="H18" s="2" t="inlineStr">
        <is>
          <t>09:00</t>
        </is>
      </c>
      <c r="I18" t="inlineStr">
        <is>
          <t>,000000000</t>
        </is>
      </c>
      <c r="J18" t="inlineStr">
        <is>
          <t>,000000000</t>
        </is>
      </c>
      <c r="K18" t="inlineStr">
        <is>
          <t>,000000000</t>
        </is>
      </c>
      <c r="L18" t="inlineStr">
        <is>
          <t>,000000000</t>
        </is>
      </c>
      <c r="M18" t="inlineStr">
        <is>
          <t>,000000000</t>
        </is>
      </c>
      <c r="N18" t="inlineStr">
        <is>
          <t>,000000000</t>
        </is>
      </c>
      <c r="O18" t="inlineStr">
        <is>
          <t>,000000000</t>
        </is>
      </c>
      <c r="P18" t="inlineStr">
        <is>
          <t>,000000000</t>
        </is>
      </c>
      <c r="Q18" t="inlineStr">
        <is>
          <t>,000000000</t>
        </is>
      </c>
      <c r="R18" t="inlineStr">
        <is>
          <t>,000000000</t>
        </is>
      </c>
      <c r="S18" t="inlineStr">
        <is>
          <t>,000000000</t>
        </is>
      </c>
      <c r="T18" t="inlineStr">
        <is>
          <t>,000000000</t>
        </is>
      </c>
      <c r="U18" t="inlineStr">
        <is>
          <t>,000000000</t>
        </is>
      </c>
      <c r="V18" t="inlineStr">
        <is>
          <t>,000000000</t>
        </is>
      </c>
      <c r="W18" t="inlineStr">
        <is>
          <t>,000000000</t>
        </is>
      </c>
      <c r="X18" t="inlineStr">
        <is>
          <t>,000000000</t>
        </is>
      </c>
      <c r="Y18" t="inlineStr">
        <is>
          <t>,000000000</t>
        </is>
      </c>
      <c r="Z18" t="inlineStr">
        <is>
          <t>,000000000</t>
        </is>
      </c>
      <c r="AA18" t="inlineStr">
        <is>
          <t>,000000000</t>
        </is>
      </c>
      <c r="AB18" t="inlineStr">
        <is>
          <t>0</t>
        </is>
      </c>
      <c r="AC18" t="inlineStr">
        <is>
          <t>0</t>
        </is>
      </c>
      <c r="AD18" s="3">
        <f>UPPER(C3)</f>
        <v/>
      </c>
      <c r="AE18" s="3">
        <f>VLOOKUP(E3,'[1]Nómina Agentes'!$C:$D,3,0)</f>
        <v/>
      </c>
      <c r="AF18" s="5">
        <f>F3</f>
        <v/>
      </c>
      <c r="AG18" s="5">
        <f>H3</f>
        <v/>
      </c>
    </row>
    <row r="19">
      <c r="A19" s="1" t="inlineStr">
        <is>
          <t>9/10/2024</t>
        </is>
      </c>
      <c r="B19" t="inlineStr">
        <is>
          <t>925</t>
        </is>
      </c>
      <c r="C19" t="inlineStr">
        <is>
          <t>S2S Premium</t>
        </is>
      </c>
      <c r="D19" t="inlineStr">
        <is>
          <t>Pm_Garretto Milagro</t>
        </is>
      </c>
      <c r="E19" t="inlineStr">
        <is>
          <t>605660</t>
        </is>
      </c>
      <c r="F19" s="2" t="inlineStr">
        <is>
          <t>06:00</t>
        </is>
      </c>
      <c r="G19" t="inlineStr">
        <is>
          <t>-</t>
        </is>
      </c>
      <c r="H19" s="2" t="inlineStr">
        <is>
          <t>06:30</t>
        </is>
      </c>
      <c r="I19" t="inlineStr">
        <is>
          <t>,000000000</t>
        </is>
      </c>
      <c r="J19" t="inlineStr">
        <is>
          <t>,000000000</t>
        </is>
      </c>
      <c r="K19" t="inlineStr">
        <is>
          <t>,000000000</t>
        </is>
      </c>
      <c r="L19" t="inlineStr">
        <is>
          <t>,000000000</t>
        </is>
      </c>
      <c r="M19" t="inlineStr">
        <is>
          <t>,000000000</t>
        </is>
      </c>
      <c r="N19" t="inlineStr">
        <is>
          <t>,000000000</t>
        </is>
      </c>
      <c r="O19" t="inlineStr">
        <is>
          <t>,000000000</t>
        </is>
      </c>
      <c r="P19" t="inlineStr">
        <is>
          <t>,000000000</t>
        </is>
      </c>
      <c r="Q19" t="inlineStr">
        <is>
          <t>,000000000</t>
        </is>
      </c>
      <c r="R19" t="inlineStr">
        <is>
          <t>,000000000</t>
        </is>
      </c>
      <c r="S19" t="inlineStr">
        <is>
          <t>,000000000</t>
        </is>
      </c>
      <c r="T19" t="inlineStr">
        <is>
          <t>,000000000</t>
        </is>
      </c>
      <c r="U19" t="inlineStr">
        <is>
          <t>,000000000</t>
        </is>
      </c>
      <c r="V19" t="inlineStr">
        <is>
          <t>,000000000</t>
        </is>
      </c>
      <c r="W19" t="inlineStr">
        <is>
          <t>,000000000</t>
        </is>
      </c>
      <c r="X19" t="inlineStr">
        <is>
          <t>,000000000</t>
        </is>
      </c>
      <c r="Y19" t="inlineStr">
        <is>
          <t>,000000000</t>
        </is>
      </c>
      <c r="Z19" t="inlineStr">
        <is>
          <t>,000000000</t>
        </is>
      </c>
      <c r="AA19" t="inlineStr">
        <is>
          <t>,000000000</t>
        </is>
      </c>
      <c r="AB19" t="inlineStr">
        <is>
          <t>0</t>
        </is>
      </c>
      <c r="AC19" t="inlineStr">
        <is>
          <t>0</t>
        </is>
      </c>
      <c r="AD19" s="3">
        <f>UPPER(C3)</f>
        <v/>
      </c>
      <c r="AE19" s="3">
        <f>VLOOKUP(E3,'[1]Nómina Agentes'!$C:$D,3,0)</f>
        <v/>
      </c>
      <c r="AF19" s="5">
        <f>F3</f>
        <v/>
      </c>
      <c r="AG19" s="5">
        <f>H3</f>
        <v/>
      </c>
    </row>
    <row r="20">
      <c r="A20" s="1" t="inlineStr">
        <is>
          <t>9/10/2024</t>
        </is>
      </c>
      <c r="B20" t="inlineStr">
        <is>
          <t>925</t>
        </is>
      </c>
      <c r="C20" t="inlineStr">
        <is>
          <t>S2S Premium</t>
        </is>
      </c>
      <c r="D20" t="inlineStr">
        <is>
          <t>Pm_Garretto Milagro</t>
        </is>
      </c>
      <c r="E20" t="inlineStr">
        <is>
          <t>605660</t>
        </is>
      </c>
      <c r="F20" s="2" t="inlineStr">
        <is>
          <t>11:00</t>
        </is>
      </c>
      <c r="G20" t="inlineStr">
        <is>
          <t>-</t>
        </is>
      </c>
      <c r="H20" s="2" t="inlineStr">
        <is>
          <t>11:30</t>
        </is>
      </c>
      <c r="I20" t="inlineStr">
        <is>
          <t>349,000000000</t>
        </is>
      </c>
      <c r="J20" t="inlineStr">
        <is>
          <t>,000000000</t>
        </is>
      </c>
      <c r="K20" t="inlineStr">
        <is>
          <t>,000000000</t>
        </is>
      </c>
      <c r="L20" t="inlineStr">
        <is>
          <t>4,000000000</t>
        </is>
      </c>
      <c r="M20" t="inlineStr">
        <is>
          <t>,000000000</t>
        </is>
      </c>
      <c r="N20" t="inlineStr">
        <is>
          <t>,000000000</t>
        </is>
      </c>
      <c r="O20" t="inlineStr">
        <is>
          <t>,000000000</t>
        </is>
      </c>
      <c r="P20" t="inlineStr">
        <is>
          <t>348,000000000</t>
        </is>
      </c>
      <c r="Q20" t="inlineStr">
        <is>
          <t>1,000000000</t>
        </is>
      </c>
      <c r="R20" t="inlineStr">
        <is>
          <t>,000000000</t>
        </is>
      </c>
      <c r="S20" t="inlineStr">
        <is>
          <t>,000000000</t>
        </is>
      </c>
      <c r="T20" t="inlineStr">
        <is>
          <t>,000000000</t>
        </is>
      </c>
      <c r="U20" t="inlineStr">
        <is>
          <t>,000000000</t>
        </is>
      </c>
      <c r="V20" t="inlineStr">
        <is>
          <t>,000000000</t>
        </is>
      </c>
      <c r="W20" t="inlineStr">
        <is>
          <t>,000000000</t>
        </is>
      </c>
      <c r="X20" t="inlineStr">
        <is>
          <t>,000000000</t>
        </is>
      </c>
      <c r="Y20" t="inlineStr">
        <is>
          <t>,000000000</t>
        </is>
      </c>
      <c r="Z20" t="inlineStr">
        <is>
          <t>,000000000</t>
        </is>
      </c>
      <c r="AA20" t="inlineStr">
        <is>
          <t>,000000000</t>
        </is>
      </c>
      <c r="AB20" t="inlineStr">
        <is>
          <t>2</t>
        </is>
      </c>
      <c r="AC20" t="inlineStr">
        <is>
          <t>1</t>
        </is>
      </c>
      <c r="AD20" s="3">
        <f>UPPER(C3)</f>
        <v/>
      </c>
      <c r="AE20" s="3">
        <f>VLOOKUP(E3,'[1]Nómina Agentes'!$C:$D,3,0)</f>
        <v/>
      </c>
      <c r="AF20" s="5">
        <f>F3</f>
        <v/>
      </c>
      <c r="AG20" s="5">
        <f>H3</f>
        <v/>
      </c>
    </row>
    <row r="21">
      <c r="A21" s="1" t="inlineStr">
        <is>
          <t>9/10/2024</t>
        </is>
      </c>
      <c r="B21" t="inlineStr">
        <is>
          <t>925</t>
        </is>
      </c>
      <c r="C21" t="inlineStr">
        <is>
          <t>S2S Premium</t>
        </is>
      </c>
      <c r="D21" t="inlineStr">
        <is>
          <t>Pm_Garretto Milagro</t>
        </is>
      </c>
      <c r="E21" t="inlineStr">
        <is>
          <t>605660</t>
        </is>
      </c>
      <c r="F21" s="2" t="inlineStr">
        <is>
          <t>07:30</t>
        </is>
      </c>
      <c r="G21" t="inlineStr">
        <is>
          <t>-</t>
        </is>
      </c>
      <c r="H21" s="2" t="inlineStr">
        <is>
          <t>08:00</t>
        </is>
      </c>
      <c r="I21" t="inlineStr">
        <is>
          <t>441,000000000</t>
        </is>
      </c>
      <c r="J21" t="inlineStr">
        <is>
          <t>,000000000</t>
        </is>
      </c>
      <c r="K21" t="inlineStr">
        <is>
          <t>,000000000</t>
        </is>
      </c>
      <c r="L21" t="inlineStr">
        <is>
          <t>,000000000</t>
        </is>
      </c>
      <c r="M21" t="inlineStr">
        <is>
          <t>,000000000</t>
        </is>
      </c>
      <c r="N21" t="inlineStr">
        <is>
          <t>,000000000</t>
        </is>
      </c>
      <c r="O21" t="inlineStr">
        <is>
          <t>,000000000</t>
        </is>
      </c>
      <c r="P21" t="inlineStr">
        <is>
          <t>101,000000000</t>
        </is>
      </c>
      <c r="Q21" t="inlineStr">
        <is>
          <t>,000000000</t>
        </is>
      </c>
      <c r="R21" t="inlineStr">
        <is>
          <t>,000000000</t>
        </is>
      </c>
      <c r="S21" t="inlineStr">
        <is>
          <t>,000000000</t>
        </is>
      </c>
      <c r="T21" t="inlineStr">
        <is>
          <t>,000000000</t>
        </is>
      </c>
      <c r="U21" t="inlineStr">
        <is>
          <t>,000000000</t>
        </is>
      </c>
      <c r="V21" t="inlineStr">
        <is>
          <t>,000000000</t>
        </is>
      </c>
      <c r="W21" t="inlineStr">
        <is>
          <t>,000000000</t>
        </is>
      </c>
      <c r="X21" t="inlineStr">
        <is>
          <t>,000000000</t>
        </is>
      </c>
      <c r="Y21" t="inlineStr">
        <is>
          <t>,000000000</t>
        </is>
      </c>
      <c r="Z21" t="inlineStr">
        <is>
          <t>,000000000</t>
        </is>
      </c>
      <c r="AA21" t="inlineStr">
        <is>
          <t>,000000000</t>
        </is>
      </c>
      <c r="AB21" t="inlineStr">
        <is>
          <t>1</t>
        </is>
      </c>
      <c r="AC21" t="inlineStr">
        <is>
          <t>1</t>
        </is>
      </c>
      <c r="AD21" s="3">
        <f>UPPER(C3)</f>
        <v/>
      </c>
      <c r="AE21" s="3">
        <f>VLOOKUP(E3,'[1]Nómina Agentes'!$C:$D,3,0)</f>
        <v/>
      </c>
      <c r="AF21" s="5">
        <f>F3</f>
        <v/>
      </c>
      <c r="AG21" s="5">
        <f>H3</f>
        <v/>
      </c>
    </row>
    <row r="22">
      <c r="A22" s="1" t="inlineStr">
        <is>
          <t>9/10/2024</t>
        </is>
      </c>
      <c r="B22" t="inlineStr">
        <is>
          <t>925</t>
        </is>
      </c>
      <c r="C22" t="inlineStr">
        <is>
          <t>S2S Premium</t>
        </is>
      </c>
      <c r="D22" t="inlineStr">
        <is>
          <t>Pm_Garretto Milagro</t>
        </is>
      </c>
      <c r="E22" t="inlineStr">
        <is>
          <t>605660</t>
        </is>
      </c>
      <c r="F22" s="2" t="inlineStr">
        <is>
          <t>07:00</t>
        </is>
      </c>
      <c r="G22" t="inlineStr">
        <is>
          <t>-</t>
        </is>
      </c>
      <c r="H22" s="2" t="inlineStr">
        <is>
          <t>07:30</t>
        </is>
      </c>
      <c r="I22" t="inlineStr">
        <is>
          <t>491,000000000</t>
        </is>
      </c>
      <c r="J22" t="inlineStr">
        <is>
          <t>,000000000</t>
        </is>
      </c>
      <c r="K22" t="inlineStr">
        <is>
          <t>,000000000</t>
        </is>
      </c>
      <c r="L22" t="inlineStr">
        <is>
          <t>8,000000000</t>
        </is>
      </c>
      <c r="M22" t="inlineStr">
        <is>
          <t>,000000000</t>
        </is>
      </c>
      <c r="N22" t="inlineStr">
        <is>
          <t>,000000000</t>
        </is>
      </c>
      <c r="O22" t="inlineStr">
        <is>
          <t>,000000000</t>
        </is>
      </c>
      <c r="P22" t="inlineStr">
        <is>
          <t>82,000000000</t>
        </is>
      </c>
      <c r="Q22" t="inlineStr">
        <is>
          <t>39,000000000</t>
        </is>
      </c>
      <c r="R22" t="inlineStr">
        <is>
          <t>,000000000</t>
        </is>
      </c>
      <c r="S22" t="inlineStr">
        <is>
          <t>,000000000</t>
        </is>
      </c>
      <c r="T22" t="inlineStr">
        <is>
          <t>,000000000</t>
        </is>
      </c>
      <c r="U22" t="inlineStr">
        <is>
          <t>,000000000</t>
        </is>
      </c>
      <c r="V22" t="inlineStr">
        <is>
          <t>,000000000</t>
        </is>
      </c>
      <c r="W22" t="inlineStr">
        <is>
          <t>,000000000</t>
        </is>
      </c>
      <c r="X22" t="inlineStr">
        <is>
          <t>,000000000</t>
        </is>
      </c>
      <c r="Y22" t="inlineStr">
        <is>
          <t>,000000000</t>
        </is>
      </c>
      <c r="Z22" t="inlineStr">
        <is>
          <t>,000000000</t>
        </is>
      </c>
      <c r="AA22" t="inlineStr">
        <is>
          <t>,000000000</t>
        </is>
      </c>
      <c r="AB22" t="inlineStr">
        <is>
          <t>2</t>
        </is>
      </c>
      <c r="AC22" t="inlineStr">
        <is>
          <t>2</t>
        </is>
      </c>
      <c r="AD22" s="3">
        <f>UPPER(C3)</f>
        <v/>
      </c>
      <c r="AE22" s="3">
        <f>VLOOKUP(E3,'[1]Nómina Agentes'!$C:$D,3,0)</f>
        <v/>
      </c>
      <c r="AF22" s="5">
        <f>F3</f>
        <v/>
      </c>
      <c r="AG22" s="5">
        <f>H3</f>
        <v/>
      </c>
    </row>
    <row r="23">
      <c r="A23" s="1" t="inlineStr">
        <is>
          <t>9/10/2024</t>
        </is>
      </c>
      <c r="B23" t="inlineStr">
        <is>
          <t>925</t>
        </is>
      </c>
      <c r="C23" t="inlineStr">
        <is>
          <t>S2S Premium</t>
        </is>
      </c>
      <c r="D23" t="inlineStr">
        <is>
          <t>Pm_Garretto Milagro</t>
        </is>
      </c>
      <c r="E23" t="inlineStr">
        <is>
          <t>605660</t>
        </is>
      </c>
      <c r="F23" s="2" t="inlineStr">
        <is>
          <t>08:00</t>
        </is>
      </c>
      <c r="G23" t="inlineStr">
        <is>
          <t>-</t>
        </is>
      </c>
      <c r="H23" s="2" t="inlineStr">
        <is>
          <t>08:30</t>
        </is>
      </c>
      <c r="I23" t="inlineStr">
        <is>
          <t>511,000000000</t>
        </is>
      </c>
      <c r="J23" t="inlineStr">
        <is>
          <t>,000000000</t>
        </is>
      </c>
      <c r="K23" t="inlineStr">
        <is>
          <t>,000000000</t>
        </is>
      </c>
      <c r="L23" t="inlineStr">
        <is>
          <t>12,000000000</t>
        </is>
      </c>
      <c r="M23" t="inlineStr">
        <is>
          <t>,000000000</t>
        </is>
      </c>
      <c r="N23" t="inlineStr">
        <is>
          <t>,000000000</t>
        </is>
      </c>
      <c r="O23" t="inlineStr">
        <is>
          <t>,000000000</t>
        </is>
      </c>
      <c r="P23" t="inlineStr">
        <is>
          <t>2,000000000</t>
        </is>
      </c>
      <c r="Q23" t="inlineStr">
        <is>
          <t>,000000000</t>
        </is>
      </c>
      <c r="R23" t="inlineStr">
        <is>
          <t>,000000000</t>
        </is>
      </c>
      <c r="S23" t="inlineStr">
        <is>
          <t>,000000000</t>
        </is>
      </c>
      <c r="T23" t="inlineStr">
        <is>
          <t>,000000000</t>
        </is>
      </c>
      <c r="U23" t="inlineStr">
        <is>
          <t>,000000000</t>
        </is>
      </c>
      <c r="V23" t="inlineStr">
        <is>
          <t>,000000000</t>
        </is>
      </c>
      <c r="W23" t="inlineStr">
        <is>
          <t>,000000000</t>
        </is>
      </c>
      <c r="X23" t="inlineStr">
        <is>
          <t>,000000000</t>
        </is>
      </c>
      <c r="Y23" t="inlineStr">
        <is>
          <t>,000000000</t>
        </is>
      </c>
      <c r="Z23" t="inlineStr">
        <is>
          <t>,000000000</t>
        </is>
      </c>
      <c r="AA23" t="inlineStr">
        <is>
          <t>,000000000</t>
        </is>
      </c>
      <c r="AB23" t="inlineStr">
        <is>
          <t>2</t>
        </is>
      </c>
      <c r="AC23" t="inlineStr">
        <is>
          <t>2</t>
        </is>
      </c>
      <c r="AD23" s="3">
        <f>UPPER(C3)</f>
        <v/>
      </c>
      <c r="AE23" s="3">
        <f>VLOOKUP(E3,'[1]Nómina Agentes'!$C:$D,3,0)</f>
        <v/>
      </c>
      <c r="AF23" s="5">
        <f>F3</f>
        <v/>
      </c>
      <c r="AG23" s="5">
        <f>H3</f>
        <v/>
      </c>
    </row>
    <row r="24">
      <c r="A24" s="1" t="inlineStr">
        <is>
          <t>9/10/2024</t>
        </is>
      </c>
      <c r="B24" t="inlineStr">
        <is>
          <t>925</t>
        </is>
      </c>
      <c r="C24" t="inlineStr">
        <is>
          <t>S2S Premium</t>
        </is>
      </c>
      <c r="D24" t="inlineStr">
        <is>
          <t>Pm_Garretto Milagro</t>
        </is>
      </c>
      <c r="E24" t="inlineStr">
        <is>
          <t>605660</t>
        </is>
      </c>
      <c r="F24" s="2" t="inlineStr">
        <is>
          <t>09:00</t>
        </is>
      </c>
      <c r="G24" t="inlineStr">
        <is>
          <t>-</t>
        </is>
      </c>
      <c r="H24" s="2" t="inlineStr">
        <is>
          <t>09:30</t>
        </is>
      </c>
      <c r="I24" t="inlineStr">
        <is>
          <t>609,000000000</t>
        </is>
      </c>
      <c r="J24" t="inlineStr">
        <is>
          <t>,000000000</t>
        </is>
      </c>
      <c r="K24" t="inlineStr">
        <is>
          <t>,000000000</t>
        </is>
      </c>
      <c r="L24" t="inlineStr">
        <is>
          <t>5,000000000</t>
        </is>
      </c>
      <c r="M24" t="inlineStr">
        <is>
          <t>,000000000</t>
        </is>
      </c>
      <c r="N24" t="inlineStr">
        <is>
          <t>,000000000</t>
        </is>
      </c>
      <c r="O24" t="inlineStr">
        <is>
          <t>,000000000</t>
        </is>
      </c>
      <c r="P24" t="inlineStr">
        <is>
          <t>281,000000000</t>
        </is>
      </c>
      <c r="Q24" t="inlineStr">
        <is>
          <t>151,000000000</t>
        </is>
      </c>
      <c r="R24" t="inlineStr">
        <is>
          <t>,000000000</t>
        </is>
      </c>
      <c r="S24" t="inlineStr">
        <is>
          <t>,000000000</t>
        </is>
      </c>
      <c r="T24" t="inlineStr">
        <is>
          <t>,000000000</t>
        </is>
      </c>
      <c r="U24" t="inlineStr">
        <is>
          <t>,000000000</t>
        </is>
      </c>
      <c r="V24" t="inlineStr">
        <is>
          <t>,000000000</t>
        </is>
      </c>
      <c r="W24" t="inlineStr">
        <is>
          <t>,000000000</t>
        </is>
      </c>
      <c r="X24" t="inlineStr">
        <is>
          <t>,000000000</t>
        </is>
      </c>
      <c r="Y24" t="inlineStr">
        <is>
          <t>,000000000</t>
        </is>
      </c>
      <c r="Z24" t="inlineStr">
        <is>
          <t>,000000000</t>
        </is>
      </c>
      <c r="AA24" t="inlineStr">
        <is>
          <t>,000000000</t>
        </is>
      </c>
      <c r="AB24" t="inlineStr">
        <is>
          <t>2</t>
        </is>
      </c>
      <c r="AC24" t="inlineStr">
        <is>
          <t>2</t>
        </is>
      </c>
      <c r="AD24" s="3">
        <f>UPPER(C3)</f>
        <v/>
      </c>
      <c r="AE24" s="3">
        <f>VLOOKUP(E3,'[1]Nómina Agentes'!$C:$D,3,0)</f>
        <v/>
      </c>
      <c r="AF24" s="5">
        <f>F3</f>
        <v/>
      </c>
      <c r="AG24" s="5">
        <f>H3</f>
        <v/>
      </c>
    </row>
    <row r="25">
      <c r="A25" s="1" t="inlineStr">
        <is>
          <t>9/10/2024</t>
        </is>
      </c>
      <c r="B25" t="inlineStr">
        <is>
          <t>925</t>
        </is>
      </c>
      <c r="C25" t="inlineStr">
        <is>
          <t>S2S Premium</t>
        </is>
      </c>
      <c r="D25" t="inlineStr">
        <is>
          <t>Pm_Garretto Milagro</t>
        </is>
      </c>
      <c r="E25" t="inlineStr">
        <is>
          <t>605660</t>
        </is>
      </c>
      <c r="F25" s="2" t="inlineStr">
        <is>
          <t>06:30</t>
        </is>
      </c>
      <c r="G25" t="inlineStr">
        <is>
          <t>-</t>
        </is>
      </c>
      <c r="H25" s="2" t="inlineStr">
        <is>
          <t>07:00</t>
        </is>
      </c>
      <c r="I25" t="inlineStr">
        <is>
          <t>674,000000000</t>
        </is>
      </c>
      <c r="J25" t="inlineStr">
        <is>
          <t>,000000000</t>
        </is>
      </c>
      <c r="K25" t="inlineStr">
        <is>
          <t>,000000000</t>
        </is>
      </c>
      <c r="L25" t="inlineStr">
        <is>
          <t>9,000000000</t>
        </is>
      </c>
      <c r="M25" t="inlineStr">
        <is>
          <t>,000000000</t>
        </is>
      </c>
      <c r="N25" t="inlineStr">
        <is>
          <t>,000000000</t>
        </is>
      </c>
      <c r="O25" t="inlineStr">
        <is>
          <t>,000000000</t>
        </is>
      </c>
      <c r="P25" t="inlineStr">
        <is>
          <t>146,000000000</t>
        </is>
      </c>
      <c r="Q25" t="inlineStr">
        <is>
          <t>,000000000</t>
        </is>
      </c>
      <c r="R25" t="inlineStr">
        <is>
          <t>,000000000</t>
        </is>
      </c>
      <c r="S25" t="inlineStr">
        <is>
          <t>,000000000</t>
        </is>
      </c>
      <c r="T25" t="inlineStr">
        <is>
          <t>,000000000</t>
        </is>
      </c>
      <c r="U25" t="inlineStr">
        <is>
          <t>,000000000</t>
        </is>
      </c>
      <c r="V25" t="inlineStr">
        <is>
          <t>,000000000</t>
        </is>
      </c>
      <c r="W25" t="inlineStr">
        <is>
          <t>,000000000</t>
        </is>
      </c>
      <c r="X25" t="inlineStr">
        <is>
          <t>,000000000</t>
        </is>
      </c>
      <c r="Y25" t="inlineStr">
        <is>
          <t>,000000000</t>
        </is>
      </c>
      <c r="Z25" t="inlineStr">
        <is>
          <t>,000000000</t>
        </is>
      </c>
      <c r="AA25" t="inlineStr">
        <is>
          <t>,000000000</t>
        </is>
      </c>
      <c r="AB25" t="inlineStr">
        <is>
          <t>1</t>
        </is>
      </c>
      <c r="AC25" t="inlineStr">
        <is>
          <t>0</t>
        </is>
      </c>
      <c r="AD25" s="3">
        <f>UPPER(C3)</f>
        <v/>
      </c>
      <c r="AE25" s="3">
        <f>VLOOKUP(E3,'[1]Nómina Agentes'!$C:$D,3,0)</f>
        <v/>
      </c>
      <c r="AF25" s="5">
        <f>F3</f>
        <v/>
      </c>
      <c r="AG25" s="5">
        <f>H3</f>
        <v/>
      </c>
    </row>
    <row r="26">
      <c r="A26" s="1" t="inlineStr">
        <is>
          <t>9/10/2024</t>
        </is>
      </c>
      <c r="B26" t="inlineStr">
        <is>
          <t>925</t>
        </is>
      </c>
      <c r="C26" t="inlineStr">
        <is>
          <t>S2S Premium</t>
        </is>
      </c>
      <c r="D26" t="inlineStr">
        <is>
          <t>Pm_Garretto Milagro</t>
        </is>
      </c>
      <c r="E26" t="inlineStr">
        <is>
          <t>605660</t>
        </is>
      </c>
      <c r="F26" s="2" t="inlineStr">
        <is>
          <t>10:00</t>
        </is>
      </c>
      <c r="G26" t="inlineStr">
        <is>
          <t>-</t>
        </is>
      </c>
      <c r="H26" s="2" t="inlineStr">
        <is>
          <t>10:30</t>
        </is>
      </c>
      <c r="I26" t="inlineStr">
        <is>
          <t>821,000000000</t>
        </is>
      </c>
      <c r="J26" t="inlineStr">
        <is>
          <t>,000000000</t>
        </is>
      </c>
      <c r="K26" t="inlineStr">
        <is>
          <t>,000000000</t>
        </is>
      </c>
      <c r="L26" t="inlineStr">
        <is>
          <t>21,000000000</t>
        </is>
      </c>
      <c r="M26" t="inlineStr">
        <is>
          <t>,000000000</t>
        </is>
      </c>
      <c r="N26" t="inlineStr">
        <is>
          <t>,000000000</t>
        </is>
      </c>
      <c r="O26" t="inlineStr">
        <is>
          <t>,000000000</t>
        </is>
      </c>
      <c r="P26" t="inlineStr">
        <is>
          <t>14,000000000</t>
        </is>
      </c>
      <c r="Q26" t="inlineStr">
        <is>
          <t>,000000000</t>
        </is>
      </c>
      <c r="R26" t="inlineStr">
        <is>
          <t>,000000000</t>
        </is>
      </c>
      <c r="S26" t="inlineStr">
        <is>
          <t>,000000000</t>
        </is>
      </c>
      <c r="T26" t="inlineStr">
        <is>
          <t>,000000000</t>
        </is>
      </c>
      <c r="U26" t="inlineStr">
        <is>
          <t>,000000000</t>
        </is>
      </c>
      <c r="V26" t="inlineStr">
        <is>
          <t>,000000000</t>
        </is>
      </c>
      <c r="W26" t="inlineStr">
        <is>
          <t>,000000000</t>
        </is>
      </c>
      <c r="X26" t="inlineStr">
        <is>
          <t>,000000000</t>
        </is>
      </c>
      <c r="Y26" t="inlineStr">
        <is>
          <t>,000000000</t>
        </is>
      </c>
      <c r="Z26" t="inlineStr">
        <is>
          <t>,000000000</t>
        </is>
      </c>
      <c r="AA26" t="inlineStr">
        <is>
          <t>,000000000</t>
        </is>
      </c>
      <c r="AB26" t="inlineStr">
        <is>
          <t>5</t>
        </is>
      </c>
      <c r="AC26" t="inlineStr">
        <is>
          <t>3</t>
        </is>
      </c>
      <c r="AD26" s="3">
        <f>UPPER(C3)</f>
        <v/>
      </c>
      <c r="AE26" s="3">
        <f>VLOOKUP(E3,'[1]Nómina Agentes'!$C:$D,3,0)</f>
        <v/>
      </c>
      <c r="AF26" s="5">
        <f>F3</f>
        <v/>
      </c>
      <c r="AG26" s="5">
        <f>H3</f>
        <v/>
      </c>
    </row>
    <row r="27">
      <c r="A27" s="1" t="inlineStr">
        <is>
          <t>9/10/2024</t>
        </is>
      </c>
      <c r="B27" t="inlineStr">
        <is>
          <t>925</t>
        </is>
      </c>
      <c r="C27" t="inlineStr">
        <is>
          <t>S2S Premium</t>
        </is>
      </c>
      <c r="D27" t="inlineStr">
        <is>
          <t>Pm_Garretto Milagro</t>
        </is>
      </c>
      <c r="E27" t="inlineStr">
        <is>
          <t>605660</t>
        </is>
      </c>
      <c r="F27" s="2" t="inlineStr">
        <is>
          <t>09:30</t>
        </is>
      </c>
      <c r="G27" t="inlineStr">
        <is>
          <t>-</t>
        </is>
      </c>
      <c r="H27" s="2" t="inlineStr">
        <is>
          <t>10:00</t>
        </is>
      </c>
      <c r="I27" t="inlineStr">
        <is>
          <t>874,000000000</t>
        </is>
      </c>
      <c r="J27" t="inlineStr">
        <is>
          <t>259,000000000</t>
        </is>
      </c>
      <c r="K27" t="inlineStr">
        <is>
          <t>,000000000</t>
        </is>
      </c>
      <c r="L27" t="inlineStr">
        <is>
          <t>21,000000000</t>
        </is>
      </c>
      <c r="M27" t="inlineStr">
        <is>
          <t>,000000000</t>
        </is>
      </c>
      <c r="N27" t="inlineStr">
        <is>
          <t>,000000000</t>
        </is>
      </c>
      <c r="O27" t="inlineStr">
        <is>
          <t>,000000000</t>
        </is>
      </c>
      <c r="P27" t="inlineStr">
        <is>
          <t>260,000000000</t>
        </is>
      </c>
      <c r="Q27" t="inlineStr">
        <is>
          <t>,000000000</t>
        </is>
      </c>
      <c r="R27" t="inlineStr">
        <is>
          <t>,000000000</t>
        </is>
      </c>
      <c r="S27" t="inlineStr">
        <is>
          <t>,000000000</t>
        </is>
      </c>
      <c r="T27" t="inlineStr">
        <is>
          <t>,000000000</t>
        </is>
      </c>
      <c r="U27" t="inlineStr">
        <is>
          <t>,000000000</t>
        </is>
      </c>
      <c r="V27" t="inlineStr">
        <is>
          <t>,000000000</t>
        </is>
      </c>
      <c r="W27" t="inlineStr">
        <is>
          <t>,000000000</t>
        </is>
      </c>
      <c r="X27" t="inlineStr">
        <is>
          <t>,000000000</t>
        </is>
      </c>
      <c r="Y27" t="inlineStr">
        <is>
          <t>,000000000</t>
        </is>
      </c>
      <c r="Z27" t="inlineStr">
        <is>
          <t>,000000000</t>
        </is>
      </c>
      <c r="AA27" t="inlineStr">
        <is>
          <t>,000000000</t>
        </is>
      </c>
      <c r="AB27" t="inlineStr">
        <is>
          <t>5</t>
        </is>
      </c>
      <c r="AC27" t="inlineStr">
        <is>
          <t>3</t>
        </is>
      </c>
      <c r="AD27" s="3">
        <f>UPPER(C3)</f>
        <v/>
      </c>
      <c r="AE27" s="3">
        <f>VLOOKUP(E3,'[1]Nómina Agentes'!$C:$D,3,0)</f>
        <v/>
      </c>
      <c r="AF27" s="5">
        <f>F3</f>
        <v/>
      </c>
      <c r="AG27" s="5">
        <f>H3</f>
        <v/>
      </c>
    </row>
    <row r="28">
      <c r="A28" s="1" t="inlineStr">
        <is>
          <t>9/10/2024</t>
        </is>
      </c>
      <c r="B28" t="inlineStr">
        <is>
          <t>925</t>
        </is>
      </c>
      <c r="C28" t="inlineStr">
        <is>
          <t>S2S Premium</t>
        </is>
      </c>
      <c r="D28" t="inlineStr">
        <is>
          <t>Pm_Garretto Milagro</t>
        </is>
      </c>
      <c r="E28" t="inlineStr">
        <is>
          <t>605660</t>
        </is>
      </c>
      <c r="F28" s="2" t="inlineStr">
        <is>
          <t>10:30</t>
        </is>
      </c>
      <c r="G28" t="inlineStr">
        <is>
          <t>-</t>
        </is>
      </c>
      <c r="H28" s="2" t="inlineStr">
        <is>
          <t>11:00</t>
        </is>
      </c>
      <c r="I28" t="inlineStr">
        <is>
          <t>962,000000000</t>
        </is>
      </c>
      <c r="J28" t="inlineStr">
        <is>
          <t>74,000000000</t>
        </is>
      </c>
      <c r="K28" t="inlineStr">
        <is>
          <t>,000000000</t>
        </is>
      </c>
      <c r="L28" t="inlineStr">
        <is>
          <t>20,000000000</t>
        </is>
      </c>
      <c r="M28" t="inlineStr">
        <is>
          <t>,000000000</t>
        </is>
      </c>
      <c r="N28" t="inlineStr">
        <is>
          <t>,000000000</t>
        </is>
      </c>
      <c r="O28" t="inlineStr">
        <is>
          <t>,000000000</t>
        </is>
      </c>
      <c r="P28" t="inlineStr">
        <is>
          <t>158,000000000</t>
        </is>
      </c>
      <c r="Q28" t="inlineStr">
        <is>
          <t>84,000000000</t>
        </is>
      </c>
      <c r="R28" t="inlineStr">
        <is>
          <t>,000000000</t>
        </is>
      </c>
      <c r="S28" t="inlineStr">
        <is>
          <t>,000000000</t>
        </is>
      </c>
      <c r="T28" t="inlineStr">
        <is>
          <t>,000000000</t>
        </is>
      </c>
      <c r="U28" t="inlineStr">
        <is>
          <t>,000000000</t>
        </is>
      </c>
      <c r="V28" t="inlineStr">
        <is>
          <t>,000000000</t>
        </is>
      </c>
      <c r="W28" t="inlineStr">
        <is>
          <t>,000000000</t>
        </is>
      </c>
      <c r="X28" t="inlineStr">
        <is>
          <t>,000000000</t>
        </is>
      </c>
      <c r="Y28" t="inlineStr">
        <is>
          <t>,000000000</t>
        </is>
      </c>
      <c r="Z28" t="inlineStr">
        <is>
          <t>,000000000</t>
        </is>
      </c>
      <c r="AA28" t="inlineStr">
        <is>
          <t>,000000000</t>
        </is>
      </c>
      <c r="AB28" t="inlineStr">
        <is>
          <t>4</t>
        </is>
      </c>
      <c r="AC28" t="inlineStr">
        <is>
          <t>1</t>
        </is>
      </c>
      <c r="AD28" s="3">
        <f>UPPER(C3)</f>
        <v/>
      </c>
      <c r="AE28" s="3">
        <f>VLOOKUP(E3,'[1]Nómina Agentes'!$C:$D,3,0)</f>
        <v/>
      </c>
      <c r="AF28" s="5">
        <f>F3</f>
        <v/>
      </c>
      <c r="AG28" s="5">
        <f>H3</f>
        <v/>
      </c>
    </row>
    <row r="29">
      <c r="A29" s="1" t="inlineStr">
        <is>
          <t>9/10/2024</t>
        </is>
      </c>
      <c r="B29" t="inlineStr">
        <is>
          <t>925</t>
        </is>
      </c>
      <c r="C29" t="inlineStr">
        <is>
          <t>S2S Premium</t>
        </is>
      </c>
      <c r="D29" t="inlineStr">
        <is>
          <t>Pm_Garretto Milagro</t>
        </is>
      </c>
      <c r="E29" t="inlineStr">
        <is>
          <t>605660</t>
        </is>
      </c>
      <c r="F29" s="2" t="inlineStr">
        <is>
          <t>08:30</t>
        </is>
      </c>
      <c r="G29" t="inlineStr">
        <is>
          <t>-</t>
        </is>
      </c>
      <c r="H29" s="2" t="inlineStr">
        <is>
          <t>09:00</t>
        </is>
      </c>
      <c r="I29" t="inlineStr">
        <is>
          <t>1072,000000000</t>
        </is>
      </c>
      <c r="J29" t="inlineStr">
        <is>
          <t>,000000000</t>
        </is>
      </c>
      <c r="K29" t="inlineStr">
        <is>
          <t>,000000000</t>
        </is>
      </c>
      <c r="L29" t="inlineStr">
        <is>
          <t>16,000000000</t>
        </is>
      </c>
      <c r="M29" t="inlineStr">
        <is>
          <t>,000000000</t>
        </is>
      </c>
      <c r="N29" t="inlineStr">
        <is>
          <t>,000000000</t>
        </is>
      </c>
      <c r="O29" t="inlineStr">
        <is>
          <t>,000000000</t>
        </is>
      </c>
      <c r="P29" t="inlineStr">
        <is>
          <t>193,000000000</t>
        </is>
      </c>
      <c r="Q29" t="inlineStr">
        <is>
          <t>,000000000</t>
        </is>
      </c>
      <c r="R29" t="inlineStr">
        <is>
          <t>,000000000</t>
        </is>
      </c>
      <c r="S29" t="inlineStr">
        <is>
          <t>,000000000</t>
        </is>
      </c>
      <c r="T29" t="inlineStr">
        <is>
          <t>,000000000</t>
        </is>
      </c>
      <c r="U29" t="inlineStr">
        <is>
          <t>,000000000</t>
        </is>
      </c>
      <c r="V29" t="inlineStr">
        <is>
          <t>,000000000</t>
        </is>
      </c>
      <c r="W29" t="inlineStr">
        <is>
          <t>,000000000</t>
        </is>
      </c>
      <c r="X29" t="inlineStr">
        <is>
          <t>,000000000</t>
        </is>
      </c>
      <c r="Y29" t="inlineStr">
        <is>
          <t>,000000000</t>
        </is>
      </c>
      <c r="Z29" t="inlineStr">
        <is>
          <t>,000000000</t>
        </is>
      </c>
      <c r="AA29" t="inlineStr">
        <is>
          <t>,000000000</t>
        </is>
      </c>
      <c r="AB29" t="inlineStr">
        <is>
          <t>4</t>
        </is>
      </c>
      <c r="AC29" t="inlineStr">
        <is>
          <t>2</t>
        </is>
      </c>
      <c r="AD29" s="3">
        <f>UPPER(C3)</f>
        <v/>
      </c>
      <c r="AE29" s="3">
        <f>VLOOKUP(E3,'[1]Nómina Agentes'!$C:$D,3,0)</f>
        <v/>
      </c>
      <c r="AF29" s="5">
        <f>F3</f>
        <v/>
      </c>
      <c r="AG29" s="5">
        <f>H3</f>
        <v/>
      </c>
    </row>
    <row r="30">
      <c r="A30" s="1" t="inlineStr">
        <is>
          <t>9/10/2024</t>
        </is>
      </c>
      <c r="B30" t="inlineStr">
        <is>
          <t>925</t>
        </is>
      </c>
      <c r="C30" t="inlineStr">
        <is>
          <t>S2S Premium</t>
        </is>
      </c>
      <c r="D30" t="inlineStr">
        <is>
          <t>P_Barrios, Brisa</t>
        </is>
      </c>
      <c r="E30" t="inlineStr">
        <is>
          <t>605665</t>
        </is>
      </c>
      <c r="F30" s="2" t="inlineStr">
        <is>
          <t>07:30</t>
        </is>
      </c>
      <c r="G30" t="inlineStr">
        <is>
          <t>-</t>
        </is>
      </c>
      <c r="H30" s="2" t="inlineStr">
        <is>
          <t>08:00</t>
        </is>
      </c>
      <c r="I30" t="inlineStr">
        <is>
          <t>,000000000</t>
        </is>
      </c>
      <c r="J30" t="inlineStr">
        <is>
          <t>,000000000</t>
        </is>
      </c>
      <c r="K30" t="inlineStr">
        <is>
          <t>,000000000</t>
        </is>
      </c>
      <c r="L30" t="inlineStr">
        <is>
          <t>,000000000</t>
        </is>
      </c>
      <c r="M30" t="inlineStr">
        <is>
          <t>,000000000</t>
        </is>
      </c>
      <c r="N30" t="inlineStr">
        <is>
          <t>,000000000</t>
        </is>
      </c>
      <c r="O30" t="inlineStr">
        <is>
          <t>,000000000</t>
        </is>
      </c>
      <c r="P30" t="inlineStr">
        <is>
          <t>,000000000</t>
        </is>
      </c>
      <c r="Q30" t="inlineStr">
        <is>
          <t>,000000000</t>
        </is>
      </c>
      <c r="R30" t="inlineStr">
        <is>
          <t>,000000000</t>
        </is>
      </c>
      <c r="S30" t="inlineStr">
        <is>
          <t>,000000000</t>
        </is>
      </c>
      <c r="T30" t="inlineStr">
        <is>
          <t>,000000000</t>
        </is>
      </c>
      <c r="U30" t="inlineStr">
        <is>
          <t>,000000000</t>
        </is>
      </c>
      <c r="V30" t="inlineStr">
        <is>
          <t>,000000000</t>
        </is>
      </c>
      <c r="W30" t="inlineStr">
        <is>
          <t>,000000000</t>
        </is>
      </c>
      <c r="X30" t="inlineStr">
        <is>
          <t>,000000000</t>
        </is>
      </c>
      <c r="Y30" t="inlineStr">
        <is>
          <t>,000000000</t>
        </is>
      </c>
      <c r="Z30" t="inlineStr">
        <is>
          <t>,000000000</t>
        </is>
      </c>
      <c r="AA30" t="inlineStr">
        <is>
          <t>,000000000</t>
        </is>
      </c>
      <c r="AB30" t="inlineStr">
        <is>
          <t>0</t>
        </is>
      </c>
      <c r="AC30" t="inlineStr">
        <is>
          <t>0</t>
        </is>
      </c>
      <c r="AD30" s="3">
        <f>UPPER(C3)</f>
        <v/>
      </c>
      <c r="AE30" s="3">
        <f>VLOOKUP(E3,'[1]Nómina Agentes'!$C:$D,3,0)</f>
        <v/>
      </c>
      <c r="AF30" s="5">
        <f>F3</f>
        <v/>
      </c>
      <c r="AG30" s="5">
        <f>H3</f>
        <v/>
      </c>
    </row>
    <row r="31">
      <c r="A31" s="1" t="inlineStr">
        <is>
          <t>9/10/2024</t>
        </is>
      </c>
      <c r="B31" t="inlineStr">
        <is>
          <t>925</t>
        </is>
      </c>
      <c r="C31" t="inlineStr">
        <is>
          <t>S2S Premium</t>
        </is>
      </c>
      <c r="D31" t="inlineStr">
        <is>
          <t>P_Barrios, Brisa</t>
        </is>
      </c>
      <c r="E31" t="inlineStr">
        <is>
          <t>605665</t>
        </is>
      </c>
      <c r="F31" s="2" t="inlineStr">
        <is>
          <t>08:00</t>
        </is>
      </c>
      <c r="G31" t="inlineStr">
        <is>
          <t>-</t>
        </is>
      </c>
      <c r="H31" s="2" t="inlineStr">
        <is>
          <t>08:30</t>
        </is>
      </c>
      <c r="I31" t="inlineStr">
        <is>
          <t>503,000000000</t>
        </is>
      </c>
      <c r="J31" t="inlineStr">
        <is>
          <t>,000000000</t>
        </is>
      </c>
      <c r="K31" t="inlineStr">
        <is>
          <t>,000000000</t>
        </is>
      </c>
      <c r="L31" t="inlineStr">
        <is>
          <t>11,000000000</t>
        </is>
      </c>
      <c r="M31" t="inlineStr">
        <is>
          <t>,000000000</t>
        </is>
      </c>
      <c r="N31" t="inlineStr">
        <is>
          <t>,000000000</t>
        </is>
      </c>
      <c r="O31" t="inlineStr">
        <is>
          <t>,000000000</t>
        </is>
      </c>
      <c r="P31" t="inlineStr">
        <is>
          <t>232,000000000</t>
        </is>
      </c>
      <c r="Q31" t="inlineStr">
        <is>
          <t>,000000000</t>
        </is>
      </c>
      <c r="R31" t="inlineStr">
        <is>
          <t>,000000000</t>
        </is>
      </c>
      <c r="S31" t="inlineStr">
        <is>
          <t>,000000000</t>
        </is>
      </c>
      <c r="T31" t="inlineStr">
        <is>
          <t>,000000000</t>
        </is>
      </c>
      <c r="U31" t="inlineStr">
        <is>
          <t>,000000000</t>
        </is>
      </c>
      <c r="V31" t="inlineStr">
        <is>
          <t>,000000000</t>
        </is>
      </c>
      <c r="W31" t="inlineStr">
        <is>
          <t>,000000000</t>
        </is>
      </c>
      <c r="X31" t="inlineStr">
        <is>
          <t>,000000000</t>
        </is>
      </c>
      <c r="Y31" t="inlineStr">
        <is>
          <t>,000000000</t>
        </is>
      </c>
      <c r="Z31" t="inlineStr">
        <is>
          <t>,000000000</t>
        </is>
      </c>
      <c r="AA31" t="inlineStr">
        <is>
          <t>,000000000</t>
        </is>
      </c>
      <c r="AB31" t="inlineStr">
        <is>
          <t>1</t>
        </is>
      </c>
      <c r="AC31" t="inlineStr">
        <is>
          <t>1</t>
        </is>
      </c>
      <c r="AD31" s="3">
        <f>UPPER(C3)</f>
        <v/>
      </c>
      <c r="AE31" s="3">
        <f>VLOOKUP(E3,'[1]Nómina Agentes'!$C:$D,3,0)</f>
        <v/>
      </c>
      <c r="AF31" s="5">
        <f>F3</f>
        <v/>
      </c>
      <c r="AG31" s="5">
        <f>H3</f>
        <v/>
      </c>
    </row>
    <row r="32">
      <c r="A32" s="1" t="inlineStr">
        <is>
          <t>9/10/2024</t>
        </is>
      </c>
      <c r="B32" t="inlineStr">
        <is>
          <t>925</t>
        </is>
      </c>
      <c r="C32" t="inlineStr">
        <is>
          <t>S2S Premium</t>
        </is>
      </c>
      <c r="D32" t="inlineStr">
        <is>
          <t>P_Barrios, Brisa</t>
        </is>
      </c>
      <c r="E32" t="inlineStr">
        <is>
          <t>605665</t>
        </is>
      </c>
      <c r="F32" s="2" t="inlineStr">
        <is>
          <t>09:00</t>
        </is>
      </c>
      <c r="G32" t="inlineStr">
        <is>
          <t>-</t>
        </is>
      </c>
      <c r="H32" s="2" t="inlineStr">
        <is>
          <t>09:30</t>
        </is>
      </c>
      <c r="I32" t="inlineStr">
        <is>
          <t>548,000000000</t>
        </is>
      </c>
      <c r="J32" t="inlineStr">
        <is>
          <t>,000000000</t>
        </is>
      </c>
      <c r="K32" t="inlineStr">
        <is>
          <t>,000000000</t>
        </is>
      </c>
      <c r="L32" t="inlineStr">
        <is>
          <t>8,000000000</t>
        </is>
      </c>
      <c r="M32" t="inlineStr">
        <is>
          <t>,000000000</t>
        </is>
      </c>
      <c r="N32" t="inlineStr">
        <is>
          <t>,000000000</t>
        </is>
      </c>
      <c r="O32" t="inlineStr">
        <is>
          <t>,000000000</t>
        </is>
      </c>
      <c r="P32" t="inlineStr">
        <is>
          <t>69,000000000</t>
        </is>
      </c>
      <c r="Q32" t="inlineStr">
        <is>
          <t>,000000000</t>
        </is>
      </c>
      <c r="R32" t="inlineStr">
        <is>
          <t>,000000000</t>
        </is>
      </c>
      <c r="S32" t="inlineStr">
        <is>
          <t>,000000000</t>
        </is>
      </c>
      <c r="T32" t="inlineStr">
        <is>
          <t>,000000000</t>
        </is>
      </c>
      <c r="U32" t="inlineStr">
        <is>
          <t>,000000000</t>
        </is>
      </c>
      <c r="V32" t="inlineStr">
        <is>
          <t>,000000000</t>
        </is>
      </c>
      <c r="W32" t="inlineStr">
        <is>
          <t>,000000000</t>
        </is>
      </c>
      <c r="X32" t="inlineStr">
        <is>
          <t>,000000000</t>
        </is>
      </c>
      <c r="Y32" t="inlineStr">
        <is>
          <t>,000000000</t>
        </is>
      </c>
      <c r="Z32" t="inlineStr">
        <is>
          <t>,000000000</t>
        </is>
      </c>
      <c r="AA32" t="inlineStr">
        <is>
          <t>,000000000</t>
        </is>
      </c>
      <c r="AB32" t="inlineStr">
        <is>
          <t>3</t>
        </is>
      </c>
      <c r="AC32" t="inlineStr">
        <is>
          <t>2</t>
        </is>
      </c>
      <c r="AD32" s="3">
        <f>UPPER(C3)</f>
        <v/>
      </c>
      <c r="AE32" s="3">
        <f>VLOOKUP(E3,'[1]Nómina Agentes'!$C:$D,3,0)</f>
        <v/>
      </c>
      <c r="AF32" s="5">
        <f>F3</f>
        <v/>
      </c>
      <c r="AG32" s="5">
        <f>H3</f>
        <v/>
      </c>
    </row>
    <row r="33">
      <c r="A33" s="1" t="inlineStr">
        <is>
          <t>9/10/2024</t>
        </is>
      </c>
      <c r="B33" t="inlineStr">
        <is>
          <t>925</t>
        </is>
      </c>
      <c r="C33" t="inlineStr">
        <is>
          <t>S2S Premium</t>
        </is>
      </c>
      <c r="D33" t="inlineStr">
        <is>
          <t>P_Barrios, Brisa</t>
        </is>
      </c>
      <c r="E33" t="inlineStr">
        <is>
          <t>605665</t>
        </is>
      </c>
      <c r="F33" s="2" t="inlineStr">
        <is>
          <t>10:30</t>
        </is>
      </c>
      <c r="G33" t="inlineStr">
        <is>
          <t>-</t>
        </is>
      </c>
      <c r="H33" s="2" t="inlineStr">
        <is>
          <t>11:00</t>
        </is>
      </c>
      <c r="I33" t="inlineStr">
        <is>
          <t>748,000000000</t>
        </is>
      </c>
      <c r="J33" t="inlineStr">
        <is>
          <t>,000000000</t>
        </is>
      </c>
      <c r="K33" t="inlineStr">
        <is>
          <t>,000000000</t>
        </is>
      </c>
      <c r="L33" t="inlineStr">
        <is>
          <t>8,000000000</t>
        </is>
      </c>
      <c r="M33" t="inlineStr">
        <is>
          <t>,000000000</t>
        </is>
      </c>
      <c r="N33" t="inlineStr">
        <is>
          <t>,000000000</t>
        </is>
      </c>
      <c r="O33" t="inlineStr">
        <is>
          <t>,000000000</t>
        </is>
      </c>
      <c r="P33" t="inlineStr">
        <is>
          <t>104,000000000</t>
        </is>
      </c>
      <c r="Q33" t="inlineStr">
        <is>
          <t>,000000000</t>
        </is>
      </c>
      <c r="R33" t="inlineStr">
        <is>
          <t>,000000000</t>
        </is>
      </c>
      <c r="S33" t="inlineStr">
        <is>
          <t>,000000000</t>
        </is>
      </c>
      <c r="T33" t="inlineStr">
        <is>
          <t>,000000000</t>
        </is>
      </c>
      <c r="U33" t="inlineStr">
        <is>
          <t>,000000000</t>
        </is>
      </c>
      <c r="V33" t="inlineStr">
        <is>
          <t>,000000000</t>
        </is>
      </c>
      <c r="W33" t="inlineStr">
        <is>
          <t>,000000000</t>
        </is>
      </c>
      <c r="X33" t="inlineStr">
        <is>
          <t>,000000000</t>
        </is>
      </c>
      <c r="Y33" t="inlineStr">
        <is>
          <t>,000000000</t>
        </is>
      </c>
      <c r="Z33" t="inlineStr">
        <is>
          <t>,000000000</t>
        </is>
      </c>
      <c r="AA33" t="inlineStr">
        <is>
          <t>,000000000</t>
        </is>
      </c>
      <c r="AB33" t="inlineStr">
        <is>
          <t>1</t>
        </is>
      </c>
      <c r="AC33" t="inlineStr">
        <is>
          <t>1</t>
        </is>
      </c>
      <c r="AD33" s="3">
        <f>UPPER(C3)</f>
        <v/>
      </c>
      <c r="AE33" s="3">
        <f>VLOOKUP(E3,'[1]Nómina Agentes'!$C:$D,3,0)</f>
        <v/>
      </c>
      <c r="AF33" s="5">
        <f>F3</f>
        <v/>
      </c>
      <c r="AG33" s="5">
        <f>H3</f>
        <v/>
      </c>
    </row>
    <row r="34">
      <c r="A34" s="1" t="inlineStr">
        <is>
          <t>9/10/2024</t>
        </is>
      </c>
      <c r="B34" t="inlineStr">
        <is>
          <t>925</t>
        </is>
      </c>
      <c r="C34" t="inlineStr">
        <is>
          <t>S2S Premium</t>
        </is>
      </c>
      <c r="D34" t="inlineStr">
        <is>
          <t>P_Barrios, Brisa</t>
        </is>
      </c>
      <c r="E34" t="inlineStr">
        <is>
          <t>605665</t>
        </is>
      </c>
      <c r="F34" s="2" t="inlineStr">
        <is>
          <t>08:30</t>
        </is>
      </c>
      <c r="G34" t="inlineStr">
        <is>
          <t>-</t>
        </is>
      </c>
      <c r="H34" s="2" t="inlineStr">
        <is>
          <t>09:00</t>
        </is>
      </c>
      <c r="I34" t="inlineStr">
        <is>
          <t>1029,000000000</t>
        </is>
      </c>
      <c r="J34" t="inlineStr">
        <is>
          <t>317,000000000</t>
        </is>
      </c>
      <c r="K34" t="inlineStr">
        <is>
          <t>,000000000</t>
        </is>
      </c>
      <c r="L34" t="inlineStr">
        <is>
          <t>24,000000000</t>
        </is>
      </c>
      <c r="M34" t="inlineStr">
        <is>
          <t>,000000000</t>
        </is>
      </c>
      <c r="N34" t="inlineStr">
        <is>
          <t>,000000000</t>
        </is>
      </c>
      <c r="O34" t="inlineStr">
        <is>
          <t>,000000000</t>
        </is>
      </c>
      <c r="P34" t="inlineStr">
        <is>
          <t>542,000000000</t>
        </is>
      </c>
      <c r="Q34" t="inlineStr">
        <is>
          <t>,000000000</t>
        </is>
      </c>
      <c r="R34" t="inlineStr">
        <is>
          <t>,000000000</t>
        </is>
      </c>
      <c r="S34" t="inlineStr">
        <is>
          <t>,000000000</t>
        </is>
      </c>
      <c r="T34" t="inlineStr">
        <is>
          <t>,000000000</t>
        </is>
      </c>
      <c r="U34" t="inlineStr">
        <is>
          <t>,000000000</t>
        </is>
      </c>
      <c r="V34" t="inlineStr">
        <is>
          <t>,000000000</t>
        </is>
      </c>
      <c r="W34" t="inlineStr">
        <is>
          <t>,000000000</t>
        </is>
      </c>
      <c r="X34" t="inlineStr">
        <is>
          <t>,000000000</t>
        </is>
      </c>
      <c r="Y34" t="inlineStr">
        <is>
          <t>,000000000</t>
        </is>
      </c>
      <c r="Z34" t="inlineStr">
        <is>
          <t>,000000000</t>
        </is>
      </c>
      <c r="AA34" t="inlineStr">
        <is>
          <t>,000000000</t>
        </is>
      </c>
      <c r="AB34" t="inlineStr">
        <is>
          <t>6</t>
        </is>
      </c>
      <c r="AC34" t="inlineStr">
        <is>
          <t>6</t>
        </is>
      </c>
      <c r="AD34" s="3">
        <f>UPPER(C3)</f>
        <v/>
      </c>
      <c r="AE34" s="3">
        <f>VLOOKUP(E3,'[1]Nómina Agentes'!$C:$D,3,0)</f>
        <v/>
      </c>
      <c r="AF34" s="5">
        <f>F3</f>
        <v/>
      </c>
      <c r="AG34" s="5">
        <f>H3</f>
        <v/>
      </c>
    </row>
    <row r="35">
      <c r="A35" s="1" t="inlineStr">
        <is>
          <t>9/10/2024</t>
        </is>
      </c>
      <c r="B35" t="inlineStr">
        <is>
          <t>925</t>
        </is>
      </c>
      <c r="C35" t="inlineStr">
        <is>
          <t>S2S Premium</t>
        </is>
      </c>
      <c r="D35" t="inlineStr">
        <is>
          <t>P_Fernandez, Helena</t>
        </is>
      </c>
      <c r="E35" t="inlineStr">
        <is>
          <t>605672</t>
        </is>
      </c>
      <c r="F35" s="2" t="inlineStr">
        <is>
          <t>07:30</t>
        </is>
      </c>
      <c r="G35" t="inlineStr">
        <is>
          <t>-</t>
        </is>
      </c>
      <c r="H35" s="2" t="inlineStr">
        <is>
          <t>08:00</t>
        </is>
      </c>
      <c r="I35" t="inlineStr">
        <is>
          <t>,000000000</t>
        </is>
      </c>
      <c r="J35" t="inlineStr">
        <is>
          <t>,000000000</t>
        </is>
      </c>
      <c r="K35" t="inlineStr">
        <is>
          <t>,000000000</t>
        </is>
      </c>
      <c r="L35" t="inlineStr">
        <is>
          <t>,000000000</t>
        </is>
      </c>
      <c r="M35" t="inlineStr">
        <is>
          <t>,000000000</t>
        </is>
      </c>
      <c r="N35" t="inlineStr">
        <is>
          <t>,000000000</t>
        </is>
      </c>
      <c r="O35" t="inlineStr">
        <is>
          <t>,000000000</t>
        </is>
      </c>
      <c r="P35" t="inlineStr">
        <is>
          <t>,000000000</t>
        </is>
      </c>
      <c r="Q35" t="inlineStr">
        <is>
          <t>,000000000</t>
        </is>
      </c>
      <c r="R35" t="inlineStr">
        <is>
          <t>,000000000</t>
        </is>
      </c>
      <c r="S35" t="inlineStr">
        <is>
          <t>,000000000</t>
        </is>
      </c>
      <c r="T35" t="inlineStr">
        <is>
          <t>,000000000</t>
        </is>
      </c>
      <c r="U35" t="inlineStr">
        <is>
          <t>,000000000</t>
        </is>
      </c>
      <c r="V35" t="inlineStr">
        <is>
          <t>,000000000</t>
        </is>
      </c>
      <c r="W35" t="inlineStr">
        <is>
          <t>,000000000</t>
        </is>
      </c>
      <c r="X35" t="inlineStr">
        <is>
          <t>,000000000</t>
        </is>
      </c>
      <c r="Y35" t="inlineStr">
        <is>
          <t>,000000000</t>
        </is>
      </c>
      <c r="Z35" t="inlineStr">
        <is>
          <t>,000000000</t>
        </is>
      </c>
      <c r="AA35" t="inlineStr">
        <is>
          <t>,000000000</t>
        </is>
      </c>
      <c r="AB35" t="inlineStr">
        <is>
          <t>0</t>
        </is>
      </c>
      <c r="AC35" t="inlineStr">
        <is>
          <t>0</t>
        </is>
      </c>
      <c r="AD35" s="3">
        <f>UPPER(C3)</f>
        <v/>
      </c>
      <c r="AE35" s="3">
        <f>VLOOKUP(E3,'[1]Nómina Agentes'!$C:$D,3,0)</f>
        <v/>
      </c>
      <c r="AF35" s="5">
        <f>F3</f>
        <v/>
      </c>
      <c r="AG35" s="5">
        <f>H3</f>
        <v/>
      </c>
    </row>
    <row r="36">
      <c r="A36" s="1" t="inlineStr">
        <is>
          <t>9/10/2024</t>
        </is>
      </c>
      <c r="B36" t="inlineStr">
        <is>
          <t>925</t>
        </is>
      </c>
      <c r="C36" t="inlineStr">
        <is>
          <t>S2S Premium</t>
        </is>
      </c>
      <c r="D36" t="inlineStr">
        <is>
          <t>P_Fernandez, Helena</t>
        </is>
      </c>
      <c r="E36" t="inlineStr">
        <is>
          <t>605672</t>
        </is>
      </c>
      <c r="F36" s="2" t="inlineStr">
        <is>
          <t>09:00</t>
        </is>
      </c>
      <c r="G36" t="inlineStr">
        <is>
          <t>-</t>
        </is>
      </c>
      <c r="H36" s="2" t="inlineStr">
        <is>
          <t>09:30</t>
        </is>
      </c>
      <c r="I36" t="inlineStr">
        <is>
          <t>504,000000000</t>
        </is>
      </c>
      <c r="J36" t="inlineStr">
        <is>
          <t>85,000000000</t>
        </is>
      </c>
      <c r="K36" t="inlineStr">
        <is>
          <t>,000000000</t>
        </is>
      </c>
      <c r="L36" t="inlineStr">
        <is>
          <t>4,000000000</t>
        </is>
      </c>
      <c r="M36" t="inlineStr">
        <is>
          <t>,000000000</t>
        </is>
      </c>
      <c r="N36" t="inlineStr">
        <is>
          <t>,000000000</t>
        </is>
      </c>
      <c r="O36" t="inlineStr">
        <is>
          <t>,000000000</t>
        </is>
      </c>
      <c r="P36" t="inlineStr">
        <is>
          <t>3,000000000</t>
        </is>
      </c>
      <c r="Q36" t="inlineStr">
        <is>
          <t>,000000000</t>
        </is>
      </c>
      <c r="R36" t="inlineStr">
        <is>
          <t>,000000000</t>
        </is>
      </c>
      <c r="S36" t="inlineStr">
        <is>
          <t>,000000000</t>
        </is>
      </c>
      <c r="T36" t="inlineStr">
        <is>
          <t>,000000000</t>
        </is>
      </c>
      <c r="U36" t="inlineStr">
        <is>
          <t>,000000000</t>
        </is>
      </c>
      <c r="V36" t="inlineStr">
        <is>
          <t>,000000000</t>
        </is>
      </c>
      <c r="W36" t="inlineStr">
        <is>
          <t>,000000000</t>
        </is>
      </c>
      <c r="X36" t="inlineStr">
        <is>
          <t>,000000000</t>
        </is>
      </c>
      <c r="Y36" t="inlineStr">
        <is>
          <t>,000000000</t>
        </is>
      </c>
      <c r="Z36" t="inlineStr">
        <is>
          <t>,000000000</t>
        </is>
      </c>
      <c r="AA36" t="inlineStr">
        <is>
          <t>,000000000</t>
        </is>
      </c>
      <c r="AB36" t="inlineStr">
        <is>
          <t>2</t>
        </is>
      </c>
      <c r="AC36" t="inlineStr">
        <is>
          <t>2</t>
        </is>
      </c>
      <c r="AD36" s="3">
        <f>UPPER(C3)</f>
        <v/>
      </c>
      <c r="AE36" s="3">
        <f>VLOOKUP(E3,'[1]Nómina Agentes'!$C:$D,3,0)</f>
        <v/>
      </c>
      <c r="AF36" s="5">
        <f>F3</f>
        <v/>
      </c>
      <c r="AG36" s="5">
        <f>H3</f>
        <v/>
      </c>
    </row>
    <row r="37">
      <c r="A37" s="1" t="inlineStr">
        <is>
          <t>9/10/2024</t>
        </is>
      </c>
      <c r="B37" t="inlineStr">
        <is>
          <t>925</t>
        </is>
      </c>
      <c r="C37" t="inlineStr">
        <is>
          <t>S2S Premium</t>
        </is>
      </c>
      <c r="D37" t="inlineStr">
        <is>
          <t>P_Fernandez, Helena</t>
        </is>
      </c>
      <c r="E37" t="inlineStr">
        <is>
          <t>605672</t>
        </is>
      </c>
      <c r="F37" s="2" t="inlineStr">
        <is>
          <t>08:00</t>
        </is>
      </c>
      <c r="G37" t="inlineStr">
        <is>
          <t>-</t>
        </is>
      </c>
      <c r="H37" s="2" t="inlineStr">
        <is>
          <t>08:30</t>
        </is>
      </c>
      <c r="I37" t="inlineStr">
        <is>
          <t>605,000000000</t>
        </is>
      </c>
      <c r="J37" t="inlineStr">
        <is>
          <t>,000000000</t>
        </is>
      </c>
      <c r="K37" t="inlineStr">
        <is>
          <t>,000000000</t>
        </is>
      </c>
      <c r="L37" t="inlineStr">
        <is>
          <t>23,000000000</t>
        </is>
      </c>
      <c r="M37" t="inlineStr">
        <is>
          <t>,000000000</t>
        </is>
      </c>
      <c r="N37" t="inlineStr">
        <is>
          <t>,000000000</t>
        </is>
      </c>
      <c r="O37" t="inlineStr">
        <is>
          <t>,000000000</t>
        </is>
      </c>
      <c r="P37" t="inlineStr">
        <is>
          <t>5,000000000</t>
        </is>
      </c>
      <c r="Q37" t="inlineStr">
        <is>
          <t>,000000000</t>
        </is>
      </c>
      <c r="R37" t="inlineStr">
        <is>
          <t>,000000000</t>
        </is>
      </c>
      <c r="S37" t="inlineStr">
        <is>
          <t>,000000000</t>
        </is>
      </c>
      <c r="T37" t="inlineStr">
        <is>
          <t>,000000000</t>
        </is>
      </c>
      <c r="U37" t="inlineStr">
        <is>
          <t>,000000000</t>
        </is>
      </c>
      <c r="V37" t="inlineStr">
        <is>
          <t>,000000000</t>
        </is>
      </c>
      <c r="W37" t="inlineStr">
        <is>
          <t>,000000000</t>
        </is>
      </c>
      <c r="X37" t="inlineStr">
        <is>
          <t>,000000000</t>
        </is>
      </c>
      <c r="Y37" t="inlineStr">
        <is>
          <t>,000000000</t>
        </is>
      </c>
      <c r="Z37" t="inlineStr">
        <is>
          <t>,000000000</t>
        </is>
      </c>
      <c r="AA37" t="inlineStr">
        <is>
          <t>,000000000</t>
        </is>
      </c>
      <c r="AB37" t="inlineStr">
        <is>
          <t>4</t>
        </is>
      </c>
      <c r="AC37" t="inlineStr">
        <is>
          <t>4</t>
        </is>
      </c>
      <c r="AD37" s="3">
        <f>UPPER(C3)</f>
        <v/>
      </c>
      <c r="AE37" s="3">
        <f>VLOOKUP(E3,'[1]Nómina Agentes'!$C:$D,3,0)</f>
        <v/>
      </c>
      <c r="AF37" s="5">
        <f>F3</f>
        <v/>
      </c>
      <c r="AG37" s="5">
        <f>H3</f>
        <v/>
      </c>
    </row>
    <row r="38">
      <c r="A38" s="1" t="inlineStr">
        <is>
          <t>9/10/2024</t>
        </is>
      </c>
      <c r="B38" t="inlineStr">
        <is>
          <t>925</t>
        </is>
      </c>
      <c r="C38" t="inlineStr">
        <is>
          <t>S2S Premium</t>
        </is>
      </c>
      <c r="D38" t="inlineStr">
        <is>
          <t>P_Fernandez, Helena</t>
        </is>
      </c>
      <c r="E38" t="inlineStr">
        <is>
          <t>605672</t>
        </is>
      </c>
      <c r="F38" s="2" t="inlineStr">
        <is>
          <t>10:30</t>
        </is>
      </c>
      <c r="G38" t="inlineStr">
        <is>
          <t>-</t>
        </is>
      </c>
      <c r="H38" s="2" t="inlineStr">
        <is>
          <t>11:00</t>
        </is>
      </c>
      <c r="I38" t="inlineStr">
        <is>
          <t>678,000000000</t>
        </is>
      </c>
      <c r="J38" t="inlineStr">
        <is>
          <t>,000000000</t>
        </is>
      </c>
      <c r="K38" t="inlineStr">
        <is>
          <t>,000000000</t>
        </is>
      </c>
      <c r="L38" t="inlineStr">
        <is>
          <t>21,000000000</t>
        </is>
      </c>
      <c r="M38" t="inlineStr">
        <is>
          <t>,000000000</t>
        </is>
      </c>
      <c r="N38" t="inlineStr">
        <is>
          <t>,000000000</t>
        </is>
      </c>
      <c r="O38" t="inlineStr">
        <is>
          <t>,000000000</t>
        </is>
      </c>
      <c r="P38" t="inlineStr">
        <is>
          <t>3,000000000</t>
        </is>
      </c>
      <c r="Q38" t="inlineStr">
        <is>
          <t>,000000000</t>
        </is>
      </c>
      <c r="R38" t="inlineStr">
        <is>
          <t>,000000000</t>
        </is>
      </c>
      <c r="S38" t="inlineStr">
        <is>
          <t>,000000000</t>
        </is>
      </c>
      <c r="T38" t="inlineStr">
        <is>
          <t>,000000000</t>
        </is>
      </c>
      <c r="U38" t="inlineStr">
        <is>
          <t>,000000000</t>
        </is>
      </c>
      <c r="V38" t="inlineStr">
        <is>
          <t>,000000000</t>
        </is>
      </c>
      <c r="W38" t="inlineStr">
        <is>
          <t>,000000000</t>
        </is>
      </c>
      <c r="X38" t="inlineStr">
        <is>
          <t>,000000000</t>
        </is>
      </c>
      <c r="Y38" t="inlineStr">
        <is>
          <t>,000000000</t>
        </is>
      </c>
      <c r="Z38" t="inlineStr">
        <is>
          <t>,000000000</t>
        </is>
      </c>
      <c r="AA38" t="inlineStr">
        <is>
          <t>,000000000</t>
        </is>
      </c>
      <c r="AB38" t="inlineStr">
        <is>
          <t>4</t>
        </is>
      </c>
      <c r="AC38" t="inlineStr">
        <is>
          <t>3</t>
        </is>
      </c>
      <c r="AD38" s="3">
        <f>UPPER(C3)</f>
        <v/>
      </c>
      <c r="AE38" s="3">
        <f>VLOOKUP(E3,'[1]Nómina Agentes'!$C:$D,3,0)</f>
        <v/>
      </c>
      <c r="AF38" s="5">
        <f>F3</f>
        <v/>
      </c>
      <c r="AG38" s="5">
        <f>H3</f>
        <v/>
      </c>
    </row>
    <row r="39">
      <c r="A39" s="1" t="inlineStr">
        <is>
          <t>9/10/2024</t>
        </is>
      </c>
      <c r="B39" t="inlineStr">
        <is>
          <t>925</t>
        </is>
      </c>
      <c r="C39" t="inlineStr">
        <is>
          <t>S2S Premium</t>
        </is>
      </c>
      <c r="D39" t="inlineStr">
        <is>
          <t>P_Fernandez, Helena</t>
        </is>
      </c>
      <c r="E39" t="inlineStr">
        <is>
          <t>605672</t>
        </is>
      </c>
      <c r="F39" s="2" t="inlineStr">
        <is>
          <t>08:30</t>
        </is>
      </c>
      <c r="G39" t="inlineStr">
        <is>
          <t>-</t>
        </is>
      </c>
      <c r="H39" s="2" t="inlineStr">
        <is>
          <t>09:00</t>
        </is>
      </c>
      <c r="I39" t="inlineStr">
        <is>
          <t>1311,000000000</t>
        </is>
      </c>
      <c r="J39" t="inlineStr">
        <is>
          <t>,000000000</t>
        </is>
      </c>
      <c r="K39" t="inlineStr">
        <is>
          <t>,000000000</t>
        </is>
      </c>
      <c r="L39" t="inlineStr">
        <is>
          <t>17,000000000</t>
        </is>
      </c>
      <c r="M39" t="inlineStr">
        <is>
          <t>,000000000</t>
        </is>
      </c>
      <c r="N39" t="inlineStr">
        <is>
          <t>,000000000</t>
        </is>
      </c>
      <c r="O39" t="inlineStr">
        <is>
          <t>,000000000</t>
        </is>
      </c>
      <c r="P39" t="inlineStr">
        <is>
          <t>4,000000000</t>
        </is>
      </c>
      <c r="Q39" t="inlineStr">
        <is>
          <t>,000000000</t>
        </is>
      </c>
      <c r="R39" t="inlineStr">
        <is>
          <t>,000000000</t>
        </is>
      </c>
      <c r="S39" t="inlineStr">
        <is>
          <t>,000000000</t>
        </is>
      </c>
      <c r="T39" t="inlineStr">
        <is>
          <t>,000000000</t>
        </is>
      </c>
      <c r="U39" t="inlineStr">
        <is>
          <t>,000000000</t>
        </is>
      </c>
      <c r="V39" t="inlineStr">
        <is>
          <t>,000000000</t>
        </is>
      </c>
      <c r="W39" t="inlineStr">
        <is>
          <t>,000000000</t>
        </is>
      </c>
      <c r="X39" t="inlineStr">
        <is>
          <t>,000000000</t>
        </is>
      </c>
      <c r="Y39" t="inlineStr">
        <is>
          <t>,000000000</t>
        </is>
      </c>
      <c r="Z39" t="inlineStr">
        <is>
          <t>,000000000</t>
        </is>
      </c>
      <c r="AA39" t="inlineStr">
        <is>
          <t>,000000000</t>
        </is>
      </c>
      <c r="AB39" t="inlineStr">
        <is>
          <t>4</t>
        </is>
      </c>
      <c r="AC39" t="inlineStr">
        <is>
          <t>2</t>
        </is>
      </c>
      <c r="AD39" s="3">
        <f>UPPER(C3)</f>
        <v/>
      </c>
      <c r="AE39" s="3">
        <f>VLOOKUP(E3,'[1]Nómina Agentes'!$C:$D,3,0)</f>
        <v/>
      </c>
      <c r="AF39" s="5">
        <f>F3</f>
        <v/>
      </c>
      <c r="AG39" s="5">
        <f>H3</f>
        <v/>
      </c>
    </row>
    <row r="40">
      <c r="A40" s="1" t="inlineStr">
        <is>
          <t>9/10/2024</t>
        </is>
      </c>
      <c r="B40" t="inlineStr">
        <is>
          <t>924</t>
        </is>
      </c>
      <c r="C40" t="inlineStr">
        <is>
          <t>S2S No Premium</t>
        </is>
      </c>
      <c r="D40" t="inlineStr">
        <is>
          <t>N2m_Cubilla Marlene</t>
        </is>
      </c>
      <c r="E40" t="inlineStr">
        <is>
          <t>605676</t>
        </is>
      </c>
      <c r="F40" s="2" t="inlineStr">
        <is>
          <t>08:30</t>
        </is>
      </c>
      <c r="G40" t="inlineStr">
        <is>
          <t>-</t>
        </is>
      </c>
      <c r="H40" s="2" t="inlineStr">
        <is>
          <t>09:00</t>
        </is>
      </c>
      <c r="I40" t="inlineStr">
        <is>
          <t>,000000000</t>
        </is>
      </c>
      <c r="J40" t="inlineStr">
        <is>
          <t>,000000000</t>
        </is>
      </c>
      <c r="K40" t="inlineStr">
        <is>
          <t>,000000000</t>
        </is>
      </c>
      <c r="L40" t="inlineStr">
        <is>
          <t>,000000000</t>
        </is>
      </c>
      <c r="M40" t="inlineStr">
        <is>
          <t>,000000000</t>
        </is>
      </c>
      <c r="N40" t="inlineStr">
        <is>
          <t>,000000000</t>
        </is>
      </c>
      <c r="O40" t="inlineStr">
        <is>
          <t>,000000000</t>
        </is>
      </c>
      <c r="P40" t="inlineStr">
        <is>
          <t>,000000000</t>
        </is>
      </c>
      <c r="Q40" t="inlineStr">
        <is>
          <t>,000000000</t>
        </is>
      </c>
      <c r="R40" t="inlineStr">
        <is>
          <t>,000000000</t>
        </is>
      </c>
      <c r="S40" t="inlineStr">
        <is>
          <t>,000000000</t>
        </is>
      </c>
      <c r="T40" t="inlineStr">
        <is>
          <t>,000000000</t>
        </is>
      </c>
      <c r="U40" t="inlineStr">
        <is>
          <t>,000000000</t>
        </is>
      </c>
      <c r="V40" t="inlineStr">
        <is>
          <t>,000000000</t>
        </is>
      </c>
      <c r="W40" t="inlineStr">
        <is>
          <t>,000000000</t>
        </is>
      </c>
      <c r="X40" t="inlineStr">
        <is>
          <t>,000000000</t>
        </is>
      </c>
      <c r="Y40" t="inlineStr">
        <is>
          <t>,000000000</t>
        </is>
      </c>
      <c r="Z40" t="inlineStr">
        <is>
          <t>,000000000</t>
        </is>
      </c>
      <c r="AA40" t="inlineStr">
        <is>
          <t>,000000000</t>
        </is>
      </c>
      <c r="AB40" t="inlineStr">
        <is>
          <t>0</t>
        </is>
      </c>
      <c r="AC40" t="inlineStr">
        <is>
          <t>0</t>
        </is>
      </c>
      <c r="AD40" s="3">
        <f>UPPER(C3)</f>
        <v/>
      </c>
      <c r="AE40" s="3">
        <f>VLOOKUP(E3,'[1]Nómina Agentes'!$C:$D,3,0)</f>
        <v/>
      </c>
      <c r="AF40" s="5">
        <f>F3</f>
        <v/>
      </c>
      <c r="AG40" s="5">
        <f>H3</f>
        <v/>
      </c>
    </row>
    <row r="41">
      <c r="A41" s="1" t="inlineStr">
        <is>
          <t>9/10/2024</t>
        </is>
      </c>
      <c r="B41" t="inlineStr">
        <is>
          <t>924</t>
        </is>
      </c>
      <c r="C41" t="inlineStr">
        <is>
          <t>S2S No Premium</t>
        </is>
      </c>
      <c r="D41" t="inlineStr">
        <is>
          <t>N2m_Cubilla Marlene</t>
        </is>
      </c>
      <c r="E41" t="inlineStr">
        <is>
          <t>605676</t>
        </is>
      </c>
      <c r="F41" s="2" t="inlineStr">
        <is>
          <t>10:00</t>
        </is>
      </c>
      <c r="G41" t="inlineStr">
        <is>
          <t>-</t>
        </is>
      </c>
      <c r="H41" s="2" t="inlineStr">
        <is>
          <t>10:30</t>
        </is>
      </c>
      <c r="I41" t="inlineStr">
        <is>
          <t>886,000000000</t>
        </is>
      </c>
      <c r="J41" t="inlineStr">
        <is>
          <t>,000000000</t>
        </is>
      </c>
      <c r="K41" t="inlineStr">
        <is>
          <t>,000000000</t>
        </is>
      </c>
      <c r="L41" t="inlineStr">
        <is>
          <t>16,000000000</t>
        </is>
      </c>
      <c r="M41" t="inlineStr">
        <is>
          <t>,000000000</t>
        </is>
      </c>
      <c r="N41" t="inlineStr">
        <is>
          <t>,000000000</t>
        </is>
      </c>
      <c r="O41" t="inlineStr">
        <is>
          <t>,000000000</t>
        </is>
      </c>
      <c r="P41" t="inlineStr">
        <is>
          <t>3,000000000</t>
        </is>
      </c>
      <c r="Q41" t="inlineStr">
        <is>
          <t>,000000000</t>
        </is>
      </c>
      <c r="R41" t="inlineStr">
        <is>
          <t>,000000000</t>
        </is>
      </c>
      <c r="S41" t="inlineStr">
        <is>
          <t>,000000000</t>
        </is>
      </c>
      <c r="T41" t="inlineStr">
        <is>
          <t>,000000000</t>
        </is>
      </c>
      <c r="U41" t="inlineStr">
        <is>
          <t>,000000000</t>
        </is>
      </c>
      <c r="V41" t="inlineStr">
        <is>
          <t>,000000000</t>
        </is>
      </c>
      <c r="W41" t="inlineStr">
        <is>
          <t>,000000000</t>
        </is>
      </c>
      <c r="X41" t="inlineStr">
        <is>
          <t>,000000000</t>
        </is>
      </c>
      <c r="Y41" t="inlineStr">
        <is>
          <t>,000000000</t>
        </is>
      </c>
      <c r="Z41" t="inlineStr">
        <is>
          <t>,000000000</t>
        </is>
      </c>
      <c r="AA41" t="inlineStr">
        <is>
          <t>,000000000</t>
        </is>
      </c>
      <c r="AB41" t="inlineStr">
        <is>
          <t>4</t>
        </is>
      </c>
      <c r="AC41" t="inlineStr">
        <is>
          <t>3</t>
        </is>
      </c>
      <c r="AD41" s="3">
        <f>UPPER(C3)</f>
        <v/>
      </c>
      <c r="AE41" s="3">
        <f>VLOOKUP(E3,'[1]Nómina Agentes'!$C:$D,3,0)</f>
        <v/>
      </c>
      <c r="AF41" s="5">
        <f>F3</f>
        <v/>
      </c>
      <c r="AG41" s="5">
        <f>H3</f>
        <v/>
      </c>
    </row>
    <row r="42">
      <c r="A42" s="1" t="inlineStr">
        <is>
          <t>9/10/2024</t>
        </is>
      </c>
      <c r="B42" t="inlineStr">
        <is>
          <t>924</t>
        </is>
      </c>
      <c r="C42" t="inlineStr">
        <is>
          <t>S2S No Premium</t>
        </is>
      </c>
      <c r="D42" t="inlineStr">
        <is>
          <t>N2m_Cubilla Marlene</t>
        </is>
      </c>
      <c r="E42" t="inlineStr">
        <is>
          <t>605676</t>
        </is>
      </c>
      <c r="F42" s="2" t="inlineStr">
        <is>
          <t>09:00</t>
        </is>
      </c>
      <c r="G42" t="inlineStr">
        <is>
          <t>-</t>
        </is>
      </c>
      <c r="H42" s="2" t="inlineStr">
        <is>
          <t>09:30</t>
        </is>
      </c>
      <c r="I42" t="inlineStr">
        <is>
          <t>958,000000000</t>
        </is>
      </c>
      <c r="J42" t="inlineStr">
        <is>
          <t>,000000000</t>
        </is>
      </c>
      <c r="K42" t="inlineStr">
        <is>
          <t>,000000000</t>
        </is>
      </c>
      <c r="L42" t="inlineStr">
        <is>
          <t>17,000000000</t>
        </is>
      </c>
      <c r="M42" t="inlineStr">
        <is>
          <t>,000000000</t>
        </is>
      </c>
      <c r="N42" t="inlineStr">
        <is>
          <t>,000000000</t>
        </is>
      </c>
      <c r="O42" t="inlineStr">
        <is>
          <t>,000000000</t>
        </is>
      </c>
      <c r="P42" t="inlineStr">
        <is>
          <t>2,000000000</t>
        </is>
      </c>
      <c r="Q42" t="inlineStr">
        <is>
          <t>,000000000</t>
        </is>
      </c>
      <c r="R42" t="inlineStr">
        <is>
          <t>,000000000</t>
        </is>
      </c>
      <c r="S42" t="inlineStr">
        <is>
          <t>,000000000</t>
        </is>
      </c>
      <c r="T42" t="inlineStr">
        <is>
          <t>,000000000</t>
        </is>
      </c>
      <c r="U42" t="inlineStr">
        <is>
          <t>,000000000</t>
        </is>
      </c>
      <c r="V42" t="inlineStr">
        <is>
          <t>,000000000</t>
        </is>
      </c>
      <c r="W42" t="inlineStr">
        <is>
          <t>,000000000</t>
        </is>
      </c>
      <c r="X42" t="inlineStr">
        <is>
          <t>,000000000</t>
        </is>
      </c>
      <c r="Y42" t="inlineStr">
        <is>
          <t>,000000000</t>
        </is>
      </c>
      <c r="Z42" t="inlineStr">
        <is>
          <t>,000000000</t>
        </is>
      </c>
      <c r="AA42" t="inlineStr">
        <is>
          <t>,000000000</t>
        </is>
      </c>
      <c r="AB42" t="inlineStr">
        <is>
          <t>3</t>
        </is>
      </c>
      <c r="AC42" t="inlineStr">
        <is>
          <t>2</t>
        </is>
      </c>
      <c r="AD42" s="3">
        <f>UPPER(C3)</f>
        <v/>
      </c>
      <c r="AE42" s="3">
        <f>VLOOKUP(E3,'[1]Nómina Agentes'!$C:$D,3,0)</f>
        <v/>
      </c>
      <c r="AF42" s="5">
        <f>F3</f>
        <v/>
      </c>
      <c r="AG42" s="5">
        <f>H3</f>
        <v/>
      </c>
    </row>
    <row r="43">
      <c r="A43" s="1" t="inlineStr">
        <is>
          <t>9/10/2024</t>
        </is>
      </c>
      <c r="B43" t="inlineStr">
        <is>
          <t>924</t>
        </is>
      </c>
      <c r="C43" t="inlineStr">
        <is>
          <t>S2S No Premium</t>
        </is>
      </c>
      <c r="D43" t="inlineStr">
        <is>
          <t>N2m_Cubilla Marlene</t>
        </is>
      </c>
      <c r="E43" t="inlineStr">
        <is>
          <t>605676</t>
        </is>
      </c>
      <c r="F43" s="2" t="inlineStr">
        <is>
          <t>09:30</t>
        </is>
      </c>
      <c r="G43" t="inlineStr">
        <is>
          <t>-</t>
        </is>
      </c>
      <c r="H43" s="2" t="inlineStr">
        <is>
          <t>10:00</t>
        </is>
      </c>
      <c r="I43" t="inlineStr">
        <is>
          <t>1228,000000000</t>
        </is>
      </c>
      <c r="J43" t="inlineStr">
        <is>
          <t>184,000000000</t>
        </is>
      </c>
      <c r="K43" t="inlineStr">
        <is>
          <t>,000000000</t>
        </is>
      </c>
      <c r="L43" t="inlineStr">
        <is>
          <t>20,000000000</t>
        </is>
      </c>
      <c r="M43" t="inlineStr">
        <is>
          <t>,000000000</t>
        </is>
      </c>
      <c r="N43" t="inlineStr">
        <is>
          <t>,000000000</t>
        </is>
      </c>
      <c r="O43" t="inlineStr">
        <is>
          <t>,000000000</t>
        </is>
      </c>
      <c r="P43" t="inlineStr">
        <is>
          <t>5,000000000</t>
        </is>
      </c>
      <c r="Q43" t="inlineStr">
        <is>
          <t>,000000000</t>
        </is>
      </c>
      <c r="R43" t="inlineStr">
        <is>
          <t>,000000000</t>
        </is>
      </c>
      <c r="S43" t="inlineStr">
        <is>
          <t>,000000000</t>
        </is>
      </c>
      <c r="T43" t="inlineStr">
        <is>
          <t>,000000000</t>
        </is>
      </c>
      <c r="U43" t="inlineStr">
        <is>
          <t>,000000000</t>
        </is>
      </c>
      <c r="V43" t="inlineStr">
        <is>
          <t>,000000000</t>
        </is>
      </c>
      <c r="W43" t="inlineStr">
        <is>
          <t>,000000000</t>
        </is>
      </c>
      <c r="X43" t="inlineStr">
        <is>
          <t>,000000000</t>
        </is>
      </c>
      <c r="Y43" t="inlineStr">
        <is>
          <t>,000000000</t>
        </is>
      </c>
      <c r="Z43" t="inlineStr">
        <is>
          <t>,000000000</t>
        </is>
      </c>
      <c r="AA43" t="inlineStr">
        <is>
          <t>,000000000</t>
        </is>
      </c>
      <c r="AB43" t="inlineStr">
        <is>
          <t>5</t>
        </is>
      </c>
      <c r="AC43" t="inlineStr">
        <is>
          <t>5</t>
        </is>
      </c>
      <c r="AD43" s="3">
        <f>UPPER(C3)</f>
        <v/>
      </c>
      <c r="AE43" s="3">
        <f>VLOOKUP(E3,'[1]Nómina Agentes'!$C:$D,3,0)</f>
        <v/>
      </c>
      <c r="AF43" s="5">
        <f>F3</f>
        <v/>
      </c>
      <c r="AG43" s="5">
        <f>H3</f>
        <v/>
      </c>
    </row>
    <row r="44">
      <c r="A44" s="1" t="inlineStr">
        <is>
          <t>9/10/2024</t>
        </is>
      </c>
      <c r="B44" t="inlineStr">
        <is>
          <t>924</t>
        </is>
      </c>
      <c r="C44" t="inlineStr">
        <is>
          <t>S2S No Premium</t>
        </is>
      </c>
      <c r="D44" t="inlineStr">
        <is>
          <t>N2m_Cubilla Marlene</t>
        </is>
      </c>
      <c r="E44" t="inlineStr">
        <is>
          <t>605676</t>
        </is>
      </c>
      <c r="F44" s="2" t="inlineStr">
        <is>
          <t>10:30</t>
        </is>
      </c>
      <c r="G44" t="inlineStr">
        <is>
          <t>-</t>
        </is>
      </c>
      <c r="H44" s="2" t="inlineStr">
        <is>
          <t>11:00</t>
        </is>
      </c>
      <c r="I44" t="inlineStr">
        <is>
          <t>1281,000000000</t>
        </is>
      </c>
      <c r="J44" t="inlineStr">
        <is>
          <t>245,000000000</t>
        </is>
      </c>
      <c r="K44" t="inlineStr">
        <is>
          <t>,000000000</t>
        </is>
      </c>
      <c r="L44" t="inlineStr">
        <is>
          <t>16,000000000</t>
        </is>
      </c>
      <c r="M44" t="inlineStr">
        <is>
          <t>,000000000</t>
        </is>
      </c>
      <c r="N44" t="inlineStr">
        <is>
          <t>,000000000</t>
        </is>
      </c>
      <c r="O44" t="inlineStr">
        <is>
          <t>,000000000</t>
        </is>
      </c>
      <c r="P44" t="inlineStr">
        <is>
          <t>57,000000000</t>
        </is>
      </c>
      <c r="Q44" t="inlineStr">
        <is>
          <t>,000000000</t>
        </is>
      </c>
      <c r="R44" t="inlineStr">
        <is>
          <t>,000000000</t>
        </is>
      </c>
      <c r="S44" t="inlineStr">
        <is>
          <t>,000000000</t>
        </is>
      </c>
      <c r="T44" t="inlineStr">
        <is>
          <t>,000000000</t>
        </is>
      </c>
      <c r="U44" t="inlineStr">
        <is>
          <t>,000000000</t>
        </is>
      </c>
      <c r="V44" t="inlineStr">
        <is>
          <t>,000000000</t>
        </is>
      </c>
      <c r="W44" t="inlineStr">
        <is>
          <t>,000000000</t>
        </is>
      </c>
      <c r="X44" t="inlineStr">
        <is>
          <t>,000000000</t>
        </is>
      </c>
      <c r="Y44" t="inlineStr">
        <is>
          <t>,000000000</t>
        </is>
      </c>
      <c r="Z44" t="inlineStr">
        <is>
          <t>,000000000</t>
        </is>
      </c>
      <c r="AA44" t="inlineStr">
        <is>
          <t>,000000000</t>
        </is>
      </c>
      <c r="AB44" t="inlineStr">
        <is>
          <t>4</t>
        </is>
      </c>
      <c r="AC44" t="inlineStr">
        <is>
          <t>4</t>
        </is>
      </c>
      <c r="AD44" s="3">
        <f>UPPER(C3)</f>
        <v/>
      </c>
      <c r="AE44" s="3">
        <f>VLOOKUP(E3,'[1]Nómina Agentes'!$C:$D,3,0)</f>
        <v/>
      </c>
      <c r="AF44" s="5">
        <f>F3</f>
        <v/>
      </c>
      <c r="AG44" s="5">
        <f>H3</f>
        <v/>
      </c>
    </row>
    <row r="45">
      <c r="A45" s="1" t="inlineStr">
        <is>
          <t>9/10/2024</t>
        </is>
      </c>
      <c r="B45" t="inlineStr">
        <is>
          <t>925</t>
        </is>
      </c>
      <c r="C45" t="inlineStr">
        <is>
          <t>S2S Premium</t>
        </is>
      </c>
      <c r="D45" t="inlineStr">
        <is>
          <t>P_Macalello, Rocio</t>
        </is>
      </c>
      <c r="E45" t="inlineStr">
        <is>
          <t>605681</t>
        </is>
      </c>
      <c r="F45" s="2" t="inlineStr">
        <is>
          <t>09:30</t>
        </is>
      </c>
      <c r="G45" t="inlineStr">
        <is>
          <t>-</t>
        </is>
      </c>
      <c r="H45" s="2" t="inlineStr">
        <is>
          <t>10:00</t>
        </is>
      </c>
      <c r="I45" t="inlineStr">
        <is>
          <t>61,000000000</t>
        </is>
      </c>
      <c r="J45" t="inlineStr">
        <is>
          <t>,000000000</t>
        </is>
      </c>
      <c r="K45" t="inlineStr">
        <is>
          <t>,000000000</t>
        </is>
      </c>
      <c r="L45" t="inlineStr">
        <is>
          <t>6,000000000</t>
        </is>
      </c>
      <c r="M45" t="inlineStr">
        <is>
          <t>,000000000</t>
        </is>
      </c>
      <c r="N45" t="inlineStr">
        <is>
          <t>,000000000</t>
        </is>
      </c>
      <c r="O45" t="inlineStr">
        <is>
          <t>,000000000</t>
        </is>
      </c>
      <c r="P45" t="inlineStr">
        <is>
          <t>96,000000000</t>
        </is>
      </c>
      <c r="Q45" t="inlineStr">
        <is>
          <t>63,000000000</t>
        </is>
      </c>
      <c r="R45" t="inlineStr">
        <is>
          <t>,000000000</t>
        </is>
      </c>
      <c r="S45" t="inlineStr">
        <is>
          <t>,000000000</t>
        </is>
      </c>
      <c r="T45" t="inlineStr">
        <is>
          <t>,000000000</t>
        </is>
      </c>
      <c r="U45" t="inlineStr">
        <is>
          <t>,000000000</t>
        </is>
      </c>
      <c r="V45" t="inlineStr">
        <is>
          <t>,000000000</t>
        </is>
      </c>
      <c r="W45" t="inlineStr">
        <is>
          <t>,000000000</t>
        </is>
      </c>
      <c r="X45" t="inlineStr">
        <is>
          <t>,000000000</t>
        </is>
      </c>
      <c r="Y45" t="inlineStr">
        <is>
          <t>,000000000</t>
        </is>
      </c>
      <c r="Z45" t="inlineStr">
        <is>
          <t>,000000000</t>
        </is>
      </c>
      <c r="AA45" t="inlineStr">
        <is>
          <t>,000000000</t>
        </is>
      </c>
      <c r="AB45" t="inlineStr">
        <is>
          <t>1</t>
        </is>
      </c>
      <c r="AC45" t="inlineStr">
        <is>
          <t>0</t>
        </is>
      </c>
      <c r="AD45" s="3">
        <f>UPPER(C3)</f>
        <v/>
      </c>
      <c r="AE45" s="3">
        <f>VLOOKUP(E3,'[1]Nómina Agentes'!$C:$D,3,0)</f>
        <v/>
      </c>
      <c r="AF45" s="5">
        <f>F3</f>
        <v/>
      </c>
      <c r="AG45" s="5">
        <f>H3</f>
        <v/>
      </c>
    </row>
    <row r="46">
      <c r="A46" s="1" t="inlineStr">
        <is>
          <t>9/10/2024</t>
        </is>
      </c>
      <c r="B46" t="inlineStr">
        <is>
          <t>925</t>
        </is>
      </c>
      <c r="C46" t="inlineStr">
        <is>
          <t>S2S Premium</t>
        </is>
      </c>
      <c r="D46" t="inlineStr">
        <is>
          <t>P_Macalello, Rocio</t>
        </is>
      </c>
      <c r="E46" t="inlineStr">
        <is>
          <t>605681</t>
        </is>
      </c>
      <c r="F46" s="2" t="inlineStr">
        <is>
          <t>10:00</t>
        </is>
      </c>
      <c r="G46" t="inlineStr">
        <is>
          <t>-</t>
        </is>
      </c>
      <c r="H46" s="2" t="inlineStr">
        <is>
          <t>10:30</t>
        </is>
      </c>
      <c r="I46" t="inlineStr">
        <is>
          <t>612,000000000</t>
        </is>
      </c>
      <c r="J46" t="inlineStr">
        <is>
          <t>,000000000</t>
        </is>
      </c>
      <c r="K46" t="inlineStr">
        <is>
          <t>,000000000</t>
        </is>
      </c>
      <c r="L46" t="inlineStr">
        <is>
          <t>20,000000000</t>
        </is>
      </c>
      <c r="M46" t="inlineStr">
        <is>
          <t>,000000000</t>
        </is>
      </c>
      <c r="N46" t="inlineStr">
        <is>
          <t>,000000000</t>
        </is>
      </c>
      <c r="O46" t="inlineStr">
        <is>
          <t>,000000000</t>
        </is>
      </c>
      <c r="P46" t="inlineStr">
        <is>
          <t>143,000000000</t>
        </is>
      </c>
      <c r="Q46" t="inlineStr">
        <is>
          <t>136,000000000</t>
        </is>
      </c>
      <c r="R46" t="inlineStr">
        <is>
          <t>,000000000</t>
        </is>
      </c>
      <c r="S46" t="inlineStr">
        <is>
          <t>,000000000</t>
        </is>
      </c>
      <c r="T46" t="inlineStr">
        <is>
          <t>,000000000</t>
        </is>
      </c>
      <c r="U46" t="inlineStr">
        <is>
          <t>,000000000</t>
        </is>
      </c>
      <c r="V46" t="inlineStr">
        <is>
          <t>,000000000</t>
        </is>
      </c>
      <c r="W46" t="inlineStr">
        <is>
          <t>,000000000</t>
        </is>
      </c>
      <c r="X46" t="inlineStr">
        <is>
          <t>,000000000</t>
        </is>
      </c>
      <c r="Y46" t="inlineStr">
        <is>
          <t>,000000000</t>
        </is>
      </c>
      <c r="Z46" t="inlineStr">
        <is>
          <t>,000000000</t>
        </is>
      </c>
      <c r="AA46" t="inlineStr">
        <is>
          <t>,000000000</t>
        </is>
      </c>
      <c r="AB46" t="inlineStr">
        <is>
          <t>4</t>
        </is>
      </c>
      <c r="AC46" t="inlineStr">
        <is>
          <t>3</t>
        </is>
      </c>
      <c r="AD46" s="3">
        <f>UPPER(C3)</f>
        <v/>
      </c>
      <c r="AE46" s="3">
        <f>VLOOKUP(E3,'[1]Nómina Agentes'!$C:$D,3,0)</f>
        <v/>
      </c>
      <c r="AF46" s="5">
        <f>F3</f>
        <v/>
      </c>
      <c r="AG46" s="5">
        <f>H3</f>
        <v/>
      </c>
    </row>
    <row r="47">
      <c r="A47" s="1" t="inlineStr">
        <is>
          <t>9/10/2024</t>
        </is>
      </c>
      <c r="B47" t="inlineStr">
        <is>
          <t>925</t>
        </is>
      </c>
      <c r="C47" t="inlineStr">
        <is>
          <t>S2S Premium</t>
        </is>
      </c>
      <c r="D47" t="inlineStr">
        <is>
          <t>P_Macalello, Rocio</t>
        </is>
      </c>
      <c r="E47" t="inlineStr">
        <is>
          <t>605681</t>
        </is>
      </c>
      <c r="F47" s="2" t="inlineStr">
        <is>
          <t>10:30</t>
        </is>
      </c>
      <c r="G47" t="inlineStr">
        <is>
          <t>-</t>
        </is>
      </c>
      <c r="H47" s="2" t="inlineStr">
        <is>
          <t>11:00</t>
        </is>
      </c>
      <c r="I47" t="inlineStr">
        <is>
          <t>1191,000000000</t>
        </is>
      </c>
      <c r="J47" t="inlineStr">
        <is>
          <t>26,000000000</t>
        </is>
      </c>
      <c r="K47" t="inlineStr">
        <is>
          <t>,000000000</t>
        </is>
      </c>
      <c r="L47" t="inlineStr">
        <is>
          <t>25,000000000</t>
        </is>
      </c>
      <c r="M47" t="inlineStr">
        <is>
          <t>,000000000</t>
        </is>
      </c>
      <c r="N47" t="inlineStr">
        <is>
          <t>,000000000</t>
        </is>
      </c>
      <c r="O47" t="inlineStr">
        <is>
          <t>,000000000</t>
        </is>
      </c>
      <c r="P47" t="inlineStr">
        <is>
          <t>54,000000000</t>
        </is>
      </c>
      <c r="Q47" t="inlineStr">
        <is>
          <t>39,000000000</t>
        </is>
      </c>
      <c r="R47" t="inlineStr">
        <is>
          <t>,000000000</t>
        </is>
      </c>
      <c r="S47" t="inlineStr">
        <is>
          <t>,000000000</t>
        </is>
      </c>
      <c r="T47" t="inlineStr">
        <is>
          <t>,000000000</t>
        </is>
      </c>
      <c r="U47" t="inlineStr">
        <is>
          <t>,000000000</t>
        </is>
      </c>
      <c r="V47" t="inlineStr">
        <is>
          <t>,000000000</t>
        </is>
      </c>
      <c r="W47" t="inlineStr">
        <is>
          <t>,000000000</t>
        </is>
      </c>
      <c r="X47" t="inlineStr">
        <is>
          <t>,000000000</t>
        </is>
      </c>
      <c r="Y47" t="inlineStr">
        <is>
          <t>,000000000</t>
        </is>
      </c>
      <c r="Z47" t="inlineStr">
        <is>
          <t>,000000000</t>
        </is>
      </c>
      <c r="AA47" t="inlineStr">
        <is>
          <t>,000000000</t>
        </is>
      </c>
      <c r="AB47" t="inlineStr">
        <is>
          <t>7</t>
        </is>
      </c>
      <c r="AC47" t="inlineStr">
        <is>
          <t>5</t>
        </is>
      </c>
      <c r="AD47" s="3">
        <f>UPPER(C3)</f>
        <v/>
      </c>
      <c r="AE47" s="3">
        <f>VLOOKUP(E3,'[1]Nómina Agentes'!$C:$D,3,0)</f>
        <v/>
      </c>
      <c r="AF47" s="5">
        <f>F3</f>
        <v/>
      </c>
      <c r="AG47" s="5">
        <f>H3</f>
        <v/>
      </c>
    </row>
    <row r="48">
      <c r="A48" s="1" t="inlineStr">
        <is>
          <t>9/10/2024</t>
        </is>
      </c>
      <c r="B48" t="inlineStr">
        <is>
          <t>925</t>
        </is>
      </c>
      <c r="C48" t="inlineStr">
        <is>
          <t>S2S Premium</t>
        </is>
      </c>
      <c r="D48" t="inlineStr">
        <is>
          <t>Pm_Cuellar, Joel</t>
        </is>
      </c>
      <c r="E48" t="inlineStr">
        <is>
          <t>605760</t>
        </is>
      </c>
      <c r="F48" s="2" t="inlineStr">
        <is>
          <t>08:30</t>
        </is>
      </c>
      <c r="G48" t="inlineStr">
        <is>
          <t>-</t>
        </is>
      </c>
      <c r="H48" s="2" t="inlineStr">
        <is>
          <t>09:00</t>
        </is>
      </c>
      <c r="I48" t="inlineStr">
        <is>
          <t>39,000000000</t>
        </is>
      </c>
      <c r="J48" t="inlineStr">
        <is>
          <t>,000000000</t>
        </is>
      </c>
      <c r="K48" t="inlineStr">
        <is>
          <t>,000000000</t>
        </is>
      </c>
      <c r="L48" t="inlineStr">
        <is>
          <t>7,000000000</t>
        </is>
      </c>
      <c r="M48" t="inlineStr">
        <is>
          <t>,000000000</t>
        </is>
      </c>
      <c r="N48" t="inlineStr">
        <is>
          <t>,000000000</t>
        </is>
      </c>
      <c r="O48" t="inlineStr">
        <is>
          <t>,000000000</t>
        </is>
      </c>
      <c r="P48" t="inlineStr">
        <is>
          <t>,000000000</t>
        </is>
      </c>
      <c r="Q48" t="inlineStr">
        <is>
          <t>,000000000</t>
        </is>
      </c>
      <c r="R48" t="inlineStr">
        <is>
          <t>,000000000</t>
        </is>
      </c>
      <c r="S48" t="inlineStr">
        <is>
          <t>,000000000</t>
        </is>
      </c>
      <c r="T48" t="inlineStr">
        <is>
          <t>,000000000</t>
        </is>
      </c>
      <c r="U48" t="inlineStr">
        <is>
          <t>,000000000</t>
        </is>
      </c>
      <c r="V48" t="inlineStr">
        <is>
          <t>,000000000</t>
        </is>
      </c>
      <c r="W48" t="inlineStr">
        <is>
          <t>,000000000</t>
        </is>
      </c>
      <c r="X48" t="inlineStr">
        <is>
          <t>,000000000</t>
        </is>
      </c>
      <c r="Y48" t="inlineStr">
        <is>
          <t>,000000000</t>
        </is>
      </c>
      <c r="Z48" t="inlineStr">
        <is>
          <t>,000000000</t>
        </is>
      </c>
      <c r="AA48" t="inlineStr">
        <is>
          <t>,000000000</t>
        </is>
      </c>
      <c r="AB48" t="inlineStr">
        <is>
          <t>0</t>
        </is>
      </c>
      <c r="AC48" t="inlineStr">
        <is>
          <t>0</t>
        </is>
      </c>
      <c r="AD48" s="3">
        <f>UPPER(C3)</f>
        <v/>
      </c>
      <c r="AE48" s="3">
        <f>VLOOKUP(E3,'[1]Nómina Agentes'!$C:$D,3,0)</f>
        <v/>
      </c>
      <c r="AF48" s="5">
        <f>F3</f>
        <v/>
      </c>
      <c r="AG48" s="5">
        <f>H3</f>
        <v/>
      </c>
    </row>
    <row r="49">
      <c r="A49" s="1" t="inlineStr">
        <is>
          <t>9/10/2024</t>
        </is>
      </c>
      <c r="B49" t="inlineStr">
        <is>
          <t>925</t>
        </is>
      </c>
      <c r="C49" t="inlineStr">
        <is>
          <t>S2S Premium</t>
        </is>
      </c>
      <c r="D49" t="inlineStr">
        <is>
          <t>Pm_Cuellar, Joel</t>
        </is>
      </c>
      <c r="E49" t="inlineStr">
        <is>
          <t>605760</t>
        </is>
      </c>
      <c r="F49" s="2" t="inlineStr">
        <is>
          <t>09:00</t>
        </is>
      </c>
      <c r="G49" t="inlineStr">
        <is>
          <t>-</t>
        </is>
      </c>
      <c r="H49" s="2" t="inlineStr">
        <is>
          <t>09:30</t>
        </is>
      </c>
      <c r="I49" t="inlineStr">
        <is>
          <t>635,000000000</t>
        </is>
      </c>
      <c r="J49" t="inlineStr">
        <is>
          <t>,000000000</t>
        </is>
      </c>
      <c r="K49" t="inlineStr">
        <is>
          <t>,000000000</t>
        </is>
      </c>
      <c r="L49" t="inlineStr">
        <is>
          <t>13,000000000</t>
        </is>
      </c>
      <c r="M49" t="inlineStr">
        <is>
          <t>,000000000</t>
        </is>
      </c>
      <c r="N49" t="inlineStr">
        <is>
          <t>,000000000</t>
        </is>
      </c>
      <c r="O49" t="inlineStr">
        <is>
          <t>,000000000</t>
        </is>
      </c>
      <c r="P49" t="inlineStr">
        <is>
          <t>3,000000000</t>
        </is>
      </c>
      <c r="Q49" t="inlineStr">
        <is>
          <t>182,000000000</t>
        </is>
      </c>
      <c r="R49" t="inlineStr">
        <is>
          <t>,000000000</t>
        </is>
      </c>
      <c r="S49" t="inlineStr">
        <is>
          <t>,000000000</t>
        </is>
      </c>
      <c r="T49" t="inlineStr">
        <is>
          <t>,000000000</t>
        </is>
      </c>
      <c r="U49" t="inlineStr">
        <is>
          <t>,000000000</t>
        </is>
      </c>
      <c r="V49" t="inlineStr">
        <is>
          <t>,000000000</t>
        </is>
      </c>
      <c r="W49" t="inlineStr">
        <is>
          <t>,000000000</t>
        </is>
      </c>
      <c r="X49" t="inlineStr">
        <is>
          <t>,000000000</t>
        </is>
      </c>
      <c r="Y49" t="inlineStr">
        <is>
          <t>,000000000</t>
        </is>
      </c>
      <c r="Z49" t="inlineStr">
        <is>
          <t>,000000000</t>
        </is>
      </c>
      <c r="AA49" t="inlineStr">
        <is>
          <t>,000000000</t>
        </is>
      </c>
      <c r="AB49" t="inlineStr">
        <is>
          <t>3</t>
        </is>
      </c>
      <c r="AC49" t="inlineStr">
        <is>
          <t>3</t>
        </is>
      </c>
      <c r="AD49" s="3">
        <f>UPPER(C3)</f>
        <v/>
      </c>
      <c r="AE49" s="3">
        <f>VLOOKUP(E3,'[1]Nómina Agentes'!$C:$D,3,0)</f>
        <v/>
      </c>
      <c r="AF49" s="5">
        <f>F3</f>
        <v/>
      </c>
      <c r="AG49" s="5">
        <f>H3</f>
        <v/>
      </c>
    </row>
    <row r="50">
      <c r="A50" s="1" t="inlineStr">
        <is>
          <t>9/10/2024</t>
        </is>
      </c>
      <c r="B50" t="inlineStr">
        <is>
          <t>925</t>
        </is>
      </c>
      <c r="C50" t="inlineStr">
        <is>
          <t>S2S Premium</t>
        </is>
      </c>
      <c r="D50" t="inlineStr">
        <is>
          <t>Pm_Cuellar, Joel</t>
        </is>
      </c>
      <c r="E50" t="inlineStr">
        <is>
          <t>605760</t>
        </is>
      </c>
      <c r="F50" s="2" t="inlineStr">
        <is>
          <t>09:30</t>
        </is>
      </c>
      <c r="G50" t="inlineStr">
        <is>
          <t>-</t>
        </is>
      </c>
      <c r="H50" s="2" t="inlineStr">
        <is>
          <t>10:00</t>
        </is>
      </c>
      <c r="I50" t="inlineStr">
        <is>
          <t>825,000000000</t>
        </is>
      </c>
      <c r="J50" t="inlineStr">
        <is>
          <t>,000000000</t>
        </is>
      </c>
      <c r="K50" t="inlineStr">
        <is>
          <t>,000000000</t>
        </is>
      </c>
      <c r="L50" t="inlineStr">
        <is>
          <t>21,000000000</t>
        </is>
      </c>
      <c r="M50" t="inlineStr">
        <is>
          <t>,000000000</t>
        </is>
      </c>
      <c r="N50" t="inlineStr">
        <is>
          <t>,000000000</t>
        </is>
      </c>
      <c r="O50" t="inlineStr">
        <is>
          <t>,000000000</t>
        </is>
      </c>
      <c r="P50" t="inlineStr">
        <is>
          <t>483,000000000</t>
        </is>
      </c>
      <c r="Q50" t="inlineStr">
        <is>
          <t>264,000000000</t>
        </is>
      </c>
      <c r="R50" t="inlineStr">
        <is>
          <t>,000000000</t>
        </is>
      </c>
      <c r="S50" t="inlineStr">
        <is>
          <t>,000000000</t>
        </is>
      </c>
      <c r="T50" t="inlineStr">
        <is>
          <t>,000000000</t>
        </is>
      </c>
      <c r="U50" t="inlineStr">
        <is>
          <t>,000000000</t>
        </is>
      </c>
      <c r="V50" t="inlineStr">
        <is>
          <t>,000000000</t>
        </is>
      </c>
      <c r="W50" t="inlineStr">
        <is>
          <t>,000000000</t>
        </is>
      </c>
      <c r="X50" t="inlineStr">
        <is>
          <t>,000000000</t>
        </is>
      </c>
      <c r="Y50" t="inlineStr">
        <is>
          <t>,000000000</t>
        </is>
      </c>
      <c r="Z50" t="inlineStr">
        <is>
          <t>,000000000</t>
        </is>
      </c>
      <c r="AA50" t="inlineStr">
        <is>
          <t>,000000000</t>
        </is>
      </c>
      <c r="AB50" t="inlineStr">
        <is>
          <t>5</t>
        </is>
      </c>
      <c r="AC50" t="inlineStr">
        <is>
          <t>5</t>
        </is>
      </c>
      <c r="AD50" s="3">
        <f>UPPER(C3)</f>
        <v/>
      </c>
      <c r="AE50" s="3">
        <f>VLOOKUP(E3,'[1]Nómina Agentes'!$C:$D,3,0)</f>
        <v/>
      </c>
      <c r="AF50" s="5">
        <f>F3</f>
        <v/>
      </c>
      <c r="AG50" s="5">
        <f>H3</f>
        <v/>
      </c>
    </row>
    <row r="51">
      <c r="A51" s="1" t="inlineStr">
        <is>
          <t>9/10/2024</t>
        </is>
      </c>
      <c r="B51" t="inlineStr">
        <is>
          <t>925</t>
        </is>
      </c>
      <c r="C51" t="inlineStr">
        <is>
          <t>S2S Premium</t>
        </is>
      </c>
      <c r="D51" t="inlineStr">
        <is>
          <t>Pm_Cuellar, Joel</t>
        </is>
      </c>
      <c r="E51" t="inlineStr">
        <is>
          <t>605760</t>
        </is>
      </c>
      <c r="F51" s="2" t="inlineStr">
        <is>
          <t>10:30</t>
        </is>
      </c>
      <c r="G51" t="inlineStr">
        <is>
          <t>-</t>
        </is>
      </c>
      <c r="H51" s="2" t="inlineStr">
        <is>
          <t>11:00</t>
        </is>
      </c>
      <c r="I51" t="inlineStr">
        <is>
          <t>1233,000000000</t>
        </is>
      </c>
      <c r="J51" t="inlineStr">
        <is>
          <t>235,000000000</t>
        </is>
      </c>
      <c r="K51" t="inlineStr">
        <is>
          <t>,000000000</t>
        </is>
      </c>
      <c r="L51" t="inlineStr">
        <is>
          <t>20,000000000</t>
        </is>
      </c>
      <c r="M51" t="inlineStr">
        <is>
          <t>,000000000</t>
        </is>
      </c>
      <c r="N51" t="inlineStr">
        <is>
          <t>,000000000</t>
        </is>
      </c>
      <c r="O51" t="inlineStr">
        <is>
          <t>,000000000</t>
        </is>
      </c>
      <c r="P51" t="inlineStr">
        <is>
          <t>4,000000000</t>
        </is>
      </c>
      <c r="Q51" t="inlineStr">
        <is>
          <t>,000000000</t>
        </is>
      </c>
      <c r="R51" t="inlineStr">
        <is>
          <t>,000000000</t>
        </is>
      </c>
      <c r="S51" t="inlineStr">
        <is>
          <t>,000000000</t>
        </is>
      </c>
      <c r="T51" t="inlineStr">
        <is>
          <t>,000000000</t>
        </is>
      </c>
      <c r="U51" t="inlineStr">
        <is>
          <t>,000000000</t>
        </is>
      </c>
      <c r="V51" t="inlineStr">
        <is>
          <t>,000000000</t>
        </is>
      </c>
      <c r="W51" t="inlineStr">
        <is>
          <t>,000000000</t>
        </is>
      </c>
      <c r="X51" t="inlineStr">
        <is>
          <t>,000000000</t>
        </is>
      </c>
      <c r="Y51" t="inlineStr">
        <is>
          <t>,000000000</t>
        </is>
      </c>
      <c r="Z51" t="inlineStr">
        <is>
          <t>,000000000</t>
        </is>
      </c>
      <c r="AA51" t="inlineStr">
        <is>
          <t>,000000000</t>
        </is>
      </c>
      <c r="AB51" t="inlineStr">
        <is>
          <t>5</t>
        </is>
      </c>
      <c r="AC51" t="inlineStr">
        <is>
          <t>4</t>
        </is>
      </c>
      <c r="AD51" s="3">
        <f>UPPER(C3)</f>
        <v/>
      </c>
      <c r="AE51" s="3">
        <f>VLOOKUP(E3,'[1]Nómina Agentes'!$C:$D,3,0)</f>
        <v/>
      </c>
      <c r="AF51" s="5">
        <f>F3</f>
        <v/>
      </c>
      <c r="AG51" s="5">
        <f>H3</f>
        <v/>
      </c>
    </row>
    <row r="52">
      <c r="A52" s="1" t="inlineStr">
        <is>
          <t>9/10/2024</t>
        </is>
      </c>
      <c r="B52" t="inlineStr">
        <is>
          <t>925</t>
        </is>
      </c>
      <c r="C52" t="inlineStr">
        <is>
          <t>S2S Premium</t>
        </is>
      </c>
      <c r="D52" t="inlineStr">
        <is>
          <t>Pm_Cuellar, Joel</t>
        </is>
      </c>
      <c r="E52" t="inlineStr">
        <is>
          <t>605760</t>
        </is>
      </c>
      <c r="F52" s="2" t="inlineStr">
        <is>
          <t>10:00</t>
        </is>
      </c>
      <c r="G52" t="inlineStr">
        <is>
          <t>-</t>
        </is>
      </c>
      <c r="H52" s="2" t="inlineStr">
        <is>
          <t>10:30</t>
        </is>
      </c>
      <c r="I52" t="inlineStr">
        <is>
          <t>1243,000000000</t>
        </is>
      </c>
      <c r="J52" t="inlineStr">
        <is>
          <t>,000000000</t>
        </is>
      </c>
      <c r="K52" t="inlineStr">
        <is>
          <t>,000000000</t>
        </is>
      </c>
      <c r="L52" t="inlineStr">
        <is>
          <t>12,000000000</t>
        </is>
      </c>
      <c r="M52" t="inlineStr">
        <is>
          <t>,000000000</t>
        </is>
      </c>
      <c r="N52" t="inlineStr">
        <is>
          <t>,000000000</t>
        </is>
      </c>
      <c r="O52" t="inlineStr">
        <is>
          <t>,000000000</t>
        </is>
      </c>
      <c r="P52" t="inlineStr">
        <is>
          <t>2,000000000</t>
        </is>
      </c>
      <c r="Q52" t="inlineStr">
        <is>
          <t>,000000000</t>
        </is>
      </c>
      <c r="R52" t="inlineStr">
        <is>
          <t>,000000000</t>
        </is>
      </c>
      <c r="S52" t="inlineStr">
        <is>
          <t>,000000000</t>
        </is>
      </c>
      <c r="T52" t="inlineStr">
        <is>
          <t>,000000000</t>
        </is>
      </c>
      <c r="U52" t="inlineStr">
        <is>
          <t>,000000000</t>
        </is>
      </c>
      <c r="V52" t="inlineStr">
        <is>
          <t>,000000000</t>
        </is>
      </c>
      <c r="W52" t="inlineStr">
        <is>
          <t>,000000000</t>
        </is>
      </c>
      <c r="X52" t="inlineStr">
        <is>
          <t>,000000000</t>
        </is>
      </c>
      <c r="Y52" t="inlineStr">
        <is>
          <t>,000000000</t>
        </is>
      </c>
      <c r="Z52" t="inlineStr">
        <is>
          <t>,000000000</t>
        </is>
      </c>
      <c r="AA52" t="inlineStr">
        <is>
          <t>,000000000</t>
        </is>
      </c>
      <c r="AB52" t="inlineStr">
        <is>
          <t>3</t>
        </is>
      </c>
      <c r="AC52" t="inlineStr">
        <is>
          <t>2</t>
        </is>
      </c>
      <c r="AD52" s="3">
        <f>UPPER(C3)</f>
        <v/>
      </c>
      <c r="AE52" s="3">
        <f>VLOOKUP(E3,'[1]Nómina Agentes'!$C:$D,3,0)</f>
        <v/>
      </c>
      <c r="AF52" s="5">
        <f>F3</f>
        <v/>
      </c>
      <c r="AG52" s="5">
        <f>H3</f>
        <v/>
      </c>
    </row>
    <row r="53">
      <c r="A53" s="1" t="inlineStr">
        <is>
          <t>9/10/2024</t>
        </is>
      </c>
      <c r="B53" t="inlineStr">
        <is>
          <t>924</t>
        </is>
      </c>
      <c r="C53" t="inlineStr">
        <is>
          <t>S2S No Premium</t>
        </is>
      </c>
      <c r="D53" t="inlineStr">
        <is>
          <t>N2_Frias, Brenda</t>
        </is>
      </c>
      <c r="E53" t="inlineStr">
        <is>
          <t>605768</t>
        </is>
      </c>
      <c r="F53" s="2" t="inlineStr">
        <is>
          <t>08:30</t>
        </is>
      </c>
      <c r="G53" t="inlineStr">
        <is>
          <t>-</t>
        </is>
      </c>
      <c r="H53" s="2" t="inlineStr">
        <is>
          <t>09:00</t>
        </is>
      </c>
      <c r="I53" t="inlineStr">
        <is>
          <t>,000000000</t>
        </is>
      </c>
      <c r="J53" t="inlineStr">
        <is>
          <t>,000000000</t>
        </is>
      </c>
      <c r="K53" t="inlineStr">
        <is>
          <t>,000000000</t>
        </is>
      </c>
      <c r="L53" t="inlineStr">
        <is>
          <t>,000000000</t>
        </is>
      </c>
      <c r="M53" t="inlineStr">
        <is>
          <t>,000000000</t>
        </is>
      </c>
      <c r="N53" t="inlineStr">
        <is>
          <t>,000000000</t>
        </is>
      </c>
      <c r="O53" t="inlineStr">
        <is>
          <t>,000000000</t>
        </is>
      </c>
      <c r="P53" t="inlineStr">
        <is>
          <t>,000000000</t>
        </is>
      </c>
      <c r="Q53" t="inlineStr">
        <is>
          <t>,000000000</t>
        </is>
      </c>
      <c r="R53" t="inlineStr">
        <is>
          <t>,000000000</t>
        </is>
      </c>
      <c r="S53" t="inlineStr">
        <is>
          <t>,000000000</t>
        </is>
      </c>
      <c r="T53" t="inlineStr">
        <is>
          <t>,000000000</t>
        </is>
      </c>
      <c r="U53" t="inlineStr">
        <is>
          <t>,000000000</t>
        </is>
      </c>
      <c r="V53" t="inlineStr">
        <is>
          <t>,000000000</t>
        </is>
      </c>
      <c r="W53" t="inlineStr">
        <is>
          <t>,000000000</t>
        </is>
      </c>
      <c r="X53" t="inlineStr">
        <is>
          <t>,000000000</t>
        </is>
      </c>
      <c r="Y53" t="inlineStr">
        <is>
          <t>,000000000</t>
        </is>
      </c>
      <c r="Z53" t="inlineStr">
        <is>
          <t>,000000000</t>
        </is>
      </c>
      <c r="AA53" t="inlineStr">
        <is>
          <t>,000000000</t>
        </is>
      </c>
      <c r="AB53" t="inlineStr">
        <is>
          <t>0</t>
        </is>
      </c>
      <c r="AC53" t="inlineStr">
        <is>
          <t>0</t>
        </is>
      </c>
      <c r="AD53" s="3">
        <f>UPPER(C3)</f>
        <v/>
      </c>
      <c r="AE53" s="3">
        <f>VLOOKUP(E3,'[1]Nómina Agentes'!$C:$D,3,0)</f>
        <v/>
      </c>
      <c r="AF53" s="5">
        <f>F3</f>
        <v/>
      </c>
      <c r="AG53" s="5">
        <f>H3</f>
        <v/>
      </c>
    </row>
    <row r="54">
      <c r="A54" s="1" t="inlineStr">
        <is>
          <t>9/10/2024</t>
        </is>
      </c>
      <c r="B54" t="inlineStr">
        <is>
          <t>924</t>
        </is>
      </c>
      <c r="C54" t="inlineStr">
        <is>
          <t>S2S No Premium</t>
        </is>
      </c>
      <c r="D54" t="inlineStr">
        <is>
          <t>N2_Frias, Brenda</t>
        </is>
      </c>
      <c r="E54" t="inlineStr">
        <is>
          <t>605768</t>
        </is>
      </c>
      <c r="F54" s="2" t="inlineStr">
        <is>
          <t>10:30</t>
        </is>
      </c>
      <c r="G54" t="inlineStr">
        <is>
          <t>-</t>
        </is>
      </c>
      <c r="H54" s="2" t="inlineStr">
        <is>
          <t>11:00</t>
        </is>
      </c>
      <c r="I54" t="inlineStr">
        <is>
          <t>644,000000000</t>
        </is>
      </c>
      <c r="J54" t="inlineStr">
        <is>
          <t>,000000000</t>
        </is>
      </c>
      <c r="K54" t="inlineStr">
        <is>
          <t>,000000000</t>
        </is>
      </c>
      <c r="L54" t="inlineStr">
        <is>
          <t>4,000000000</t>
        </is>
      </c>
      <c r="M54" t="inlineStr">
        <is>
          <t>,000000000</t>
        </is>
      </c>
      <c r="N54" t="inlineStr">
        <is>
          <t>,000000000</t>
        </is>
      </c>
      <c r="O54" t="inlineStr">
        <is>
          <t>,000000000</t>
        </is>
      </c>
      <c r="P54" t="inlineStr">
        <is>
          <t>2,000000000</t>
        </is>
      </c>
      <c r="Q54" t="inlineStr">
        <is>
          <t>,000000000</t>
        </is>
      </c>
      <c r="R54" t="inlineStr">
        <is>
          <t>,000000000</t>
        </is>
      </c>
      <c r="S54" t="inlineStr">
        <is>
          <t>,000000000</t>
        </is>
      </c>
      <c r="T54" t="inlineStr">
        <is>
          <t>,000000000</t>
        </is>
      </c>
      <c r="U54" t="inlineStr">
        <is>
          <t>,000000000</t>
        </is>
      </c>
      <c r="V54" t="inlineStr">
        <is>
          <t>,000000000</t>
        </is>
      </c>
      <c r="W54" t="inlineStr">
        <is>
          <t>,000000000</t>
        </is>
      </c>
      <c r="X54" t="inlineStr">
        <is>
          <t>,000000000</t>
        </is>
      </c>
      <c r="Y54" t="inlineStr">
        <is>
          <t>,000000000</t>
        </is>
      </c>
      <c r="Z54" t="inlineStr">
        <is>
          <t>,000000000</t>
        </is>
      </c>
      <c r="AA54" t="inlineStr">
        <is>
          <t>,000000000</t>
        </is>
      </c>
      <c r="AB54" t="inlineStr">
        <is>
          <t>2</t>
        </is>
      </c>
      <c r="AC54" t="inlineStr">
        <is>
          <t>2</t>
        </is>
      </c>
      <c r="AD54" s="3">
        <f>UPPER(C3)</f>
        <v/>
      </c>
      <c r="AE54" s="3">
        <f>VLOOKUP(E3,'[1]Nómina Agentes'!$C:$D,3,0)</f>
        <v/>
      </c>
      <c r="AF54" s="5">
        <f>F3</f>
        <v/>
      </c>
      <c r="AG54" s="5">
        <f>H3</f>
        <v/>
      </c>
    </row>
    <row r="55">
      <c r="A55" s="1" t="inlineStr">
        <is>
          <t>9/10/2024</t>
        </is>
      </c>
      <c r="B55" t="inlineStr">
        <is>
          <t>924</t>
        </is>
      </c>
      <c r="C55" t="inlineStr">
        <is>
          <t>S2S No Premium</t>
        </is>
      </c>
      <c r="D55" t="inlineStr">
        <is>
          <t>N2_Frias, Brenda</t>
        </is>
      </c>
      <c r="E55" t="inlineStr">
        <is>
          <t>605768</t>
        </is>
      </c>
      <c r="F55" s="2" t="inlineStr">
        <is>
          <t>10:00</t>
        </is>
      </c>
      <c r="G55" t="inlineStr">
        <is>
          <t>-</t>
        </is>
      </c>
      <c r="H55" s="2" t="inlineStr">
        <is>
          <t>10:30</t>
        </is>
      </c>
      <c r="I55" t="inlineStr">
        <is>
          <t>903,000000000</t>
        </is>
      </c>
      <c r="J55" t="inlineStr">
        <is>
          <t>,000000000</t>
        </is>
      </c>
      <c r="K55" t="inlineStr">
        <is>
          <t>,000000000</t>
        </is>
      </c>
      <c r="L55" t="inlineStr">
        <is>
          <t>12,000000000</t>
        </is>
      </c>
      <c r="M55" t="inlineStr">
        <is>
          <t>,000000000</t>
        </is>
      </c>
      <c r="N55" t="inlineStr">
        <is>
          <t>,000000000</t>
        </is>
      </c>
      <c r="O55" t="inlineStr">
        <is>
          <t>,000000000</t>
        </is>
      </c>
      <c r="P55" t="inlineStr">
        <is>
          <t>224,000000000</t>
        </is>
      </c>
      <c r="Q55" t="inlineStr">
        <is>
          <t>,000000000</t>
        </is>
      </c>
      <c r="R55" t="inlineStr">
        <is>
          <t>,000000000</t>
        </is>
      </c>
      <c r="S55" t="inlineStr">
        <is>
          <t>,000000000</t>
        </is>
      </c>
      <c r="T55" t="inlineStr">
        <is>
          <t>,000000000</t>
        </is>
      </c>
      <c r="U55" t="inlineStr">
        <is>
          <t>,000000000</t>
        </is>
      </c>
      <c r="V55" t="inlineStr">
        <is>
          <t>,000000000</t>
        </is>
      </c>
      <c r="W55" t="inlineStr">
        <is>
          <t>,000000000</t>
        </is>
      </c>
      <c r="X55" t="inlineStr">
        <is>
          <t>,000000000</t>
        </is>
      </c>
      <c r="Y55" t="inlineStr">
        <is>
          <t>,000000000</t>
        </is>
      </c>
      <c r="Z55" t="inlineStr">
        <is>
          <t>,000000000</t>
        </is>
      </c>
      <c r="AA55" t="inlineStr">
        <is>
          <t>,000000000</t>
        </is>
      </c>
      <c r="AB55" t="inlineStr">
        <is>
          <t>4</t>
        </is>
      </c>
      <c r="AC55" t="inlineStr">
        <is>
          <t>4</t>
        </is>
      </c>
      <c r="AD55" s="3">
        <f>UPPER(C3)</f>
        <v/>
      </c>
      <c r="AE55" s="3">
        <f>VLOOKUP(E3,'[1]Nómina Agentes'!$C:$D,3,0)</f>
        <v/>
      </c>
      <c r="AF55" s="5">
        <f>F3</f>
        <v/>
      </c>
      <c r="AG55" s="5">
        <f>H3</f>
        <v/>
      </c>
    </row>
    <row r="56">
      <c r="A56" s="1" t="inlineStr">
        <is>
          <t>9/10/2024</t>
        </is>
      </c>
      <c r="B56" t="inlineStr">
        <is>
          <t>924</t>
        </is>
      </c>
      <c r="C56" t="inlineStr">
        <is>
          <t>S2S No Premium</t>
        </is>
      </c>
      <c r="D56" t="inlineStr">
        <is>
          <t>N2_Frias, Brenda</t>
        </is>
      </c>
      <c r="E56" t="inlineStr">
        <is>
          <t>605768</t>
        </is>
      </c>
      <c r="F56" s="2" t="inlineStr">
        <is>
          <t>09:00</t>
        </is>
      </c>
      <c r="G56" t="inlineStr">
        <is>
          <t>-</t>
        </is>
      </c>
      <c r="H56" s="2" t="inlineStr">
        <is>
          <t>09:30</t>
        </is>
      </c>
      <c r="I56" t="inlineStr">
        <is>
          <t>944,000000000</t>
        </is>
      </c>
      <c r="J56" t="inlineStr">
        <is>
          <t>,000000000</t>
        </is>
      </c>
      <c r="K56" t="inlineStr">
        <is>
          <t>,000000000</t>
        </is>
      </c>
      <c r="L56" t="inlineStr">
        <is>
          <t>22,000000000</t>
        </is>
      </c>
      <c r="M56" t="inlineStr">
        <is>
          <t>,000000000</t>
        </is>
      </c>
      <c r="N56" t="inlineStr">
        <is>
          <t>,000000000</t>
        </is>
      </c>
      <c r="O56" t="inlineStr">
        <is>
          <t>,000000000</t>
        </is>
      </c>
      <c r="P56" t="inlineStr">
        <is>
          <t>4,000000000</t>
        </is>
      </c>
      <c r="Q56" t="inlineStr">
        <is>
          <t>,000000000</t>
        </is>
      </c>
      <c r="R56" t="inlineStr">
        <is>
          <t>,000000000</t>
        </is>
      </c>
      <c r="S56" t="inlineStr">
        <is>
          <t>,000000000</t>
        </is>
      </c>
      <c r="T56" t="inlineStr">
        <is>
          <t>,000000000</t>
        </is>
      </c>
      <c r="U56" t="inlineStr">
        <is>
          <t>,000000000</t>
        </is>
      </c>
      <c r="V56" t="inlineStr">
        <is>
          <t>,000000000</t>
        </is>
      </c>
      <c r="W56" t="inlineStr">
        <is>
          <t>,000000000</t>
        </is>
      </c>
      <c r="X56" t="inlineStr">
        <is>
          <t>,000000000</t>
        </is>
      </c>
      <c r="Y56" t="inlineStr">
        <is>
          <t>,000000000</t>
        </is>
      </c>
      <c r="Z56" t="inlineStr">
        <is>
          <t>,000000000</t>
        </is>
      </c>
      <c r="AA56" t="inlineStr">
        <is>
          <t>,000000000</t>
        </is>
      </c>
      <c r="AB56" t="inlineStr">
        <is>
          <t>4</t>
        </is>
      </c>
      <c r="AC56" t="inlineStr">
        <is>
          <t>4</t>
        </is>
      </c>
      <c r="AD56" s="3">
        <f>UPPER(C3)</f>
        <v/>
      </c>
      <c r="AE56" s="3">
        <f>VLOOKUP(E3,'[1]Nómina Agentes'!$C:$D,3,0)</f>
        <v/>
      </c>
      <c r="AF56" s="5">
        <f>F3</f>
        <v/>
      </c>
      <c r="AG56" s="5">
        <f>H3</f>
        <v/>
      </c>
    </row>
    <row r="57">
      <c r="A57" s="1" t="inlineStr">
        <is>
          <t>9/10/2024</t>
        </is>
      </c>
      <c r="B57" t="inlineStr">
        <is>
          <t>924</t>
        </is>
      </c>
      <c r="C57" t="inlineStr">
        <is>
          <t>S2S No Premium</t>
        </is>
      </c>
      <c r="D57" t="inlineStr">
        <is>
          <t>N2_Frias, Brenda</t>
        </is>
      </c>
      <c r="E57" t="inlineStr">
        <is>
          <t>605768</t>
        </is>
      </c>
      <c r="F57" s="2" t="inlineStr">
        <is>
          <t>09:30</t>
        </is>
      </c>
      <c r="G57" t="inlineStr">
        <is>
          <t>-</t>
        </is>
      </c>
      <c r="H57" s="2" t="inlineStr">
        <is>
          <t>10:00</t>
        </is>
      </c>
      <c r="I57" t="inlineStr">
        <is>
          <t>1037,000000000</t>
        </is>
      </c>
      <c r="J57" t="inlineStr">
        <is>
          <t>56,000000000</t>
        </is>
      </c>
      <c r="K57" t="inlineStr">
        <is>
          <t>,000000000</t>
        </is>
      </c>
      <c r="L57" t="inlineStr">
        <is>
          <t>16,000000000</t>
        </is>
      </c>
      <c r="M57" t="inlineStr">
        <is>
          <t>,000000000</t>
        </is>
      </c>
      <c r="N57" t="inlineStr">
        <is>
          <t>,000000000</t>
        </is>
      </c>
      <c r="O57" t="inlineStr">
        <is>
          <t>,000000000</t>
        </is>
      </c>
      <c r="P57" t="inlineStr">
        <is>
          <t>353,000000000</t>
        </is>
      </c>
      <c r="Q57" t="inlineStr">
        <is>
          <t>3,000000000</t>
        </is>
      </c>
      <c r="R57" t="inlineStr">
        <is>
          <t>,000000000</t>
        </is>
      </c>
      <c r="S57" t="inlineStr">
        <is>
          <t>,000000000</t>
        </is>
      </c>
      <c r="T57" t="inlineStr">
        <is>
          <t>,000000000</t>
        </is>
      </c>
      <c r="U57" t="inlineStr">
        <is>
          <t>,000000000</t>
        </is>
      </c>
      <c r="V57" t="inlineStr">
        <is>
          <t>,000000000</t>
        </is>
      </c>
      <c r="W57" t="inlineStr">
        <is>
          <t>,000000000</t>
        </is>
      </c>
      <c r="X57" t="inlineStr">
        <is>
          <t>,000000000</t>
        </is>
      </c>
      <c r="Y57" t="inlineStr">
        <is>
          <t>,000000000</t>
        </is>
      </c>
      <c r="Z57" t="inlineStr">
        <is>
          <t>,000000000</t>
        </is>
      </c>
      <c r="AA57" t="inlineStr">
        <is>
          <t>,000000000</t>
        </is>
      </c>
      <c r="AB57" t="inlineStr">
        <is>
          <t>3</t>
        </is>
      </c>
      <c r="AC57" t="inlineStr">
        <is>
          <t>2</t>
        </is>
      </c>
      <c r="AD57" s="3">
        <f>UPPER(C3)</f>
        <v/>
      </c>
      <c r="AE57" s="3">
        <f>VLOOKUP(E3,'[1]Nómina Agentes'!$C:$D,3,0)</f>
        <v/>
      </c>
      <c r="AF57" s="5">
        <f>F3</f>
        <v/>
      </c>
      <c r="AG57" s="5">
        <f>H3</f>
        <v/>
      </c>
    </row>
    <row r="58">
      <c r="A58" s="1" t="inlineStr">
        <is>
          <t>9/10/2024</t>
        </is>
      </c>
      <c r="B58" t="inlineStr">
        <is>
          <t>925</t>
        </is>
      </c>
      <c r="C58" t="inlineStr">
        <is>
          <t>S2S Premium</t>
        </is>
      </c>
      <c r="D58" t="inlineStr">
        <is>
          <t>P_Sosa, Valentina</t>
        </is>
      </c>
      <c r="E58" t="inlineStr">
        <is>
          <t>605769</t>
        </is>
      </c>
      <c r="F58" s="2" t="inlineStr">
        <is>
          <t>08:30</t>
        </is>
      </c>
      <c r="G58" t="inlineStr">
        <is>
          <t>-</t>
        </is>
      </c>
      <c r="H58" s="2" t="inlineStr">
        <is>
          <t>09:00</t>
        </is>
      </c>
      <c r="I58" t="inlineStr">
        <is>
          <t>,000000000</t>
        </is>
      </c>
      <c r="J58" t="inlineStr">
        <is>
          <t>,000000000</t>
        </is>
      </c>
      <c r="K58" t="inlineStr">
        <is>
          <t>,000000000</t>
        </is>
      </c>
      <c r="L58" t="inlineStr">
        <is>
          <t>,000000000</t>
        </is>
      </c>
      <c r="M58" t="inlineStr">
        <is>
          <t>,000000000</t>
        </is>
      </c>
      <c r="N58" t="inlineStr">
        <is>
          <t>,000000000</t>
        </is>
      </c>
      <c r="O58" t="inlineStr">
        <is>
          <t>,000000000</t>
        </is>
      </c>
      <c r="P58" t="inlineStr">
        <is>
          <t>,000000000</t>
        </is>
      </c>
      <c r="Q58" t="inlineStr">
        <is>
          <t>,000000000</t>
        </is>
      </c>
      <c r="R58" t="inlineStr">
        <is>
          <t>,000000000</t>
        </is>
      </c>
      <c r="S58" t="inlineStr">
        <is>
          <t>,000000000</t>
        </is>
      </c>
      <c r="T58" t="inlineStr">
        <is>
          <t>,000000000</t>
        </is>
      </c>
      <c r="U58" t="inlineStr">
        <is>
          <t>,000000000</t>
        </is>
      </c>
      <c r="V58" t="inlineStr">
        <is>
          <t>,000000000</t>
        </is>
      </c>
      <c r="W58" t="inlineStr">
        <is>
          <t>,000000000</t>
        </is>
      </c>
      <c r="X58" t="inlineStr">
        <is>
          <t>,000000000</t>
        </is>
      </c>
      <c r="Y58" t="inlineStr">
        <is>
          <t>,000000000</t>
        </is>
      </c>
      <c r="Z58" t="inlineStr">
        <is>
          <t>,000000000</t>
        </is>
      </c>
      <c r="AA58" t="inlineStr">
        <is>
          <t>,000000000</t>
        </is>
      </c>
      <c r="AB58" t="inlineStr">
        <is>
          <t>0</t>
        </is>
      </c>
      <c r="AC58" t="inlineStr">
        <is>
          <t>0</t>
        </is>
      </c>
      <c r="AD58" s="3">
        <f>UPPER(C3)</f>
        <v/>
      </c>
      <c r="AE58" s="3">
        <f>VLOOKUP(E3,'[1]Nómina Agentes'!$C:$D,3,0)</f>
        <v/>
      </c>
      <c r="AF58" s="5">
        <f>F3</f>
        <v/>
      </c>
      <c r="AG58" s="5">
        <f>H3</f>
        <v/>
      </c>
    </row>
    <row r="59">
      <c r="A59" s="1" t="inlineStr">
        <is>
          <t>9/10/2024</t>
        </is>
      </c>
      <c r="B59" t="inlineStr">
        <is>
          <t>925</t>
        </is>
      </c>
      <c r="C59" t="inlineStr">
        <is>
          <t>S2S Premium</t>
        </is>
      </c>
      <c r="D59" t="inlineStr">
        <is>
          <t>P_Sosa, Valentina</t>
        </is>
      </c>
      <c r="E59" t="inlineStr">
        <is>
          <t>605769</t>
        </is>
      </c>
      <c r="F59" s="2" t="inlineStr">
        <is>
          <t>09:00</t>
        </is>
      </c>
      <c r="G59" t="inlineStr">
        <is>
          <t>-</t>
        </is>
      </c>
      <c r="H59" s="2" t="inlineStr">
        <is>
          <t>09:30</t>
        </is>
      </c>
      <c r="I59" t="inlineStr">
        <is>
          <t>389,000000000</t>
        </is>
      </c>
      <c r="J59" t="inlineStr">
        <is>
          <t>,000000000</t>
        </is>
      </c>
      <c r="K59" t="inlineStr">
        <is>
          <t>,000000000</t>
        </is>
      </c>
      <c r="L59" t="inlineStr">
        <is>
          <t>6,000000000</t>
        </is>
      </c>
      <c r="M59" t="inlineStr">
        <is>
          <t>,000000000</t>
        </is>
      </c>
      <c r="N59" t="inlineStr">
        <is>
          <t>,000000000</t>
        </is>
      </c>
      <c r="O59" t="inlineStr">
        <is>
          <t>,000000000</t>
        </is>
      </c>
      <c r="P59" t="inlineStr">
        <is>
          <t>1,000000000</t>
        </is>
      </c>
      <c r="Q59" t="inlineStr">
        <is>
          <t>,000000000</t>
        </is>
      </c>
      <c r="R59" t="inlineStr">
        <is>
          <t>,000000000</t>
        </is>
      </c>
      <c r="S59" t="inlineStr">
        <is>
          <t>,000000000</t>
        </is>
      </c>
      <c r="T59" t="inlineStr">
        <is>
          <t>,000000000</t>
        </is>
      </c>
      <c r="U59" t="inlineStr">
        <is>
          <t>,000000000</t>
        </is>
      </c>
      <c r="V59" t="inlineStr">
        <is>
          <t>,000000000</t>
        </is>
      </c>
      <c r="W59" t="inlineStr">
        <is>
          <t>,000000000</t>
        </is>
      </c>
      <c r="X59" t="inlineStr">
        <is>
          <t>,000000000</t>
        </is>
      </c>
      <c r="Y59" t="inlineStr">
        <is>
          <t>,000000000</t>
        </is>
      </c>
      <c r="Z59" t="inlineStr">
        <is>
          <t>,000000000</t>
        </is>
      </c>
      <c r="AA59" t="inlineStr">
        <is>
          <t>,000000000</t>
        </is>
      </c>
      <c r="AB59" t="inlineStr">
        <is>
          <t>1</t>
        </is>
      </c>
      <c r="AC59" t="inlineStr">
        <is>
          <t>1</t>
        </is>
      </c>
      <c r="AD59" s="3">
        <f>UPPER(C3)</f>
        <v/>
      </c>
      <c r="AE59" s="3">
        <f>VLOOKUP(E3,'[1]Nómina Agentes'!$C:$D,3,0)</f>
        <v/>
      </c>
      <c r="AF59" s="5">
        <f>F3</f>
        <v/>
      </c>
      <c r="AG59" s="5">
        <f>H3</f>
        <v/>
      </c>
    </row>
    <row r="60">
      <c r="A60" s="1" t="inlineStr">
        <is>
          <t>9/10/2024</t>
        </is>
      </c>
      <c r="B60" t="inlineStr">
        <is>
          <t>925</t>
        </is>
      </c>
      <c r="C60" t="inlineStr">
        <is>
          <t>S2S Premium</t>
        </is>
      </c>
      <c r="D60" t="inlineStr">
        <is>
          <t>P_Sosa, Valentina</t>
        </is>
      </c>
      <c r="E60" t="inlineStr">
        <is>
          <t>605769</t>
        </is>
      </c>
      <c r="F60" s="2" t="inlineStr">
        <is>
          <t>10:30</t>
        </is>
      </c>
      <c r="G60" t="inlineStr">
        <is>
          <t>-</t>
        </is>
      </c>
      <c r="H60" s="2" t="inlineStr">
        <is>
          <t>11:00</t>
        </is>
      </c>
      <c r="I60" t="inlineStr">
        <is>
          <t>486,000000000</t>
        </is>
      </c>
      <c r="J60" t="inlineStr">
        <is>
          <t>,000000000</t>
        </is>
      </c>
      <c r="K60" t="inlineStr">
        <is>
          <t>,000000000</t>
        </is>
      </c>
      <c r="L60" t="inlineStr">
        <is>
          <t>16,000000000</t>
        </is>
      </c>
      <c r="M60" t="inlineStr">
        <is>
          <t>,000000000</t>
        </is>
      </c>
      <c r="N60" t="inlineStr">
        <is>
          <t>,000000000</t>
        </is>
      </c>
      <c r="O60" t="inlineStr">
        <is>
          <t>,000000000</t>
        </is>
      </c>
      <c r="P60" t="inlineStr">
        <is>
          <t>3,000000000</t>
        </is>
      </c>
      <c r="Q60" t="inlineStr">
        <is>
          <t>,000000000</t>
        </is>
      </c>
      <c r="R60" t="inlineStr">
        <is>
          <t>,000000000</t>
        </is>
      </c>
      <c r="S60" t="inlineStr">
        <is>
          <t>,000000000</t>
        </is>
      </c>
      <c r="T60" t="inlineStr">
        <is>
          <t>,000000000</t>
        </is>
      </c>
      <c r="U60" t="inlineStr">
        <is>
          <t>,000000000</t>
        </is>
      </c>
      <c r="V60" t="inlineStr">
        <is>
          <t>,000000000</t>
        </is>
      </c>
      <c r="W60" t="inlineStr">
        <is>
          <t>,000000000</t>
        </is>
      </c>
      <c r="X60" t="inlineStr">
        <is>
          <t>,000000000</t>
        </is>
      </c>
      <c r="Y60" t="inlineStr">
        <is>
          <t>,000000000</t>
        </is>
      </c>
      <c r="Z60" t="inlineStr">
        <is>
          <t>,000000000</t>
        </is>
      </c>
      <c r="AA60" t="inlineStr">
        <is>
          <t>,000000000</t>
        </is>
      </c>
      <c r="AB60" t="inlineStr">
        <is>
          <t>3</t>
        </is>
      </c>
      <c r="AC60" t="inlineStr">
        <is>
          <t>3</t>
        </is>
      </c>
      <c r="AD60" s="3">
        <f>UPPER(C3)</f>
        <v/>
      </c>
      <c r="AE60" s="3">
        <f>VLOOKUP(E3,'[1]Nómina Agentes'!$C:$D,3,0)</f>
        <v/>
      </c>
      <c r="AF60" s="5">
        <f>F3</f>
        <v/>
      </c>
      <c r="AG60" s="5">
        <f>H3</f>
        <v/>
      </c>
    </row>
    <row r="61">
      <c r="A61" s="1" t="inlineStr">
        <is>
          <t>9/10/2024</t>
        </is>
      </c>
      <c r="B61" t="inlineStr">
        <is>
          <t>925</t>
        </is>
      </c>
      <c r="C61" t="inlineStr">
        <is>
          <t>S2S Premium</t>
        </is>
      </c>
      <c r="D61" t="inlineStr">
        <is>
          <t>PCC_Nogueira, Cele</t>
        </is>
      </c>
      <c r="E61" t="inlineStr">
        <is>
          <t>605778</t>
        </is>
      </c>
      <c r="F61" s="2" t="inlineStr">
        <is>
          <t>09:00</t>
        </is>
      </c>
      <c r="G61" t="inlineStr">
        <is>
          <t>-</t>
        </is>
      </c>
      <c r="H61" s="2" t="inlineStr">
        <is>
          <t>09:30</t>
        </is>
      </c>
      <c r="I61" t="inlineStr">
        <is>
          <t>,000000000</t>
        </is>
      </c>
      <c r="J61" t="inlineStr">
        <is>
          <t>17,000000000</t>
        </is>
      </c>
      <c r="K61" t="inlineStr">
        <is>
          <t>,000000000</t>
        </is>
      </c>
      <c r="L61" t="inlineStr">
        <is>
          <t>,000000000</t>
        </is>
      </c>
      <c r="M61" t="inlineStr">
        <is>
          <t>,000000000</t>
        </is>
      </c>
      <c r="N61" t="inlineStr">
        <is>
          <t>,000000000</t>
        </is>
      </c>
      <c r="O61" t="inlineStr">
        <is>
          <t>,000000000</t>
        </is>
      </c>
      <c r="P61" t="inlineStr">
        <is>
          <t>1,000000000</t>
        </is>
      </c>
      <c r="Q61" t="inlineStr">
        <is>
          <t>,000000000</t>
        </is>
      </c>
      <c r="R61" t="inlineStr">
        <is>
          <t>,000000000</t>
        </is>
      </c>
      <c r="S61" t="inlineStr">
        <is>
          <t>,000000000</t>
        </is>
      </c>
      <c r="T61" t="inlineStr">
        <is>
          <t>,000000000</t>
        </is>
      </c>
      <c r="U61" t="inlineStr">
        <is>
          <t>,000000000</t>
        </is>
      </c>
      <c r="V61" t="inlineStr">
        <is>
          <t>,000000000</t>
        </is>
      </c>
      <c r="W61" t="inlineStr">
        <is>
          <t>,000000000</t>
        </is>
      </c>
      <c r="X61" t="inlineStr">
        <is>
          <t>,000000000</t>
        </is>
      </c>
      <c r="Y61" t="inlineStr">
        <is>
          <t>,000000000</t>
        </is>
      </c>
      <c r="Z61" t="inlineStr">
        <is>
          <t>,000000000</t>
        </is>
      </c>
      <c r="AA61" t="inlineStr">
        <is>
          <t>,000000000</t>
        </is>
      </c>
      <c r="AB61" t="inlineStr">
        <is>
          <t>1</t>
        </is>
      </c>
      <c r="AC61" t="inlineStr">
        <is>
          <t>1</t>
        </is>
      </c>
      <c r="AD61" s="3">
        <f>UPPER(C3)</f>
        <v/>
      </c>
      <c r="AE61" s="3">
        <f>VLOOKUP(E3,'[1]Nómina Agentes'!$C:$D,3,0)</f>
        <v/>
      </c>
      <c r="AF61" s="5">
        <f>F3</f>
        <v/>
      </c>
      <c r="AG61" s="5">
        <f>H3</f>
        <v/>
      </c>
    </row>
    <row r="62">
      <c r="A62" s="1" t="inlineStr">
        <is>
          <t>9/10/2024</t>
        </is>
      </c>
      <c r="B62" t="inlineStr">
        <is>
          <t>925</t>
        </is>
      </c>
      <c r="C62" t="inlineStr">
        <is>
          <t>S2S Premium</t>
        </is>
      </c>
      <c r="D62" t="inlineStr">
        <is>
          <t>PCC_Nogueira, Cele</t>
        </is>
      </c>
      <c r="E62" t="inlineStr">
        <is>
          <t>605778</t>
        </is>
      </c>
      <c r="F62" s="2" t="inlineStr">
        <is>
          <t>06:30</t>
        </is>
      </c>
      <c r="G62" t="inlineStr">
        <is>
          <t>-</t>
        </is>
      </c>
      <c r="H62" s="2" t="inlineStr">
        <is>
          <t>07:00</t>
        </is>
      </c>
      <c r="I62" t="inlineStr">
        <is>
          <t>71,000000000</t>
        </is>
      </c>
      <c r="J62" t="inlineStr">
        <is>
          <t>,000000000</t>
        </is>
      </c>
      <c r="K62" t="inlineStr">
        <is>
          <t>,000000000</t>
        </is>
      </c>
      <c r="L62" t="inlineStr">
        <is>
          <t>4,000000000</t>
        </is>
      </c>
      <c r="M62" t="inlineStr">
        <is>
          <t>,000000000</t>
        </is>
      </c>
      <c r="N62" t="inlineStr">
        <is>
          <t>,000000000</t>
        </is>
      </c>
      <c r="O62" t="inlineStr">
        <is>
          <t>,000000000</t>
        </is>
      </c>
      <c r="P62" t="inlineStr">
        <is>
          <t>,000000000</t>
        </is>
      </c>
      <c r="Q62" t="inlineStr">
        <is>
          <t>,000000000</t>
        </is>
      </c>
      <c r="R62" t="inlineStr">
        <is>
          <t>,000000000</t>
        </is>
      </c>
      <c r="S62" t="inlineStr">
        <is>
          <t>,000000000</t>
        </is>
      </c>
      <c r="T62" t="inlineStr">
        <is>
          <t>,000000000</t>
        </is>
      </c>
      <c r="U62" t="inlineStr">
        <is>
          <t>,000000000</t>
        </is>
      </c>
      <c r="V62" t="inlineStr">
        <is>
          <t>,000000000</t>
        </is>
      </c>
      <c r="W62" t="inlineStr">
        <is>
          <t>,000000000</t>
        </is>
      </c>
      <c r="X62" t="inlineStr">
        <is>
          <t>,000000000</t>
        </is>
      </c>
      <c r="Y62" t="inlineStr">
        <is>
          <t>,000000000</t>
        </is>
      </c>
      <c r="Z62" t="inlineStr">
        <is>
          <t>,000000000</t>
        </is>
      </c>
      <c r="AA62" t="inlineStr">
        <is>
          <t>,000000000</t>
        </is>
      </c>
      <c r="AB62" t="inlineStr">
        <is>
          <t>1</t>
        </is>
      </c>
      <c r="AC62" t="inlineStr">
        <is>
          <t>1</t>
        </is>
      </c>
      <c r="AD62" s="3">
        <f>UPPER(C3)</f>
        <v/>
      </c>
      <c r="AE62" s="3">
        <f>VLOOKUP(E3,'[1]Nómina Agentes'!$C:$D,3,0)</f>
        <v/>
      </c>
      <c r="AF62" s="5">
        <f>F3</f>
        <v/>
      </c>
      <c r="AG62" s="5">
        <f>H3</f>
        <v/>
      </c>
    </row>
    <row r="63">
      <c r="A63" s="1" t="inlineStr">
        <is>
          <t>9/10/2024</t>
        </is>
      </c>
      <c r="B63" t="inlineStr">
        <is>
          <t>925</t>
        </is>
      </c>
      <c r="C63" t="inlineStr">
        <is>
          <t>S2S Premium</t>
        </is>
      </c>
      <c r="D63" t="inlineStr">
        <is>
          <t>PCC_Nogueira, Cele</t>
        </is>
      </c>
      <c r="E63" t="inlineStr">
        <is>
          <t>605778</t>
        </is>
      </c>
      <c r="F63" s="2" t="inlineStr">
        <is>
          <t>06:00</t>
        </is>
      </c>
      <c r="G63" t="inlineStr">
        <is>
          <t>-</t>
        </is>
      </c>
      <c r="H63" s="2" t="inlineStr">
        <is>
          <t>06:30</t>
        </is>
      </c>
      <c r="I63" t="inlineStr">
        <is>
          <t>258,000000000</t>
        </is>
      </c>
      <c r="J63" t="inlineStr">
        <is>
          <t>,000000000</t>
        </is>
      </c>
      <c r="K63" t="inlineStr">
        <is>
          <t>,000000000</t>
        </is>
      </c>
      <c r="L63" t="inlineStr">
        <is>
          <t>7,000000000</t>
        </is>
      </c>
      <c r="M63" t="inlineStr">
        <is>
          <t>,000000000</t>
        </is>
      </c>
      <c r="N63" t="inlineStr">
        <is>
          <t>,000000000</t>
        </is>
      </c>
      <c r="O63" t="inlineStr">
        <is>
          <t>,000000000</t>
        </is>
      </c>
      <c r="P63" t="inlineStr">
        <is>
          <t>1,000000000</t>
        </is>
      </c>
      <c r="Q63" t="inlineStr">
        <is>
          <t>,000000000</t>
        </is>
      </c>
      <c r="R63" t="inlineStr">
        <is>
          <t>,000000000</t>
        </is>
      </c>
      <c r="S63" t="inlineStr">
        <is>
          <t>,000000000</t>
        </is>
      </c>
      <c r="T63" t="inlineStr">
        <is>
          <t>,000000000</t>
        </is>
      </c>
      <c r="U63" t="inlineStr">
        <is>
          <t>,000000000</t>
        </is>
      </c>
      <c r="V63" t="inlineStr">
        <is>
          <t>,000000000</t>
        </is>
      </c>
      <c r="W63" t="inlineStr">
        <is>
          <t>,000000000</t>
        </is>
      </c>
      <c r="X63" t="inlineStr">
        <is>
          <t>,000000000</t>
        </is>
      </c>
      <c r="Y63" t="inlineStr">
        <is>
          <t>,000000000</t>
        </is>
      </c>
      <c r="Z63" t="inlineStr">
        <is>
          <t>,000000000</t>
        </is>
      </c>
      <c r="AA63" t="inlineStr">
        <is>
          <t>,000000000</t>
        </is>
      </c>
      <c r="AB63" t="inlineStr">
        <is>
          <t>1</t>
        </is>
      </c>
      <c r="AC63" t="inlineStr">
        <is>
          <t>1</t>
        </is>
      </c>
      <c r="AD63" s="3">
        <f>UPPER(C3)</f>
        <v/>
      </c>
      <c r="AE63" s="3">
        <f>VLOOKUP(E3,'[1]Nómina Agentes'!$C:$D,3,0)</f>
        <v/>
      </c>
      <c r="AF63" s="5">
        <f>F3</f>
        <v/>
      </c>
      <c r="AG63" s="5">
        <f>H3</f>
        <v/>
      </c>
    </row>
    <row r="64">
      <c r="A64" s="1" t="inlineStr">
        <is>
          <t>9/10/2024</t>
        </is>
      </c>
      <c r="B64" t="inlineStr">
        <is>
          <t>925</t>
        </is>
      </c>
      <c r="C64" t="inlineStr">
        <is>
          <t>S2S Premium</t>
        </is>
      </c>
      <c r="D64" t="inlineStr">
        <is>
          <t>PCC_Nogueira, Cele</t>
        </is>
      </c>
      <c r="E64" t="inlineStr">
        <is>
          <t>605778</t>
        </is>
      </c>
      <c r="F64" s="2" t="inlineStr">
        <is>
          <t>07:00</t>
        </is>
      </c>
      <c r="G64" t="inlineStr">
        <is>
          <t>-</t>
        </is>
      </c>
      <c r="H64" s="2" t="inlineStr">
        <is>
          <t>07:30</t>
        </is>
      </c>
      <c r="I64" t="inlineStr">
        <is>
          <t>385,000000000</t>
        </is>
      </c>
      <c r="J64" t="inlineStr">
        <is>
          <t>,000000000</t>
        </is>
      </c>
      <c r="K64" t="inlineStr">
        <is>
          <t>,000000000</t>
        </is>
      </c>
      <c r="L64" t="inlineStr">
        <is>
          <t>8,000000000</t>
        </is>
      </c>
      <c r="M64" t="inlineStr">
        <is>
          <t>,000000000</t>
        </is>
      </c>
      <c r="N64" t="inlineStr">
        <is>
          <t>,000000000</t>
        </is>
      </c>
      <c r="O64" t="inlineStr">
        <is>
          <t>,000000000</t>
        </is>
      </c>
      <c r="P64" t="inlineStr">
        <is>
          <t>95,000000000</t>
        </is>
      </c>
      <c r="Q64" t="inlineStr">
        <is>
          <t>59,000000000</t>
        </is>
      </c>
      <c r="R64" t="inlineStr">
        <is>
          <t>,000000000</t>
        </is>
      </c>
      <c r="S64" t="inlineStr">
        <is>
          <t>,000000000</t>
        </is>
      </c>
      <c r="T64" t="inlineStr">
        <is>
          <t>,000000000</t>
        </is>
      </c>
      <c r="U64" t="inlineStr">
        <is>
          <t>,000000000</t>
        </is>
      </c>
      <c r="V64" t="inlineStr">
        <is>
          <t>,000000000</t>
        </is>
      </c>
      <c r="W64" t="inlineStr">
        <is>
          <t>,000000000</t>
        </is>
      </c>
      <c r="X64" t="inlineStr">
        <is>
          <t>,000000000</t>
        </is>
      </c>
      <c r="Y64" t="inlineStr">
        <is>
          <t>,000000000</t>
        </is>
      </c>
      <c r="Z64" t="inlineStr">
        <is>
          <t>,000000000</t>
        </is>
      </c>
      <c r="AA64" t="inlineStr">
        <is>
          <t>,000000000</t>
        </is>
      </c>
      <c r="AB64" t="inlineStr">
        <is>
          <t>1</t>
        </is>
      </c>
      <c r="AC64" t="inlineStr">
        <is>
          <t>1</t>
        </is>
      </c>
      <c r="AD64" s="3">
        <f>UPPER(C3)</f>
        <v/>
      </c>
      <c r="AE64" s="3">
        <f>VLOOKUP(E3,'[1]Nómina Agentes'!$C:$D,3,0)</f>
        <v/>
      </c>
      <c r="AF64" s="5">
        <f>F3</f>
        <v/>
      </c>
      <c r="AG64" s="5">
        <f>H3</f>
        <v/>
      </c>
    </row>
    <row r="65">
      <c r="A65" s="1" t="inlineStr">
        <is>
          <t>9/10/2024</t>
        </is>
      </c>
      <c r="B65" t="inlineStr">
        <is>
          <t>925</t>
        </is>
      </c>
      <c r="C65" t="inlineStr">
        <is>
          <t>S2S Premium</t>
        </is>
      </c>
      <c r="D65" t="inlineStr">
        <is>
          <t>PCC_Nogueira, Cele</t>
        </is>
      </c>
      <c r="E65" t="inlineStr">
        <is>
          <t>605778</t>
        </is>
      </c>
      <c r="F65" s="2" t="inlineStr">
        <is>
          <t>07:30</t>
        </is>
      </c>
      <c r="G65" t="inlineStr">
        <is>
          <t>-</t>
        </is>
      </c>
      <c r="H65" s="2" t="inlineStr">
        <is>
          <t>08:00</t>
        </is>
      </c>
      <c r="I65" t="inlineStr">
        <is>
          <t>455,000000000</t>
        </is>
      </c>
      <c r="J65" t="inlineStr">
        <is>
          <t>,000000000</t>
        </is>
      </c>
      <c r="K65" t="inlineStr">
        <is>
          <t>,000000000</t>
        </is>
      </c>
      <c r="L65" t="inlineStr">
        <is>
          <t>18,000000000</t>
        </is>
      </c>
      <c r="M65" t="inlineStr">
        <is>
          <t>,000000000</t>
        </is>
      </c>
      <c r="N65" t="inlineStr">
        <is>
          <t>,000000000</t>
        </is>
      </c>
      <c r="O65" t="inlineStr">
        <is>
          <t>,000000000</t>
        </is>
      </c>
      <c r="P65" t="inlineStr">
        <is>
          <t>4,000000000</t>
        </is>
      </c>
      <c r="Q65" t="inlineStr">
        <is>
          <t>,000000000</t>
        </is>
      </c>
      <c r="R65" t="inlineStr">
        <is>
          <t>,000000000</t>
        </is>
      </c>
      <c r="S65" t="inlineStr">
        <is>
          <t>,000000000</t>
        </is>
      </c>
      <c r="T65" t="inlineStr">
        <is>
          <t>,000000000</t>
        </is>
      </c>
      <c r="U65" t="inlineStr">
        <is>
          <t>,000000000</t>
        </is>
      </c>
      <c r="V65" t="inlineStr">
        <is>
          <t>,000000000</t>
        </is>
      </c>
      <c r="W65" t="inlineStr">
        <is>
          <t>,000000000</t>
        </is>
      </c>
      <c r="X65" t="inlineStr">
        <is>
          <t>,000000000</t>
        </is>
      </c>
      <c r="Y65" t="inlineStr">
        <is>
          <t>,000000000</t>
        </is>
      </c>
      <c r="Z65" t="inlineStr">
        <is>
          <t>,000000000</t>
        </is>
      </c>
      <c r="AA65" t="inlineStr">
        <is>
          <t>,000000000</t>
        </is>
      </c>
      <c r="AB65" t="inlineStr">
        <is>
          <t>5</t>
        </is>
      </c>
      <c r="AC65" t="inlineStr">
        <is>
          <t>4</t>
        </is>
      </c>
      <c r="AD65" s="3">
        <f>UPPER(C3)</f>
        <v/>
      </c>
      <c r="AE65" s="3">
        <f>VLOOKUP(E3,'[1]Nómina Agentes'!$C:$D,3,0)</f>
        <v/>
      </c>
      <c r="AF65" s="5">
        <f>F3</f>
        <v/>
      </c>
      <c r="AG65" s="5">
        <f>H3</f>
        <v/>
      </c>
    </row>
    <row r="66">
      <c r="A66" s="1" t="inlineStr">
        <is>
          <t>9/10/2024</t>
        </is>
      </c>
      <c r="B66" t="inlineStr">
        <is>
          <t>925</t>
        </is>
      </c>
      <c r="C66" t="inlineStr">
        <is>
          <t>S2S Premium</t>
        </is>
      </c>
      <c r="D66" t="inlineStr">
        <is>
          <t>PCC_Nogueira, Cele</t>
        </is>
      </c>
      <c r="E66" t="inlineStr">
        <is>
          <t>605778</t>
        </is>
      </c>
      <c r="F66" s="2" t="inlineStr">
        <is>
          <t>08:00</t>
        </is>
      </c>
      <c r="G66" t="inlineStr">
        <is>
          <t>-</t>
        </is>
      </c>
      <c r="H66" s="2" t="inlineStr">
        <is>
          <t>08:30</t>
        </is>
      </c>
      <c r="I66" t="inlineStr">
        <is>
          <t>470,000000000</t>
        </is>
      </c>
      <c r="J66" t="inlineStr">
        <is>
          <t>,000000000</t>
        </is>
      </c>
      <c r="K66" t="inlineStr">
        <is>
          <t>,000000000</t>
        </is>
      </c>
      <c r="L66" t="inlineStr">
        <is>
          <t>24,000000000</t>
        </is>
      </c>
      <c r="M66" t="inlineStr">
        <is>
          <t>,000000000</t>
        </is>
      </c>
      <c r="N66" t="inlineStr">
        <is>
          <t>,000000000</t>
        </is>
      </c>
      <c r="O66" t="inlineStr">
        <is>
          <t>,000000000</t>
        </is>
      </c>
      <c r="P66" t="inlineStr">
        <is>
          <t>4,000000000</t>
        </is>
      </c>
      <c r="Q66" t="inlineStr">
        <is>
          <t>,000000000</t>
        </is>
      </c>
      <c r="R66" t="inlineStr">
        <is>
          <t>,000000000</t>
        </is>
      </c>
      <c r="S66" t="inlineStr">
        <is>
          <t>,000000000</t>
        </is>
      </c>
      <c r="T66" t="inlineStr">
        <is>
          <t>,000000000</t>
        </is>
      </c>
      <c r="U66" t="inlineStr">
        <is>
          <t>,000000000</t>
        </is>
      </c>
      <c r="V66" t="inlineStr">
        <is>
          <t>,000000000</t>
        </is>
      </c>
      <c r="W66" t="inlineStr">
        <is>
          <t>,000000000</t>
        </is>
      </c>
      <c r="X66" t="inlineStr">
        <is>
          <t>,000000000</t>
        </is>
      </c>
      <c r="Y66" t="inlineStr">
        <is>
          <t>,000000000</t>
        </is>
      </c>
      <c r="Z66" t="inlineStr">
        <is>
          <t>,000000000</t>
        </is>
      </c>
      <c r="AA66" t="inlineStr">
        <is>
          <t>,000000000</t>
        </is>
      </c>
      <c r="AB66" t="inlineStr">
        <is>
          <t>4</t>
        </is>
      </c>
      <c r="AC66" t="inlineStr">
        <is>
          <t>4</t>
        </is>
      </c>
      <c r="AD66" s="3">
        <f>UPPER(C3)</f>
        <v/>
      </c>
      <c r="AE66" s="3">
        <f>VLOOKUP(E3,'[1]Nómina Agentes'!$C:$D,3,0)</f>
        <v/>
      </c>
      <c r="AF66" s="5">
        <f>F3</f>
        <v/>
      </c>
      <c r="AG66" s="5">
        <f>H3</f>
        <v/>
      </c>
    </row>
    <row r="67">
      <c r="A67" s="1" t="inlineStr">
        <is>
          <t>9/10/2024</t>
        </is>
      </c>
      <c r="B67" t="inlineStr">
        <is>
          <t>925</t>
        </is>
      </c>
      <c r="C67" t="inlineStr">
        <is>
          <t>S2S Premium</t>
        </is>
      </c>
      <c r="D67" t="inlineStr">
        <is>
          <t>PCC_Nogueira, Cele</t>
        </is>
      </c>
      <c r="E67" t="inlineStr">
        <is>
          <t>605778</t>
        </is>
      </c>
      <c r="F67" s="2" t="inlineStr">
        <is>
          <t>09:30</t>
        </is>
      </c>
      <c r="G67" t="inlineStr">
        <is>
          <t>-</t>
        </is>
      </c>
      <c r="H67" s="2" t="inlineStr">
        <is>
          <t>10:00</t>
        </is>
      </c>
      <c r="I67" t="inlineStr">
        <is>
          <t>534,000000000</t>
        </is>
      </c>
      <c r="J67" t="inlineStr">
        <is>
          <t>,000000000</t>
        </is>
      </c>
      <c r="K67" t="inlineStr">
        <is>
          <t>,000000000</t>
        </is>
      </c>
      <c r="L67" t="inlineStr">
        <is>
          <t>24,000000000</t>
        </is>
      </c>
      <c r="M67" t="inlineStr">
        <is>
          <t>,000000000</t>
        </is>
      </c>
      <c r="N67" t="inlineStr">
        <is>
          <t>,000000000</t>
        </is>
      </c>
      <c r="O67" t="inlineStr">
        <is>
          <t>,000000000</t>
        </is>
      </c>
      <c r="P67" t="inlineStr">
        <is>
          <t>268,000000000</t>
        </is>
      </c>
      <c r="Q67" t="inlineStr">
        <is>
          <t>,000000000</t>
        </is>
      </c>
      <c r="R67" t="inlineStr">
        <is>
          <t>,000000000</t>
        </is>
      </c>
      <c r="S67" t="inlineStr">
        <is>
          <t>,000000000</t>
        </is>
      </c>
      <c r="T67" t="inlineStr">
        <is>
          <t>,000000000</t>
        </is>
      </c>
      <c r="U67" t="inlineStr">
        <is>
          <t>,000000000</t>
        </is>
      </c>
      <c r="V67" t="inlineStr">
        <is>
          <t>,000000000</t>
        </is>
      </c>
      <c r="W67" t="inlineStr">
        <is>
          <t>,000000000</t>
        </is>
      </c>
      <c r="X67" t="inlineStr">
        <is>
          <t>,000000000</t>
        </is>
      </c>
      <c r="Y67" t="inlineStr">
        <is>
          <t>,000000000</t>
        </is>
      </c>
      <c r="Z67" t="inlineStr">
        <is>
          <t>,000000000</t>
        </is>
      </c>
      <c r="AA67" t="inlineStr">
        <is>
          <t>,000000000</t>
        </is>
      </c>
      <c r="AB67" t="inlineStr">
        <is>
          <t>5</t>
        </is>
      </c>
      <c r="AC67" t="inlineStr">
        <is>
          <t>4</t>
        </is>
      </c>
      <c r="AD67" s="3">
        <f>UPPER(C3)</f>
        <v/>
      </c>
      <c r="AE67" s="3">
        <f>VLOOKUP(E3,'[1]Nómina Agentes'!$C:$D,3,0)</f>
        <v/>
      </c>
      <c r="AF67" s="5">
        <f>F3</f>
        <v/>
      </c>
      <c r="AG67" s="5">
        <f>H3</f>
        <v/>
      </c>
    </row>
    <row r="68">
      <c r="A68" s="1" t="inlineStr">
        <is>
          <t>9/10/2024</t>
        </is>
      </c>
      <c r="B68" t="inlineStr">
        <is>
          <t>925</t>
        </is>
      </c>
      <c r="C68" t="inlineStr">
        <is>
          <t>S2S Premium</t>
        </is>
      </c>
      <c r="D68" t="inlineStr">
        <is>
          <t>PCC_Nogueira, Cele</t>
        </is>
      </c>
      <c r="E68" t="inlineStr">
        <is>
          <t>605778</t>
        </is>
      </c>
      <c r="F68" s="2" t="inlineStr">
        <is>
          <t>08:30</t>
        </is>
      </c>
      <c r="G68" t="inlineStr">
        <is>
          <t>-</t>
        </is>
      </c>
      <c r="H68" s="2" t="inlineStr">
        <is>
          <t>09:00</t>
        </is>
      </c>
      <c r="I68" t="inlineStr">
        <is>
          <t>631,000000000</t>
        </is>
      </c>
      <c r="J68" t="inlineStr">
        <is>
          <t>268,000000000</t>
        </is>
      </c>
      <c r="K68" t="inlineStr">
        <is>
          <t>,000000000</t>
        </is>
      </c>
      <c r="L68" t="inlineStr">
        <is>
          <t>20,000000000</t>
        </is>
      </c>
      <c r="M68" t="inlineStr">
        <is>
          <t>,000000000</t>
        </is>
      </c>
      <c r="N68" t="inlineStr">
        <is>
          <t>,000000000</t>
        </is>
      </c>
      <c r="O68" t="inlineStr">
        <is>
          <t>,000000000</t>
        </is>
      </c>
      <c r="P68" t="inlineStr">
        <is>
          <t>94,000000000</t>
        </is>
      </c>
      <c r="Q68" t="inlineStr">
        <is>
          <t>69,000000000</t>
        </is>
      </c>
      <c r="R68" t="inlineStr">
        <is>
          <t>,000000000</t>
        </is>
      </c>
      <c r="S68" t="inlineStr">
        <is>
          <t>,000000000</t>
        </is>
      </c>
      <c r="T68" t="inlineStr">
        <is>
          <t>,000000000</t>
        </is>
      </c>
      <c r="U68" t="inlineStr">
        <is>
          <t>,000000000</t>
        </is>
      </c>
      <c r="V68" t="inlineStr">
        <is>
          <t>,000000000</t>
        </is>
      </c>
      <c r="W68" t="inlineStr">
        <is>
          <t>,000000000</t>
        </is>
      </c>
      <c r="X68" t="inlineStr">
        <is>
          <t>,000000000</t>
        </is>
      </c>
      <c r="Y68" t="inlineStr">
        <is>
          <t>,000000000</t>
        </is>
      </c>
      <c r="Z68" t="inlineStr">
        <is>
          <t>,000000000</t>
        </is>
      </c>
      <c r="AA68" t="inlineStr">
        <is>
          <t>,000000000</t>
        </is>
      </c>
      <c r="AB68" t="inlineStr">
        <is>
          <t>5</t>
        </is>
      </c>
      <c r="AC68" t="inlineStr">
        <is>
          <t>5</t>
        </is>
      </c>
      <c r="AD68" s="3">
        <f>UPPER(C3)</f>
        <v/>
      </c>
      <c r="AE68" s="3">
        <f>VLOOKUP(E3,'[1]Nómina Agentes'!$C:$D,3,0)</f>
        <v/>
      </c>
      <c r="AF68" s="5">
        <f>F3</f>
        <v/>
      </c>
      <c r="AG68" s="5">
        <f>H3</f>
        <v/>
      </c>
    </row>
    <row r="69">
      <c r="A69" s="1" t="inlineStr">
        <is>
          <t>9/10/2024</t>
        </is>
      </c>
      <c r="B69" t="inlineStr">
        <is>
          <t>925</t>
        </is>
      </c>
      <c r="C69" t="inlineStr">
        <is>
          <t>S2S Premium</t>
        </is>
      </c>
      <c r="D69" t="inlineStr">
        <is>
          <t>PCC_Nogueira, Cele</t>
        </is>
      </c>
      <c r="E69" t="inlineStr">
        <is>
          <t>605778</t>
        </is>
      </c>
      <c r="F69" s="2" t="inlineStr">
        <is>
          <t>10:00</t>
        </is>
      </c>
      <c r="G69" t="inlineStr">
        <is>
          <t>-</t>
        </is>
      </c>
      <c r="H69" s="2" t="inlineStr">
        <is>
          <t>10:30</t>
        </is>
      </c>
      <c r="I69" t="inlineStr">
        <is>
          <t>1052,000000000</t>
        </is>
      </c>
      <c r="J69" t="inlineStr">
        <is>
          <t>,000000000</t>
        </is>
      </c>
      <c r="K69" t="inlineStr">
        <is>
          <t>,000000000</t>
        </is>
      </c>
      <c r="L69" t="inlineStr">
        <is>
          <t>14,000000000</t>
        </is>
      </c>
      <c r="M69" t="inlineStr">
        <is>
          <t>,000000000</t>
        </is>
      </c>
      <c r="N69" t="inlineStr">
        <is>
          <t>,000000000</t>
        </is>
      </c>
      <c r="O69" t="inlineStr">
        <is>
          <t>,000000000</t>
        </is>
      </c>
      <c r="P69" t="inlineStr">
        <is>
          <t>86,000000000</t>
        </is>
      </c>
      <c r="Q69" t="inlineStr">
        <is>
          <t>,000000000</t>
        </is>
      </c>
      <c r="R69" t="inlineStr">
        <is>
          <t>,000000000</t>
        </is>
      </c>
      <c r="S69" t="inlineStr">
        <is>
          <t>,000000000</t>
        </is>
      </c>
      <c r="T69" t="inlineStr">
        <is>
          <t>,000000000</t>
        </is>
      </c>
      <c r="U69" t="inlineStr">
        <is>
          <t>,000000000</t>
        </is>
      </c>
      <c r="V69" t="inlineStr">
        <is>
          <t>,000000000</t>
        </is>
      </c>
      <c r="W69" t="inlineStr">
        <is>
          <t>,000000000</t>
        </is>
      </c>
      <c r="X69" t="inlineStr">
        <is>
          <t>,000000000</t>
        </is>
      </c>
      <c r="Y69" t="inlineStr">
        <is>
          <t>,000000000</t>
        </is>
      </c>
      <c r="Z69" t="inlineStr">
        <is>
          <t>,000000000</t>
        </is>
      </c>
      <c r="AA69" t="inlineStr">
        <is>
          <t>,000000000</t>
        </is>
      </c>
      <c r="AB69" t="inlineStr">
        <is>
          <t>3</t>
        </is>
      </c>
      <c r="AC69" t="inlineStr">
        <is>
          <t>3</t>
        </is>
      </c>
      <c r="AD69" s="3">
        <f>UPPER(C3)</f>
        <v/>
      </c>
      <c r="AE69" s="3">
        <f>VLOOKUP(E3,'[1]Nómina Agentes'!$C:$D,3,0)</f>
        <v/>
      </c>
      <c r="AF69" s="5">
        <f>F3</f>
        <v/>
      </c>
      <c r="AG69" s="5">
        <f>H3</f>
        <v/>
      </c>
    </row>
    <row r="70">
      <c r="A70" s="1" t="inlineStr">
        <is>
          <t>9/10/2024</t>
        </is>
      </c>
      <c r="B70" t="inlineStr">
        <is>
          <t>925</t>
        </is>
      </c>
      <c r="C70" t="inlineStr">
        <is>
          <t>S2S Premium</t>
        </is>
      </c>
      <c r="D70" t="inlineStr">
        <is>
          <t>PCC_Nogueira, Cele</t>
        </is>
      </c>
      <c r="E70" t="inlineStr">
        <is>
          <t>605778</t>
        </is>
      </c>
      <c r="F70" s="2" t="inlineStr">
        <is>
          <t>10:30</t>
        </is>
      </c>
      <c r="G70" t="inlineStr">
        <is>
          <t>-</t>
        </is>
      </c>
      <c r="H70" s="2" t="inlineStr">
        <is>
          <t>11:00</t>
        </is>
      </c>
      <c r="I70" t="inlineStr">
        <is>
          <t>1475,000000000</t>
        </is>
      </c>
      <c r="J70" t="inlineStr">
        <is>
          <t>156,000000000</t>
        </is>
      </c>
      <c r="K70" t="inlineStr">
        <is>
          <t>,000000000</t>
        </is>
      </c>
      <c r="L70" t="inlineStr">
        <is>
          <t>18,000000000</t>
        </is>
      </c>
      <c r="M70" t="inlineStr">
        <is>
          <t>,000000000</t>
        </is>
      </c>
      <c r="N70" t="inlineStr">
        <is>
          <t>,000000000</t>
        </is>
      </c>
      <c r="O70" t="inlineStr">
        <is>
          <t>,000000000</t>
        </is>
      </c>
      <c r="P70" t="inlineStr">
        <is>
          <t>46,000000000</t>
        </is>
      </c>
      <c r="Q70" t="inlineStr">
        <is>
          <t>,000000000</t>
        </is>
      </c>
      <c r="R70" t="inlineStr">
        <is>
          <t>,000000000</t>
        </is>
      </c>
      <c r="S70" t="inlineStr">
        <is>
          <t>,000000000</t>
        </is>
      </c>
      <c r="T70" t="inlineStr">
        <is>
          <t>,000000000</t>
        </is>
      </c>
      <c r="U70" t="inlineStr">
        <is>
          <t>,000000000</t>
        </is>
      </c>
      <c r="V70" t="inlineStr">
        <is>
          <t>,000000000</t>
        </is>
      </c>
      <c r="W70" t="inlineStr">
        <is>
          <t>,000000000</t>
        </is>
      </c>
      <c r="X70" t="inlineStr">
        <is>
          <t>,000000000</t>
        </is>
      </c>
      <c r="Y70" t="inlineStr">
        <is>
          <t>,000000000</t>
        </is>
      </c>
      <c r="Z70" t="inlineStr">
        <is>
          <t>,000000000</t>
        </is>
      </c>
      <c r="AA70" t="inlineStr">
        <is>
          <t>,000000000</t>
        </is>
      </c>
      <c r="AB70" t="inlineStr">
        <is>
          <t>4</t>
        </is>
      </c>
      <c r="AC70" t="inlineStr">
        <is>
          <t>2</t>
        </is>
      </c>
      <c r="AD70" s="3">
        <f>UPPER(C3)</f>
        <v/>
      </c>
      <c r="AE70" s="3">
        <f>VLOOKUP(E3,'[1]Nómina Agentes'!$C:$D,3,0)</f>
        <v/>
      </c>
      <c r="AF70" s="5">
        <f>F3</f>
        <v/>
      </c>
      <c r="AG70" s="5">
        <f>H3</f>
        <v/>
      </c>
    </row>
    <row r="71">
      <c r="A71" s="1" t="inlineStr">
        <is>
          <t>9/10/2024</t>
        </is>
      </c>
      <c r="B71" t="inlineStr">
        <is>
          <t>925</t>
        </is>
      </c>
      <c r="C71" t="inlineStr">
        <is>
          <t>S2S Premium</t>
        </is>
      </c>
      <c r="D71" t="inlineStr">
        <is>
          <t>P_Espindola, Melody</t>
        </is>
      </c>
      <c r="E71" t="inlineStr">
        <is>
          <t>605811</t>
        </is>
      </c>
      <c r="F71" s="2" t="inlineStr">
        <is>
          <t>08:30</t>
        </is>
      </c>
      <c r="G71" t="inlineStr">
        <is>
          <t>-</t>
        </is>
      </c>
      <c r="H71" s="2" t="inlineStr">
        <is>
          <t>09:00</t>
        </is>
      </c>
      <c r="I71" t="inlineStr">
        <is>
          <t>96,000000000</t>
        </is>
      </c>
      <c r="J71" t="inlineStr">
        <is>
          <t>,000000000</t>
        </is>
      </c>
      <c r="K71" t="inlineStr">
        <is>
          <t>,000000000</t>
        </is>
      </c>
      <c r="L71" t="inlineStr">
        <is>
          <t>7,000000000</t>
        </is>
      </c>
      <c r="M71" t="inlineStr">
        <is>
          <t>,000000000</t>
        </is>
      </c>
      <c r="N71" t="inlineStr">
        <is>
          <t>,000000000</t>
        </is>
      </c>
      <c r="O71" t="inlineStr">
        <is>
          <t>,000000000</t>
        </is>
      </c>
      <c r="P71" t="inlineStr">
        <is>
          <t>,000000000</t>
        </is>
      </c>
      <c r="Q71" t="inlineStr">
        <is>
          <t>,000000000</t>
        </is>
      </c>
      <c r="R71" t="inlineStr">
        <is>
          <t>,000000000</t>
        </is>
      </c>
      <c r="S71" t="inlineStr">
        <is>
          <t>,000000000</t>
        </is>
      </c>
      <c r="T71" t="inlineStr">
        <is>
          <t>,000000000</t>
        </is>
      </c>
      <c r="U71" t="inlineStr">
        <is>
          <t>,000000000</t>
        </is>
      </c>
      <c r="V71" t="inlineStr">
        <is>
          <t>,000000000</t>
        </is>
      </c>
      <c r="W71" t="inlineStr">
        <is>
          <t>,000000000</t>
        </is>
      </c>
      <c r="X71" t="inlineStr">
        <is>
          <t>,000000000</t>
        </is>
      </c>
      <c r="Y71" t="inlineStr">
        <is>
          <t>,000000000</t>
        </is>
      </c>
      <c r="Z71" t="inlineStr">
        <is>
          <t>,000000000</t>
        </is>
      </c>
      <c r="AA71" t="inlineStr">
        <is>
          <t>,000000000</t>
        </is>
      </c>
      <c r="AB71" t="inlineStr">
        <is>
          <t>0</t>
        </is>
      </c>
      <c r="AC71" t="inlineStr">
        <is>
          <t>0</t>
        </is>
      </c>
      <c r="AD71" s="3">
        <f>UPPER(C3)</f>
        <v/>
      </c>
      <c r="AE71" s="3">
        <f>VLOOKUP(E3,'[1]Nómina Agentes'!$C:$D,3,0)</f>
        <v/>
      </c>
      <c r="AF71" s="5">
        <f>F3</f>
        <v/>
      </c>
      <c r="AG71" s="5">
        <f>H3</f>
        <v/>
      </c>
    </row>
    <row r="72">
      <c r="A72" s="1" t="inlineStr">
        <is>
          <t>9/10/2024</t>
        </is>
      </c>
      <c r="B72" t="inlineStr">
        <is>
          <t>925</t>
        </is>
      </c>
      <c r="C72" t="inlineStr">
        <is>
          <t>S2S Premium</t>
        </is>
      </c>
      <c r="D72" t="inlineStr">
        <is>
          <t>P_Espindola, Melody</t>
        </is>
      </c>
      <c r="E72" t="inlineStr">
        <is>
          <t>605811</t>
        </is>
      </c>
      <c r="F72" s="2" t="inlineStr">
        <is>
          <t>09:00</t>
        </is>
      </c>
      <c r="G72" t="inlineStr">
        <is>
          <t>-</t>
        </is>
      </c>
      <c r="H72" s="2" t="inlineStr">
        <is>
          <t>09:30</t>
        </is>
      </c>
      <c r="I72" t="inlineStr">
        <is>
          <t>381,000000000</t>
        </is>
      </c>
      <c r="J72" t="inlineStr">
        <is>
          <t>,000000000</t>
        </is>
      </c>
      <c r="K72" t="inlineStr">
        <is>
          <t>,000000000</t>
        </is>
      </c>
      <c r="L72" t="inlineStr">
        <is>
          <t>4,000000000</t>
        </is>
      </c>
      <c r="M72" t="inlineStr">
        <is>
          <t>,000000000</t>
        </is>
      </c>
      <c r="N72" t="inlineStr">
        <is>
          <t>,000000000</t>
        </is>
      </c>
      <c r="O72" t="inlineStr">
        <is>
          <t>,000000000</t>
        </is>
      </c>
      <c r="P72" t="inlineStr">
        <is>
          <t>131,000000000</t>
        </is>
      </c>
      <c r="Q72" t="inlineStr">
        <is>
          <t>,000000000</t>
        </is>
      </c>
      <c r="R72" t="inlineStr">
        <is>
          <t>,000000000</t>
        </is>
      </c>
      <c r="S72" t="inlineStr">
        <is>
          <t>,000000000</t>
        </is>
      </c>
      <c r="T72" t="inlineStr">
        <is>
          <t>,000000000</t>
        </is>
      </c>
      <c r="U72" t="inlineStr">
        <is>
          <t>,000000000</t>
        </is>
      </c>
      <c r="V72" t="inlineStr">
        <is>
          <t>,000000000</t>
        </is>
      </c>
      <c r="W72" t="inlineStr">
        <is>
          <t>,000000000</t>
        </is>
      </c>
      <c r="X72" t="inlineStr">
        <is>
          <t>,000000000</t>
        </is>
      </c>
      <c r="Y72" t="inlineStr">
        <is>
          <t>,000000000</t>
        </is>
      </c>
      <c r="Z72" t="inlineStr">
        <is>
          <t>,000000000</t>
        </is>
      </c>
      <c r="AA72" t="inlineStr">
        <is>
          <t>,000000000</t>
        </is>
      </c>
      <c r="AB72" t="inlineStr">
        <is>
          <t>2</t>
        </is>
      </c>
      <c r="AC72" t="inlineStr">
        <is>
          <t>2</t>
        </is>
      </c>
      <c r="AD72" s="3">
        <f>UPPER(C3)</f>
        <v/>
      </c>
      <c r="AE72" s="3">
        <f>VLOOKUP(E3,'[1]Nómina Agentes'!$C:$D,3,0)</f>
        <v/>
      </c>
      <c r="AF72" s="5">
        <f>F3</f>
        <v/>
      </c>
      <c r="AG72" s="5">
        <f>H3</f>
        <v/>
      </c>
    </row>
    <row r="73">
      <c r="A73" s="1" t="inlineStr">
        <is>
          <t>9/10/2024</t>
        </is>
      </c>
      <c r="B73" t="inlineStr">
        <is>
          <t>925</t>
        </is>
      </c>
      <c r="C73" t="inlineStr">
        <is>
          <t>S2S Premium</t>
        </is>
      </c>
      <c r="D73" t="inlineStr">
        <is>
          <t>P_Espindola, Melody</t>
        </is>
      </c>
      <c r="E73" t="inlineStr">
        <is>
          <t>605811</t>
        </is>
      </c>
      <c r="F73" s="2" t="inlineStr">
        <is>
          <t>10:30</t>
        </is>
      </c>
      <c r="G73" t="inlineStr">
        <is>
          <t>-</t>
        </is>
      </c>
      <c r="H73" s="2" t="inlineStr">
        <is>
          <t>11:00</t>
        </is>
      </c>
      <c r="I73" t="inlineStr">
        <is>
          <t>820,000000000</t>
        </is>
      </c>
      <c r="J73" t="inlineStr">
        <is>
          <t>,000000000</t>
        </is>
      </c>
      <c r="K73" t="inlineStr">
        <is>
          <t>,000000000</t>
        </is>
      </c>
      <c r="L73" t="inlineStr">
        <is>
          <t>15,000000000</t>
        </is>
      </c>
      <c r="M73" t="inlineStr">
        <is>
          <t>,000000000</t>
        </is>
      </c>
      <c r="N73" t="inlineStr">
        <is>
          <t>,000000000</t>
        </is>
      </c>
      <c r="O73" t="inlineStr">
        <is>
          <t>,000000000</t>
        </is>
      </c>
      <c r="P73" t="inlineStr">
        <is>
          <t>3,000000000</t>
        </is>
      </c>
      <c r="Q73" t="inlineStr">
        <is>
          <t>,000000000</t>
        </is>
      </c>
      <c r="R73" t="inlineStr">
        <is>
          <t>,000000000</t>
        </is>
      </c>
      <c r="S73" t="inlineStr">
        <is>
          <t>,000000000</t>
        </is>
      </c>
      <c r="T73" t="inlineStr">
        <is>
          <t>,000000000</t>
        </is>
      </c>
      <c r="U73" t="inlineStr">
        <is>
          <t>,000000000</t>
        </is>
      </c>
      <c r="V73" t="inlineStr">
        <is>
          <t>,000000000</t>
        </is>
      </c>
      <c r="W73" t="inlineStr">
        <is>
          <t>,000000000</t>
        </is>
      </c>
      <c r="X73" t="inlineStr">
        <is>
          <t>,000000000</t>
        </is>
      </c>
      <c r="Y73" t="inlineStr">
        <is>
          <t>,000000000</t>
        </is>
      </c>
      <c r="Z73" t="inlineStr">
        <is>
          <t>,000000000</t>
        </is>
      </c>
      <c r="AA73" t="inlineStr">
        <is>
          <t>,000000000</t>
        </is>
      </c>
      <c r="AB73" t="inlineStr">
        <is>
          <t>3</t>
        </is>
      </c>
      <c r="AC73" t="inlineStr">
        <is>
          <t>3</t>
        </is>
      </c>
      <c r="AD73" s="3">
        <f>UPPER(C3)</f>
        <v/>
      </c>
      <c r="AE73" s="3">
        <f>VLOOKUP(E3,'[1]Nómina Agentes'!$C:$D,3,0)</f>
        <v/>
      </c>
      <c r="AF73" s="5">
        <f>F3</f>
        <v/>
      </c>
      <c r="AG73" s="5">
        <f>H3</f>
        <v/>
      </c>
    </row>
    <row r="74">
      <c r="A74" s="1" t="inlineStr">
        <is>
          <t>9/10/2024</t>
        </is>
      </c>
      <c r="B74" t="inlineStr">
        <is>
          <t>924</t>
        </is>
      </c>
      <c r="C74" t="inlineStr">
        <is>
          <t>S2S No Premium</t>
        </is>
      </c>
      <c r="D74" t="inlineStr">
        <is>
          <t>N2m_Castillo Lucian</t>
        </is>
      </c>
      <c r="E74" t="inlineStr">
        <is>
          <t>605901</t>
        </is>
      </c>
      <c r="F74" s="2" t="inlineStr">
        <is>
          <t>10:30</t>
        </is>
      </c>
      <c r="G74" t="inlineStr">
        <is>
          <t>-</t>
        </is>
      </c>
      <c r="H74" s="2" t="inlineStr">
        <is>
          <t>11:00</t>
        </is>
      </c>
      <c r="I74" t="inlineStr">
        <is>
          <t>140,000000000</t>
        </is>
      </c>
      <c r="J74" t="inlineStr">
        <is>
          <t>,000000000</t>
        </is>
      </c>
      <c r="K74" t="inlineStr">
        <is>
          <t>,000000000</t>
        </is>
      </c>
      <c r="L74" t="inlineStr">
        <is>
          <t>10,000000000</t>
        </is>
      </c>
      <c r="M74" t="inlineStr">
        <is>
          <t>,000000000</t>
        </is>
      </c>
      <c r="N74" t="inlineStr">
        <is>
          <t>,000000000</t>
        </is>
      </c>
      <c r="O74" t="inlineStr">
        <is>
          <t>,000000000</t>
        </is>
      </c>
      <c r="P74" t="inlineStr">
        <is>
          <t>1,000000000</t>
        </is>
      </c>
      <c r="Q74" t="inlineStr">
        <is>
          <t>,000000000</t>
        </is>
      </c>
      <c r="R74" t="inlineStr">
        <is>
          <t>,000000000</t>
        </is>
      </c>
      <c r="S74" t="inlineStr">
        <is>
          <t>,000000000</t>
        </is>
      </c>
      <c r="T74" t="inlineStr">
        <is>
          <t>,000000000</t>
        </is>
      </c>
      <c r="U74" t="inlineStr">
        <is>
          <t>,000000000</t>
        </is>
      </c>
      <c r="V74" t="inlineStr">
        <is>
          <t>,000000000</t>
        </is>
      </c>
      <c r="W74" t="inlineStr">
        <is>
          <t>,000000000</t>
        </is>
      </c>
      <c r="X74" t="inlineStr">
        <is>
          <t>,000000000</t>
        </is>
      </c>
      <c r="Y74" t="inlineStr">
        <is>
          <t>,000000000</t>
        </is>
      </c>
      <c r="Z74" t="inlineStr">
        <is>
          <t>,000000000</t>
        </is>
      </c>
      <c r="AA74" t="inlineStr">
        <is>
          <t>,000000000</t>
        </is>
      </c>
      <c r="AB74" t="inlineStr">
        <is>
          <t>1</t>
        </is>
      </c>
      <c r="AC74" t="inlineStr">
        <is>
          <t>1</t>
        </is>
      </c>
      <c r="AD74" s="3">
        <f>UPPER(C3)</f>
        <v/>
      </c>
      <c r="AE74" s="3">
        <f>VLOOKUP(E3,'[1]Nómina Agentes'!$C:$D,3,0)</f>
        <v/>
      </c>
      <c r="AF74" s="5">
        <f>F3</f>
        <v/>
      </c>
      <c r="AG74" s="5">
        <f>H3</f>
        <v/>
      </c>
    </row>
    <row r="75">
      <c r="A75" s="1" t="inlineStr">
        <is>
          <t>9/10/2024</t>
        </is>
      </c>
      <c r="B75" t="inlineStr">
        <is>
          <t>925</t>
        </is>
      </c>
      <c r="C75" t="inlineStr">
        <is>
          <t>S2S Premium</t>
        </is>
      </c>
      <c r="D75" t="inlineStr">
        <is>
          <t>P_Vargas, Carol</t>
        </is>
      </c>
      <c r="E75" t="inlineStr">
        <is>
          <t>605957</t>
        </is>
      </c>
      <c r="F75" s="2" t="inlineStr">
        <is>
          <t>08:30</t>
        </is>
      </c>
      <c r="G75" t="inlineStr">
        <is>
          <t>-</t>
        </is>
      </c>
      <c r="H75" s="2" t="inlineStr">
        <is>
          <t>09:00</t>
        </is>
      </c>
      <c r="I75" t="inlineStr">
        <is>
          <t>93,000000000</t>
        </is>
      </c>
      <c r="J75" t="inlineStr">
        <is>
          <t>,000000000</t>
        </is>
      </c>
      <c r="K75" t="inlineStr">
        <is>
          <t>,000000000</t>
        </is>
      </c>
      <c r="L75" t="inlineStr">
        <is>
          <t>16,000000000</t>
        </is>
      </c>
      <c r="M75" t="inlineStr">
        <is>
          <t>,000000000</t>
        </is>
      </c>
      <c r="N75" t="inlineStr">
        <is>
          <t>,000000000</t>
        </is>
      </c>
      <c r="O75" t="inlineStr">
        <is>
          <t>,000000000</t>
        </is>
      </c>
      <c r="P75" t="inlineStr">
        <is>
          <t>,000000000</t>
        </is>
      </c>
      <c r="Q75" t="inlineStr">
        <is>
          <t>,000000000</t>
        </is>
      </c>
      <c r="R75" t="inlineStr">
        <is>
          <t>,000000000</t>
        </is>
      </c>
      <c r="S75" t="inlineStr">
        <is>
          <t>,000000000</t>
        </is>
      </c>
      <c r="T75" t="inlineStr">
        <is>
          <t>,000000000</t>
        </is>
      </c>
      <c r="U75" t="inlineStr">
        <is>
          <t>,000000000</t>
        </is>
      </c>
      <c r="V75" t="inlineStr">
        <is>
          <t>,000000000</t>
        </is>
      </c>
      <c r="W75" t="inlineStr">
        <is>
          <t>,000000000</t>
        </is>
      </c>
      <c r="X75" t="inlineStr">
        <is>
          <t>,000000000</t>
        </is>
      </c>
      <c r="Y75" t="inlineStr">
        <is>
          <t>,000000000</t>
        </is>
      </c>
      <c r="Z75" t="inlineStr">
        <is>
          <t>,000000000</t>
        </is>
      </c>
      <c r="AA75" t="inlineStr">
        <is>
          <t>,000000000</t>
        </is>
      </c>
      <c r="AB75" t="inlineStr">
        <is>
          <t>0</t>
        </is>
      </c>
      <c r="AC75" t="inlineStr">
        <is>
          <t>0</t>
        </is>
      </c>
      <c r="AD75" s="3">
        <f>UPPER(C3)</f>
        <v/>
      </c>
      <c r="AE75" s="3">
        <f>VLOOKUP(E3,'[1]Nómina Agentes'!$C:$D,3,0)</f>
        <v/>
      </c>
      <c r="AF75" s="5">
        <f>F3</f>
        <v/>
      </c>
      <c r="AG75" s="5">
        <f>H3</f>
        <v/>
      </c>
    </row>
    <row r="76">
      <c r="A76" s="1" t="inlineStr">
        <is>
          <t>9/10/2024</t>
        </is>
      </c>
      <c r="B76" t="inlineStr">
        <is>
          <t>925</t>
        </is>
      </c>
      <c r="C76" t="inlineStr">
        <is>
          <t>S2S Premium</t>
        </is>
      </c>
      <c r="D76" t="inlineStr">
        <is>
          <t>P_Vargas, Carol</t>
        </is>
      </c>
      <c r="E76" t="inlineStr">
        <is>
          <t>605957</t>
        </is>
      </c>
      <c r="F76" s="2" t="inlineStr">
        <is>
          <t>09:00</t>
        </is>
      </c>
      <c r="G76" t="inlineStr">
        <is>
          <t>-</t>
        </is>
      </c>
      <c r="H76" s="2" t="inlineStr">
        <is>
          <t>09:30</t>
        </is>
      </c>
      <c r="I76" t="inlineStr">
        <is>
          <t>263,000000000</t>
        </is>
      </c>
      <c r="J76" t="inlineStr">
        <is>
          <t>,000000000</t>
        </is>
      </c>
      <c r="K76" t="inlineStr">
        <is>
          <t>,000000000</t>
        </is>
      </c>
      <c r="L76" t="inlineStr">
        <is>
          <t>4,000000000</t>
        </is>
      </c>
      <c r="M76" t="inlineStr">
        <is>
          <t>,000000000</t>
        </is>
      </c>
      <c r="N76" t="inlineStr">
        <is>
          <t>,000000000</t>
        </is>
      </c>
      <c r="O76" t="inlineStr">
        <is>
          <t>,000000000</t>
        </is>
      </c>
      <c r="P76" t="inlineStr">
        <is>
          <t>67,000000000</t>
        </is>
      </c>
      <c r="Q76" t="inlineStr">
        <is>
          <t>,000000000</t>
        </is>
      </c>
      <c r="R76" t="inlineStr">
        <is>
          <t>,000000000</t>
        </is>
      </c>
      <c r="S76" t="inlineStr">
        <is>
          <t>,000000000</t>
        </is>
      </c>
      <c r="T76" t="inlineStr">
        <is>
          <t>,000000000</t>
        </is>
      </c>
      <c r="U76" t="inlineStr">
        <is>
          <t>,000000000</t>
        </is>
      </c>
      <c r="V76" t="inlineStr">
        <is>
          <t>,000000000</t>
        </is>
      </c>
      <c r="W76" t="inlineStr">
        <is>
          <t>,000000000</t>
        </is>
      </c>
      <c r="X76" t="inlineStr">
        <is>
          <t>,000000000</t>
        </is>
      </c>
      <c r="Y76" t="inlineStr">
        <is>
          <t>,000000000</t>
        </is>
      </c>
      <c r="Z76" t="inlineStr">
        <is>
          <t>,000000000</t>
        </is>
      </c>
      <c r="AA76" t="inlineStr">
        <is>
          <t>,000000000</t>
        </is>
      </c>
      <c r="AB76" t="inlineStr">
        <is>
          <t>2</t>
        </is>
      </c>
      <c r="AC76" t="inlineStr">
        <is>
          <t>2</t>
        </is>
      </c>
      <c r="AD76" s="3">
        <f>UPPER(C3)</f>
        <v/>
      </c>
      <c r="AE76" s="3">
        <f>VLOOKUP(E3,'[1]Nómina Agentes'!$C:$D,3,0)</f>
        <v/>
      </c>
      <c r="AF76" s="5">
        <f>F3</f>
        <v/>
      </c>
      <c r="AG76" s="5">
        <f>H3</f>
        <v/>
      </c>
    </row>
    <row r="77">
      <c r="A77" s="1" t="inlineStr">
        <is>
          <t>9/10/2024</t>
        </is>
      </c>
      <c r="B77" t="inlineStr">
        <is>
          <t>925</t>
        </is>
      </c>
      <c r="C77" t="inlineStr">
        <is>
          <t>S2S Premium</t>
        </is>
      </c>
      <c r="D77" t="inlineStr">
        <is>
          <t>Pm_Demarco Fidel</t>
        </is>
      </c>
      <c r="E77" t="inlineStr">
        <is>
          <t>605969</t>
        </is>
      </c>
      <c r="F77" s="2" t="inlineStr">
        <is>
          <t>10:30</t>
        </is>
      </c>
      <c r="G77" t="inlineStr">
        <is>
          <t>-</t>
        </is>
      </c>
      <c r="H77" s="2" t="inlineStr">
        <is>
          <t>11:00</t>
        </is>
      </c>
      <c r="I77" t="inlineStr">
        <is>
          <t>,000000000</t>
        </is>
      </c>
      <c r="J77" t="inlineStr">
        <is>
          <t>,000000000</t>
        </is>
      </c>
      <c r="K77" t="inlineStr">
        <is>
          <t>,000000000</t>
        </is>
      </c>
      <c r="L77" t="inlineStr">
        <is>
          <t>,000000000</t>
        </is>
      </c>
      <c r="M77" t="inlineStr">
        <is>
          <t>,000000000</t>
        </is>
      </c>
      <c r="N77" t="inlineStr">
        <is>
          <t>,000000000</t>
        </is>
      </c>
      <c r="O77" t="inlineStr">
        <is>
          <t>,000000000</t>
        </is>
      </c>
      <c r="P77" t="inlineStr">
        <is>
          <t>,000000000</t>
        </is>
      </c>
      <c r="Q77" t="inlineStr">
        <is>
          <t>,000000000</t>
        </is>
      </c>
      <c r="R77" t="inlineStr">
        <is>
          <t>,000000000</t>
        </is>
      </c>
      <c r="S77" t="inlineStr">
        <is>
          <t>,000000000</t>
        </is>
      </c>
      <c r="T77" t="inlineStr">
        <is>
          <t>,000000000</t>
        </is>
      </c>
      <c r="U77" t="inlineStr">
        <is>
          <t>,000000000</t>
        </is>
      </c>
      <c r="V77" t="inlineStr">
        <is>
          <t>,000000000</t>
        </is>
      </c>
      <c r="W77" t="inlineStr">
        <is>
          <t>,000000000</t>
        </is>
      </c>
      <c r="X77" t="inlineStr">
        <is>
          <t>,000000000</t>
        </is>
      </c>
      <c r="Y77" t="inlineStr">
        <is>
          <t>,000000000</t>
        </is>
      </c>
      <c r="Z77" t="inlineStr">
        <is>
          <t>,000000000</t>
        </is>
      </c>
      <c r="AA77" t="inlineStr">
        <is>
          <t>,000000000</t>
        </is>
      </c>
      <c r="AB77" t="inlineStr">
        <is>
          <t>0</t>
        </is>
      </c>
      <c r="AC77" t="inlineStr">
        <is>
          <t>0</t>
        </is>
      </c>
      <c r="AD77" s="3">
        <f>UPPER(C3)</f>
        <v/>
      </c>
      <c r="AE77" s="3">
        <f>VLOOKUP(E3,'[1]Nómina Agentes'!$C:$D,3,0)</f>
        <v/>
      </c>
      <c r="AF77" s="5">
        <f>F3</f>
        <v/>
      </c>
      <c r="AG77" s="5">
        <f>H3</f>
        <v/>
      </c>
    </row>
    <row r="78">
      <c r="A78" s="1" t="inlineStr">
        <is>
          <t>9/10/2024</t>
        </is>
      </c>
      <c r="B78" t="inlineStr">
        <is>
          <t>925</t>
        </is>
      </c>
      <c r="C78" t="inlineStr">
        <is>
          <t>S2S Premium</t>
        </is>
      </c>
      <c r="D78" t="inlineStr">
        <is>
          <t>Pm_Demarco Fidel</t>
        </is>
      </c>
      <c r="E78" t="inlineStr">
        <is>
          <t>605969</t>
        </is>
      </c>
      <c r="F78" s="2" t="inlineStr">
        <is>
          <t>08:30</t>
        </is>
      </c>
      <c r="G78" t="inlineStr">
        <is>
          <t>-</t>
        </is>
      </c>
      <c r="H78" s="2" t="inlineStr">
        <is>
          <t>09:00</t>
        </is>
      </c>
      <c r="I78" t="inlineStr">
        <is>
          <t>,000000000</t>
        </is>
      </c>
      <c r="J78" t="inlineStr">
        <is>
          <t>,000000000</t>
        </is>
      </c>
      <c r="K78" t="inlineStr">
        <is>
          <t>,000000000</t>
        </is>
      </c>
      <c r="L78" t="inlineStr">
        <is>
          <t>,000000000</t>
        </is>
      </c>
      <c r="M78" t="inlineStr">
        <is>
          <t>,000000000</t>
        </is>
      </c>
      <c r="N78" t="inlineStr">
        <is>
          <t>,000000000</t>
        </is>
      </c>
      <c r="O78" t="inlineStr">
        <is>
          <t>,000000000</t>
        </is>
      </c>
      <c r="P78" t="inlineStr">
        <is>
          <t>,000000000</t>
        </is>
      </c>
      <c r="Q78" t="inlineStr">
        <is>
          <t>,000000000</t>
        </is>
      </c>
      <c r="R78" t="inlineStr">
        <is>
          <t>,000000000</t>
        </is>
      </c>
      <c r="S78" t="inlineStr">
        <is>
          <t>,000000000</t>
        </is>
      </c>
      <c r="T78" t="inlineStr">
        <is>
          <t>,000000000</t>
        </is>
      </c>
      <c r="U78" t="inlineStr">
        <is>
          <t>,000000000</t>
        </is>
      </c>
      <c r="V78" t="inlineStr">
        <is>
          <t>,000000000</t>
        </is>
      </c>
      <c r="W78" t="inlineStr">
        <is>
          <t>,000000000</t>
        </is>
      </c>
      <c r="X78" t="inlineStr">
        <is>
          <t>,000000000</t>
        </is>
      </c>
      <c r="Y78" t="inlineStr">
        <is>
          <t>,000000000</t>
        </is>
      </c>
      <c r="Z78" t="inlineStr">
        <is>
          <t>,000000000</t>
        </is>
      </c>
      <c r="AA78" t="inlineStr">
        <is>
          <t>,000000000</t>
        </is>
      </c>
      <c r="AB78" t="inlineStr">
        <is>
          <t>0</t>
        </is>
      </c>
      <c r="AC78" t="inlineStr">
        <is>
          <t>0</t>
        </is>
      </c>
      <c r="AD78" s="3">
        <f>UPPER(C3)</f>
        <v/>
      </c>
      <c r="AE78" s="3">
        <f>VLOOKUP(E3,'[1]Nómina Agentes'!$C:$D,3,0)</f>
        <v/>
      </c>
      <c r="AF78" s="5">
        <f>F3</f>
        <v/>
      </c>
      <c r="AG78" s="5">
        <f>H3</f>
        <v/>
      </c>
    </row>
    <row r="79">
      <c r="A79" s="1" t="inlineStr">
        <is>
          <t>9/10/2024</t>
        </is>
      </c>
      <c r="B79" t="inlineStr">
        <is>
          <t>925</t>
        </is>
      </c>
      <c r="C79" t="inlineStr">
        <is>
          <t>S2S Premium</t>
        </is>
      </c>
      <c r="D79" t="inlineStr">
        <is>
          <t>Pm_Demarco Fidel</t>
        </is>
      </c>
      <c r="E79" t="inlineStr">
        <is>
          <t>605969</t>
        </is>
      </c>
      <c r="F79" s="2" t="inlineStr">
        <is>
          <t>09:00</t>
        </is>
      </c>
      <c r="G79" t="inlineStr">
        <is>
          <t>-</t>
        </is>
      </c>
      <c r="H79" s="2" t="inlineStr">
        <is>
          <t>09:30</t>
        </is>
      </c>
      <c r="I79" t="inlineStr">
        <is>
          <t>525,000000000</t>
        </is>
      </c>
      <c r="J79" t="inlineStr">
        <is>
          <t>,000000000</t>
        </is>
      </c>
      <c r="K79" t="inlineStr">
        <is>
          <t>,000000000</t>
        </is>
      </c>
      <c r="L79" t="inlineStr">
        <is>
          <t>17,000000000</t>
        </is>
      </c>
      <c r="M79" t="inlineStr">
        <is>
          <t>,000000000</t>
        </is>
      </c>
      <c r="N79" t="inlineStr">
        <is>
          <t>,000000000</t>
        </is>
      </c>
      <c r="O79" t="inlineStr">
        <is>
          <t>,000000000</t>
        </is>
      </c>
      <c r="P79" t="inlineStr">
        <is>
          <t>221,000000000</t>
        </is>
      </c>
      <c r="Q79" t="inlineStr">
        <is>
          <t>213,000000000</t>
        </is>
      </c>
      <c r="R79" t="inlineStr">
        <is>
          <t>,000000000</t>
        </is>
      </c>
      <c r="S79" t="inlineStr">
        <is>
          <t>,000000000</t>
        </is>
      </c>
      <c r="T79" t="inlineStr">
        <is>
          <t>,000000000</t>
        </is>
      </c>
      <c r="U79" t="inlineStr">
        <is>
          <t>,000000000</t>
        </is>
      </c>
      <c r="V79" t="inlineStr">
        <is>
          <t>,000000000</t>
        </is>
      </c>
      <c r="W79" t="inlineStr">
        <is>
          <t>,000000000</t>
        </is>
      </c>
      <c r="X79" t="inlineStr">
        <is>
          <t>,000000000</t>
        </is>
      </c>
      <c r="Y79" t="inlineStr">
        <is>
          <t>,000000000</t>
        </is>
      </c>
      <c r="Z79" t="inlineStr">
        <is>
          <t>,000000000</t>
        </is>
      </c>
      <c r="AA79" t="inlineStr">
        <is>
          <t>,000000000</t>
        </is>
      </c>
      <c r="AB79" t="inlineStr">
        <is>
          <t>4</t>
        </is>
      </c>
      <c r="AC79" t="inlineStr">
        <is>
          <t>3</t>
        </is>
      </c>
      <c r="AD79" s="3">
        <f>UPPER(C3)</f>
        <v/>
      </c>
      <c r="AE79" s="3">
        <f>VLOOKUP(E3,'[1]Nómina Agentes'!$C:$D,3,0)</f>
        <v/>
      </c>
      <c r="AF79" s="5">
        <f>F3</f>
        <v/>
      </c>
      <c r="AG79" s="5">
        <f>H3</f>
        <v/>
      </c>
    </row>
    <row r="80">
      <c r="A80" s="1" t="inlineStr">
        <is>
          <t>9/10/2024</t>
        </is>
      </c>
      <c r="B80" t="inlineStr">
        <is>
          <t>925</t>
        </is>
      </c>
      <c r="C80" t="inlineStr">
        <is>
          <t>S2S Premium</t>
        </is>
      </c>
      <c r="D80" t="inlineStr">
        <is>
          <t>Pm_Demarco Fidel</t>
        </is>
      </c>
      <c r="E80" t="inlineStr">
        <is>
          <t>605969</t>
        </is>
      </c>
      <c r="F80" s="2" t="inlineStr">
        <is>
          <t>10:00</t>
        </is>
      </c>
      <c r="G80" t="inlineStr">
        <is>
          <t>-</t>
        </is>
      </c>
      <c r="H80" s="2" t="inlineStr">
        <is>
          <t>10:30</t>
        </is>
      </c>
      <c r="I80" t="inlineStr">
        <is>
          <t>907,000000000</t>
        </is>
      </c>
      <c r="J80" t="inlineStr">
        <is>
          <t>,000000000</t>
        </is>
      </c>
      <c r="K80" t="inlineStr">
        <is>
          <t>,000000000</t>
        </is>
      </c>
      <c r="L80" t="inlineStr">
        <is>
          <t>18,000000000</t>
        </is>
      </c>
      <c r="M80" t="inlineStr">
        <is>
          <t>,000000000</t>
        </is>
      </c>
      <c r="N80" t="inlineStr">
        <is>
          <t>,000000000</t>
        </is>
      </c>
      <c r="O80" t="inlineStr">
        <is>
          <t>,000000000</t>
        </is>
      </c>
      <c r="P80" t="inlineStr">
        <is>
          <t>4,000000000</t>
        </is>
      </c>
      <c r="Q80" t="inlineStr">
        <is>
          <t>,000000000</t>
        </is>
      </c>
      <c r="R80" t="inlineStr">
        <is>
          <t>,000000000</t>
        </is>
      </c>
      <c r="S80" t="inlineStr">
        <is>
          <t>,000000000</t>
        </is>
      </c>
      <c r="T80" t="inlineStr">
        <is>
          <t>,000000000</t>
        </is>
      </c>
      <c r="U80" t="inlineStr">
        <is>
          <t>,000000000</t>
        </is>
      </c>
      <c r="V80" t="inlineStr">
        <is>
          <t>,000000000</t>
        </is>
      </c>
      <c r="W80" t="inlineStr">
        <is>
          <t>,000000000</t>
        </is>
      </c>
      <c r="X80" t="inlineStr">
        <is>
          <t>,000000000</t>
        </is>
      </c>
      <c r="Y80" t="inlineStr">
        <is>
          <t>,000000000</t>
        </is>
      </c>
      <c r="Z80" t="inlineStr">
        <is>
          <t>,000000000</t>
        </is>
      </c>
      <c r="AA80" t="inlineStr">
        <is>
          <t>,000000000</t>
        </is>
      </c>
      <c r="AB80" t="inlineStr">
        <is>
          <t>4</t>
        </is>
      </c>
      <c r="AC80" t="inlineStr">
        <is>
          <t>2</t>
        </is>
      </c>
      <c r="AD80" s="3">
        <f>UPPER(C3)</f>
        <v/>
      </c>
      <c r="AE80" s="3">
        <f>VLOOKUP(E3,'[1]Nómina Agentes'!$C:$D,3,0)</f>
        <v/>
      </c>
      <c r="AF80" s="5">
        <f>F3</f>
        <v/>
      </c>
      <c r="AG80" s="5">
        <f>H3</f>
        <v/>
      </c>
    </row>
    <row r="81">
      <c r="A81" s="1" t="inlineStr">
        <is>
          <t>9/10/2024</t>
        </is>
      </c>
      <c r="B81" t="inlineStr">
        <is>
          <t>925</t>
        </is>
      </c>
      <c r="C81" t="inlineStr">
        <is>
          <t>S2S Premium</t>
        </is>
      </c>
      <c r="D81" t="inlineStr">
        <is>
          <t>Pm_Demarco Fidel</t>
        </is>
      </c>
      <c r="E81" t="inlineStr">
        <is>
          <t>605969</t>
        </is>
      </c>
      <c r="F81" s="2" t="inlineStr">
        <is>
          <t>09:30</t>
        </is>
      </c>
      <c r="G81" t="inlineStr">
        <is>
          <t>-</t>
        </is>
      </c>
      <c r="H81" s="2" t="inlineStr">
        <is>
          <t>10:00</t>
        </is>
      </c>
      <c r="I81" t="inlineStr">
        <is>
          <t>1055,000000000</t>
        </is>
      </c>
      <c r="J81" t="inlineStr">
        <is>
          <t>,000000000</t>
        </is>
      </c>
      <c r="K81" t="inlineStr">
        <is>
          <t>,000000000</t>
        </is>
      </c>
      <c r="L81" t="inlineStr">
        <is>
          <t>23,000000000</t>
        </is>
      </c>
      <c r="M81" t="inlineStr">
        <is>
          <t>,000000000</t>
        </is>
      </c>
      <c r="N81" t="inlineStr">
        <is>
          <t>,000000000</t>
        </is>
      </c>
      <c r="O81" t="inlineStr">
        <is>
          <t>,000000000</t>
        </is>
      </c>
      <c r="P81" t="inlineStr">
        <is>
          <t>255,000000000</t>
        </is>
      </c>
      <c r="Q81" t="inlineStr">
        <is>
          <t>246,000000000</t>
        </is>
      </c>
      <c r="R81" t="inlineStr">
        <is>
          <t>,000000000</t>
        </is>
      </c>
      <c r="S81" t="inlineStr">
        <is>
          <t>,000000000</t>
        </is>
      </c>
      <c r="T81" t="inlineStr">
        <is>
          <t>,000000000</t>
        </is>
      </c>
      <c r="U81" t="inlineStr">
        <is>
          <t>,000000000</t>
        </is>
      </c>
      <c r="V81" t="inlineStr">
        <is>
          <t>,000000000</t>
        </is>
      </c>
      <c r="W81" t="inlineStr">
        <is>
          <t>,000000000</t>
        </is>
      </c>
      <c r="X81" t="inlineStr">
        <is>
          <t>,000000000</t>
        </is>
      </c>
      <c r="Y81" t="inlineStr">
        <is>
          <t>,000000000</t>
        </is>
      </c>
      <c r="Z81" t="inlineStr">
        <is>
          <t>,000000000</t>
        </is>
      </c>
      <c r="AA81" t="inlineStr">
        <is>
          <t>,000000000</t>
        </is>
      </c>
      <c r="AB81" t="inlineStr">
        <is>
          <t>5</t>
        </is>
      </c>
      <c r="AC81" t="inlineStr">
        <is>
          <t>3</t>
        </is>
      </c>
      <c r="AD81" s="3">
        <f>UPPER(C3)</f>
        <v/>
      </c>
      <c r="AE81" s="3">
        <f>VLOOKUP(E3,'[1]Nómina Agentes'!$C:$D,3,0)</f>
        <v/>
      </c>
      <c r="AF81" s="5">
        <f>F3</f>
        <v/>
      </c>
      <c r="AG81" s="5">
        <f>H3</f>
        <v/>
      </c>
    </row>
    <row r="82">
      <c r="A82" s="1" t="inlineStr">
        <is>
          <t>9/10/2024</t>
        </is>
      </c>
      <c r="B82" t="inlineStr">
        <is>
          <t>924</t>
        </is>
      </c>
      <c r="C82" t="inlineStr">
        <is>
          <t>S2S No Premium</t>
        </is>
      </c>
      <c r="D82" t="inlineStr">
        <is>
          <t>N2_Wetzel, Ignacio</t>
        </is>
      </c>
      <c r="E82" t="inlineStr">
        <is>
          <t>605982</t>
        </is>
      </c>
      <c r="F82" s="2" t="inlineStr">
        <is>
          <t>09:30</t>
        </is>
      </c>
      <c r="G82" t="inlineStr">
        <is>
          <t>-</t>
        </is>
      </c>
      <c r="H82" s="2" t="inlineStr">
        <is>
          <t>10:00</t>
        </is>
      </c>
      <c r="I82" t="inlineStr">
        <is>
          <t>,000000000</t>
        </is>
      </c>
      <c r="J82" t="inlineStr">
        <is>
          <t>,000000000</t>
        </is>
      </c>
      <c r="K82" t="inlineStr">
        <is>
          <t>,000000000</t>
        </is>
      </c>
      <c r="L82" t="inlineStr">
        <is>
          <t>,000000000</t>
        </is>
      </c>
      <c r="M82" t="inlineStr">
        <is>
          <t>,000000000</t>
        </is>
      </c>
      <c r="N82" t="inlineStr">
        <is>
          <t>,000000000</t>
        </is>
      </c>
      <c r="O82" t="inlineStr">
        <is>
          <t>,000000000</t>
        </is>
      </c>
      <c r="P82" t="inlineStr">
        <is>
          <t>,000000000</t>
        </is>
      </c>
      <c r="Q82" t="inlineStr">
        <is>
          <t>,000000000</t>
        </is>
      </c>
      <c r="R82" t="inlineStr">
        <is>
          <t>,000000000</t>
        </is>
      </c>
      <c r="S82" t="inlineStr">
        <is>
          <t>,000000000</t>
        </is>
      </c>
      <c r="T82" t="inlineStr">
        <is>
          <t>,000000000</t>
        </is>
      </c>
      <c r="U82" t="inlineStr">
        <is>
          <t>,000000000</t>
        </is>
      </c>
      <c r="V82" t="inlineStr">
        <is>
          <t>,000000000</t>
        </is>
      </c>
      <c r="W82" t="inlineStr">
        <is>
          <t>,000000000</t>
        </is>
      </c>
      <c r="X82" t="inlineStr">
        <is>
          <t>,000000000</t>
        </is>
      </c>
      <c r="Y82" t="inlineStr">
        <is>
          <t>,000000000</t>
        </is>
      </c>
      <c r="Z82" t="inlineStr">
        <is>
          <t>,000000000</t>
        </is>
      </c>
      <c r="AA82" t="inlineStr">
        <is>
          <t>,000000000</t>
        </is>
      </c>
      <c r="AB82" t="inlineStr">
        <is>
          <t>0</t>
        </is>
      </c>
      <c r="AC82" t="inlineStr">
        <is>
          <t>0</t>
        </is>
      </c>
      <c r="AD82" s="3">
        <f>UPPER(C3)</f>
        <v/>
      </c>
      <c r="AE82" s="3">
        <f>VLOOKUP(E3,'[1]Nómina Agentes'!$C:$D,3,0)</f>
        <v/>
      </c>
      <c r="AF82" s="5">
        <f>F3</f>
        <v/>
      </c>
      <c r="AG82" s="5">
        <f>H3</f>
        <v/>
      </c>
    </row>
    <row r="83">
      <c r="A83" s="1" t="inlineStr">
        <is>
          <t>9/10/2024</t>
        </is>
      </c>
      <c r="B83" t="inlineStr">
        <is>
          <t>924</t>
        </is>
      </c>
      <c r="C83" t="inlineStr">
        <is>
          <t>S2S No Premium</t>
        </is>
      </c>
      <c r="D83" t="inlineStr">
        <is>
          <t>N2_Wetzel, Ignacio</t>
        </is>
      </c>
      <c r="E83" t="inlineStr">
        <is>
          <t>605982</t>
        </is>
      </c>
      <c r="F83" s="2" t="inlineStr">
        <is>
          <t>10:00</t>
        </is>
      </c>
      <c r="G83" t="inlineStr">
        <is>
          <t>-</t>
        </is>
      </c>
      <c r="H83" s="2" t="inlineStr">
        <is>
          <t>10:30</t>
        </is>
      </c>
      <c r="I83" t="inlineStr">
        <is>
          <t>855,000000000</t>
        </is>
      </c>
      <c r="J83" t="inlineStr">
        <is>
          <t>,000000000</t>
        </is>
      </c>
      <c r="K83" t="inlineStr">
        <is>
          <t>,000000000</t>
        </is>
      </c>
      <c r="L83" t="inlineStr">
        <is>
          <t>15,000000000</t>
        </is>
      </c>
      <c r="M83" t="inlineStr">
        <is>
          <t>,000000000</t>
        </is>
      </c>
      <c r="N83" t="inlineStr">
        <is>
          <t>,000000000</t>
        </is>
      </c>
      <c r="O83" t="inlineStr">
        <is>
          <t>,000000000</t>
        </is>
      </c>
      <c r="P83" t="inlineStr">
        <is>
          <t>143,000000000</t>
        </is>
      </c>
      <c r="Q83" t="inlineStr">
        <is>
          <t>,000000000</t>
        </is>
      </c>
      <c r="R83" t="inlineStr">
        <is>
          <t>,000000000</t>
        </is>
      </c>
      <c r="S83" t="inlineStr">
        <is>
          <t>,000000000</t>
        </is>
      </c>
      <c r="T83" t="inlineStr">
        <is>
          <t>,000000000</t>
        </is>
      </c>
      <c r="U83" t="inlineStr">
        <is>
          <t>,000000000</t>
        </is>
      </c>
      <c r="V83" t="inlineStr">
        <is>
          <t>,000000000</t>
        </is>
      </c>
      <c r="W83" t="inlineStr">
        <is>
          <t>,000000000</t>
        </is>
      </c>
      <c r="X83" t="inlineStr">
        <is>
          <t>,000000000</t>
        </is>
      </c>
      <c r="Y83" t="inlineStr">
        <is>
          <t>,000000000</t>
        </is>
      </c>
      <c r="Z83" t="inlineStr">
        <is>
          <t>,000000000</t>
        </is>
      </c>
      <c r="AA83" t="inlineStr">
        <is>
          <t>,000000000</t>
        </is>
      </c>
      <c r="AB83" t="inlineStr">
        <is>
          <t>3</t>
        </is>
      </c>
      <c r="AC83" t="inlineStr">
        <is>
          <t>1</t>
        </is>
      </c>
      <c r="AD83" s="3">
        <f>UPPER(C3)</f>
        <v/>
      </c>
      <c r="AE83" s="3">
        <f>VLOOKUP(E3,'[1]Nómina Agentes'!$C:$D,3,0)</f>
        <v/>
      </c>
      <c r="AF83" s="5">
        <f>F3</f>
        <v/>
      </c>
      <c r="AG83" s="5">
        <f>H3</f>
        <v/>
      </c>
    </row>
    <row r="84">
      <c r="A84" s="1" t="inlineStr">
        <is>
          <t>9/10/2024</t>
        </is>
      </c>
      <c r="B84" t="inlineStr">
        <is>
          <t>924</t>
        </is>
      </c>
      <c r="C84" t="inlineStr">
        <is>
          <t>S2S No Premium</t>
        </is>
      </c>
      <c r="D84" t="inlineStr">
        <is>
          <t>N2m_Falcon, Nayla</t>
        </is>
      </c>
      <c r="E84" t="inlineStr">
        <is>
          <t>605990</t>
        </is>
      </c>
      <c r="F84" s="2" t="inlineStr">
        <is>
          <t>06:30</t>
        </is>
      </c>
      <c r="G84" t="inlineStr">
        <is>
          <t>-</t>
        </is>
      </c>
      <c r="H84" s="2" t="inlineStr">
        <is>
          <t>07:00</t>
        </is>
      </c>
      <c r="I84" t="inlineStr">
        <is>
          <t>,000000000</t>
        </is>
      </c>
      <c r="J84" t="inlineStr">
        <is>
          <t>,000000000</t>
        </is>
      </c>
      <c r="K84" t="inlineStr">
        <is>
          <t>,000000000</t>
        </is>
      </c>
      <c r="L84" t="inlineStr">
        <is>
          <t>,000000000</t>
        </is>
      </c>
      <c r="M84" t="inlineStr">
        <is>
          <t>,000000000</t>
        </is>
      </c>
      <c r="N84" t="inlineStr">
        <is>
          <t>,000000000</t>
        </is>
      </c>
      <c r="O84" t="inlineStr">
        <is>
          <t>,000000000</t>
        </is>
      </c>
      <c r="P84" t="inlineStr">
        <is>
          <t>,000000000</t>
        </is>
      </c>
      <c r="Q84" t="inlineStr">
        <is>
          <t>,000000000</t>
        </is>
      </c>
      <c r="R84" t="inlineStr">
        <is>
          <t>,000000000</t>
        </is>
      </c>
      <c r="S84" t="inlineStr">
        <is>
          <t>,000000000</t>
        </is>
      </c>
      <c r="T84" t="inlineStr">
        <is>
          <t>,000000000</t>
        </is>
      </c>
      <c r="U84" t="inlineStr">
        <is>
          <t>,000000000</t>
        </is>
      </c>
      <c r="V84" t="inlineStr">
        <is>
          <t>,000000000</t>
        </is>
      </c>
      <c r="W84" t="inlineStr">
        <is>
          <t>,000000000</t>
        </is>
      </c>
      <c r="X84" t="inlineStr">
        <is>
          <t>,000000000</t>
        </is>
      </c>
      <c r="Y84" t="inlineStr">
        <is>
          <t>,000000000</t>
        </is>
      </c>
      <c r="Z84" t="inlineStr">
        <is>
          <t>,000000000</t>
        </is>
      </c>
      <c r="AA84" t="inlineStr">
        <is>
          <t>,000000000</t>
        </is>
      </c>
      <c r="AB84" t="inlineStr">
        <is>
          <t>0</t>
        </is>
      </c>
      <c r="AC84" t="inlineStr">
        <is>
          <t>0</t>
        </is>
      </c>
      <c r="AD84" s="3">
        <f>UPPER(C3)</f>
        <v/>
      </c>
      <c r="AE84" s="3">
        <f>VLOOKUP(E3,'[1]Nómina Agentes'!$C:$D,3,0)</f>
        <v/>
      </c>
      <c r="AF84" s="5">
        <f>F3</f>
        <v/>
      </c>
      <c r="AG84" s="5">
        <f>H3</f>
        <v/>
      </c>
    </row>
    <row r="85">
      <c r="A85" s="1" t="inlineStr">
        <is>
          <t>9/10/2024</t>
        </is>
      </c>
      <c r="B85" t="inlineStr">
        <is>
          <t>924</t>
        </is>
      </c>
      <c r="C85" t="inlineStr">
        <is>
          <t>S2S No Premium</t>
        </is>
      </c>
      <c r="D85" t="inlineStr">
        <is>
          <t>N2m_Falcon, Nayla</t>
        </is>
      </c>
      <c r="E85" t="inlineStr">
        <is>
          <t>605990</t>
        </is>
      </c>
      <c r="F85" s="2" t="inlineStr">
        <is>
          <t>07:30</t>
        </is>
      </c>
      <c r="G85" t="inlineStr">
        <is>
          <t>-</t>
        </is>
      </c>
      <c r="H85" s="2" t="inlineStr">
        <is>
          <t>08:00</t>
        </is>
      </c>
      <c r="I85" t="inlineStr">
        <is>
          <t>,000000000</t>
        </is>
      </c>
      <c r="J85" t="inlineStr">
        <is>
          <t>,000000000</t>
        </is>
      </c>
      <c r="K85" t="inlineStr">
        <is>
          <t>,000000000</t>
        </is>
      </c>
      <c r="L85" t="inlineStr">
        <is>
          <t>,000000000</t>
        </is>
      </c>
      <c r="M85" t="inlineStr">
        <is>
          <t>,000000000</t>
        </is>
      </c>
      <c r="N85" t="inlineStr">
        <is>
          <t>,000000000</t>
        </is>
      </c>
      <c r="O85" t="inlineStr">
        <is>
          <t>,000000000</t>
        </is>
      </c>
      <c r="P85" t="inlineStr">
        <is>
          <t>,000000000</t>
        </is>
      </c>
      <c r="Q85" t="inlineStr">
        <is>
          <t>,000000000</t>
        </is>
      </c>
      <c r="R85" t="inlineStr">
        <is>
          <t>,000000000</t>
        </is>
      </c>
      <c r="S85" t="inlineStr">
        <is>
          <t>,000000000</t>
        </is>
      </c>
      <c r="T85" t="inlineStr">
        <is>
          <t>,000000000</t>
        </is>
      </c>
      <c r="U85" t="inlineStr">
        <is>
          <t>,000000000</t>
        </is>
      </c>
      <c r="V85" t="inlineStr">
        <is>
          <t>,000000000</t>
        </is>
      </c>
      <c r="W85" t="inlineStr">
        <is>
          <t>,000000000</t>
        </is>
      </c>
      <c r="X85" t="inlineStr">
        <is>
          <t>,000000000</t>
        </is>
      </c>
      <c r="Y85" t="inlineStr">
        <is>
          <t>,000000000</t>
        </is>
      </c>
      <c r="Z85" t="inlineStr">
        <is>
          <t>,000000000</t>
        </is>
      </c>
      <c r="AA85" t="inlineStr">
        <is>
          <t>,000000000</t>
        </is>
      </c>
      <c r="AB85" t="inlineStr">
        <is>
          <t>0</t>
        </is>
      </c>
      <c r="AC85" t="inlineStr">
        <is>
          <t>0</t>
        </is>
      </c>
      <c r="AD85" s="3">
        <f>UPPER(C3)</f>
        <v/>
      </c>
      <c r="AE85" s="3">
        <f>VLOOKUP(E3,'[1]Nómina Agentes'!$C:$D,3,0)</f>
        <v/>
      </c>
      <c r="AF85" s="5">
        <f>F3</f>
        <v/>
      </c>
      <c r="AG85" s="5">
        <f>H3</f>
        <v/>
      </c>
    </row>
    <row r="86">
      <c r="A86" s="1" t="inlineStr">
        <is>
          <t>9/10/2024</t>
        </is>
      </c>
      <c r="B86" t="inlineStr">
        <is>
          <t>924</t>
        </is>
      </c>
      <c r="C86" t="inlineStr">
        <is>
          <t>S2S No Premium</t>
        </is>
      </c>
      <c r="D86" t="inlineStr">
        <is>
          <t>N2m_Falcon, Nayla</t>
        </is>
      </c>
      <c r="E86" t="inlineStr">
        <is>
          <t>605990</t>
        </is>
      </c>
      <c r="F86" s="2" t="inlineStr">
        <is>
          <t>06:00</t>
        </is>
      </c>
      <c r="G86" t="inlineStr">
        <is>
          <t>-</t>
        </is>
      </c>
      <c r="H86" s="2" t="inlineStr">
        <is>
          <t>06:30</t>
        </is>
      </c>
      <c r="I86" t="inlineStr">
        <is>
          <t>206,000000000</t>
        </is>
      </c>
      <c r="J86" t="inlineStr">
        <is>
          <t>,000000000</t>
        </is>
      </c>
      <c r="K86" t="inlineStr">
        <is>
          <t>,000000000</t>
        </is>
      </c>
      <c r="L86" t="inlineStr">
        <is>
          <t>4,000000000</t>
        </is>
      </c>
      <c r="M86" t="inlineStr">
        <is>
          <t>,000000000</t>
        </is>
      </c>
      <c r="N86" t="inlineStr">
        <is>
          <t>,000000000</t>
        </is>
      </c>
      <c r="O86" t="inlineStr">
        <is>
          <t>,000000000</t>
        </is>
      </c>
      <c r="P86" t="inlineStr">
        <is>
          <t>1,000000000</t>
        </is>
      </c>
      <c r="Q86" t="inlineStr">
        <is>
          <t>,000000000</t>
        </is>
      </c>
      <c r="R86" t="inlineStr">
        <is>
          <t>,000000000</t>
        </is>
      </c>
      <c r="S86" t="inlineStr">
        <is>
          <t>,000000000</t>
        </is>
      </c>
      <c r="T86" t="inlineStr">
        <is>
          <t>,000000000</t>
        </is>
      </c>
      <c r="U86" t="inlineStr">
        <is>
          <t>,000000000</t>
        </is>
      </c>
      <c r="V86" t="inlineStr">
        <is>
          <t>,000000000</t>
        </is>
      </c>
      <c r="W86" t="inlineStr">
        <is>
          <t>,000000000</t>
        </is>
      </c>
      <c r="X86" t="inlineStr">
        <is>
          <t>,000000000</t>
        </is>
      </c>
      <c r="Y86" t="inlineStr">
        <is>
          <t>,000000000</t>
        </is>
      </c>
      <c r="Z86" t="inlineStr">
        <is>
          <t>,000000000</t>
        </is>
      </c>
      <c r="AA86" t="inlineStr">
        <is>
          <t>,000000000</t>
        </is>
      </c>
      <c r="AB86" t="inlineStr">
        <is>
          <t>1</t>
        </is>
      </c>
      <c r="AC86" t="inlineStr">
        <is>
          <t>1</t>
        </is>
      </c>
      <c r="AD86" s="3">
        <f>UPPER(C3)</f>
        <v/>
      </c>
      <c r="AE86" s="3">
        <f>VLOOKUP(E3,'[1]Nómina Agentes'!$C:$D,3,0)</f>
        <v/>
      </c>
      <c r="AF86" s="5">
        <f>F3</f>
        <v/>
      </c>
      <c r="AG86" s="5">
        <f>H3</f>
        <v/>
      </c>
    </row>
    <row r="87">
      <c r="A87" s="1" t="inlineStr">
        <is>
          <t>9/10/2024</t>
        </is>
      </c>
      <c r="B87" t="inlineStr">
        <is>
          <t>924</t>
        </is>
      </c>
      <c r="C87" t="inlineStr">
        <is>
          <t>S2S No Premium</t>
        </is>
      </c>
      <c r="D87" t="inlineStr">
        <is>
          <t>N2m_Falcon, Nayla</t>
        </is>
      </c>
      <c r="E87" t="inlineStr">
        <is>
          <t>605990</t>
        </is>
      </c>
      <c r="F87" s="2" t="inlineStr">
        <is>
          <t>08:00</t>
        </is>
      </c>
      <c r="G87" t="inlineStr">
        <is>
          <t>-</t>
        </is>
      </c>
      <c r="H87" s="2" t="inlineStr">
        <is>
          <t>08:30</t>
        </is>
      </c>
      <c r="I87" t="inlineStr">
        <is>
          <t>230,000000000</t>
        </is>
      </c>
      <c r="J87" t="inlineStr">
        <is>
          <t>,000000000</t>
        </is>
      </c>
      <c r="K87" t="inlineStr">
        <is>
          <t>,000000000</t>
        </is>
      </c>
      <c r="L87" t="inlineStr">
        <is>
          <t>4,000000000</t>
        </is>
      </c>
      <c r="M87" t="inlineStr">
        <is>
          <t>,000000000</t>
        </is>
      </c>
      <c r="N87" t="inlineStr">
        <is>
          <t>,000000000</t>
        </is>
      </c>
      <c r="O87" t="inlineStr">
        <is>
          <t>,000000000</t>
        </is>
      </c>
      <c r="P87" t="inlineStr">
        <is>
          <t>,000000000</t>
        </is>
      </c>
      <c r="Q87" t="inlineStr">
        <is>
          <t>,000000000</t>
        </is>
      </c>
      <c r="R87" t="inlineStr">
        <is>
          <t>,000000000</t>
        </is>
      </c>
      <c r="S87" t="inlineStr">
        <is>
          <t>,000000000</t>
        </is>
      </c>
      <c r="T87" t="inlineStr">
        <is>
          <t>,000000000</t>
        </is>
      </c>
      <c r="U87" t="inlineStr">
        <is>
          <t>,000000000</t>
        </is>
      </c>
      <c r="V87" t="inlineStr">
        <is>
          <t>,000000000</t>
        </is>
      </c>
      <c r="W87" t="inlineStr">
        <is>
          <t>,000000000</t>
        </is>
      </c>
      <c r="X87" t="inlineStr">
        <is>
          <t>,000000000</t>
        </is>
      </c>
      <c r="Y87" t="inlineStr">
        <is>
          <t>,000000000</t>
        </is>
      </c>
      <c r="Z87" t="inlineStr">
        <is>
          <t>,000000000</t>
        </is>
      </c>
      <c r="AA87" t="inlineStr">
        <is>
          <t>,000000000</t>
        </is>
      </c>
      <c r="AB87" t="inlineStr">
        <is>
          <t>0</t>
        </is>
      </c>
      <c r="AC87" t="inlineStr">
        <is>
          <t>0</t>
        </is>
      </c>
      <c r="AD87" s="3">
        <f>UPPER(C3)</f>
        <v/>
      </c>
      <c r="AE87" s="3">
        <f>VLOOKUP(E3,'[1]Nómina Agentes'!$C:$D,3,0)</f>
        <v/>
      </c>
      <c r="AF87" s="5">
        <f>F3</f>
        <v/>
      </c>
      <c r="AG87" s="5">
        <f>H3</f>
        <v/>
      </c>
    </row>
    <row r="88">
      <c r="A88" s="1" t="inlineStr">
        <is>
          <t>9/10/2024</t>
        </is>
      </c>
      <c r="B88" t="inlineStr">
        <is>
          <t>924</t>
        </is>
      </c>
      <c r="C88" t="inlineStr">
        <is>
          <t>S2S No Premium</t>
        </is>
      </c>
      <c r="D88" t="inlineStr">
        <is>
          <t>N2m_Falcon, Nayla</t>
        </is>
      </c>
      <c r="E88" t="inlineStr">
        <is>
          <t>605990</t>
        </is>
      </c>
      <c r="F88" s="2" t="inlineStr">
        <is>
          <t>07:00</t>
        </is>
      </c>
      <c r="G88" t="inlineStr">
        <is>
          <t>-</t>
        </is>
      </c>
      <c r="H88" s="2" t="inlineStr">
        <is>
          <t>07:30</t>
        </is>
      </c>
      <c r="I88" t="inlineStr">
        <is>
          <t>419,000000000</t>
        </is>
      </c>
      <c r="J88" t="inlineStr">
        <is>
          <t>,000000000</t>
        </is>
      </c>
      <c r="K88" t="inlineStr">
        <is>
          <t>,000000000</t>
        </is>
      </c>
      <c r="L88" t="inlineStr">
        <is>
          <t>4,000000000</t>
        </is>
      </c>
      <c r="M88" t="inlineStr">
        <is>
          <t>,000000000</t>
        </is>
      </c>
      <c r="N88" t="inlineStr">
        <is>
          <t>,000000000</t>
        </is>
      </c>
      <c r="O88" t="inlineStr">
        <is>
          <t>,000000000</t>
        </is>
      </c>
      <c r="P88" t="inlineStr">
        <is>
          <t>1,000000000</t>
        </is>
      </c>
      <c r="Q88" t="inlineStr">
        <is>
          <t>,000000000</t>
        </is>
      </c>
      <c r="R88" t="inlineStr">
        <is>
          <t>,000000000</t>
        </is>
      </c>
      <c r="S88" t="inlineStr">
        <is>
          <t>,000000000</t>
        </is>
      </c>
      <c r="T88" t="inlineStr">
        <is>
          <t>,000000000</t>
        </is>
      </c>
      <c r="U88" t="inlineStr">
        <is>
          <t>,000000000</t>
        </is>
      </c>
      <c r="V88" t="inlineStr">
        <is>
          <t>,000000000</t>
        </is>
      </c>
      <c r="W88" t="inlineStr">
        <is>
          <t>,000000000</t>
        </is>
      </c>
      <c r="X88" t="inlineStr">
        <is>
          <t>,000000000</t>
        </is>
      </c>
      <c r="Y88" t="inlineStr">
        <is>
          <t>,000000000</t>
        </is>
      </c>
      <c r="Z88" t="inlineStr">
        <is>
          <t>,000000000</t>
        </is>
      </c>
      <c r="AA88" t="inlineStr">
        <is>
          <t>,000000000</t>
        </is>
      </c>
      <c r="AB88" t="inlineStr">
        <is>
          <t>1</t>
        </is>
      </c>
      <c r="AC88" t="inlineStr">
        <is>
          <t>1</t>
        </is>
      </c>
      <c r="AD88" s="3">
        <f>UPPER(C3)</f>
        <v/>
      </c>
      <c r="AE88" s="3">
        <f>VLOOKUP(E3,'[1]Nómina Agentes'!$C:$D,3,0)</f>
        <v/>
      </c>
      <c r="AF88" s="5">
        <f>F3</f>
        <v/>
      </c>
      <c r="AG88" s="5">
        <f>H3</f>
        <v/>
      </c>
    </row>
    <row r="89">
      <c r="A89" s="1" t="inlineStr">
        <is>
          <t>9/10/2024</t>
        </is>
      </c>
      <c r="B89" t="inlineStr">
        <is>
          <t>924</t>
        </is>
      </c>
      <c r="C89" t="inlineStr">
        <is>
          <t>S2S No Premium</t>
        </is>
      </c>
      <c r="D89" t="inlineStr">
        <is>
          <t>N2m_Falcon, Nayla</t>
        </is>
      </c>
      <c r="E89" t="inlineStr">
        <is>
          <t>605990</t>
        </is>
      </c>
      <c r="F89" s="2" t="inlineStr">
        <is>
          <t>08:30</t>
        </is>
      </c>
      <c r="G89" t="inlineStr">
        <is>
          <t>-</t>
        </is>
      </c>
      <c r="H89" s="2" t="inlineStr">
        <is>
          <t>09:00</t>
        </is>
      </c>
      <c r="I89" t="inlineStr">
        <is>
          <t>726,000000000</t>
        </is>
      </c>
      <c r="J89" t="inlineStr">
        <is>
          <t>,000000000</t>
        </is>
      </c>
      <c r="K89" t="inlineStr">
        <is>
          <t>,000000000</t>
        </is>
      </c>
      <c r="L89" t="inlineStr">
        <is>
          <t>9,000000000</t>
        </is>
      </c>
      <c r="M89" t="inlineStr">
        <is>
          <t>,000000000</t>
        </is>
      </c>
      <c r="N89" t="inlineStr">
        <is>
          <t>,000000000</t>
        </is>
      </c>
      <c r="O89" t="inlineStr">
        <is>
          <t>,000000000</t>
        </is>
      </c>
      <c r="P89" t="inlineStr">
        <is>
          <t>394,000000000</t>
        </is>
      </c>
      <c r="Q89" t="inlineStr">
        <is>
          <t>,000000000</t>
        </is>
      </c>
      <c r="R89" t="inlineStr">
        <is>
          <t>,000000000</t>
        </is>
      </c>
      <c r="S89" t="inlineStr">
        <is>
          <t>,000000000</t>
        </is>
      </c>
      <c r="T89" t="inlineStr">
        <is>
          <t>,000000000</t>
        </is>
      </c>
      <c r="U89" t="inlineStr">
        <is>
          <t>,000000000</t>
        </is>
      </c>
      <c r="V89" t="inlineStr">
        <is>
          <t>,000000000</t>
        </is>
      </c>
      <c r="W89" t="inlineStr">
        <is>
          <t>,000000000</t>
        </is>
      </c>
      <c r="X89" t="inlineStr">
        <is>
          <t>,000000000</t>
        </is>
      </c>
      <c r="Y89" t="inlineStr">
        <is>
          <t>,000000000</t>
        </is>
      </c>
      <c r="Z89" t="inlineStr">
        <is>
          <t>,000000000</t>
        </is>
      </c>
      <c r="AA89" t="inlineStr">
        <is>
          <t>,000000000</t>
        </is>
      </c>
      <c r="AB89" t="inlineStr">
        <is>
          <t>3</t>
        </is>
      </c>
      <c r="AC89" t="inlineStr">
        <is>
          <t>2</t>
        </is>
      </c>
      <c r="AD89" s="3">
        <f>UPPER(C3)</f>
        <v/>
      </c>
      <c r="AE89" s="3">
        <f>VLOOKUP(E3,'[1]Nómina Agentes'!$C:$D,3,0)</f>
        <v/>
      </c>
      <c r="AF89" s="5">
        <f>F3</f>
        <v/>
      </c>
      <c r="AG89" s="5">
        <f>H3</f>
        <v/>
      </c>
    </row>
    <row r="90">
      <c r="A90" s="1" t="inlineStr">
        <is>
          <t>9/10/2024</t>
        </is>
      </c>
      <c r="B90" t="inlineStr">
        <is>
          <t>924</t>
        </is>
      </c>
      <c r="C90" t="inlineStr">
        <is>
          <t>S2S No Premium</t>
        </is>
      </c>
      <c r="D90" t="inlineStr">
        <is>
          <t>N2m_Falcon, Nayla</t>
        </is>
      </c>
      <c r="E90" t="inlineStr">
        <is>
          <t>605990</t>
        </is>
      </c>
      <c r="F90" s="2" t="inlineStr">
        <is>
          <t>10:00</t>
        </is>
      </c>
      <c r="G90" t="inlineStr">
        <is>
          <t>-</t>
        </is>
      </c>
      <c r="H90" s="2" t="inlineStr">
        <is>
          <t>10:30</t>
        </is>
      </c>
      <c r="I90" t="inlineStr">
        <is>
          <t>910,000000000</t>
        </is>
      </c>
      <c r="J90" t="inlineStr">
        <is>
          <t>,000000000</t>
        </is>
      </c>
      <c r="K90" t="inlineStr">
        <is>
          <t>,000000000</t>
        </is>
      </c>
      <c r="L90" t="inlineStr">
        <is>
          <t>12,000000000</t>
        </is>
      </c>
      <c r="M90" t="inlineStr">
        <is>
          <t>,000000000</t>
        </is>
      </c>
      <c r="N90" t="inlineStr">
        <is>
          <t>,000000000</t>
        </is>
      </c>
      <c r="O90" t="inlineStr">
        <is>
          <t>,000000000</t>
        </is>
      </c>
      <c r="P90" t="inlineStr">
        <is>
          <t>3,000000000</t>
        </is>
      </c>
      <c r="Q90" t="inlineStr">
        <is>
          <t>,000000000</t>
        </is>
      </c>
      <c r="R90" t="inlineStr">
        <is>
          <t>,000000000</t>
        </is>
      </c>
      <c r="S90" t="inlineStr">
        <is>
          <t>,000000000</t>
        </is>
      </c>
      <c r="T90" t="inlineStr">
        <is>
          <t>,000000000</t>
        </is>
      </c>
      <c r="U90" t="inlineStr">
        <is>
          <t>,000000000</t>
        </is>
      </c>
      <c r="V90" t="inlineStr">
        <is>
          <t>,000000000</t>
        </is>
      </c>
      <c r="W90" t="inlineStr">
        <is>
          <t>,000000000</t>
        </is>
      </c>
      <c r="X90" t="inlineStr">
        <is>
          <t>,000000000</t>
        </is>
      </c>
      <c r="Y90" t="inlineStr">
        <is>
          <t>,000000000</t>
        </is>
      </c>
      <c r="Z90" t="inlineStr">
        <is>
          <t>,000000000</t>
        </is>
      </c>
      <c r="AA90" t="inlineStr">
        <is>
          <t>,000000000</t>
        </is>
      </c>
      <c r="AB90" t="inlineStr">
        <is>
          <t>3</t>
        </is>
      </c>
      <c r="AC90" t="inlineStr">
        <is>
          <t>3</t>
        </is>
      </c>
      <c r="AD90" s="3">
        <f>UPPER(C3)</f>
        <v/>
      </c>
      <c r="AE90" s="3">
        <f>VLOOKUP(E3,'[1]Nómina Agentes'!$C:$D,3,0)</f>
        <v/>
      </c>
      <c r="AF90" s="5">
        <f>F3</f>
        <v/>
      </c>
      <c r="AG90" s="5">
        <f>H3</f>
        <v/>
      </c>
    </row>
    <row r="91">
      <c r="A91" s="1" t="inlineStr">
        <is>
          <t>9/10/2024</t>
        </is>
      </c>
      <c r="B91" t="inlineStr">
        <is>
          <t>924</t>
        </is>
      </c>
      <c r="C91" t="inlineStr">
        <is>
          <t>S2S No Premium</t>
        </is>
      </c>
      <c r="D91" t="inlineStr">
        <is>
          <t>N2m_Falcon, Nayla</t>
        </is>
      </c>
      <c r="E91" t="inlineStr">
        <is>
          <t>605990</t>
        </is>
      </c>
      <c r="F91" s="2" t="inlineStr">
        <is>
          <t>09:00</t>
        </is>
      </c>
      <c r="G91" t="inlineStr">
        <is>
          <t>-</t>
        </is>
      </c>
      <c r="H91" s="2" t="inlineStr">
        <is>
          <t>09:30</t>
        </is>
      </c>
      <c r="I91" t="inlineStr">
        <is>
          <t>960,000000000</t>
        </is>
      </c>
      <c r="J91" t="inlineStr">
        <is>
          <t>,000000000</t>
        </is>
      </c>
      <c r="K91" t="inlineStr">
        <is>
          <t>,000000000</t>
        </is>
      </c>
      <c r="L91" t="inlineStr">
        <is>
          <t>16,000000000</t>
        </is>
      </c>
      <c r="M91" t="inlineStr">
        <is>
          <t>,000000000</t>
        </is>
      </c>
      <c r="N91" t="inlineStr">
        <is>
          <t>,000000000</t>
        </is>
      </c>
      <c r="O91" t="inlineStr">
        <is>
          <t>,000000000</t>
        </is>
      </c>
      <c r="P91" t="inlineStr">
        <is>
          <t>4,000000000</t>
        </is>
      </c>
      <c r="Q91" t="inlineStr">
        <is>
          <t>,000000000</t>
        </is>
      </c>
      <c r="R91" t="inlineStr">
        <is>
          <t>,000000000</t>
        </is>
      </c>
      <c r="S91" t="inlineStr">
        <is>
          <t>,000000000</t>
        </is>
      </c>
      <c r="T91" t="inlineStr">
        <is>
          <t>,000000000</t>
        </is>
      </c>
      <c r="U91" t="inlineStr">
        <is>
          <t>,000000000</t>
        </is>
      </c>
      <c r="V91" t="inlineStr">
        <is>
          <t>,000000000</t>
        </is>
      </c>
      <c r="W91" t="inlineStr">
        <is>
          <t>,000000000</t>
        </is>
      </c>
      <c r="X91" t="inlineStr">
        <is>
          <t>,000000000</t>
        </is>
      </c>
      <c r="Y91" t="inlineStr">
        <is>
          <t>,000000000</t>
        </is>
      </c>
      <c r="Z91" t="inlineStr">
        <is>
          <t>,000000000</t>
        </is>
      </c>
      <c r="AA91" t="inlineStr">
        <is>
          <t>,000000000</t>
        </is>
      </c>
      <c r="AB91" t="inlineStr">
        <is>
          <t>4</t>
        </is>
      </c>
      <c r="AC91" t="inlineStr">
        <is>
          <t>4</t>
        </is>
      </c>
      <c r="AD91" s="3">
        <f>UPPER(C3)</f>
        <v/>
      </c>
      <c r="AE91" s="3">
        <f>VLOOKUP(E3,'[1]Nómina Agentes'!$C:$D,3,0)</f>
        <v/>
      </c>
      <c r="AF91" s="5">
        <f>F3</f>
        <v/>
      </c>
      <c r="AG91" s="5">
        <f>H3</f>
        <v/>
      </c>
    </row>
    <row r="92">
      <c r="A92" s="1" t="inlineStr">
        <is>
          <t>9/10/2024</t>
        </is>
      </c>
      <c r="B92" t="inlineStr">
        <is>
          <t>924</t>
        </is>
      </c>
      <c r="C92" t="inlineStr">
        <is>
          <t>S2S No Premium</t>
        </is>
      </c>
      <c r="D92" t="inlineStr">
        <is>
          <t>N2m_Falcon, Nayla</t>
        </is>
      </c>
      <c r="E92" t="inlineStr">
        <is>
          <t>605990</t>
        </is>
      </c>
      <c r="F92" s="2" t="inlineStr">
        <is>
          <t>09:30</t>
        </is>
      </c>
      <c r="G92" t="inlineStr">
        <is>
          <t>-</t>
        </is>
      </c>
      <c r="H92" s="2" t="inlineStr">
        <is>
          <t>10:00</t>
        </is>
      </c>
      <c r="I92" t="inlineStr">
        <is>
          <t>1364,000000000</t>
        </is>
      </c>
      <c r="J92" t="inlineStr">
        <is>
          <t>,000000000</t>
        </is>
      </c>
      <c r="K92" t="inlineStr">
        <is>
          <t>,000000000</t>
        </is>
      </c>
      <c r="L92" t="inlineStr">
        <is>
          <t>16,000000000</t>
        </is>
      </c>
      <c r="M92" t="inlineStr">
        <is>
          <t>,000000000</t>
        </is>
      </c>
      <c r="N92" t="inlineStr">
        <is>
          <t>,000000000</t>
        </is>
      </c>
      <c r="O92" t="inlineStr">
        <is>
          <t>,000000000</t>
        </is>
      </c>
      <c r="P92" t="inlineStr">
        <is>
          <t>5,000000000</t>
        </is>
      </c>
      <c r="Q92" t="inlineStr">
        <is>
          <t>,000000000</t>
        </is>
      </c>
      <c r="R92" t="inlineStr">
        <is>
          <t>,000000000</t>
        </is>
      </c>
      <c r="S92" t="inlineStr">
        <is>
          <t>,000000000</t>
        </is>
      </c>
      <c r="T92" t="inlineStr">
        <is>
          <t>,000000000</t>
        </is>
      </c>
      <c r="U92" t="inlineStr">
        <is>
          <t>,000000000</t>
        </is>
      </c>
      <c r="V92" t="inlineStr">
        <is>
          <t>,000000000</t>
        </is>
      </c>
      <c r="W92" t="inlineStr">
        <is>
          <t>,000000000</t>
        </is>
      </c>
      <c r="X92" t="inlineStr">
        <is>
          <t>,000000000</t>
        </is>
      </c>
      <c r="Y92" t="inlineStr">
        <is>
          <t>,000000000</t>
        </is>
      </c>
      <c r="Z92" t="inlineStr">
        <is>
          <t>,000000000</t>
        </is>
      </c>
      <c r="AA92" t="inlineStr">
        <is>
          <t>,000000000</t>
        </is>
      </c>
      <c r="AB92" t="inlineStr">
        <is>
          <t>4</t>
        </is>
      </c>
      <c r="AC92" t="inlineStr">
        <is>
          <t>3</t>
        </is>
      </c>
      <c r="AD92" s="3">
        <f>UPPER(C3)</f>
        <v/>
      </c>
      <c r="AE92" s="3">
        <f>VLOOKUP(E3,'[1]Nómina Agentes'!$C:$D,3,0)</f>
        <v/>
      </c>
      <c r="AF92" s="5">
        <f>F3</f>
        <v/>
      </c>
      <c r="AG92" s="5">
        <f>H3</f>
        <v/>
      </c>
    </row>
    <row r="93">
      <c r="A93" s="1" t="inlineStr">
        <is>
          <t>9/10/2024</t>
        </is>
      </c>
      <c r="B93" t="inlineStr">
        <is>
          <t>925</t>
        </is>
      </c>
      <c r="C93" t="inlineStr">
        <is>
          <t>S2S Premium</t>
        </is>
      </c>
      <c r="D93" t="inlineStr">
        <is>
          <t>P_Vergara, Tamara</t>
        </is>
      </c>
      <c r="E93" t="inlineStr">
        <is>
          <t>606019</t>
        </is>
      </c>
      <c r="F93" s="2" t="inlineStr">
        <is>
          <t>09:00</t>
        </is>
      </c>
      <c r="G93" t="inlineStr">
        <is>
          <t>-</t>
        </is>
      </c>
      <c r="H93" s="2" t="inlineStr">
        <is>
          <t>09:30</t>
        </is>
      </c>
      <c r="I93" t="inlineStr">
        <is>
          <t>,000000000</t>
        </is>
      </c>
      <c r="J93" t="inlineStr">
        <is>
          <t>,000000000</t>
        </is>
      </c>
      <c r="K93" t="inlineStr">
        <is>
          <t>,000000000</t>
        </is>
      </c>
      <c r="L93" t="inlineStr">
        <is>
          <t>,000000000</t>
        </is>
      </c>
      <c r="M93" t="inlineStr">
        <is>
          <t>,000000000</t>
        </is>
      </c>
      <c r="N93" t="inlineStr">
        <is>
          <t>,000000000</t>
        </is>
      </c>
      <c r="O93" t="inlineStr">
        <is>
          <t>,000000000</t>
        </is>
      </c>
      <c r="P93" t="inlineStr">
        <is>
          <t>,000000000</t>
        </is>
      </c>
      <c r="Q93" t="inlineStr">
        <is>
          <t>,000000000</t>
        </is>
      </c>
      <c r="R93" t="inlineStr">
        <is>
          <t>,000000000</t>
        </is>
      </c>
      <c r="S93" t="inlineStr">
        <is>
          <t>,000000000</t>
        </is>
      </c>
      <c r="T93" t="inlineStr">
        <is>
          <t>,000000000</t>
        </is>
      </c>
      <c r="U93" t="inlineStr">
        <is>
          <t>,000000000</t>
        </is>
      </c>
      <c r="V93" t="inlineStr">
        <is>
          <t>,000000000</t>
        </is>
      </c>
      <c r="W93" t="inlineStr">
        <is>
          <t>,000000000</t>
        </is>
      </c>
      <c r="X93" t="inlineStr">
        <is>
          <t>,000000000</t>
        </is>
      </c>
      <c r="Y93" t="inlineStr">
        <is>
          <t>,000000000</t>
        </is>
      </c>
      <c r="Z93" t="inlineStr">
        <is>
          <t>,000000000</t>
        </is>
      </c>
      <c r="AA93" t="inlineStr">
        <is>
          <t>,000000000</t>
        </is>
      </c>
      <c r="AB93" t="inlineStr">
        <is>
          <t>0</t>
        </is>
      </c>
      <c r="AC93" t="inlineStr">
        <is>
          <t>0</t>
        </is>
      </c>
      <c r="AD93" s="3">
        <f>UPPER(C3)</f>
        <v/>
      </c>
      <c r="AE93" s="3">
        <f>VLOOKUP(E3,'[1]Nómina Agentes'!$C:$D,3,0)</f>
        <v/>
      </c>
      <c r="AF93" s="5">
        <f>F3</f>
        <v/>
      </c>
      <c r="AG93" s="5">
        <f>H3</f>
        <v/>
      </c>
    </row>
    <row r="94">
      <c r="A94" s="1" t="inlineStr">
        <is>
          <t>9/10/2024</t>
        </is>
      </c>
      <c r="B94" t="inlineStr">
        <is>
          <t>925</t>
        </is>
      </c>
      <c r="C94" t="inlineStr">
        <is>
          <t>S2S Premium</t>
        </is>
      </c>
      <c r="D94" t="inlineStr">
        <is>
          <t>P_Olivares, Miriam</t>
        </is>
      </c>
      <c r="E94" t="inlineStr">
        <is>
          <t>606026</t>
        </is>
      </c>
      <c r="F94" s="2" t="inlineStr">
        <is>
          <t>08:30</t>
        </is>
      </c>
      <c r="G94" t="inlineStr">
        <is>
          <t>-</t>
        </is>
      </c>
      <c r="H94" s="2" t="inlineStr">
        <is>
          <t>09:00</t>
        </is>
      </c>
      <c r="I94" t="inlineStr">
        <is>
          <t>,000000000</t>
        </is>
      </c>
      <c r="J94" t="inlineStr">
        <is>
          <t>,000000000</t>
        </is>
      </c>
      <c r="K94" t="inlineStr">
        <is>
          <t>,000000000</t>
        </is>
      </c>
      <c r="L94" t="inlineStr">
        <is>
          <t>,000000000</t>
        </is>
      </c>
      <c r="M94" t="inlineStr">
        <is>
          <t>,000000000</t>
        </is>
      </c>
      <c r="N94" t="inlineStr">
        <is>
          <t>,000000000</t>
        </is>
      </c>
      <c r="O94" t="inlineStr">
        <is>
          <t>,000000000</t>
        </is>
      </c>
      <c r="P94" t="inlineStr">
        <is>
          <t>,000000000</t>
        </is>
      </c>
      <c r="Q94" t="inlineStr">
        <is>
          <t>,000000000</t>
        </is>
      </c>
      <c r="R94" t="inlineStr">
        <is>
          <t>,000000000</t>
        </is>
      </c>
      <c r="S94" t="inlineStr">
        <is>
          <t>,000000000</t>
        </is>
      </c>
      <c r="T94" t="inlineStr">
        <is>
          <t>,000000000</t>
        </is>
      </c>
      <c r="U94" t="inlineStr">
        <is>
          <t>,000000000</t>
        </is>
      </c>
      <c r="V94" t="inlineStr">
        <is>
          <t>,000000000</t>
        </is>
      </c>
      <c r="W94" t="inlineStr">
        <is>
          <t>,000000000</t>
        </is>
      </c>
      <c r="X94" t="inlineStr">
        <is>
          <t>,000000000</t>
        </is>
      </c>
      <c r="Y94" t="inlineStr">
        <is>
          <t>,000000000</t>
        </is>
      </c>
      <c r="Z94" t="inlineStr">
        <is>
          <t>,000000000</t>
        </is>
      </c>
      <c r="AA94" t="inlineStr">
        <is>
          <t>,000000000</t>
        </is>
      </c>
      <c r="AB94" t="inlineStr">
        <is>
          <t>0</t>
        </is>
      </c>
      <c r="AC94" t="inlineStr">
        <is>
          <t>0</t>
        </is>
      </c>
      <c r="AD94" s="3">
        <f>UPPER(C3)</f>
        <v/>
      </c>
      <c r="AE94" s="3">
        <f>VLOOKUP(E3,'[1]Nómina Agentes'!$C:$D,3,0)</f>
        <v/>
      </c>
      <c r="AF94" s="5">
        <f>F3</f>
        <v/>
      </c>
      <c r="AG94" s="5">
        <f>H3</f>
        <v/>
      </c>
    </row>
    <row r="95">
      <c r="A95" s="1" t="inlineStr">
        <is>
          <t>9/10/2024</t>
        </is>
      </c>
      <c r="B95" t="inlineStr">
        <is>
          <t>925</t>
        </is>
      </c>
      <c r="C95" t="inlineStr">
        <is>
          <t>S2S Premium</t>
        </is>
      </c>
      <c r="D95" t="inlineStr">
        <is>
          <t>P_Olivares, Miriam</t>
        </is>
      </c>
      <c r="E95" t="inlineStr">
        <is>
          <t>606026</t>
        </is>
      </c>
      <c r="F95" s="2" t="inlineStr">
        <is>
          <t>10:00</t>
        </is>
      </c>
      <c r="G95" t="inlineStr">
        <is>
          <t>-</t>
        </is>
      </c>
      <c r="H95" s="2" t="inlineStr">
        <is>
          <t>10:30</t>
        </is>
      </c>
      <c r="I95" t="inlineStr">
        <is>
          <t>561,000000000</t>
        </is>
      </c>
      <c r="J95" t="inlineStr">
        <is>
          <t>,000000000</t>
        </is>
      </c>
      <c r="K95" t="inlineStr">
        <is>
          <t>,000000000</t>
        </is>
      </c>
      <c r="L95" t="inlineStr">
        <is>
          <t>24,000000000</t>
        </is>
      </c>
      <c r="M95" t="inlineStr">
        <is>
          <t>,000000000</t>
        </is>
      </c>
      <c r="N95" t="inlineStr">
        <is>
          <t>,000000000</t>
        </is>
      </c>
      <c r="O95" t="inlineStr">
        <is>
          <t>,000000000</t>
        </is>
      </c>
      <c r="P95" t="inlineStr">
        <is>
          <t>49,000000000</t>
        </is>
      </c>
      <c r="Q95" t="inlineStr">
        <is>
          <t>40,000000000</t>
        </is>
      </c>
      <c r="R95" t="inlineStr">
        <is>
          <t>,000000000</t>
        </is>
      </c>
      <c r="S95" t="inlineStr">
        <is>
          <t>,000000000</t>
        </is>
      </c>
      <c r="T95" t="inlineStr">
        <is>
          <t>,000000000</t>
        </is>
      </c>
      <c r="U95" t="inlineStr">
        <is>
          <t>,000000000</t>
        </is>
      </c>
      <c r="V95" t="inlineStr">
        <is>
          <t>,000000000</t>
        </is>
      </c>
      <c r="W95" t="inlineStr">
        <is>
          <t>,000000000</t>
        </is>
      </c>
      <c r="X95" t="inlineStr">
        <is>
          <t>,000000000</t>
        </is>
      </c>
      <c r="Y95" t="inlineStr">
        <is>
          <t>,000000000</t>
        </is>
      </c>
      <c r="Z95" t="inlineStr">
        <is>
          <t>,000000000</t>
        </is>
      </c>
      <c r="AA95" t="inlineStr">
        <is>
          <t>,000000000</t>
        </is>
      </c>
      <c r="AB95" t="inlineStr">
        <is>
          <t>6</t>
        </is>
      </c>
      <c r="AC95" t="inlineStr">
        <is>
          <t>6</t>
        </is>
      </c>
      <c r="AD95" s="3">
        <f>UPPER(C3)</f>
        <v/>
      </c>
      <c r="AE95" s="3">
        <f>VLOOKUP(E3,'[1]Nómina Agentes'!$C:$D,3,0)</f>
        <v/>
      </c>
      <c r="AF95" s="5">
        <f>F3</f>
        <v/>
      </c>
      <c r="AG95" s="5">
        <f>H3</f>
        <v/>
      </c>
    </row>
    <row r="96">
      <c r="A96" s="1" t="inlineStr">
        <is>
          <t>9/10/2024</t>
        </is>
      </c>
      <c r="B96" t="inlineStr">
        <is>
          <t>925</t>
        </is>
      </c>
      <c r="C96" t="inlineStr">
        <is>
          <t>S2S Premium</t>
        </is>
      </c>
      <c r="D96" t="inlineStr">
        <is>
          <t>P_Olivares, Miriam</t>
        </is>
      </c>
      <c r="E96" t="inlineStr">
        <is>
          <t>606026</t>
        </is>
      </c>
      <c r="F96" s="2" t="inlineStr">
        <is>
          <t>09:00</t>
        </is>
      </c>
      <c r="G96" t="inlineStr">
        <is>
          <t>-</t>
        </is>
      </c>
      <c r="H96" s="2" t="inlineStr">
        <is>
          <t>09:30</t>
        </is>
      </c>
      <c r="I96" t="inlineStr">
        <is>
          <t>890,000000000</t>
        </is>
      </c>
      <c r="J96" t="inlineStr">
        <is>
          <t>,000000000</t>
        </is>
      </c>
      <c r="K96" t="inlineStr">
        <is>
          <t>,000000000</t>
        </is>
      </c>
      <c r="L96" t="inlineStr">
        <is>
          <t>17,000000000</t>
        </is>
      </c>
      <c r="M96" t="inlineStr">
        <is>
          <t>,000000000</t>
        </is>
      </c>
      <c r="N96" t="inlineStr">
        <is>
          <t>,000000000</t>
        </is>
      </c>
      <c r="O96" t="inlineStr">
        <is>
          <t>,000000000</t>
        </is>
      </c>
      <c r="P96" t="inlineStr">
        <is>
          <t>3,000000000</t>
        </is>
      </c>
      <c r="Q96" t="inlineStr">
        <is>
          <t>,000000000</t>
        </is>
      </c>
      <c r="R96" t="inlineStr">
        <is>
          <t>,000000000</t>
        </is>
      </c>
      <c r="S96" t="inlineStr">
        <is>
          <t>,000000000</t>
        </is>
      </c>
      <c r="T96" t="inlineStr">
        <is>
          <t>,000000000</t>
        </is>
      </c>
      <c r="U96" t="inlineStr">
        <is>
          <t>,000000000</t>
        </is>
      </c>
      <c r="V96" t="inlineStr">
        <is>
          <t>,000000000</t>
        </is>
      </c>
      <c r="W96" t="inlineStr">
        <is>
          <t>,000000000</t>
        </is>
      </c>
      <c r="X96" t="inlineStr">
        <is>
          <t>,000000000</t>
        </is>
      </c>
      <c r="Y96" t="inlineStr">
        <is>
          <t>,000000000</t>
        </is>
      </c>
      <c r="Z96" t="inlineStr">
        <is>
          <t>,000000000</t>
        </is>
      </c>
      <c r="AA96" t="inlineStr">
        <is>
          <t>,000000000</t>
        </is>
      </c>
      <c r="AB96" t="inlineStr">
        <is>
          <t>3</t>
        </is>
      </c>
      <c r="AC96" t="inlineStr">
        <is>
          <t>3</t>
        </is>
      </c>
      <c r="AD96" s="3">
        <f>UPPER(C3)</f>
        <v/>
      </c>
      <c r="AE96" s="3">
        <f>VLOOKUP(E3,'[1]Nómina Agentes'!$C:$D,3,0)</f>
        <v/>
      </c>
      <c r="AF96" s="5">
        <f>F3</f>
        <v/>
      </c>
      <c r="AG96" s="5">
        <f>H3</f>
        <v/>
      </c>
    </row>
    <row r="97">
      <c r="A97" s="1" t="inlineStr">
        <is>
          <t>9/10/2024</t>
        </is>
      </c>
      <c r="B97" t="inlineStr">
        <is>
          <t>925</t>
        </is>
      </c>
      <c r="C97" t="inlineStr">
        <is>
          <t>S2S Premium</t>
        </is>
      </c>
      <c r="D97" t="inlineStr">
        <is>
          <t>P_Olivares, Miriam</t>
        </is>
      </c>
      <c r="E97" t="inlineStr">
        <is>
          <t>606026</t>
        </is>
      </c>
      <c r="F97" s="2" t="inlineStr">
        <is>
          <t>09:30</t>
        </is>
      </c>
      <c r="G97" t="inlineStr">
        <is>
          <t>-</t>
        </is>
      </c>
      <c r="H97" s="2" t="inlineStr">
        <is>
          <t>10:00</t>
        </is>
      </c>
      <c r="I97" t="inlineStr">
        <is>
          <t>915,000000000</t>
        </is>
      </c>
      <c r="J97" t="inlineStr">
        <is>
          <t>,000000000</t>
        </is>
      </c>
      <c r="K97" t="inlineStr">
        <is>
          <t>,000000000</t>
        </is>
      </c>
      <c r="L97" t="inlineStr">
        <is>
          <t>24,000000000</t>
        </is>
      </c>
      <c r="M97" t="inlineStr">
        <is>
          <t>,000000000</t>
        </is>
      </c>
      <c r="N97" t="inlineStr">
        <is>
          <t>,000000000</t>
        </is>
      </c>
      <c r="O97" t="inlineStr">
        <is>
          <t>,000000000</t>
        </is>
      </c>
      <c r="P97" t="inlineStr">
        <is>
          <t>90,000000000</t>
        </is>
      </c>
      <c r="Q97" t="inlineStr">
        <is>
          <t>81,000000000</t>
        </is>
      </c>
      <c r="R97" t="inlineStr">
        <is>
          <t>,000000000</t>
        </is>
      </c>
      <c r="S97" t="inlineStr">
        <is>
          <t>,000000000</t>
        </is>
      </c>
      <c r="T97" t="inlineStr">
        <is>
          <t>,000000000</t>
        </is>
      </c>
      <c r="U97" t="inlineStr">
        <is>
          <t>,000000000</t>
        </is>
      </c>
      <c r="V97" t="inlineStr">
        <is>
          <t>,000000000</t>
        </is>
      </c>
      <c r="W97" t="inlineStr">
        <is>
          <t>,000000000</t>
        </is>
      </c>
      <c r="X97" t="inlineStr">
        <is>
          <t>,000000000</t>
        </is>
      </c>
      <c r="Y97" t="inlineStr">
        <is>
          <t>,000000000</t>
        </is>
      </c>
      <c r="Z97" t="inlineStr">
        <is>
          <t>,000000000</t>
        </is>
      </c>
      <c r="AA97" t="inlineStr">
        <is>
          <t>,000000000</t>
        </is>
      </c>
      <c r="AB97" t="inlineStr">
        <is>
          <t>6</t>
        </is>
      </c>
      <c r="AC97" t="inlineStr">
        <is>
          <t>6</t>
        </is>
      </c>
      <c r="AD97" s="3">
        <f>UPPER(C3)</f>
        <v/>
      </c>
      <c r="AE97" s="3">
        <f>VLOOKUP(E3,'[1]Nómina Agentes'!$C:$D,3,0)</f>
        <v/>
      </c>
      <c r="AF97" s="5">
        <f>F3</f>
        <v/>
      </c>
      <c r="AG97" s="5">
        <f>H3</f>
        <v/>
      </c>
    </row>
    <row r="98">
      <c r="A98" s="1" t="inlineStr">
        <is>
          <t>9/10/2024</t>
        </is>
      </c>
      <c r="B98" t="inlineStr">
        <is>
          <t>925</t>
        </is>
      </c>
      <c r="C98" t="inlineStr">
        <is>
          <t>S2S Premium</t>
        </is>
      </c>
      <c r="D98" t="inlineStr">
        <is>
          <t>P_Olivares, Miriam</t>
        </is>
      </c>
      <c r="E98" t="inlineStr">
        <is>
          <t>606026</t>
        </is>
      </c>
      <c r="F98" s="2" t="inlineStr">
        <is>
          <t>10:30</t>
        </is>
      </c>
      <c r="G98" t="inlineStr">
        <is>
          <t>-</t>
        </is>
      </c>
      <c r="H98" s="2" t="inlineStr">
        <is>
          <t>11:00</t>
        </is>
      </c>
      <c r="I98" t="inlineStr">
        <is>
          <t>1299,000000000</t>
        </is>
      </c>
      <c r="J98" t="inlineStr">
        <is>
          <t>61,000000000</t>
        </is>
      </c>
      <c r="K98" t="inlineStr">
        <is>
          <t>,000000000</t>
        </is>
      </c>
      <c r="L98" t="inlineStr">
        <is>
          <t>25,000000000</t>
        </is>
      </c>
      <c r="M98" t="inlineStr">
        <is>
          <t>,000000000</t>
        </is>
      </c>
      <c r="N98" t="inlineStr">
        <is>
          <t>,000000000</t>
        </is>
      </c>
      <c r="O98" t="inlineStr">
        <is>
          <t>,000000000</t>
        </is>
      </c>
      <c r="P98" t="inlineStr">
        <is>
          <t>6,000000000</t>
        </is>
      </c>
      <c r="Q98" t="inlineStr">
        <is>
          <t>9,000000000</t>
        </is>
      </c>
      <c r="R98" t="inlineStr">
        <is>
          <t>,000000000</t>
        </is>
      </c>
      <c r="S98" t="inlineStr">
        <is>
          <t>,000000000</t>
        </is>
      </c>
      <c r="T98" t="inlineStr">
        <is>
          <t>,000000000</t>
        </is>
      </c>
      <c r="U98" t="inlineStr">
        <is>
          <t>,000000000</t>
        </is>
      </c>
      <c r="V98" t="inlineStr">
        <is>
          <t>,000000000</t>
        </is>
      </c>
      <c r="W98" t="inlineStr">
        <is>
          <t>,000000000</t>
        </is>
      </c>
      <c r="X98" t="inlineStr">
        <is>
          <t>,000000000</t>
        </is>
      </c>
      <c r="Y98" t="inlineStr">
        <is>
          <t>,000000000</t>
        </is>
      </c>
      <c r="Z98" t="inlineStr">
        <is>
          <t>,000000000</t>
        </is>
      </c>
      <c r="AA98" t="inlineStr">
        <is>
          <t>,000000000</t>
        </is>
      </c>
      <c r="AB98" t="inlineStr">
        <is>
          <t>6</t>
        </is>
      </c>
      <c r="AC98" t="inlineStr">
        <is>
          <t>5</t>
        </is>
      </c>
      <c r="AD98" s="3">
        <f>UPPER(C3)</f>
        <v/>
      </c>
      <c r="AE98" s="3">
        <f>VLOOKUP(E3,'[1]Nómina Agentes'!$C:$D,3,0)</f>
        <v/>
      </c>
      <c r="AF98" s="5">
        <f>F3</f>
        <v/>
      </c>
      <c r="AG98" s="5">
        <f>H3</f>
        <v/>
      </c>
    </row>
    <row r="99">
      <c r="A99" s="1" t="inlineStr">
        <is>
          <t>9/10/2024</t>
        </is>
      </c>
      <c r="B99" t="inlineStr">
        <is>
          <t>924</t>
        </is>
      </c>
      <c r="C99" t="inlineStr">
        <is>
          <t>S2S No Premium</t>
        </is>
      </c>
      <c r="D99" t="inlineStr">
        <is>
          <t>N2m_Fonfria, Valen</t>
        </is>
      </c>
      <c r="E99" t="inlineStr">
        <is>
          <t>606030</t>
        </is>
      </c>
      <c r="F99" s="2" t="inlineStr">
        <is>
          <t>08:30</t>
        </is>
      </c>
      <c r="G99" t="inlineStr">
        <is>
          <t>-</t>
        </is>
      </c>
      <c r="H99" s="2" t="inlineStr">
        <is>
          <t>09:00</t>
        </is>
      </c>
      <c r="I99" t="inlineStr">
        <is>
          <t>,000000000</t>
        </is>
      </c>
      <c r="J99" t="inlineStr">
        <is>
          <t>,000000000</t>
        </is>
      </c>
      <c r="K99" t="inlineStr">
        <is>
          <t>,000000000</t>
        </is>
      </c>
      <c r="L99" t="inlineStr">
        <is>
          <t>,000000000</t>
        </is>
      </c>
      <c r="M99" t="inlineStr">
        <is>
          <t>,000000000</t>
        </is>
      </c>
      <c r="N99" t="inlineStr">
        <is>
          <t>,000000000</t>
        </is>
      </c>
      <c r="O99" t="inlineStr">
        <is>
          <t>,000000000</t>
        </is>
      </c>
      <c r="P99" t="inlineStr">
        <is>
          <t>,000000000</t>
        </is>
      </c>
      <c r="Q99" t="inlineStr">
        <is>
          <t>,000000000</t>
        </is>
      </c>
      <c r="R99" t="inlineStr">
        <is>
          <t>,000000000</t>
        </is>
      </c>
      <c r="S99" t="inlineStr">
        <is>
          <t>,000000000</t>
        </is>
      </c>
      <c r="T99" t="inlineStr">
        <is>
          <t>,000000000</t>
        </is>
      </c>
      <c r="U99" t="inlineStr">
        <is>
          <t>,000000000</t>
        </is>
      </c>
      <c r="V99" t="inlineStr">
        <is>
          <t>,000000000</t>
        </is>
      </c>
      <c r="W99" t="inlineStr">
        <is>
          <t>,000000000</t>
        </is>
      </c>
      <c r="X99" t="inlineStr">
        <is>
          <t>,000000000</t>
        </is>
      </c>
      <c r="Y99" t="inlineStr">
        <is>
          <t>,000000000</t>
        </is>
      </c>
      <c r="Z99" t="inlineStr">
        <is>
          <t>,000000000</t>
        </is>
      </c>
      <c r="AA99" t="inlineStr">
        <is>
          <t>,000000000</t>
        </is>
      </c>
      <c r="AB99" t="inlineStr">
        <is>
          <t>0</t>
        </is>
      </c>
      <c r="AC99" t="inlineStr">
        <is>
          <t>0</t>
        </is>
      </c>
      <c r="AD99" s="3">
        <f>UPPER(C3)</f>
        <v/>
      </c>
      <c r="AE99" s="3">
        <f>VLOOKUP(E3,'[1]Nómina Agentes'!$C:$D,3,0)</f>
        <v/>
      </c>
      <c r="AF99" s="5">
        <f>F3</f>
        <v/>
      </c>
      <c r="AG99" s="5">
        <f>H3</f>
        <v/>
      </c>
    </row>
    <row r="100">
      <c r="A100" s="1" t="inlineStr">
        <is>
          <t>9/10/2024</t>
        </is>
      </c>
      <c r="B100" t="inlineStr">
        <is>
          <t>924</t>
        </is>
      </c>
      <c r="C100" t="inlineStr">
        <is>
          <t>S2S No Premium</t>
        </is>
      </c>
      <c r="D100" t="inlineStr">
        <is>
          <t>N2m_Fonfria, Valen</t>
        </is>
      </c>
      <c r="E100" t="inlineStr">
        <is>
          <t>606030</t>
        </is>
      </c>
      <c r="F100" s="2" t="inlineStr">
        <is>
          <t>10:00</t>
        </is>
      </c>
      <c r="G100" t="inlineStr">
        <is>
          <t>-</t>
        </is>
      </c>
      <c r="H100" s="2" t="inlineStr">
        <is>
          <t>10:30</t>
        </is>
      </c>
      <c r="I100" t="inlineStr">
        <is>
          <t>1009,000000000</t>
        </is>
      </c>
      <c r="J100" t="inlineStr">
        <is>
          <t>,000000000</t>
        </is>
      </c>
      <c r="K100" t="inlineStr">
        <is>
          <t>,000000000</t>
        </is>
      </c>
      <c r="L100" t="inlineStr">
        <is>
          <t>17,000000000</t>
        </is>
      </c>
      <c r="M100" t="inlineStr">
        <is>
          <t>,000000000</t>
        </is>
      </c>
      <c r="N100" t="inlineStr">
        <is>
          <t>,000000000</t>
        </is>
      </c>
      <c r="O100" t="inlineStr">
        <is>
          <t>,000000000</t>
        </is>
      </c>
      <c r="P100" t="inlineStr">
        <is>
          <t>3,000000000</t>
        </is>
      </c>
      <c r="Q100" t="inlineStr">
        <is>
          <t>,000000000</t>
        </is>
      </c>
      <c r="R100" t="inlineStr">
        <is>
          <t>,000000000</t>
        </is>
      </c>
      <c r="S100" t="inlineStr">
        <is>
          <t>,000000000</t>
        </is>
      </c>
      <c r="T100" t="inlineStr">
        <is>
          <t>,000000000</t>
        </is>
      </c>
      <c r="U100" t="inlineStr">
        <is>
          <t>,000000000</t>
        </is>
      </c>
      <c r="V100" t="inlineStr">
        <is>
          <t>,000000000</t>
        </is>
      </c>
      <c r="W100" t="inlineStr">
        <is>
          <t>,000000000</t>
        </is>
      </c>
      <c r="X100" t="inlineStr">
        <is>
          <t>,000000000</t>
        </is>
      </c>
      <c r="Y100" t="inlineStr">
        <is>
          <t>,000000000</t>
        </is>
      </c>
      <c r="Z100" t="inlineStr">
        <is>
          <t>,000000000</t>
        </is>
      </c>
      <c r="AA100" t="inlineStr">
        <is>
          <t>,000000000</t>
        </is>
      </c>
      <c r="AB100" t="inlineStr">
        <is>
          <t>3</t>
        </is>
      </c>
      <c r="AC100" t="inlineStr">
        <is>
          <t>3</t>
        </is>
      </c>
      <c r="AD100" s="3">
        <f>UPPER(C3)</f>
        <v/>
      </c>
      <c r="AE100" s="3">
        <f>VLOOKUP(E3,'[1]Nómina Agentes'!$C:$D,3,0)</f>
        <v/>
      </c>
      <c r="AF100" s="5">
        <f>F3</f>
        <v/>
      </c>
      <c r="AG100" s="5">
        <f>H3</f>
        <v/>
      </c>
    </row>
    <row r="101">
      <c r="A101" s="1" t="inlineStr">
        <is>
          <t>9/10/2024</t>
        </is>
      </c>
      <c r="B101" t="inlineStr">
        <is>
          <t>924</t>
        </is>
      </c>
      <c r="C101" t="inlineStr">
        <is>
          <t>S2S No Premium</t>
        </is>
      </c>
      <c r="D101" t="inlineStr">
        <is>
          <t>N2m_Fonfria, Valen</t>
        </is>
      </c>
      <c r="E101" t="inlineStr">
        <is>
          <t>606030</t>
        </is>
      </c>
      <c r="F101" s="2" t="inlineStr">
        <is>
          <t>09:30</t>
        </is>
      </c>
      <c r="G101" t="inlineStr">
        <is>
          <t>-</t>
        </is>
      </c>
      <c r="H101" s="2" t="inlineStr">
        <is>
          <t>10:00</t>
        </is>
      </c>
      <c r="I101" t="inlineStr">
        <is>
          <t>1094,000000000</t>
        </is>
      </c>
      <c r="J101" t="inlineStr">
        <is>
          <t>,000000000</t>
        </is>
      </c>
      <c r="K101" t="inlineStr">
        <is>
          <t>,000000000</t>
        </is>
      </c>
      <c r="L101" t="inlineStr">
        <is>
          <t>24,000000000</t>
        </is>
      </c>
      <c r="M101" t="inlineStr">
        <is>
          <t>,000000000</t>
        </is>
      </c>
      <c r="N101" t="inlineStr">
        <is>
          <t>,000000000</t>
        </is>
      </c>
      <c r="O101" t="inlineStr">
        <is>
          <t>,000000000</t>
        </is>
      </c>
      <c r="P101" t="inlineStr">
        <is>
          <t>4,000000000</t>
        </is>
      </c>
      <c r="Q101" t="inlineStr">
        <is>
          <t>,000000000</t>
        </is>
      </c>
      <c r="R101" t="inlineStr">
        <is>
          <t>,000000000</t>
        </is>
      </c>
      <c r="S101" t="inlineStr">
        <is>
          <t>,000000000</t>
        </is>
      </c>
      <c r="T101" t="inlineStr">
        <is>
          <t>,000000000</t>
        </is>
      </c>
      <c r="U101" t="inlineStr">
        <is>
          <t>,000000000</t>
        </is>
      </c>
      <c r="V101" t="inlineStr">
        <is>
          <t>,000000000</t>
        </is>
      </c>
      <c r="W101" t="inlineStr">
        <is>
          <t>,000000000</t>
        </is>
      </c>
      <c r="X101" t="inlineStr">
        <is>
          <t>,000000000</t>
        </is>
      </c>
      <c r="Y101" t="inlineStr">
        <is>
          <t>,000000000</t>
        </is>
      </c>
      <c r="Z101" t="inlineStr">
        <is>
          <t>,000000000</t>
        </is>
      </c>
      <c r="AA101" t="inlineStr">
        <is>
          <t>,000000000</t>
        </is>
      </c>
      <c r="AB101" t="inlineStr">
        <is>
          <t>6</t>
        </is>
      </c>
      <c r="AC101" t="inlineStr">
        <is>
          <t>3</t>
        </is>
      </c>
      <c r="AD101" s="3">
        <f>UPPER(C3)</f>
        <v/>
      </c>
      <c r="AE101" s="3">
        <f>VLOOKUP(E3,'[1]Nómina Agentes'!$C:$D,3,0)</f>
        <v/>
      </c>
      <c r="AF101" s="5">
        <f>F3</f>
        <v/>
      </c>
      <c r="AG101" s="5">
        <f>H3</f>
        <v/>
      </c>
    </row>
    <row r="102">
      <c r="A102" s="1" t="inlineStr">
        <is>
          <t>9/10/2024</t>
        </is>
      </c>
      <c r="B102" t="inlineStr">
        <is>
          <t>924</t>
        </is>
      </c>
      <c r="C102" t="inlineStr">
        <is>
          <t>S2S No Premium</t>
        </is>
      </c>
      <c r="D102" t="inlineStr">
        <is>
          <t>N2m_Fonfria, Valen</t>
        </is>
      </c>
      <c r="E102" t="inlineStr">
        <is>
          <t>606030</t>
        </is>
      </c>
      <c r="F102" s="2" t="inlineStr">
        <is>
          <t>09:00</t>
        </is>
      </c>
      <c r="G102" t="inlineStr">
        <is>
          <t>-</t>
        </is>
      </c>
      <c r="H102" s="2" t="inlineStr">
        <is>
          <t>09:30</t>
        </is>
      </c>
      <c r="I102" t="inlineStr">
        <is>
          <t>1127,000000000</t>
        </is>
      </c>
      <c r="J102" t="inlineStr">
        <is>
          <t>,000000000</t>
        </is>
      </c>
      <c r="K102" t="inlineStr">
        <is>
          <t>,000000000</t>
        </is>
      </c>
      <c r="L102" t="inlineStr">
        <is>
          <t>15,000000000</t>
        </is>
      </c>
      <c r="M102" t="inlineStr">
        <is>
          <t>,000000000</t>
        </is>
      </c>
      <c r="N102" t="inlineStr">
        <is>
          <t>,000000000</t>
        </is>
      </c>
      <c r="O102" t="inlineStr">
        <is>
          <t>,000000000</t>
        </is>
      </c>
      <c r="P102" t="inlineStr">
        <is>
          <t>1,000000000</t>
        </is>
      </c>
      <c r="Q102" t="inlineStr">
        <is>
          <t>,000000000</t>
        </is>
      </c>
      <c r="R102" t="inlineStr">
        <is>
          <t>,000000000</t>
        </is>
      </c>
      <c r="S102" t="inlineStr">
        <is>
          <t>,000000000</t>
        </is>
      </c>
      <c r="T102" t="inlineStr">
        <is>
          <t>,000000000</t>
        </is>
      </c>
      <c r="U102" t="inlineStr">
        <is>
          <t>,000000000</t>
        </is>
      </c>
      <c r="V102" t="inlineStr">
        <is>
          <t>,000000000</t>
        </is>
      </c>
      <c r="W102" t="inlineStr">
        <is>
          <t>,000000000</t>
        </is>
      </c>
      <c r="X102" t="inlineStr">
        <is>
          <t>,000000000</t>
        </is>
      </c>
      <c r="Y102" t="inlineStr">
        <is>
          <t>,000000000</t>
        </is>
      </c>
      <c r="Z102" t="inlineStr">
        <is>
          <t>,000000000</t>
        </is>
      </c>
      <c r="AA102" t="inlineStr">
        <is>
          <t>,000000000</t>
        </is>
      </c>
      <c r="AB102" t="inlineStr">
        <is>
          <t>3</t>
        </is>
      </c>
      <c r="AC102" t="inlineStr">
        <is>
          <t>1</t>
        </is>
      </c>
      <c r="AD102" s="3">
        <f>UPPER(C3)</f>
        <v/>
      </c>
      <c r="AE102" s="3">
        <f>VLOOKUP(E3,'[1]Nómina Agentes'!$C:$D,3,0)</f>
        <v/>
      </c>
      <c r="AF102" s="5">
        <f>F3</f>
        <v/>
      </c>
      <c r="AG102" s="5">
        <f>H3</f>
        <v/>
      </c>
    </row>
    <row r="103">
      <c r="A103" s="1" t="inlineStr">
        <is>
          <t>9/10/2024</t>
        </is>
      </c>
      <c r="B103" t="inlineStr">
        <is>
          <t>924</t>
        </is>
      </c>
      <c r="C103" t="inlineStr">
        <is>
          <t>S2S No Premium</t>
        </is>
      </c>
      <c r="D103" t="inlineStr">
        <is>
          <t>N2m_Fonfria, Valen</t>
        </is>
      </c>
      <c r="E103" t="inlineStr">
        <is>
          <t>606030</t>
        </is>
      </c>
      <c r="F103" s="2" t="inlineStr">
        <is>
          <t>10:30</t>
        </is>
      </c>
      <c r="G103" t="inlineStr">
        <is>
          <t>-</t>
        </is>
      </c>
      <c r="H103" s="2" t="inlineStr">
        <is>
          <t>11:00</t>
        </is>
      </c>
      <c r="I103" t="inlineStr">
        <is>
          <t>1338,000000000</t>
        </is>
      </c>
      <c r="J103" t="inlineStr">
        <is>
          <t>,000000000</t>
        </is>
      </c>
      <c r="K103" t="inlineStr">
        <is>
          <t>,000000000</t>
        </is>
      </c>
      <c r="L103" t="inlineStr">
        <is>
          <t>20,000000000</t>
        </is>
      </c>
      <c r="M103" t="inlineStr">
        <is>
          <t>,000000000</t>
        </is>
      </c>
      <c r="N103" t="inlineStr">
        <is>
          <t>,000000000</t>
        </is>
      </c>
      <c r="O103" t="inlineStr">
        <is>
          <t>,000000000</t>
        </is>
      </c>
      <c r="P103" t="inlineStr">
        <is>
          <t>4,000000000</t>
        </is>
      </c>
      <c r="Q103" t="inlineStr">
        <is>
          <t>,000000000</t>
        </is>
      </c>
      <c r="R103" t="inlineStr">
        <is>
          <t>,000000000</t>
        </is>
      </c>
      <c r="S103" t="inlineStr">
        <is>
          <t>,000000000</t>
        </is>
      </c>
      <c r="T103" t="inlineStr">
        <is>
          <t>,000000000</t>
        </is>
      </c>
      <c r="U103" t="inlineStr">
        <is>
          <t>,000000000</t>
        </is>
      </c>
      <c r="V103" t="inlineStr">
        <is>
          <t>,000000000</t>
        </is>
      </c>
      <c r="W103" t="inlineStr">
        <is>
          <t>,000000000</t>
        </is>
      </c>
      <c r="X103" t="inlineStr">
        <is>
          <t>,000000000</t>
        </is>
      </c>
      <c r="Y103" t="inlineStr">
        <is>
          <t>,000000000</t>
        </is>
      </c>
      <c r="Z103" t="inlineStr">
        <is>
          <t>,000000000</t>
        </is>
      </c>
      <c r="AA103" t="inlineStr">
        <is>
          <t>,000000000</t>
        </is>
      </c>
      <c r="AB103" t="inlineStr">
        <is>
          <t>6</t>
        </is>
      </c>
      <c r="AC103" t="inlineStr">
        <is>
          <t>3</t>
        </is>
      </c>
      <c r="AD103" s="3">
        <f>UPPER(C3)</f>
        <v/>
      </c>
      <c r="AE103" s="3">
        <f>VLOOKUP(E3,'[1]Nómina Agentes'!$C:$D,3,0)</f>
        <v/>
      </c>
      <c r="AF103" s="5">
        <f>F3</f>
        <v/>
      </c>
      <c r="AG103" s="5">
        <f>H3</f>
        <v/>
      </c>
    </row>
    <row r="104">
      <c r="A104" s="1" t="inlineStr">
        <is>
          <t>9/10/2024</t>
        </is>
      </c>
      <c r="B104" t="inlineStr">
        <is>
          <t>925</t>
        </is>
      </c>
      <c r="C104" t="inlineStr">
        <is>
          <t>S2S Premium</t>
        </is>
      </c>
      <c r="D104" t="inlineStr">
        <is>
          <t>P_Navarro, Bruno</t>
        </is>
      </c>
      <c r="E104" t="inlineStr">
        <is>
          <t>606049</t>
        </is>
      </c>
      <c r="F104" s="2" t="inlineStr">
        <is>
          <t>08:30</t>
        </is>
      </c>
      <c r="G104" t="inlineStr">
        <is>
          <t>-</t>
        </is>
      </c>
      <c r="H104" s="2" t="inlineStr">
        <is>
          <t>09:00</t>
        </is>
      </c>
      <c r="I104" t="inlineStr">
        <is>
          <t>,000000000</t>
        </is>
      </c>
      <c r="J104" t="inlineStr">
        <is>
          <t>,000000000</t>
        </is>
      </c>
      <c r="K104" t="inlineStr">
        <is>
          <t>,000000000</t>
        </is>
      </c>
      <c r="L104" t="inlineStr">
        <is>
          <t>,000000000</t>
        </is>
      </c>
      <c r="M104" t="inlineStr">
        <is>
          <t>,000000000</t>
        </is>
      </c>
      <c r="N104" t="inlineStr">
        <is>
          <t>,000000000</t>
        </is>
      </c>
      <c r="O104" t="inlineStr">
        <is>
          <t>,000000000</t>
        </is>
      </c>
      <c r="P104" t="inlineStr">
        <is>
          <t>,000000000</t>
        </is>
      </c>
      <c r="Q104" t="inlineStr">
        <is>
          <t>,000000000</t>
        </is>
      </c>
      <c r="R104" t="inlineStr">
        <is>
          <t>,000000000</t>
        </is>
      </c>
      <c r="S104" t="inlineStr">
        <is>
          <t>,000000000</t>
        </is>
      </c>
      <c r="T104" t="inlineStr">
        <is>
          <t>,000000000</t>
        </is>
      </c>
      <c r="U104" t="inlineStr">
        <is>
          <t>,000000000</t>
        </is>
      </c>
      <c r="V104" t="inlineStr">
        <is>
          <t>,000000000</t>
        </is>
      </c>
      <c r="W104" t="inlineStr">
        <is>
          <t>,000000000</t>
        </is>
      </c>
      <c r="X104" t="inlineStr">
        <is>
          <t>,000000000</t>
        </is>
      </c>
      <c r="Y104" t="inlineStr">
        <is>
          <t>,000000000</t>
        </is>
      </c>
      <c r="Z104" t="inlineStr">
        <is>
          <t>,000000000</t>
        </is>
      </c>
      <c r="AA104" t="inlineStr">
        <is>
          <t>,000000000</t>
        </is>
      </c>
      <c r="AB104" t="inlineStr">
        <is>
          <t>0</t>
        </is>
      </c>
      <c r="AC104" t="inlineStr">
        <is>
          <t>0</t>
        </is>
      </c>
      <c r="AD104" s="3">
        <f>UPPER(C3)</f>
        <v/>
      </c>
      <c r="AE104" s="3">
        <f>VLOOKUP(E3,'[1]Nómina Agentes'!$C:$D,3,0)</f>
        <v/>
      </c>
      <c r="AF104" s="5">
        <f>F3</f>
        <v/>
      </c>
      <c r="AG104" s="5">
        <f>H3</f>
        <v/>
      </c>
    </row>
    <row r="105">
      <c r="A105" s="1" t="inlineStr">
        <is>
          <t>9/10/2024</t>
        </is>
      </c>
      <c r="B105" t="inlineStr">
        <is>
          <t>925</t>
        </is>
      </c>
      <c r="C105" t="inlineStr">
        <is>
          <t>S2S Premium</t>
        </is>
      </c>
      <c r="D105" t="inlineStr">
        <is>
          <t>P_Navarro, Bruno</t>
        </is>
      </c>
      <c r="E105" t="inlineStr">
        <is>
          <t>606049</t>
        </is>
      </c>
      <c r="F105" s="2" t="inlineStr">
        <is>
          <t>09:00</t>
        </is>
      </c>
      <c r="G105" t="inlineStr">
        <is>
          <t>-</t>
        </is>
      </c>
      <c r="H105" s="2" t="inlineStr">
        <is>
          <t>09:30</t>
        </is>
      </c>
      <c r="I105" t="inlineStr">
        <is>
          <t>337,000000000</t>
        </is>
      </c>
      <c r="J105" t="inlineStr">
        <is>
          <t>,000000000</t>
        </is>
      </c>
      <c r="K105" t="inlineStr">
        <is>
          <t>,000000000</t>
        </is>
      </c>
      <c r="L105" t="inlineStr">
        <is>
          <t>13,000000000</t>
        </is>
      </c>
      <c r="M105" t="inlineStr">
        <is>
          <t>,000000000</t>
        </is>
      </c>
      <c r="N105" t="inlineStr">
        <is>
          <t>,000000000</t>
        </is>
      </c>
      <c r="O105" t="inlineStr">
        <is>
          <t>,000000000</t>
        </is>
      </c>
      <c r="P105" t="inlineStr">
        <is>
          <t>2,000000000</t>
        </is>
      </c>
      <c r="Q105" t="inlineStr">
        <is>
          <t>,000000000</t>
        </is>
      </c>
      <c r="R105" t="inlineStr">
        <is>
          <t>,000000000</t>
        </is>
      </c>
      <c r="S105" t="inlineStr">
        <is>
          <t>,000000000</t>
        </is>
      </c>
      <c r="T105" t="inlineStr">
        <is>
          <t>,000000000</t>
        </is>
      </c>
      <c r="U105" t="inlineStr">
        <is>
          <t>,000000000</t>
        </is>
      </c>
      <c r="V105" t="inlineStr">
        <is>
          <t>,000000000</t>
        </is>
      </c>
      <c r="W105" t="inlineStr">
        <is>
          <t>,000000000</t>
        </is>
      </c>
      <c r="X105" t="inlineStr">
        <is>
          <t>,000000000</t>
        </is>
      </c>
      <c r="Y105" t="inlineStr">
        <is>
          <t>,000000000</t>
        </is>
      </c>
      <c r="Z105" t="inlineStr">
        <is>
          <t>,000000000</t>
        </is>
      </c>
      <c r="AA105" t="inlineStr">
        <is>
          <t>,000000000</t>
        </is>
      </c>
      <c r="AB105" t="inlineStr">
        <is>
          <t>2</t>
        </is>
      </c>
      <c r="AC105" t="inlineStr">
        <is>
          <t>2</t>
        </is>
      </c>
      <c r="AD105" s="3">
        <f>UPPER(C3)</f>
        <v/>
      </c>
      <c r="AE105" s="3">
        <f>VLOOKUP(E3,'[1]Nómina Agentes'!$C:$D,3,0)</f>
        <v/>
      </c>
      <c r="AF105" s="5">
        <f>F3</f>
        <v/>
      </c>
      <c r="AG105" s="5">
        <f>H3</f>
        <v/>
      </c>
    </row>
    <row r="106">
      <c r="A106" s="1" t="inlineStr">
        <is>
          <t>9/10/2024</t>
        </is>
      </c>
      <c r="B106" t="inlineStr">
        <is>
          <t>925</t>
        </is>
      </c>
      <c r="C106" t="inlineStr">
        <is>
          <t>S2S Premium</t>
        </is>
      </c>
      <c r="D106" t="inlineStr">
        <is>
          <t>Pm_Menguez, Luka</t>
        </is>
      </c>
      <c r="E106" t="inlineStr">
        <is>
          <t>606123</t>
        </is>
      </c>
      <c r="F106" s="2" t="inlineStr">
        <is>
          <t>10:30</t>
        </is>
      </c>
      <c r="G106" t="inlineStr">
        <is>
          <t>-</t>
        </is>
      </c>
      <c r="H106" s="2" t="inlineStr">
        <is>
          <t>11:00</t>
        </is>
      </c>
      <c r="I106" t="inlineStr">
        <is>
          <t>,000000000</t>
        </is>
      </c>
      <c r="J106" t="inlineStr">
        <is>
          <t>,000000000</t>
        </is>
      </c>
      <c r="K106" t="inlineStr">
        <is>
          <t>,000000000</t>
        </is>
      </c>
      <c r="L106" t="inlineStr">
        <is>
          <t>,000000000</t>
        </is>
      </c>
      <c r="M106" t="inlineStr">
        <is>
          <t>,000000000</t>
        </is>
      </c>
      <c r="N106" t="inlineStr">
        <is>
          <t>,000000000</t>
        </is>
      </c>
      <c r="O106" t="inlineStr">
        <is>
          <t>,000000000</t>
        </is>
      </c>
      <c r="P106" t="inlineStr">
        <is>
          <t>,000000000</t>
        </is>
      </c>
      <c r="Q106" t="inlineStr">
        <is>
          <t>,000000000</t>
        </is>
      </c>
      <c r="R106" t="inlineStr">
        <is>
          <t>,000000000</t>
        </is>
      </c>
      <c r="S106" t="inlineStr">
        <is>
          <t>,000000000</t>
        </is>
      </c>
      <c r="T106" t="inlineStr">
        <is>
          <t>,000000000</t>
        </is>
      </c>
      <c r="U106" t="inlineStr">
        <is>
          <t>,000000000</t>
        </is>
      </c>
      <c r="V106" t="inlineStr">
        <is>
          <t>,000000000</t>
        </is>
      </c>
      <c r="W106" t="inlineStr">
        <is>
          <t>,000000000</t>
        </is>
      </c>
      <c r="X106" t="inlineStr">
        <is>
          <t>,000000000</t>
        </is>
      </c>
      <c r="Y106" t="inlineStr">
        <is>
          <t>,000000000</t>
        </is>
      </c>
      <c r="Z106" t="inlineStr">
        <is>
          <t>,000000000</t>
        </is>
      </c>
      <c r="AA106" t="inlineStr">
        <is>
          <t>,000000000</t>
        </is>
      </c>
      <c r="AB106" t="inlineStr">
        <is>
          <t>0</t>
        </is>
      </c>
      <c r="AC106" t="inlineStr">
        <is>
          <t>0</t>
        </is>
      </c>
      <c r="AD106" s="3">
        <f>UPPER(C3)</f>
        <v/>
      </c>
      <c r="AE106" s="3">
        <f>VLOOKUP(E3,'[1]Nómina Agentes'!$C:$D,3,0)</f>
        <v/>
      </c>
      <c r="AF106" s="5">
        <f>F3</f>
        <v/>
      </c>
      <c r="AG106" s="5">
        <f>H3</f>
        <v/>
      </c>
    </row>
    <row r="107">
      <c r="A107" s="1" t="inlineStr">
        <is>
          <t>9/10/2024</t>
        </is>
      </c>
      <c r="B107" t="inlineStr">
        <is>
          <t>925</t>
        </is>
      </c>
      <c r="C107" t="inlineStr">
        <is>
          <t>S2S Premium</t>
        </is>
      </c>
      <c r="D107" t="inlineStr">
        <is>
          <t>Pm_Menguez, Luka</t>
        </is>
      </c>
      <c r="E107" t="inlineStr">
        <is>
          <t>606123</t>
        </is>
      </c>
      <c r="F107" s="2" t="inlineStr">
        <is>
          <t>11:00</t>
        </is>
      </c>
      <c r="G107" t="inlineStr">
        <is>
          <t>-</t>
        </is>
      </c>
      <c r="H107" s="2" t="inlineStr">
        <is>
          <t>11:30</t>
        </is>
      </c>
      <c r="I107" t="inlineStr">
        <is>
          <t>,000000000</t>
        </is>
      </c>
      <c r="J107" t="inlineStr">
        <is>
          <t>,000000000</t>
        </is>
      </c>
      <c r="K107" t="inlineStr">
        <is>
          <t>,000000000</t>
        </is>
      </c>
      <c r="L107" t="inlineStr">
        <is>
          <t>,000000000</t>
        </is>
      </c>
      <c r="M107" t="inlineStr">
        <is>
          <t>,000000000</t>
        </is>
      </c>
      <c r="N107" t="inlineStr">
        <is>
          <t>,000000000</t>
        </is>
      </c>
      <c r="O107" t="inlineStr">
        <is>
          <t>,000000000</t>
        </is>
      </c>
      <c r="P107" t="inlineStr">
        <is>
          <t>,000000000</t>
        </is>
      </c>
      <c r="Q107" t="inlineStr">
        <is>
          <t>,000000000</t>
        </is>
      </c>
      <c r="R107" t="inlineStr">
        <is>
          <t>,000000000</t>
        </is>
      </c>
      <c r="S107" t="inlineStr">
        <is>
          <t>,000000000</t>
        </is>
      </c>
      <c r="T107" t="inlineStr">
        <is>
          <t>,000000000</t>
        </is>
      </c>
      <c r="U107" t="inlineStr">
        <is>
          <t>,000000000</t>
        </is>
      </c>
      <c r="V107" t="inlineStr">
        <is>
          <t>,000000000</t>
        </is>
      </c>
      <c r="W107" t="inlineStr">
        <is>
          <t>,000000000</t>
        </is>
      </c>
      <c r="X107" t="inlineStr">
        <is>
          <t>,000000000</t>
        </is>
      </c>
      <c r="Y107" t="inlineStr">
        <is>
          <t>,000000000</t>
        </is>
      </c>
      <c r="Z107" t="inlineStr">
        <is>
          <t>,000000000</t>
        </is>
      </c>
      <c r="AA107" t="inlineStr">
        <is>
          <t>,000000000</t>
        </is>
      </c>
      <c r="AB107" t="inlineStr">
        <is>
          <t>0</t>
        </is>
      </c>
      <c r="AC107" t="inlineStr">
        <is>
          <t>0</t>
        </is>
      </c>
      <c r="AD107" s="3">
        <f>UPPER(C3)</f>
        <v/>
      </c>
      <c r="AE107" s="3">
        <f>VLOOKUP(E3,'[1]Nómina Agentes'!$C:$D,3,0)</f>
        <v/>
      </c>
      <c r="AF107" s="5">
        <f>F3</f>
        <v/>
      </c>
      <c r="AG107" s="5">
        <f>H3</f>
        <v/>
      </c>
    </row>
    <row r="108">
      <c r="A108" s="1" t="inlineStr">
        <is>
          <t>9/10/2024</t>
        </is>
      </c>
      <c r="B108" t="inlineStr">
        <is>
          <t>925</t>
        </is>
      </c>
      <c r="C108" t="inlineStr">
        <is>
          <t>S2S Premium</t>
        </is>
      </c>
      <c r="D108" t="inlineStr">
        <is>
          <t>Pm_Maraz, Ayelen</t>
        </is>
      </c>
      <c r="E108" t="inlineStr">
        <is>
          <t>606142</t>
        </is>
      </c>
      <c r="F108" s="2" t="inlineStr">
        <is>
          <t>08:30</t>
        </is>
      </c>
      <c r="G108" t="inlineStr">
        <is>
          <t>-</t>
        </is>
      </c>
      <c r="H108" s="2" t="inlineStr">
        <is>
          <t>09:00</t>
        </is>
      </c>
      <c r="I108" t="inlineStr">
        <is>
          <t>,000000000</t>
        </is>
      </c>
      <c r="J108" t="inlineStr">
        <is>
          <t>,000000000</t>
        </is>
      </c>
      <c r="K108" t="inlineStr">
        <is>
          <t>,000000000</t>
        </is>
      </c>
      <c r="L108" t="inlineStr">
        <is>
          <t>,000000000</t>
        </is>
      </c>
      <c r="M108" t="inlineStr">
        <is>
          <t>,000000000</t>
        </is>
      </c>
      <c r="N108" t="inlineStr">
        <is>
          <t>,000000000</t>
        </is>
      </c>
      <c r="O108" t="inlineStr">
        <is>
          <t>,000000000</t>
        </is>
      </c>
      <c r="P108" t="inlineStr">
        <is>
          <t>,000000000</t>
        </is>
      </c>
      <c r="Q108" t="inlineStr">
        <is>
          <t>,000000000</t>
        </is>
      </c>
      <c r="R108" t="inlineStr">
        <is>
          <t>,000000000</t>
        </is>
      </c>
      <c r="S108" t="inlineStr">
        <is>
          <t>,000000000</t>
        </is>
      </c>
      <c r="T108" t="inlineStr">
        <is>
          <t>,000000000</t>
        </is>
      </c>
      <c r="U108" t="inlineStr">
        <is>
          <t>,000000000</t>
        </is>
      </c>
      <c r="V108" t="inlineStr">
        <is>
          <t>,000000000</t>
        </is>
      </c>
      <c r="W108" t="inlineStr">
        <is>
          <t>,000000000</t>
        </is>
      </c>
      <c r="X108" t="inlineStr">
        <is>
          <t>,000000000</t>
        </is>
      </c>
      <c r="Y108" t="inlineStr">
        <is>
          <t>,000000000</t>
        </is>
      </c>
      <c r="Z108" t="inlineStr">
        <is>
          <t>,000000000</t>
        </is>
      </c>
      <c r="AA108" t="inlineStr">
        <is>
          <t>,000000000</t>
        </is>
      </c>
      <c r="AB108" t="inlineStr">
        <is>
          <t>0</t>
        </is>
      </c>
      <c r="AC108" t="inlineStr">
        <is>
          <t>0</t>
        </is>
      </c>
      <c r="AD108" s="3">
        <f>UPPER(C3)</f>
        <v/>
      </c>
      <c r="AE108" s="3">
        <f>VLOOKUP(E3,'[1]Nómina Agentes'!$C:$D,3,0)</f>
        <v/>
      </c>
      <c r="AF108" s="5">
        <f>F3</f>
        <v/>
      </c>
      <c r="AG108" s="5">
        <f>H3</f>
        <v/>
      </c>
    </row>
    <row r="109">
      <c r="A109" s="1" t="inlineStr">
        <is>
          <t>9/10/2024</t>
        </is>
      </c>
      <c r="B109" t="inlineStr">
        <is>
          <t>925</t>
        </is>
      </c>
      <c r="C109" t="inlineStr">
        <is>
          <t>S2S Premium</t>
        </is>
      </c>
      <c r="D109" t="inlineStr">
        <is>
          <t>Pm_Maraz, Ayelen</t>
        </is>
      </c>
      <c r="E109" t="inlineStr">
        <is>
          <t>606142</t>
        </is>
      </c>
      <c r="F109" s="2" t="inlineStr">
        <is>
          <t>10:30</t>
        </is>
      </c>
      <c r="G109" t="inlineStr">
        <is>
          <t>-</t>
        </is>
      </c>
      <c r="H109" s="2" t="inlineStr">
        <is>
          <t>11:00</t>
        </is>
      </c>
      <c r="I109" t="inlineStr">
        <is>
          <t>123,000000000</t>
        </is>
      </c>
      <c r="J109" t="inlineStr">
        <is>
          <t>,000000000</t>
        </is>
      </c>
      <c r="K109" t="inlineStr">
        <is>
          <t>,000000000</t>
        </is>
      </c>
      <c r="L109" t="inlineStr">
        <is>
          <t>,000000000</t>
        </is>
      </c>
      <c r="M109" t="inlineStr">
        <is>
          <t>,000000000</t>
        </is>
      </c>
      <c r="N109" t="inlineStr">
        <is>
          <t>,000000000</t>
        </is>
      </c>
      <c r="O109" t="inlineStr">
        <is>
          <t>,000000000</t>
        </is>
      </c>
      <c r="P109" t="inlineStr">
        <is>
          <t>294,000000000</t>
        </is>
      </c>
      <c r="Q109" t="inlineStr">
        <is>
          <t>,000000000</t>
        </is>
      </c>
      <c r="R109" t="inlineStr">
        <is>
          <t>,000000000</t>
        </is>
      </c>
      <c r="S109" t="inlineStr">
        <is>
          <t>,000000000</t>
        </is>
      </c>
      <c r="T109" t="inlineStr">
        <is>
          <t>,000000000</t>
        </is>
      </c>
      <c r="U109" t="inlineStr">
        <is>
          <t>,000000000</t>
        </is>
      </c>
      <c r="V109" t="inlineStr">
        <is>
          <t>,000000000</t>
        </is>
      </c>
      <c r="W109" t="inlineStr">
        <is>
          <t>,000000000</t>
        </is>
      </c>
      <c r="X109" t="inlineStr">
        <is>
          <t>,000000000</t>
        </is>
      </c>
      <c r="Y109" t="inlineStr">
        <is>
          <t>,000000000</t>
        </is>
      </c>
      <c r="Z109" t="inlineStr">
        <is>
          <t>,000000000</t>
        </is>
      </c>
      <c r="AA109" t="inlineStr">
        <is>
          <t>,000000000</t>
        </is>
      </c>
      <c r="AB109" t="inlineStr">
        <is>
          <t>1</t>
        </is>
      </c>
      <c r="AC109" t="inlineStr">
        <is>
          <t>1</t>
        </is>
      </c>
      <c r="AD109" s="3">
        <f>UPPER(C3)</f>
        <v/>
      </c>
      <c r="AE109" s="3">
        <f>VLOOKUP(E3,'[1]Nómina Agentes'!$C:$D,3,0)</f>
        <v/>
      </c>
      <c r="AF109" s="5">
        <f>F3</f>
        <v/>
      </c>
      <c r="AG109" s="5">
        <f>H3</f>
        <v/>
      </c>
    </row>
    <row r="110">
      <c r="A110" s="1" t="inlineStr">
        <is>
          <t>9/10/2024</t>
        </is>
      </c>
      <c r="B110" t="inlineStr">
        <is>
          <t>925</t>
        </is>
      </c>
      <c r="C110" t="inlineStr">
        <is>
          <t>S2S Premium</t>
        </is>
      </c>
      <c r="D110" t="inlineStr">
        <is>
          <t>Pm_Maraz, Ayelen</t>
        </is>
      </c>
      <c r="E110" t="inlineStr">
        <is>
          <t>606142</t>
        </is>
      </c>
      <c r="F110" s="2" t="inlineStr">
        <is>
          <t>09:00</t>
        </is>
      </c>
      <c r="G110" t="inlineStr">
        <is>
          <t>-</t>
        </is>
      </c>
      <c r="H110" s="2" t="inlineStr">
        <is>
          <t>09:30</t>
        </is>
      </c>
      <c r="I110" t="inlineStr">
        <is>
          <t>858,000000000</t>
        </is>
      </c>
      <c r="J110" t="inlineStr">
        <is>
          <t>,000000000</t>
        </is>
      </c>
      <c r="K110" t="inlineStr">
        <is>
          <t>,000000000</t>
        </is>
      </c>
      <c r="L110" t="inlineStr">
        <is>
          <t>34,000000000</t>
        </is>
      </c>
      <c r="M110" t="inlineStr">
        <is>
          <t>,000000000</t>
        </is>
      </c>
      <c r="N110" t="inlineStr">
        <is>
          <t>,000000000</t>
        </is>
      </c>
      <c r="O110" t="inlineStr">
        <is>
          <t>,000000000</t>
        </is>
      </c>
      <c r="P110" t="inlineStr">
        <is>
          <t>44,000000000</t>
        </is>
      </c>
      <c r="Q110" t="inlineStr">
        <is>
          <t>,000000000</t>
        </is>
      </c>
      <c r="R110" t="inlineStr">
        <is>
          <t>,000000000</t>
        </is>
      </c>
      <c r="S110" t="inlineStr">
        <is>
          <t>,000000000</t>
        </is>
      </c>
      <c r="T110" t="inlineStr">
        <is>
          <t>,000000000</t>
        </is>
      </c>
      <c r="U110" t="inlineStr">
        <is>
          <t>,000000000</t>
        </is>
      </c>
      <c r="V110" t="inlineStr">
        <is>
          <t>,000000000</t>
        </is>
      </c>
      <c r="W110" t="inlineStr">
        <is>
          <t>,000000000</t>
        </is>
      </c>
      <c r="X110" t="inlineStr">
        <is>
          <t>,000000000</t>
        </is>
      </c>
      <c r="Y110" t="inlineStr">
        <is>
          <t>,000000000</t>
        </is>
      </c>
      <c r="Z110" t="inlineStr">
        <is>
          <t>,000000000</t>
        </is>
      </c>
      <c r="AA110" t="inlineStr">
        <is>
          <t>,000000000</t>
        </is>
      </c>
      <c r="AB110" t="inlineStr">
        <is>
          <t>4</t>
        </is>
      </c>
      <c r="AC110" t="inlineStr">
        <is>
          <t>1</t>
        </is>
      </c>
      <c r="AD110" s="3">
        <f>UPPER(C3)</f>
        <v/>
      </c>
      <c r="AE110" s="3">
        <f>VLOOKUP(E3,'[1]Nómina Agentes'!$C:$D,3,0)</f>
        <v/>
      </c>
      <c r="AF110" s="5">
        <f>F3</f>
        <v/>
      </c>
      <c r="AG110" s="5">
        <f>H3</f>
        <v/>
      </c>
    </row>
    <row r="111">
      <c r="A111" s="1" t="inlineStr">
        <is>
          <t>9/10/2024</t>
        </is>
      </c>
      <c r="B111" t="inlineStr">
        <is>
          <t>925</t>
        </is>
      </c>
      <c r="C111" t="inlineStr">
        <is>
          <t>S2S Premium</t>
        </is>
      </c>
      <c r="D111" t="inlineStr">
        <is>
          <t>Pm_Maraz, Ayelen</t>
        </is>
      </c>
      <c r="E111" t="inlineStr">
        <is>
          <t>606142</t>
        </is>
      </c>
      <c r="F111" s="2" t="inlineStr">
        <is>
          <t>10:00</t>
        </is>
      </c>
      <c r="G111" t="inlineStr">
        <is>
          <t>-</t>
        </is>
      </c>
      <c r="H111" s="2" t="inlineStr">
        <is>
          <t>10:30</t>
        </is>
      </c>
      <c r="I111" t="inlineStr">
        <is>
          <t>930,000000000</t>
        </is>
      </c>
      <c r="J111" t="inlineStr">
        <is>
          <t>,000000000</t>
        </is>
      </c>
      <c r="K111" t="inlineStr">
        <is>
          <t>,000000000</t>
        </is>
      </c>
      <c r="L111" t="inlineStr">
        <is>
          <t>23,000000000</t>
        </is>
      </c>
      <c r="M111" t="inlineStr">
        <is>
          <t>,000000000</t>
        </is>
      </c>
      <c r="N111" t="inlineStr">
        <is>
          <t>,000000000</t>
        </is>
      </c>
      <c r="O111" t="inlineStr">
        <is>
          <t>,000000000</t>
        </is>
      </c>
      <c r="P111" t="inlineStr">
        <is>
          <t>37,000000000</t>
        </is>
      </c>
      <c r="Q111" t="inlineStr">
        <is>
          <t>,000000000</t>
        </is>
      </c>
      <c r="R111" t="inlineStr">
        <is>
          <t>,000000000</t>
        </is>
      </c>
      <c r="S111" t="inlineStr">
        <is>
          <t>,000000000</t>
        </is>
      </c>
      <c r="T111" t="inlineStr">
        <is>
          <t>,000000000</t>
        </is>
      </c>
      <c r="U111" t="inlineStr">
        <is>
          <t>,000000000</t>
        </is>
      </c>
      <c r="V111" t="inlineStr">
        <is>
          <t>,000000000</t>
        </is>
      </c>
      <c r="W111" t="inlineStr">
        <is>
          <t>,000000000</t>
        </is>
      </c>
      <c r="X111" t="inlineStr">
        <is>
          <t>,000000000</t>
        </is>
      </c>
      <c r="Y111" t="inlineStr">
        <is>
          <t>,000000000</t>
        </is>
      </c>
      <c r="Z111" t="inlineStr">
        <is>
          <t>,000000000</t>
        </is>
      </c>
      <c r="AA111" t="inlineStr">
        <is>
          <t>,000000000</t>
        </is>
      </c>
      <c r="AB111" t="inlineStr">
        <is>
          <t>3</t>
        </is>
      </c>
      <c r="AC111" t="inlineStr">
        <is>
          <t>3</t>
        </is>
      </c>
      <c r="AD111" s="3">
        <f>UPPER(C3)</f>
        <v/>
      </c>
      <c r="AE111" s="3">
        <f>VLOOKUP(E3,'[1]Nómina Agentes'!$C:$D,3,0)</f>
        <v/>
      </c>
      <c r="AF111" s="5">
        <f>F3</f>
        <v/>
      </c>
      <c r="AG111" s="5">
        <f>H3</f>
        <v/>
      </c>
    </row>
    <row r="112">
      <c r="A112" s="1" t="inlineStr">
        <is>
          <t>9/10/2024</t>
        </is>
      </c>
      <c r="B112" t="inlineStr">
        <is>
          <t>925</t>
        </is>
      </c>
      <c r="C112" t="inlineStr">
        <is>
          <t>S2S Premium</t>
        </is>
      </c>
      <c r="D112" t="inlineStr">
        <is>
          <t>Pm_Maraz, Ayelen</t>
        </is>
      </c>
      <c r="E112" t="inlineStr">
        <is>
          <t>606142</t>
        </is>
      </c>
      <c r="F112" s="2" t="inlineStr">
        <is>
          <t>09:30</t>
        </is>
      </c>
      <c r="G112" t="inlineStr">
        <is>
          <t>-</t>
        </is>
      </c>
      <c r="H112" s="2" t="inlineStr">
        <is>
          <t>10:00</t>
        </is>
      </c>
      <c r="I112" t="inlineStr">
        <is>
          <t>986,000000000</t>
        </is>
      </c>
      <c r="J112" t="inlineStr">
        <is>
          <t>,000000000</t>
        </is>
      </c>
      <c r="K112" t="inlineStr">
        <is>
          <t>,000000000</t>
        </is>
      </c>
      <c r="L112" t="inlineStr">
        <is>
          <t>53,000000000</t>
        </is>
      </c>
      <c r="M112" t="inlineStr">
        <is>
          <t>,000000000</t>
        </is>
      </c>
      <c r="N112" t="inlineStr">
        <is>
          <t>,000000000</t>
        </is>
      </c>
      <c r="O112" t="inlineStr">
        <is>
          <t>,000000000</t>
        </is>
      </c>
      <c r="P112" t="inlineStr">
        <is>
          <t>127,000000000</t>
        </is>
      </c>
      <c r="Q112" t="inlineStr">
        <is>
          <t>58,000000000</t>
        </is>
      </c>
      <c r="R112" t="inlineStr">
        <is>
          <t>,000000000</t>
        </is>
      </c>
      <c r="S112" t="inlineStr">
        <is>
          <t>,000000000</t>
        </is>
      </c>
      <c r="T112" t="inlineStr">
        <is>
          <t>,000000000</t>
        </is>
      </c>
      <c r="U112" t="inlineStr">
        <is>
          <t>,000000000</t>
        </is>
      </c>
      <c r="V112" t="inlineStr">
        <is>
          <t>,000000000</t>
        </is>
      </c>
      <c r="W112" t="inlineStr">
        <is>
          <t>,000000000</t>
        </is>
      </c>
      <c r="X112" t="inlineStr">
        <is>
          <t>,000000000</t>
        </is>
      </c>
      <c r="Y112" t="inlineStr">
        <is>
          <t>,000000000</t>
        </is>
      </c>
      <c r="Z112" t="inlineStr">
        <is>
          <t>,000000000</t>
        </is>
      </c>
      <c r="AA112" t="inlineStr">
        <is>
          <t>,000000000</t>
        </is>
      </c>
      <c r="AB112" t="inlineStr">
        <is>
          <t>6</t>
        </is>
      </c>
      <c r="AC112" t="inlineStr">
        <is>
          <t>5</t>
        </is>
      </c>
      <c r="AD112" s="3">
        <f>UPPER(C3)</f>
        <v/>
      </c>
      <c r="AE112" s="3">
        <f>VLOOKUP(E3,'[1]Nómina Agentes'!$C:$D,3,0)</f>
        <v/>
      </c>
      <c r="AF112" s="5">
        <f>F3</f>
        <v/>
      </c>
      <c r="AG112" s="5">
        <f>H3</f>
        <v/>
      </c>
    </row>
    <row r="113">
      <c r="A113" s="1" t="inlineStr">
        <is>
          <t>9/10/2024</t>
        </is>
      </c>
      <c r="B113" t="inlineStr">
        <is>
          <t>925</t>
        </is>
      </c>
      <c r="C113" t="inlineStr">
        <is>
          <t>S2S Premium</t>
        </is>
      </c>
      <c r="D113" t="inlineStr">
        <is>
          <t>P_Alanis, Luciano</t>
        </is>
      </c>
      <c r="E113" t="inlineStr">
        <is>
          <t>606202</t>
        </is>
      </c>
      <c r="F113" s="2" t="inlineStr">
        <is>
          <t>08:30</t>
        </is>
      </c>
      <c r="G113" t="inlineStr">
        <is>
          <t>-</t>
        </is>
      </c>
      <c r="H113" s="2" t="inlineStr">
        <is>
          <t>09:00</t>
        </is>
      </c>
      <c r="I113" t="inlineStr">
        <is>
          <t>254,000000000</t>
        </is>
      </c>
      <c r="J113" t="inlineStr">
        <is>
          <t>,000000000</t>
        </is>
      </c>
      <c r="K113" t="inlineStr">
        <is>
          <t>,000000000</t>
        </is>
      </c>
      <c r="L113" t="inlineStr">
        <is>
          <t>6,000000000</t>
        </is>
      </c>
      <c r="M113" t="inlineStr">
        <is>
          <t>,000000000</t>
        </is>
      </c>
      <c r="N113" t="inlineStr">
        <is>
          <t>,000000000</t>
        </is>
      </c>
      <c r="O113" t="inlineStr">
        <is>
          <t>,000000000</t>
        </is>
      </c>
      <c r="P113" t="inlineStr">
        <is>
          <t>,000000000</t>
        </is>
      </c>
      <c r="Q113" t="inlineStr">
        <is>
          <t>,000000000</t>
        </is>
      </c>
      <c r="R113" t="inlineStr">
        <is>
          <t>,000000000</t>
        </is>
      </c>
      <c r="S113" t="inlineStr">
        <is>
          <t>,000000000</t>
        </is>
      </c>
      <c r="T113" t="inlineStr">
        <is>
          <t>,000000000</t>
        </is>
      </c>
      <c r="U113" t="inlineStr">
        <is>
          <t>,000000000</t>
        </is>
      </c>
      <c r="V113" t="inlineStr">
        <is>
          <t>,000000000</t>
        </is>
      </c>
      <c r="W113" t="inlineStr">
        <is>
          <t>,000000000</t>
        </is>
      </c>
      <c r="X113" t="inlineStr">
        <is>
          <t>,000000000</t>
        </is>
      </c>
      <c r="Y113" t="inlineStr">
        <is>
          <t>,000000000</t>
        </is>
      </c>
      <c r="Z113" t="inlineStr">
        <is>
          <t>,000000000</t>
        </is>
      </c>
      <c r="AA113" t="inlineStr">
        <is>
          <t>,000000000</t>
        </is>
      </c>
      <c r="AB113" t="inlineStr">
        <is>
          <t>1</t>
        </is>
      </c>
      <c r="AC113" t="inlineStr">
        <is>
          <t>0</t>
        </is>
      </c>
      <c r="AD113" s="3">
        <f>UPPER(C3)</f>
        <v/>
      </c>
      <c r="AE113" s="3">
        <f>VLOOKUP(E3,'[1]Nómina Agentes'!$C:$D,3,0)</f>
        <v/>
      </c>
      <c r="AF113" s="5">
        <f>F3</f>
        <v/>
      </c>
      <c r="AG113" s="5">
        <f>H3</f>
        <v/>
      </c>
    </row>
    <row r="114">
      <c r="A114" s="1" t="inlineStr">
        <is>
          <t>9/10/2024</t>
        </is>
      </c>
      <c r="B114" t="inlineStr">
        <is>
          <t>925</t>
        </is>
      </c>
      <c r="C114" t="inlineStr">
        <is>
          <t>S2S Premium</t>
        </is>
      </c>
      <c r="D114" t="inlineStr">
        <is>
          <t>P_Alanis, Luciano</t>
        </is>
      </c>
      <c r="E114" t="inlineStr">
        <is>
          <t>606202</t>
        </is>
      </c>
      <c r="F114" s="2" t="inlineStr">
        <is>
          <t>09:00</t>
        </is>
      </c>
      <c r="G114" t="inlineStr">
        <is>
          <t>-</t>
        </is>
      </c>
      <c r="H114" s="2" t="inlineStr">
        <is>
          <t>09:30</t>
        </is>
      </c>
      <c r="I114" t="inlineStr">
        <is>
          <t>640,000000000</t>
        </is>
      </c>
      <c r="J114" t="inlineStr">
        <is>
          <t>,000000000</t>
        </is>
      </c>
      <c r="K114" t="inlineStr">
        <is>
          <t>,000000000</t>
        </is>
      </c>
      <c r="L114" t="inlineStr">
        <is>
          <t>8,000000000</t>
        </is>
      </c>
      <c r="M114" t="inlineStr">
        <is>
          <t>,000000000</t>
        </is>
      </c>
      <c r="N114" t="inlineStr">
        <is>
          <t>,000000000</t>
        </is>
      </c>
      <c r="O114" t="inlineStr">
        <is>
          <t>,000000000</t>
        </is>
      </c>
      <c r="P114" t="inlineStr">
        <is>
          <t>2,000000000</t>
        </is>
      </c>
      <c r="Q114" t="inlineStr">
        <is>
          <t>,000000000</t>
        </is>
      </c>
      <c r="R114" t="inlineStr">
        <is>
          <t>,000000000</t>
        </is>
      </c>
      <c r="S114" t="inlineStr">
        <is>
          <t>,000000000</t>
        </is>
      </c>
      <c r="T114" t="inlineStr">
        <is>
          <t>,000000000</t>
        </is>
      </c>
      <c r="U114" t="inlineStr">
        <is>
          <t>,000000000</t>
        </is>
      </c>
      <c r="V114" t="inlineStr">
        <is>
          <t>,000000000</t>
        </is>
      </c>
      <c r="W114" t="inlineStr">
        <is>
          <t>,000000000</t>
        </is>
      </c>
      <c r="X114" t="inlineStr">
        <is>
          <t>,000000000</t>
        </is>
      </c>
      <c r="Y114" t="inlineStr">
        <is>
          <t>,000000000</t>
        </is>
      </c>
      <c r="Z114" t="inlineStr">
        <is>
          <t>,000000000</t>
        </is>
      </c>
      <c r="AA114" t="inlineStr">
        <is>
          <t>,000000000</t>
        </is>
      </c>
      <c r="AB114" t="inlineStr">
        <is>
          <t>2</t>
        </is>
      </c>
      <c r="AC114" t="inlineStr">
        <is>
          <t>2</t>
        </is>
      </c>
      <c r="AD114" s="3">
        <f>UPPER(C3)</f>
        <v/>
      </c>
      <c r="AE114" s="3">
        <f>VLOOKUP(E3,'[1]Nómina Agentes'!$C:$D,3,0)</f>
        <v/>
      </c>
      <c r="AF114" s="5">
        <f>F3</f>
        <v/>
      </c>
      <c r="AG114" s="5">
        <f>H3</f>
        <v/>
      </c>
    </row>
    <row r="115">
      <c r="A115" s="1" t="inlineStr">
        <is>
          <t>9/10/2024</t>
        </is>
      </c>
      <c r="B115" t="inlineStr">
        <is>
          <t>925</t>
        </is>
      </c>
      <c r="C115" t="inlineStr">
        <is>
          <t>S2S Premium</t>
        </is>
      </c>
      <c r="D115" t="inlineStr">
        <is>
          <t>P_Alanis, Luciano</t>
        </is>
      </c>
      <c r="E115" t="inlineStr">
        <is>
          <t>606202</t>
        </is>
      </c>
      <c r="F115" s="2" t="inlineStr">
        <is>
          <t>10:30</t>
        </is>
      </c>
      <c r="G115" t="inlineStr">
        <is>
          <t>-</t>
        </is>
      </c>
      <c r="H115" s="2" t="inlineStr">
        <is>
          <t>11:00</t>
        </is>
      </c>
      <c r="I115" t="inlineStr">
        <is>
          <t>659,000000000</t>
        </is>
      </c>
      <c r="J115" t="inlineStr">
        <is>
          <t>,000000000</t>
        </is>
      </c>
      <c r="K115" t="inlineStr">
        <is>
          <t>,000000000</t>
        </is>
      </c>
      <c r="L115" t="inlineStr">
        <is>
          <t>24,000000000</t>
        </is>
      </c>
      <c r="M115" t="inlineStr">
        <is>
          <t>,000000000</t>
        </is>
      </c>
      <c r="N115" t="inlineStr">
        <is>
          <t>,000000000</t>
        </is>
      </c>
      <c r="O115" t="inlineStr">
        <is>
          <t>,000000000</t>
        </is>
      </c>
      <c r="P115" t="inlineStr">
        <is>
          <t>87,000000000</t>
        </is>
      </c>
      <c r="Q115" t="inlineStr">
        <is>
          <t>43,000000000</t>
        </is>
      </c>
      <c r="R115" t="inlineStr">
        <is>
          <t>,000000000</t>
        </is>
      </c>
      <c r="S115" t="inlineStr">
        <is>
          <t>,000000000</t>
        </is>
      </c>
      <c r="T115" t="inlineStr">
        <is>
          <t>,000000000</t>
        </is>
      </c>
      <c r="U115" t="inlineStr">
        <is>
          <t>,000000000</t>
        </is>
      </c>
      <c r="V115" t="inlineStr">
        <is>
          <t>,000000000</t>
        </is>
      </c>
      <c r="W115" t="inlineStr">
        <is>
          <t>,000000000</t>
        </is>
      </c>
      <c r="X115" t="inlineStr">
        <is>
          <t>,000000000</t>
        </is>
      </c>
      <c r="Y115" t="inlineStr">
        <is>
          <t>,000000000</t>
        </is>
      </c>
      <c r="Z115" t="inlineStr">
        <is>
          <t>,000000000</t>
        </is>
      </c>
      <c r="AA115" t="inlineStr">
        <is>
          <t>,000000000</t>
        </is>
      </c>
      <c r="AB115" t="inlineStr">
        <is>
          <t>5</t>
        </is>
      </c>
      <c r="AC115" t="inlineStr">
        <is>
          <t>2</t>
        </is>
      </c>
      <c r="AD115" s="3">
        <f>UPPER(C3)</f>
        <v/>
      </c>
      <c r="AE115" s="3">
        <f>VLOOKUP(E3,'[1]Nómina Agentes'!$C:$D,3,0)</f>
        <v/>
      </c>
      <c r="AF115" s="5">
        <f>F3</f>
        <v/>
      </c>
      <c r="AG115" s="5">
        <f>H3</f>
        <v/>
      </c>
    </row>
    <row r="116">
      <c r="A116" s="1" t="inlineStr">
        <is>
          <t>9/10/2024</t>
        </is>
      </c>
      <c r="B116" t="inlineStr">
        <is>
          <t>924</t>
        </is>
      </c>
      <c r="C116" t="inlineStr">
        <is>
          <t>S2S No Premium</t>
        </is>
      </c>
      <c r="D116" t="inlineStr">
        <is>
          <t>N2m_Narbona Susan</t>
        </is>
      </c>
      <c r="E116" t="inlineStr">
        <is>
          <t>606227</t>
        </is>
      </c>
      <c r="F116" s="2" t="inlineStr">
        <is>
          <t>10:30</t>
        </is>
      </c>
      <c r="G116" t="inlineStr">
        <is>
          <t>-</t>
        </is>
      </c>
      <c r="H116" s="2" t="inlineStr">
        <is>
          <t>11:00</t>
        </is>
      </c>
      <c r="I116" t="inlineStr">
        <is>
          <t>258,000000000</t>
        </is>
      </c>
      <c r="J116" t="inlineStr">
        <is>
          <t>,000000000</t>
        </is>
      </c>
      <c r="K116" t="inlineStr">
        <is>
          <t>,000000000</t>
        </is>
      </c>
      <c r="L116" t="inlineStr">
        <is>
          <t>6,000000000</t>
        </is>
      </c>
      <c r="M116" t="inlineStr">
        <is>
          <t>,000000000</t>
        </is>
      </c>
      <c r="N116" t="inlineStr">
        <is>
          <t>,000000000</t>
        </is>
      </c>
      <c r="O116" t="inlineStr">
        <is>
          <t>,000000000</t>
        </is>
      </c>
      <c r="P116" t="inlineStr">
        <is>
          <t>,000000000</t>
        </is>
      </c>
      <c r="Q116" t="inlineStr">
        <is>
          <t>,000000000</t>
        </is>
      </c>
      <c r="R116" t="inlineStr">
        <is>
          <t>,000000000</t>
        </is>
      </c>
      <c r="S116" t="inlineStr">
        <is>
          <t>,000000000</t>
        </is>
      </c>
      <c r="T116" t="inlineStr">
        <is>
          <t>,000000000</t>
        </is>
      </c>
      <c r="U116" t="inlineStr">
        <is>
          <t>,000000000</t>
        </is>
      </c>
      <c r="V116" t="inlineStr">
        <is>
          <t>,000000000</t>
        </is>
      </c>
      <c r="W116" t="inlineStr">
        <is>
          <t>,000000000</t>
        </is>
      </c>
      <c r="X116" t="inlineStr">
        <is>
          <t>,000000000</t>
        </is>
      </c>
      <c r="Y116" t="inlineStr">
        <is>
          <t>,000000000</t>
        </is>
      </c>
      <c r="Z116" t="inlineStr">
        <is>
          <t>,000000000</t>
        </is>
      </c>
      <c r="AA116" t="inlineStr">
        <is>
          <t>,000000000</t>
        </is>
      </c>
      <c r="AB116" t="inlineStr">
        <is>
          <t>0</t>
        </is>
      </c>
      <c r="AC116" t="inlineStr">
        <is>
          <t>0</t>
        </is>
      </c>
      <c r="AD116" s="3">
        <f>UPPER(C3)</f>
        <v/>
      </c>
      <c r="AE116" s="3">
        <f>VLOOKUP(E3,'[1]Nómina Agentes'!$C:$D,3,0)</f>
        <v/>
      </c>
      <c r="AF116" s="5">
        <f>F3</f>
        <v/>
      </c>
      <c r="AG116" s="5">
        <f>H3</f>
        <v/>
      </c>
    </row>
    <row r="117">
      <c r="A117" s="1" t="inlineStr">
        <is>
          <t>9/10/2024</t>
        </is>
      </c>
      <c r="B117" t="inlineStr">
        <is>
          <t>924</t>
        </is>
      </c>
      <c r="C117" t="inlineStr">
        <is>
          <t>S2S No Premium</t>
        </is>
      </c>
      <c r="D117" t="inlineStr">
        <is>
          <t>N2m_Vique, Juan</t>
        </is>
      </c>
      <c r="E117" t="inlineStr">
        <is>
          <t>606233</t>
        </is>
      </c>
      <c r="F117" s="2" t="inlineStr">
        <is>
          <t>08:30</t>
        </is>
      </c>
      <c r="G117" t="inlineStr">
        <is>
          <t>-</t>
        </is>
      </c>
      <c r="H117" s="2" t="inlineStr">
        <is>
          <t>09:00</t>
        </is>
      </c>
      <c r="I117" t="inlineStr">
        <is>
          <t>,000000000</t>
        </is>
      </c>
      <c r="J117" t="inlineStr">
        <is>
          <t>,000000000</t>
        </is>
      </c>
      <c r="K117" t="inlineStr">
        <is>
          <t>,000000000</t>
        </is>
      </c>
      <c r="L117" t="inlineStr">
        <is>
          <t>,000000000</t>
        </is>
      </c>
      <c r="M117" t="inlineStr">
        <is>
          <t>,000000000</t>
        </is>
      </c>
      <c r="N117" t="inlineStr">
        <is>
          <t>,000000000</t>
        </is>
      </c>
      <c r="O117" t="inlineStr">
        <is>
          <t>,000000000</t>
        </is>
      </c>
      <c r="P117" t="inlineStr">
        <is>
          <t>,000000000</t>
        </is>
      </c>
      <c r="Q117" t="inlineStr">
        <is>
          <t>,000000000</t>
        </is>
      </c>
      <c r="R117" t="inlineStr">
        <is>
          <t>,000000000</t>
        </is>
      </c>
      <c r="S117" t="inlineStr">
        <is>
          <t>,000000000</t>
        </is>
      </c>
      <c r="T117" t="inlineStr">
        <is>
          <t>,000000000</t>
        </is>
      </c>
      <c r="U117" t="inlineStr">
        <is>
          <t>,000000000</t>
        </is>
      </c>
      <c r="V117" t="inlineStr">
        <is>
          <t>,000000000</t>
        </is>
      </c>
      <c r="W117" t="inlineStr">
        <is>
          <t>,000000000</t>
        </is>
      </c>
      <c r="X117" t="inlineStr">
        <is>
          <t>,000000000</t>
        </is>
      </c>
      <c r="Y117" t="inlineStr">
        <is>
          <t>,000000000</t>
        </is>
      </c>
      <c r="Z117" t="inlineStr">
        <is>
          <t>,000000000</t>
        </is>
      </c>
      <c r="AA117" t="inlineStr">
        <is>
          <t>,000000000</t>
        </is>
      </c>
      <c r="AB117" t="inlineStr">
        <is>
          <t>0</t>
        </is>
      </c>
      <c r="AC117" t="inlineStr">
        <is>
          <t>0</t>
        </is>
      </c>
      <c r="AD117" s="3">
        <f>UPPER(C3)</f>
        <v/>
      </c>
      <c r="AE117" s="3">
        <f>VLOOKUP(E3,'[1]Nómina Agentes'!$C:$D,3,0)</f>
        <v/>
      </c>
      <c r="AF117" s="5">
        <f>F3</f>
        <v/>
      </c>
      <c r="AG117" s="5">
        <f>H3</f>
        <v/>
      </c>
    </row>
    <row r="118">
      <c r="A118" s="1" t="inlineStr">
        <is>
          <t>9/10/2024</t>
        </is>
      </c>
      <c r="B118" t="inlineStr">
        <is>
          <t>924</t>
        </is>
      </c>
      <c r="C118" t="inlineStr">
        <is>
          <t>S2S No Premium</t>
        </is>
      </c>
      <c r="D118" t="inlineStr">
        <is>
          <t>N2_Torres Luna</t>
        </is>
      </c>
      <c r="E118" t="inlineStr">
        <is>
          <t>606239</t>
        </is>
      </c>
      <c r="F118" s="2" t="inlineStr">
        <is>
          <t>08:30</t>
        </is>
      </c>
      <c r="G118" t="inlineStr">
        <is>
          <t>-</t>
        </is>
      </c>
      <c r="H118" s="2" t="inlineStr">
        <is>
          <t>09:00</t>
        </is>
      </c>
      <c r="I118" t="inlineStr">
        <is>
          <t>,000000000</t>
        </is>
      </c>
      <c r="J118" t="inlineStr">
        <is>
          <t>,000000000</t>
        </is>
      </c>
      <c r="K118" t="inlineStr">
        <is>
          <t>,000000000</t>
        </is>
      </c>
      <c r="L118" t="inlineStr">
        <is>
          <t>,000000000</t>
        </is>
      </c>
      <c r="M118" t="inlineStr">
        <is>
          <t>,000000000</t>
        </is>
      </c>
      <c r="N118" t="inlineStr">
        <is>
          <t>,000000000</t>
        </is>
      </c>
      <c r="O118" t="inlineStr">
        <is>
          <t>,000000000</t>
        </is>
      </c>
      <c r="P118" t="inlineStr">
        <is>
          <t>,000000000</t>
        </is>
      </c>
      <c r="Q118" t="inlineStr">
        <is>
          <t>,000000000</t>
        </is>
      </c>
      <c r="R118" t="inlineStr">
        <is>
          <t>,000000000</t>
        </is>
      </c>
      <c r="S118" t="inlineStr">
        <is>
          <t>,000000000</t>
        </is>
      </c>
      <c r="T118" t="inlineStr">
        <is>
          <t>,000000000</t>
        </is>
      </c>
      <c r="U118" t="inlineStr">
        <is>
          <t>,000000000</t>
        </is>
      </c>
      <c r="V118" t="inlineStr">
        <is>
          <t>,000000000</t>
        </is>
      </c>
      <c r="W118" t="inlineStr">
        <is>
          <t>,000000000</t>
        </is>
      </c>
      <c r="X118" t="inlineStr">
        <is>
          <t>,000000000</t>
        </is>
      </c>
      <c r="Y118" t="inlineStr">
        <is>
          <t>,000000000</t>
        </is>
      </c>
      <c r="Z118" t="inlineStr">
        <is>
          <t>,000000000</t>
        </is>
      </c>
      <c r="AA118" t="inlineStr">
        <is>
          <t>,000000000</t>
        </is>
      </c>
      <c r="AB118" t="inlineStr">
        <is>
          <t>0</t>
        </is>
      </c>
      <c r="AC118" t="inlineStr">
        <is>
          <t>0</t>
        </is>
      </c>
      <c r="AD118" s="3">
        <f>UPPER(C3)</f>
        <v/>
      </c>
      <c r="AE118" s="3">
        <f>VLOOKUP(E3,'[1]Nómina Agentes'!$C:$D,3,0)</f>
        <v/>
      </c>
      <c r="AF118" s="5">
        <f>F3</f>
        <v/>
      </c>
      <c r="AG118" s="5">
        <f>H3</f>
        <v/>
      </c>
    </row>
    <row r="119">
      <c r="A119" s="1" t="inlineStr">
        <is>
          <t>9/10/2024</t>
        </is>
      </c>
      <c r="B119" t="inlineStr">
        <is>
          <t>924</t>
        </is>
      </c>
      <c r="C119" t="inlineStr">
        <is>
          <t>S2S No Premium</t>
        </is>
      </c>
      <c r="D119" t="inlineStr">
        <is>
          <t>N2_Torres Luna</t>
        </is>
      </c>
      <c r="E119" t="inlineStr">
        <is>
          <t>606239</t>
        </is>
      </c>
      <c r="F119" s="2" t="inlineStr">
        <is>
          <t>10:00</t>
        </is>
      </c>
      <c r="G119" t="inlineStr">
        <is>
          <t>-</t>
        </is>
      </c>
      <c r="H119" s="2" t="inlineStr">
        <is>
          <t>10:30</t>
        </is>
      </c>
      <c r="I119" t="inlineStr">
        <is>
          <t>348,000000000</t>
        </is>
      </c>
      <c r="J119" t="inlineStr">
        <is>
          <t>59,000000000</t>
        </is>
      </c>
      <c r="K119" t="inlineStr">
        <is>
          <t>,000000000</t>
        </is>
      </c>
      <c r="L119" t="inlineStr">
        <is>
          <t>8,000000000</t>
        </is>
      </c>
      <c r="M119" t="inlineStr">
        <is>
          <t>,000000000</t>
        </is>
      </c>
      <c r="N119" t="inlineStr">
        <is>
          <t>,000000000</t>
        </is>
      </c>
      <c r="O119" t="inlineStr">
        <is>
          <t>,000000000</t>
        </is>
      </c>
      <c r="P119" t="inlineStr">
        <is>
          <t>344,000000000</t>
        </is>
      </c>
      <c r="Q119" t="inlineStr">
        <is>
          <t>1,000000000</t>
        </is>
      </c>
      <c r="R119" t="inlineStr">
        <is>
          <t>,000000000</t>
        </is>
      </c>
      <c r="S119" t="inlineStr">
        <is>
          <t>,000000000</t>
        </is>
      </c>
      <c r="T119" t="inlineStr">
        <is>
          <t>,000000000</t>
        </is>
      </c>
      <c r="U119" t="inlineStr">
        <is>
          <t>,000000000</t>
        </is>
      </c>
      <c r="V119" t="inlineStr">
        <is>
          <t>,000000000</t>
        </is>
      </c>
      <c r="W119" t="inlineStr">
        <is>
          <t>,000000000</t>
        </is>
      </c>
      <c r="X119" t="inlineStr">
        <is>
          <t>,000000000</t>
        </is>
      </c>
      <c r="Y119" t="inlineStr">
        <is>
          <t>,000000000</t>
        </is>
      </c>
      <c r="Z119" t="inlineStr">
        <is>
          <t>,000000000</t>
        </is>
      </c>
      <c r="AA119" t="inlineStr">
        <is>
          <t>,000000000</t>
        </is>
      </c>
      <c r="AB119" t="inlineStr">
        <is>
          <t>2</t>
        </is>
      </c>
      <c r="AC119" t="inlineStr">
        <is>
          <t>0</t>
        </is>
      </c>
      <c r="AD119" s="3">
        <f>UPPER(C3)</f>
        <v/>
      </c>
      <c r="AE119" s="3">
        <f>VLOOKUP(E3,'[1]Nómina Agentes'!$C:$D,3,0)</f>
        <v/>
      </c>
      <c r="AF119" s="5">
        <f>F3</f>
        <v/>
      </c>
      <c r="AG119" s="5">
        <f>H3</f>
        <v/>
      </c>
    </row>
    <row r="120">
      <c r="A120" s="1" t="inlineStr">
        <is>
          <t>9/10/2024</t>
        </is>
      </c>
      <c r="B120" t="inlineStr">
        <is>
          <t>924</t>
        </is>
      </c>
      <c r="C120" t="inlineStr">
        <is>
          <t>S2S No Premium</t>
        </is>
      </c>
      <c r="D120" t="inlineStr">
        <is>
          <t>N2_Torres Luna</t>
        </is>
      </c>
      <c r="E120" t="inlineStr">
        <is>
          <t>606239</t>
        </is>
      </c>
      <c r="F120" s="2" t="inlineStr">
        <is>
          <t>10:30</t>
        </is>
      </c>
      <c r="G120" t="inlineStr">
        <is>
          <t>-</t>
        </is>
      </c>
      <c r="H120" s="2" t="inlineStr">
        <is>
          <t>11:00</t>
        </is>
      </c>
      <c r="I120" t="inlineStr">
        <is>
          <t>659,000000000</t>
        </is>
      </c>
      <c r="J120" t="inlineStr">
        <is>
          <t>,000000000</t>
        </is>
      </c>
      <c r="K120" t="inlineStr">
        <is>
          <t>,000000000</t>
        </is>
      </c>
      <c r="L120" t="inlineStr">
        <is>
          <t>8,000000000</t>
        </is>
      </c>
      <c r="M120" t="inlineStr">
        <is>
          <t>,000000000</t>
        </is>
      </c>
      <c r="N120" t="inlineStr">
        <is>
          <t>,000000000</t>
        </is>
      </c>
      <c r="O120" t="inlineStr">
        <is>
          <t>,000000000</t>
        </is>
      </c>
      <c r="P120" t="inlineStr">
        <is>
          <t>3,000000000</t>
        </is>
      </c>
      <c r="Q120" t="inlineStr">
        <is>
          <t>,000000000</t>
        </is>
      </c>
      <c r="R120" t="inlineStr">
        <is>
          <t>,000000000</t>
        </is>
      </c>
      <c r="S120" t="inlineStr">
        <is>
          <t>,000000000</t>
        </is>
      </c>
      <c r="T120" t="inlineStr">
        <is>
          <t>,000000000</t>
        </is>
      </c>
      <c r="U120" t="inlineStr">
        <is>
          <t>,000000000</t>
        </is>
      </c>
      <c r="V120" t="inlineStr">
        <is>
          <t>,000000000</t>
        </is>
      </c>
      <c r="W120" t="inlineStr">
        <is>
          <t>,000000000</t>
        </is>
      </c>
      <c r="X120" t="inlineStr">
        <is>
          <t>,000000000</t>
        </is>
      </c>
      <c r="Y120" t="inlineStr">
        <is>
          <t>,000000000</t>
        </is>
      </c>
      <c r="Z120" t="inlineStr">
        <is>
          <t>,000000000</t>
        </is>
      </c>
      <c r="AA120" t="inlineStr">
        <is>
          <t>,000000000</t>
        </is>
      </c>
      <c r="AB120" t="inlineStr">
        <is>
          <t>3</t>
        </is>
      </c>
      <c r="AC120" t="inlineStr">
        <is>
          <t>3</t>
        </is>
      </c>
      <c r="AD120" s="3">
        <f>UPPER(C3)</f>
        <v/>
      </c>
      <c r="AE120" s="3">
        <f>VLOOKUP(E3,'[1]Nómina Agentes'!$C:$D,3,0)</f>
        <v/>
      </c>
      <c r="AF120" s="5">
        <f>F3</f>
        <v/>
      </c>
      <c r="AG120" s="5">
        <f>H3</f>
        <v/>
      </c>
    </row>
    <row r="121">
      <c r="A121" s="1" t="inlineStr">
        <is>
          <t>9/10/2024</t>
        </is>
      </c>
      <c r="B121" t="inlineStr">
        <is>
          <t>924</t>
        </is>
      </c>
      <c r="C121" t="inlineStr">
        <is>
          <t>S2S No Premium</t>
        </is>
      </c>
      <c r="D121" t="inlineStr">
        <is>
          <t>N2_Torres Luna</t>
        </is>
      </c>
      <c r="E121" t="inlineStr">
        <is>
          <t>606239</t>
        </is>
      </c>
      <c r="F121" s="2" t="inlineStr">
        <is>
          <t>09:00</t>
        </is>
      </c>
      <c r="G121" t="inlineStr">
        <is>
          <t>-</t>
        </is>
      </c>
      <c r="H121" s="2" t="inlineStr">
        <is>
          <t>09:30</t>
        </is>
      </c>
      <c r="I121" t="inlineStr">
        <is>
          <t>731,000000000</t>
        </is>
      </c>
      <c r="J121" t="inlineStr">
        <is>
          <t>,000000000</t>
        </is>
      </c>
      <c r="K121" t="inlineStr">
        <is>
          <t>,000000000</t>
        </is>
      </c>
      <c r="L121" t="inlineStr">
        <is>
          <t>16,000000000</t>
        </is>
      </c>
      <c r="M121" t="inlineStr">
        <is>
          <t>,000000000</t>
        </is>
      </c>
      <c r="N121" t="inlineStr">
        <is>
          <t>,000000000</t>
        </is>
      </c>
      <c r="O121" t="inlineStr">
        <is>
          <t>,000000000</t>
        </is>
      </c>
      <c r="P121" t="inlineStr">
        <is>
          <t>489,000000000</t>
        </is>
      </c>
      <c r="Q121" t="inlineStr">
        <is>
          <t>182,000000000</t>
        </is>
      </c>
      <c r="R121" t="inlineStr">
        <is>
          <t>,000000000</t>
        </is>
      </c>
      <c r="S121" t="inlineStr">
        <is>
          <t>,000000000</t>
        </is>
      </c>
      <c r="T121" t="inlineStr">
        <is>
          <t>,000000000</t>
        </is>
      </c>
      <c r="U121" t="inlineStr">
        <is>
          <t>,000000000</t>
        </is>
      </c>
      <c r="V121" t="inlineStr">
        <is>
          <t>,000000000</t>
        </is>
      </c>
      <c r="W121" t="inlineStr">
        <is>
          <t>,000000000</t>
        </is>
      </c>
      <c r="X121" t="inlineStr">
        <is>
          <t>,000000000</t>
        </is>
      </c>
      <c r="Y121" t="inlineStr">
        <is>
          <t>,000000000</t>
        </is>
      </c>
      <c r="Z121" t="inlineStr">
        <is>
          <t>,000000000</t>
        </is>
      </c>
      <c r="AA121" t="inlineStr">
        <is>
          <t>,000000000</t>
        </is>
      </c>
      <c r="AB121" t="inlineStr">
        <is>
          <t>3</t>
        </is>
      </c>
      <c r="AC121" t="inlineStr">
        <is>
          <t>3</t>
        </is>
      </c>
      <c r="AD121" s="3">
        <f>UPPER(C3)</f>
        <v/>
      </c>
      <c r="AE121" s="3">
        <f>VLOOKUP(E3,'[1]Nómina Agentes'!$C:$D,3,0)</f>
        <v/>
      </c>
      <c r="AF121" s="5">
        <f>F3</f>
        <v/>
      </c>
      <c r="AG121" s="5">
        <f>H3</f>
        <v/>
      </c>
    </row>
    <row r="122">
      <c r="A122" s="1" t="inlineStr">
        <is>
          <t>9/10/2024</t>
        </is>
      </c>
      <c r="B122" t="inlineStr">
        <is>
          <t>924</t>
        </is>
      </c>
      <c r="C122" t="inlineStr">
        <is>
          <t>S2S No Premium</t>
        </is>
      </c>
      <c r="D122" t="inlineStr">
        <is>
          <t>N2_Torres Luna</t>
        </is>
      </c>
      <c r="E122" t="inlineStr">
        <is>
          <t>606239</t>
        </is>
      </c>
      <c r="F122" s="2" t="inlineStr">
        <is>
          <t>09:30</t>
        </is>
      </c>
      <c r="G122" t="inlineStr">
        <is>
          <t>-</t>
        </is>
      </c>
      <c r="H122" s="2" t="inlineStr">
        <is>
          <t>10:00</t>
        </is>
      </c>
      <c r="I122" t="inlineStr">
        <is>
          <t>871,000000000</t>
        </is>
      </c>
      <c r="J122" t="inlineStr">
        <is>
          <t>,000000000</t>
        </is>
      </c>
      <c r="K122" t="inlineStr">
        <is>
          <t>,000000000</t>
        </is>
      </c>
      <c r="L122" t="inlineStr">
        <is>
          <t>13,000000000</t>
        </is>
      </c>
      <c r="M122" t="inlineStr">
        <is>
          <t>,000000000</t>
        </is>
      </c>
      <c r="N122" t="inlineStr">
        <is>
          <t>,000000000</t>
        </is>
      </c>
      <c r="O122" t="inlineStr">
        <is>
          <t>,000000000</t>
        </is>
      </c>
      <c r="P122" t="inlineStr">
        <is>
          <t>149,000000000</t>
        </is>
      </c>
      <c r="Q122" t="inlineStr">
        <is>
          <t>,000000000</t>
        </is>
      </c>
      <c r="R122" t="inlineStr">
        <is>
          <t>,000000000</t>
        </is>
      </c>
      <c r="S122" t="inlineStr">
        <is>
          <t>,000000000</t>
        </is>
      </c>
      <c r="T122" t="inlineStr">
        <is>
          <t>,000000000</t>
        </is>
      </c>
      <c r="U122" t="inlineStr">
        <is>
          <t>,000000000</t>
        </is>
      </c>
      <c r="V122" t="inlineStr">
        <is>
          <t>,000000000</t>
        </is>
      </c>
      <c r="W122" t="inlineStr">
        <is>
          <t>,000000000</t>
        </is>
      </c>
      <c r="X122" t="inlineStr">
        <is>
          <t>,000000000</t>
        </is>
      </c>
      <c r="Y122" t="inlineStr">
        <is>
          <t>,000000000</t>
        </is>
      </c>
      <c r="Z122" t="inlineStr">
        <is>
          <t>,000000000</t>
        </is>
      </c>
      <c r="AA122" t="inlineStr">
        <is>
          <t>,000000000</t>
        </is>
      </c>
      <c r="AB122" t="inlineStr">
        <is>
          <t>2</t>
        </is>
      </c>
      <c r="AC122" t="inlineStr">
        <is>
          <t>1</t>
        </is>
      </c>
      <c r="AD122" s="3">
        <f>UPPER(C3)</f>
        <v/>
      </c>
      <c r="AE122" s="3">
        <f>VLOOKUP(E3,'[1]Nómina Agentes'!$C:$D,3,0)</f>
        <v/>
      </c>
      <c r="AF122" s="5">
        <f>F3</f>
        <v/>
      </c>
      <c r="AG122" s="5">
        <f>H3</f>
        <v/>
      </c>
    </row>
    <row r="123">
      <c r="A123" s="1" t="inlineStr">
        <is>
          <t>9/10/2024</t>
        </is>
      </c>
      <c r="B123" t="inlineStr">
        <is>
          <t>924</t>
        </is>
      </c>
      <c r="C123" t="inlineStr">
        <is>
          <t>S2S No Premium</t>
        </is>
      </c>
      <c r="D123" t="inlineStr">
        <is>
          <t>N2_Ferreyra Cand</t>
        </is>
      </c>
      <c r="E123" t="inlineStr">
        <is>
          <t>606267</t>
        </is>
      </c>
      <c r="F123" s="2" t="inlineStr">
        <is>
          <t>06:00</t>
        </is>
      </c>
      <c r="G123" t="inlineStr">
        <is>
          <t>-</t>
        </is>
      </c>
      <c r="H123" s="2" t="inlineStr">
        <is>
          <t>06:30</t>
        </is>
      </c>
      <c r="I123" t="inlineStr">
        <is>
          <t>,000000000</t>
        </is>
      </c>
      <c r="J123" t="inlineStr">
        <is>
          <t>,000000000</t>
        </is>
      </c>
      <c r="K123" t="inlineStr">
        <is>
          <t>,000000000</t>
        </is>
      </c>
      <c r="L123" t="inlineStr">
        <is>
          <t>,000000000</t>
        </is>
      </c>
      <c r="M123" t="inlineStr">
        <is>
          <t>,000000000</t>
        </is>
      </c>
      <c r="N123" t="inlineStr">
        <is>
          <t>,000000000</t>
        </is>
      </c>
      <c r="O123" t="inlineStr">
        <is>
          <t>,000000000</t>
        </is>
      </c>
      <c r="P123" t="inlineStr">
        <is>
          <t>,000000000</t>
        </is>
      </c>
      <c r="Q123" t="inlineStr">
        <is>
          <t>,000000000</t>
        </is>
      </c>
      <c r="R123" t="inlineStr">
        <is>
          <t>,000000000</t>
        </is>
      </c>
      <c r="S123" t="inlineStr">
        <is>
          <t>,000000000</t>
        </is>
      </c>
      <c r="T123" t="inlineStr">
        <is>
          <t>,000000000</t>
        </is>
      </c>
      <c r="U123" t="inlineStr">
        <is>
          <t>,000000000</t>
        </is>
      </c>
      <c r="V123" t="inlineStr">
        <is>
          <t>,000000000</t>
        </is>
      </c>
      <c r="W123" t="inlineStr">
        <is>
          <t>,000000000</t>
        </is>
      </c>
      <c r="X123" t="inlineStr">
        <is>
          <t>,000000000</t>
        </is>
      </c>
      <c r="Y123" t="inlineStr">
        <is>
          <t>,000000000</t>
        </is>
      </c>
      <c r="Z123" t="inlineStr">
        <is>
          <t>,000000000</t>
        </is>
      </c>
      <c r="AA123" t="inlineStr">
        <is>
          <t>,000000000</t>
        </is>
      </c>
      <c r="AB123" t="inlineStr">
        <is>
          <t>0</t>
        </is>
      </c>
      <c r="AC123" t="inlineStr">
        <is>
          <t>0</t>
        </is>
      </c>
      <c r="AD123" s="3">
        <f>UPPER(C3)</f>
        <v/>
      </c>
      <c r="AE123" s="3">
        <f>VLOOKUP(E3,'[1]Nómina Agentes'!$C:$D,3,0)</f>
        <v/>
      </c>
      <c r="AF123" s="5">
        <f>F3</f>
        <v/>
      </c>
      <c r="AG123" s="5">
        <f>H3</f>
        <v/>
      </c>
    </row>
    <row r="124">
      <c r="A124" s="1" t="inlineStr">
        <is>
          <t>9/10/2024</t>
        </is>
      </c>
      <c r="B124" t="inlineStr">
        <is>
          <t>924</t>
        </is>
      </c>
      <c r="C124" t="inlineStr">
        <is>
          <t>S2S No Premium</t>
        </is>
      </c>
      <c r="D124" t="inlineStr">
        <is>
          <t>N2_Ferreyra Cand</t>
        </is>
      </c>
      <c r="E124" t="inlineStr">
        <is>
          <t>606267</t>
        </is>
      </c>
      <c r="F124" s="2" t="inlineStr">
        <is>
          <t>07:00</t>
        </is>
      </c>
      <c r="G124" t="inlineStr">
        <is>
          <t>-</t>
        </is>
      </c>
      <c r="H124" s="2" t="inlineStr">
        <is>
          <t>07:30</t>
        </is>
      </c>
      <c r="I124" t="inlineStr">
        <is>
          <t>50,000000000</t>
        </is>
      </c>
      <c r="J124" t="inlineStr">
        <is>
          <t>,000000000</t>
        </is>
      </c>
      <c r="K124" t="inlineStr">
        <is>
          <t>,000000000</t>
        </is>
      </c>
      <c r="L124" t="inlineStr">
        <is>
          <t>4,000000000</t>
        </is>
      </c>
      <c r="M124" t="inlineStr">
        <is>
          <t>,000000000</t>
        </is>
      </c>
      <c r="N124" t="inlineStr">
        <is>
          <t>,000000000</t>
        </is>
      </c>
      <c r="O124" t="inlineStr">
        <is>
          <t>,000000000</t>
        </is>
      </c>
      <c r="P124" t="inlineStr">
        <is>
          <t>1,000000000</t>
        </is>
      </c>
      <c r="Q124" t="inlineStr">
        <is>
          <t>,000000000</t>
        </is>
      </c>
      <c r="R124" t="inlineStr">
        <is>
          <t>,000000000</t>
        </is>
      </c>
      <c r="S124" t="inlineStr">
        <is>
          <t>,000000000</t>
        </is>
      </c>
      <c r="T124" t="inlineStr">
        <is>
          <t>,000000000</t>
        </is>
      </c>
      <c r="U124" t="inlineStr">
        <is>
          <t>,000000000</t>
        </is>
      </c>
      <c r="V124" t="inlineStr">
        <is>
          <t>,000000000</t>
        </is>
      </c>
      <c r="W124" t="inlineStr">
        <is>
          <t>,000000000</t>
        </is>
      </c>
      <c r="X124" t="inlineStr">
        <is>
          <t>,000000000</t>
        </is>
      </c>
      <c r="Y124" t="inlineStr">
        <is>
          <t>,000000000</t>
        </is>
      </c>
      <c r="Z124" t="inlineStr">
        <is>
          <t>,000000000</t>
        </is>
      </c>
      <c r="AA124" t="inlineStr">
        <is>
          <t>,000000000</t>
        </is>
      </c>
      <c r="AB124" t="inlineStr">
        <is>
          <t>1</t>
        </is>
      </c>
      <c r="AC124" t="inlineStr">
        <is>
          <t>1</t>
        </is>
      </c>
      <c r="AD124" s="3">
        <f>UPPER(C3)</f>
        <v/>
      </c>
      <c r="AE124" s="3">
        <f>VLOOKUP(E3,'[1]Nómina Agentes'!$C:$D,3,0)</f>
        <v/>
      </c>
      <c r="AF124" s="5">
        <f>F3</f>
        <v/>
      </c>
      <c r="AG124" s="5">
        <f>H3</f>
        <v/>
      </c>
    </row>
    <row r="125">
      <c r="A125" s="1" t="inlineStr">
        <is>
          <t>9/10/2024</t>
        </is>
      </c>
      <c r="B125" t="inlineStr">
        <is>
          <t>924</t>
        </is>
      </c>
      <c r="C125" t="inlineStr">
        <is>
          <t>S2S No Premium</t>
        </is>
      </c>
      <c r="D125" t="inlineStr">
        <is>
          <t>N2_Ferreyra Cand</t>
        </is>
      </c>
      <c r="E125" t="inlineStr">
        <is>
          <t>606267</t>
        </is>
      </c>
      <c r="F125" s="2" t="inlineStr">
        <is>
          <t>06:30</t>
        </is>
      </c>
      <c r="G125" t="inlineStr">
        <is>
          <t>-</t>
        </is>
      </c>
      <c r="H125" s="2" t="inlineStr">
        <is>
          <t>07:00</t>
        </is>
      </c>
      <c r="I125" t="inlineStr">
        <is>
          <t>96,000000000</t>
        </is>
      </c>
      <c r="J125" t="inlineStr">
        <is>
          <t>,000000000</t>
        </is>
      </c>
      <c r="K125" t="inlineStr">
        <is>
          <t>,000000000</t>
        </is>
      </c>
      <c r="L125" t="inlineStr">
        <is>
          <t>6,000000000</t>
        </is>
      </c>
      <c r="M125" t="inlineStr">
        <is>
          <t>,000000000</t>
        </is>
      </c>
      <c r="N125" t="inlineStr">
        <is>
          <t>,000000000</t>
        </is>
      </c>
      <c r="O125" t="inlineStr">
        <is>
          <t>,000000000</t>
        </is>
      </c>
      <c r="P125" t="inlineStr">
        <is>
          <t>1,000000000</t>
        </is>
      </c>
      <c r="Q125" t="inlineStr">
        <is>
          <t>,000000000</t>
        </is>
      </c>
      <c r="R125" t="inlineStr">
        <is>
          <t>,000000000</t>
        </is>
      </c>
      <c r="S125" t="inlineStr">
        <is>
          <t>,000000000</t>
        </is>
      </c>
      <c r="T125" t="inlineStr">
        <is>
          <t>,000000000</t>
        </is>
      </c>
      <c r="U125" t="inlineStr">
        <is>
          <t>,000000000</t>
        </is>
      </c>
      <c r="V125" t="inlineStr">
        <is>
          <t>,000000000</t>
        </is>
      </c>
      <c r="W125" t="inlineStr">
        <is>
          <t>,000000000</t>
        </is>
      </c>
      <c r="X125" t="inlineStr">
        <is>
          <t>,000000000</t>
        </is>
      </c>
      <c r="Y125" t="inlineStr">
        <is>
          <t>,000000000</t>
        </is>
      </c>
      <c r="Z125" t="inlineStr">
        <is>
          <t>,000000000</t>
        </is>
      </c>
      <c r="AA125" t="inlineStr">
        <is>
          <t>,000000000</t>
        </is>
      </c>
      <c r="AB125" t="inlineStr">
        <is>
          <t>1</t>
        </is>
      </c>
      <c r="AC125" t="inlineStr">
        <is>
          <t>1</t>
        </is>
      </c>
      <c r="AD125" s="3">
        <f>UPPER(C3)</f>
        <v/>
      </c>
      <c r="AE125" s="3">
        <f>VLOOKUP(E3,'[1]Nómina Agentes'!$C:$D,3,0)</f>
        <v/>
      </c>
      <c r="AF125" s="5">
        <f>F3</f>
        <v/>
      </c>
      <c r="AG125" s="5">
        <f>H3</f>
        <v/>
      </c>
    </row>
    <row r="126">
      <c r="A126" s="1" t="inlineStr">
        <is>
          <t>9/10/2024</t>
        </is>
      </c>
      <c r="B126" t="inlineStr">
        <is>
          <t>924</t>
        </is>
      </c>
      <c r="C126" t="inlineStr">
        <is>
          <t>S2S No Premium</t>
        </is>
      </c>
      <c r="D126" t="inlineStr">
        <is>
          <t>N2_Ferreyra Cand</t>
        </is>
      </c>
      <c r="E126" t="inlineStr">
        <is>
          <t>606267</t>
        </is>
      </c>
      <c r="F126" s="2" t="inlineStr">
        <is>
          <t>08:00</t>
        </is>
      </c>
      <c r="G126" t="inlineStr">
        <is>
          <t>-</t>
        </is>
      </c>
      <c r="H126" s="2" t="inlineStr">
        <is>
          <t>08:30</t>
        </is>
      </c>
      <c r="I126" t="inlineStr">
        <is>
          <t>123,000000000</t>
        </is>
      </c>
      <c r="J126" t="inlineStr">
        <is>
          <t>,000000000</t>
        </is>
      </c>
      <c r="K126" t="inlineStr">
        <is>
          <t>,000000000</t>
        </is>
      </c>
      <c r="L126" t="inlineStr">
        <is>
          <t>4,000000000</t>
        </is>
      </c>
      <c r="M126" t="inlineStr">
        <is>
          <t>,000000000</t>
        </is>
      </c>
      <c r="N126" t="inlineStr">
        <is>
          <t>,000000000</t>
        </is>
      </c>
      <c r="O126" t="inlineStr">
        <is>
          <t>,000000000</t>
        </is>
      </c>
      <c r="P126" t="inlineStr">
        <is>
          <t>1,000000000</t>
        </is>
      </c>
      <c r="Q126" t="inlineStr">
        <is>
          <t>,000000000</t>
        </is>
      </c>
      <c r="R126" t="inlineStr">
        <is>
          <t>,000000000</t>
        </is>
      </c>
      <c r="S126" t="inlineStr">
        <is>
          <t>,000000000</t>
        </is>
      </c>
      <c r="T126" t="inlineStr">
        <is>
          <t>,000000000</t>
        </is>
      </c>
      <c r="U126" t="inlineStr">
        <is>
          <t>,000000000</t>
        </is>
      </c>
      <c r="V126" t="inlineStr">
        <is>
          <t>,000000000</t>
        </is>
      </c>
      <c r="W126" t="inlineStr">
        <is>
          <t>,000000000</t>
        </is>
      </c>
      <c r="X126" t="inlineStr">
        <is>
          <t>,000000000</t>
        </is>
      </c>
      <c r="Y126" t="inlineStr">
        <is>
          <t>,000000000</t>
        </is>
      </c>
      <c r="Z126" t="inlineStr">
        <is>
          <t>,000000000</t>
        </is>
      </c>
      <c r="AA126" t="inlineStr">
        <is>
          <t>,000000000</t>
        </is>
      </c>
      <c r="AB126" t="inlineStr">
        <is>
          <t>1</t>
        </is>
      </c>
      <c r="AC126" t="inlineStr">
        <is>
          <t>1</t>
        </is>
      </c>
      <c r="AD126" s="3">
        <f>UPPER(C3)</f>
        <v/>
      </c>
      <c r="AE126" s="3">
        <f>VLOOKUP(E3,'[1]Nómina Agentes'!$C:$D,3,0)</f>
        <v/>
      </c>
      <c r="AF126" s="5">
        <f>F3</f>
        <v/>
      </c>
      <c r="AG126" s="5">
        <f>H3</f>
        <v/>
      </c>
    </row>
    <row r="127">
      <c r="A127" s="1" t="inlineStr">
        <is>
          <t>9/10/2024</t>
        </is>
      </c>
      <c r="B127" t="inlineStr">
        <is>
          <t>924</t>
        </is>
      </c>
      <c r="C127" t="inlineStr">
        <is>
          <t>S2S No Premium</t>
        </is>
      </c>
      <c r="D127" t="inlineStr">
        <is>
          <t>N2_Ferreyra Cand</t>
        </is>
      </c>
      <c r="E127" t="inlineStr">
        <is>
          <t>606267</t>
        </is>
      </c>
      <c r="F127" s="2" t="inlineStr">
        <is>
          <t>07:30</t>
        </is>
      </c>
      <c r="G127" t="inlineStr">
        <is>
          <t>-</t>
        </is>
      </c>
      <c r="H127" s="2" t="inlineStr">
        <is>
          <t>08:00</t>
        </is>
      </c>
      <c r="I127" t="inlineStr">
        <is>
          <t>160,000000000</t>
        </is>
      </c>
      <c r="J127" t="inlineStr">
        <is>
          <t>,000000000</t>
        </is>
      </c>
      <c r="K127" t="inlineStr">
        <is>
          <t>,000000000</t>
        </is>
      </c>
      <c r="L127" t="inlineStr">
        <is>
          <t>8,000000000</t>
        </is>
      </c>
      <c r="M127" t="inlineStr">
        <is>
          <t>,000000000</t>
        </is>
      </c>
      <c r="N127" t="inlineStr">
        <is>
          <t>,000000000</t>
        </is>
      </c>
      <c r="O127" t="inlineStr">
        <is>
          <t>,000000000</t>
        </is>
      </c>
      <c r="P127" t="inlineStr">
        <is>
          <t>1,000000000</t>
        </is>
      </c>
      <c r="Q127" t="inlineStr">
        <is>
          <t>,000000000</t>
        </is>
      </c>
      <c r="R127" t="inlineStr">
        <is>
          <t>,000000000</t>
        </is>
      </c>
      <c r="S127" t="inlineStr">
        <is>
          <t>,000000000</t>
        </is>
      </c>
      <c r="T127" t="inlineStr">
        <is>
          <t>,000000000</t>
        </is>
      </c>
      <c r="U127" t="inlineStr">
        <is>
          <t>,000000000</t>
        </is>
      </c>
      <c r="V127" t="inlineStr">
        <is>
          <t>,000000000</t>
        </is>
      </c>
      <c r="W127" t="inlineStr">
        <is>
          <t>,000000000</t>
        </is>
      </c>
      <c r="X127" t="inlineStr">
        <is>
          <t>,000000000</t>
        </is>
      </c>
      <c r="Y127" t="inlineStr">
        <is>
          <t>,000000000</t>
        </is>
      </c>
      <c r="Z127" t="inlineStr">
        <is>
          <t>,000000000</t>
        </is>
      </c>
      <c r="AA127" t="inlineStr">
        <is>
          <t>,000000000</t>
        </is>
      </c>
      <c r="AB127" t="inlineStr">
        <is>
          <t>2</t>
        </is>
      </c>
      <c r="AC127" t="inlineStr">
        <is>
          <t>1</t>
        </is>
      </c>
      <c r="AD127" s="3">
        <f>UPPER(C3)</f>
        <v/>
      </c>
      <c r="AE127" s="3">
        <f>VLOOKUP(E3,'[1]Nómina Agentes'!$C:$D,3,0)</f>
        <v/>
      </c>
      <c r="AF127" s="5">
        <f>F3</f>
        <v/>
      </c>
      <c r="AG127" s="5">
        <f>H3</f>
        <v/>
      </c>
    </row>
    <row r="128">
      <c r="A128" s="1" t="inlineStr">
        <is>
          <t>9/10/2024</t>
        </is>
      </c>
      <c r="B128" t="inlineStr">
        <is>
          <t>924</t>
        </is>
      </c>
      <c r="C128" t="inlineStr">
        <is>
          <t>S2S No Premium</t>
        </is>
      </c>
      <c r="D128" t="inlineStr">
        <is>
          <t>N2_Ferreyra Cand</t>
        </is>
      </c>
      <c r="E128" t="inlineStr">
        <is>
          <t>606267</t>
        </is>
      </c>
      <c r="F128" s="2" t="inlineStr">
        <is>
          <t>09:00</t>
        </is>
      </c>
      <c r="G128" t="inlineStr">
        <is>
          <t>-</t>
        </is>
      </c>
      <c r="H128" s="2" t="inlineStr">
        <is>
          <t>09:30</t>
        </is>
      </c>
      <c r="I128" t="inlineStr">
        <is>
          <t>345,000000000</t>
        </is>
      </c>
      <c r="J128" t="inlineStr">
        <is>
          <t>,000000000</t>
        </is>
      </c>
      <c r="K128" t="inlineStr">
        <is>
          <t>,000000000</t>
        </is>
      </c>
      <c r="L128" t="inlineStr">
        <is>
          <t>4,000000000</t>
        </is>
      </c>
      <c r="M128" t="inlineStr">
        <is>
          <t>,000000000</t>
        </is>
      </c>
      <c r="N128" t="inlineStr">
        <is>
          <t>,000000000</t>
        </is>
      </c>
      <c r="O128" t="inlineStr">
        <is>
          <t>,000000000</t>
        </is>
      </c>
      <c r="P128" t="inlineStr">
        <is>
          <t>2,000000000</t>
        </is>
      </c>
      <c r="Q128" t="inlineStr">
        <is>
          <t>,000000000</t>
        </is>
      </c>
      <c r="R128" t="inlineStr">
        <is>
          <t>,000000000</t>
        </is>
      </c>
      <c r="S128" t="inlineStr">
        <is>
          <t>,000000000</t>
        </is>
      </c>
      <c r="T128" t="inlineStr">
        <is>
          <t>,000000000</t>
        </is>
      </c>
      <c r="U128" t="inlineStr">
        <is>
          <t>,000000000</t>
        </is>
      </c>
      <c r="V128" t="inlineStr">
        <is>
          <t>,000000000</t>
        </is>
      </c>
      <c r="W128" t="inlineStr">
        <is>
          <t>,000000000</t>
        </is>
      </c>
      <c r="X128" t="inlineStr">
        <is>
          <t>,000000000</t>
        </is>
      </c>
      <c r="Y128" t="inlineStr">
        <is>
          <t>,000000000</t>
        </is>
      </c>
      <c r="Z128" t="inlineStr">
        <is>
          <t>,000000000</t>
        </is>
      </c>
      <c r="AA128" t="inlineStr">
        <is>
          <t>,000000000</t>
        </is>
      </c>
      <c r="AB128" t="inlineStr">
        <is>
          <t>2</t>
        </is>
      </c>
      <c r="AC128" t="inlineStr">
        <is>
          <t>2</t>
        </is>
      </c>
      <c r="AD128" s="3">
        <f>UPPER(C3)</f>
        <v/>
      </c>
      <c r="AE128" s="3">
        <f>VLOOKUP(E3,'[1]Nómina Agentes'!$C:$D,3,0)</f>
        <v/>
      </c>
      <c r="AF128" s="5">
        <f>F3</f>
        <v/>
      </c>
      <c r="AG128" s="5">
        <f>H3</f>
        <v/>
      </c>
    </row>
    <row r="129">
      <c r="A129" s="1" t="inlineStr">
        <is>
          <t>9/10/2024</t>
        </is>
      </c>
      <c r="B129" t="inlineStr">
        <is>
          <t>924</t>
        </is>
      </c>
      <c r="C129" t="inlineStr">
        <is>
          <t>S2S No Premium</t>
        </is>
      </c>
      <c r="D129" t="inlineStr">
        <is>
          <t>N2_Ferreyra Cand</t>
        </is>
      </c>
      <c r="E129" t="inlineStr">
        <is>
          <t>606267</t>
        </is>
      </c>
      <c r="F129" s="2" t="inlineStr">
        <is>
          <t>10:00</t>
        </is>
      </c>
      <c r="G129" t="inlineStr">
        <is>
          <t>-</t>
        </is>
      </c>
      <c r="H129" s="2" t="inlineStr">
        <is>
          <t>10:30</t>
        </is>
      </c>
      <c r="I129" t="inlineStr">
        <is>
          <t>514,000000000</t>
        </is>
      </c>
      <c r="J129" t="inlineStr">
        <is>
          <t>,000000000</t>
        </is>
      </c>
      <c r="K129" t="inlineStr">
        <is>
          <t>,000000000</t>
        </is>
      </c>
      <c r="L129" t="inlineStr">
        <is>
          <t>16,000000000</t>
        </is>
      </c>
      <c r="M129" t="inlineStr">
        <is>
          <t>,000000000</t>
        </is>
      </c>
      <c r="N129" t="inlineStr">
        <is>
          <t>,000000000</t>
        </is>
      </c>
      <c r="O129" t="inlineStr">
        <is>
          <t>,000000000</t>
        </is>
      </c>
      <c r="P129" t="inlineStr">
        <is>
          <t>4,000000000</t>
        </is>
      </c>
      <c r="Q129" t="inlineStr">
        <is>
          <t>,000000000</t>
        </is>
      </c>
      <c r="R129" t="inlineStr">
        <is>
          <t>,000000000</t>
        </is>
      </c>
      <c r="S129" t="inlineStr">
        <is>
          <t>,000000000</t>
        </is>
      </c>
      <c r="T129" t="inlineStr">
        <is>
          <t>,000000000</t>
        </is>
      </c>
      <c r="U129" t="inlineStr">
        <is>
          <t>,000000000</t>
        </is>
      </c>
      <c r="V129" t="inlineStr">
        <is>
          <t>,000000000</t>
        </is>
      </c>
      <c r="W129" t="inlineStr">
        <is>
          <t>,000000000</t>
        </is>
      </c>
      <c r="X129" t="inlineStr">
        <is>
          <t>,000000000</t>
        </is>
      </c>
      <c r="Y129" t="inlineStr">
        <is>
          <t>,000000000</t>
        </is>
      </c>
      <c r="Z129" t="inlineStr">
        <is>
          <t>,000000000</t>
        </is>
      </c>
      <c r="AA129" t="inlineStr">
        <is>
          <t>,000000000</t>
        </is>
      </c>
      <c r="AB129" t="inlineStr">
        <is>
          <t>4</t>
        </is>
      </c>
      <c r="AC129" t="inlineStr">
        <is>
          <t>4</t>
        </is>
      </c>
      <c r="AD129" s="3">
        <f>UPPER(C3)</f>
        <v/>
      </c>
      <c r="AE129" s="3">
        <f>VLOOKUP(E3,'[1]Nómina Agentes'!$C:$D,3,0)</f>
        <v/>
      </c>
      <c r="AF129" s="5">
        <f>F3</f>
        <v/>
      </c>
      <c r="AG129" s="5">
        <f>H3</f>
        <v/>
      </c>
    </row>
    <row r="130">
      <c r="A130" s="1" t="inlineStr">
        <is>
          <t>9/10/2024</t>
        </is>
      </c>
      <c r="B130" t="inlineStr">
        <is>
          <t>924</t>
        </is>
      </c>
      <c r="C130" t="inlineStr">
        <is>
          <t>S2S No Premium</t>
        </is>
      </c>
      <c r="D130" t="inlineStr">
        <is>
          <t>N2_Ferreyra Cand</t>
        </is>
      </c>
      <c r="E130" t="inlineStr">
        <is>
          <t>606267</t>
        </is>
      </c>
      <c r="F130" s="2" t="inlineStr">
        <is>
          <t>08:30</t>
        </is>
      </c>
      <c r="G130" t="inlineStr">
        <is>
          <t>-</t>
        </is>
      </c>
      <c r="H130" s="2" t="inlineStr">
        <is>
          <t>09:00</t>
        </is>
      </c>
      <c r="I130" t="inlineStr">
        <is>
          <t>548,000000000</t>
        </is>
      </c>
      <c r="J130" t="inlineStr">
        <is>
          <t>,000000000</t>
        </is>
      </c>
      <c r="K130" t="inlineStr">
        <is>
          <t>,000000000</t>
        </is>
      </c>
      <c r="L130" t="inlineStr">
        <is>
          <t>16,000000000</t>
        </is>
      </c>
      <c r="M130" t="inlineStr">
        <is>
          <t>,000000000</t>
        </is>
      </c>
      <c r="N130" t="inlineStr">
        <is>
          <t>,000000000</t>
        </is>
      </c>
      <c r="O130" t="inlineStr">
        <is>
          <t>,000000000</t>
        </is>
      </c>
      <c r="P130" t="inlineStr">
        <is>
          <t>2,000000000</t>
        </is>
      </c>
      <c r="Q130" t="inlineStr">
        <is>
          <t>,000000000</t>
        </is>
      </c>
      <c r="R130" t="inlineStr">
        <is>
          <t>,000000000</t>
        </is>
      </c>
      <c r="S130" t="inlineStr">
        <is>
          <t>,000000000</t>
        </is>
      </c>
      <c r="T130" t="inlineStr">
        <is>
          <t>,000000000</t>
        </is>
      </c>
      <c r="U130" t="inlineStr">
        <is>
          <t>,000000000</t>
        </is>
      </c>
      <c r="V130" t="inlineStr">
        <is>
          <t>,000000000</t>
        </is>
      </c>
      <c r="W130" t="inlineStr">
        <is>
          <t>,000000000</t>
        </is>
      </c>
      <c r="X130" t="inlineStr">
        <is>
          <t>,000000000</t>
        </is>
      </c>
      <c r="Y130" t="inlineStr">
        <is>
          <t>,000000000</t>
        </is>
      </c>
      <c r="Z130" t="inlineStr">
        <is>
          <t>,000000000</t>
        </is>
      </c>
      <c r="AA130" t="inlineStr">
        <is>
          <t>,000000000</t>
        </is>
      </c>
      <c r="AB130" t="inlineStr">
        <is>
          <t>3</t>
        </is>
      </c>
      <c r="AC130" t="inlineStr">
        <is>
          <t>3</t>
        </is>
      </c>
      <c r="AD130" s="3">
        <f>UPPER(C3)</f>
        <v/>
      </c>
      <c r="AE130" s="3">
        <f>VLOOKUP(E3,'[1]Nómina Agentes'!$C:$D,3,0)</f>
        <v/>
      </c>
      <c r="AF130" s="5">
        <f>F3</f>
        <v/>
      </c>
      <c r="AG130" s="5">
        <f>H3</f>
        <v/>
      </c>
    </row>
    <row r="131">
      <c r="A131" s="1" t="inlineStr">
        <is>
          <t>9/10/2024</t>
        </is>
      </c>
      <c r="B131" t="inlineStr">
        <is>
          <t>924</t>
        </is>
      </c>
      <c r="C131" t="inlineStr">
        <is>
          <t>S2S No Premium</t>
        </is>
      </c>
      <c r="D131" t="inlineStr">
        <is>
          <t>N2_Ferreyra Cand</t>
        </is>
      </c>
      <c r="E131" t="inlineStr">
        <is>
          <t>606267</t>
        </is>
      </c>
      <c r="F131" s="2" t="inlineStr">
        <is>
          <t>09:30</t>
        </is>
      </c>
      <c r="G131" t="inlineStr">
        <is>
          <t>-</t>
        </is>
      </c>
      <c r="H131" s="2" t="inlineStr">
        <is>
          <t>10:00</t>
        </is>
      </c>
      <c r="I131" t="inlineStr">
        <is>
          <t>806,000000000</t>
        </is>
      </c>
      <c r="J131" t="inlineStr">
        <is>
          <t>,000000000</t>
        </is>
      </c>
      <c r="K131" t="inlineStr">
        <is>
          <t>,000000000</t>
        </is>
      </c>
      <c r="L131" t="inlineStr">
        <is>
          <t>16,000000000</t>
        </is>
      </c>
      <c r="M131" t="inlineStr">
        <is>
          <t>,000000000</t>
        </is>
      </c>
      <c r="N131" t="inlineStr">
        <is>
          <t>,000000000</t>
        </is>
      </c>
      <c r="O131" t="inlineStr">
        <is>
          <t>,000000000</t>
        </is>
      </c>
      <c r="P131" t="inlineStr">
        <is>
          <t>3,000000000</t>
        </is>
      </c>
      <c r="Q131" t="inlineStr">
        <is>
          <t>,000000000</t>
        </is>
      </c>
      <c r="R131" t="inlineStr">
        <is>
          <t>,000000000</t>
        </is>
      </c>
      <c r="S131" t="inlineStr">
        <is>
          <t>,000000000</t>
        </is>
      </c>
      <c r="T131" t="inlineStr">
        <is>
          <t>,000000000</t>
        </is>
      </c>
      <c r="U131" t="inlineStr">
        <is>
          <t>,000000000</t>
        </is>
      </c>
      <c r="V131" t="inlineStr">
        <is>
          <t>,000000000</t>
        </is>
      </c>
      <c r="W131" t="inlineStr">
        <is>
          <t>,000000000</t>
        </is>
      </c>
      <c r="X131" t="inlineStr">
        <is>
          <t>,000000000</t>
        </is>
      </c>
      <c r="Y131" t="inlineStr">
        <is>
          <t>,000000000</t>
        </is>
      </c>
      <c r="Z131" t="inlineStr">
        <is>
          <t>,000000000</t>
        </is>
      </c>
      <c r="AA131" t="inlineStr">
        <is>
          <t>,000000000</t>
        </is>
      </c>
      <c r="AB131" t="inlineStr">
        <is>
          <t>4</t>
        </is>
      </c>
      <c r="AC131" t="inlineStr">
        <is>
          <t>4</t>
        </is>
      </c>
      <c r="AD131" s="3">
        <f>UPPER(C3)</f>
        <v/>
      </c>
      <c r="AE131" s="3">
        <f>VLOOKUP(E3,'[1]Nómina Agentes'!$C:$D,3,0)</f>
        <v/>
      </c>
      <c r="AF131" s="5">
        <f>F3</f>
        <v/>
      </c>
      <c r="AG131" s="5">
        <f>H3</f>
        <v/>
      </c>
    </row>
    <row r="132">
      <c r="A132" s="1" t="inlineStr">
        <is>
          <t>9/10/2024</t>
        </is>
      </c>
      <c r="B132" t="inlineStr">
        <is>
          <t>925</t>
        </is>
      </c>
      <c r="C132" t="inlineStr">
        <is>
          <t>S2S Premium</t>
        </is>
      </c>
      <c r="D132" t="inlineStr">
        <is>
          <t>Pm_Arias, Franco</t>
        </is>
      </c>
      <c r="E132" t="inlineStr">
        <is>
          <t>606287</t>
        </is>
      </c>
      <c r="F132" s="2" t="inlineStr">
        <is>
          <t>09:00</t>
        </is>
      </c>
      <c r="G132" t="inlineStr">
        <is>
          <t>-</t>
        </is>
      </c>
      <c r="H132" s="2" t="inlineStr">
        <is>
          <t>09:30</t>
        </is>
      </c>
      <c r="I132" t="inlineStr">
        <is>
          <t>231,000000000</t>
        </is>
      </c>
      <c r="J132" t="inlineStr">
        <is>
          <t>,000000000</t>
        </is>
      </c>
      <c r="K132" t="inlineStr">
        <is>
          <t>,000000000</t>
        </is>
      </c>
      <c r="L132" t="inlineStr">
        <is>
          <t>4,000000000</t>
        </is>
      </c>
      <c r="M132" t="inlineStr">
        <is>
          <t>,000000000</t>
        </is>
      </c>
      <c r="N132" t="inlineStr">
        <is>
          <t>,000000000</t>
        </is>
      </c>
      <c r="O132" t="inlineStr">
        <is>
          <t>,000000000</t>
        </is>
      </c>
      <c r="P132" t="inlineStr">
        <is>
          <t>3,000000000</t>
        </is>
      </c>
      <c r="Q132" t="inlineStr">
        <is>
          <t>,000000000</t>
        </is>
      </c>
      <c r="R132" t="inlineStr">
        <is>
          <t>,000000000</t>
        </is>
      </c>
      <c r="S132" t="inlineStr">
        <is>
          <t>,000000000</t>
        </is>
      </c>
      <c r="T132" t="inlineStr">
        <is>
          <t>,000000000</t>
        </is>
      </c>
      <c r="U132" t="inlineStr">
        <is>
          <t>,000000000</t>
        </is>
      </c>
      <c r="V132" t="inlineStr">
        <is>
          <t>,000000000</t>
        </is>
      </c>
      <c r="W132" t="inlineStr">
        <is>
          <t>,000000000</t>
        </is>
      </c>
      <c r="X132" t="inlineStr">
        <is>
          <t>,000000000</t>
        </is>
      </c>
      <c r="Y132" t="inlineStr">
        <is>
          <t>,000000000</t>
        </is>
      </c>
      <c r="Z132" t="inlineStr">
        <is>
          <t>,000000000</t>
        </is>
      </c>
      <c r="AA132" t="inlineStr">
        <is>
          <t>,000000000</t>
        </is>
      </c>
      <c r="AB132" t="inlineStr">
        <is>
          <t>2</t>
        </is>
      </c>
      <c r="AC132" t="inlineStr">
        <is>
          <t>2</t>
        </is>
      </c>
      <c r="AD132" s="3">
        <f>UPPER(C3)</f>
        <v/>
      </c>
      <c r="AE132" s="3">
        <f>VLOOKUP(E3,'[1]Nómina Agentes'!$C:$D,3,0)</f>
        <v/>
      </c>
      <c r="AF132" s="5">
        <f>F3</f>
        <v/>
      </c>
      <c r="AG132" s="5">
        <f>H3</f>
        <v/>
      </c>
    </row>
    <row r="133">
      <c r="A133" s="1" t="inlineStr">
        <is>
          <t>9/10/2024</t>
        </is>
      </c>
      <c r="B133" t="inlineStr">
        <is>
          <t>925</t>
        </is>
      </c>
      <c r="C133" t="inlineStr">
        <is>
          <t>S2S Premium</t>
        </is>
      </c>
      <c r="D133" t="inlineStr">
        <is>
          <t>Pm_Arias, Franco</t>
        </is>
      </c>
      <c r="E133" t="inlineStr">
        <is>
          <t>606287</t>
        </is>
      </c>
      <c r="F133" s="2" t="inlineStr">
        <is>
          <t>08:00</t>
        </is>
      </c>
      <c r="G133" t="inlineStr">
        <is>
          <t>-</t>
        </is>
      </c>
      <c r="H133" s="2" t="inlineStr">
        <is>
          <t>08:30</t>
        </is>
      </c>
      <c r="I133" t="inlineStr">
        <is>
          <t>426,000000000</t>
        </is>
      </c>
      <c r="J133" t="inlineStr">
        <is>
          <t>,000000000</t>
        </is>
      </c>
      <c r="K133" t="inlineStr">
        <is>
          <t>,000000000</t>
        </is>
      </c>
      <c r="L133" t="inlineStr">
        <is>
          <t>22,000000000</t>
        </is>
      </c>
      <c r="M133" t="inlineStr">
        <is>
          <t>,000000000</t>
        </is>
      </c>
      <c r="N133" t="inlineStr">
        <is>
          <t>,000000000</t>
        </is>
      </c>
      <c r="O133" t="inlineStr">
        <is>
          <t>,000000000</t>
        </is>
      </c>
      <c r="P133" t="inlineStr">
        <is>
          <t>82,000000000</t>
        </is>
      </c>
      <c r="Q133" t="inlineStr">
        <is>
          <t>39,000000000</t>
        </is>
      </c>
      <c r="R133" t="inlineStr">
        <is>
          <t>,000000000</t>
        </is>
      </c>
      <c r="S133" t="inlineStr">
        <is>
          <t>,000000000</t>
        </is>
      </c>
      <c r="T133" t="inlineStr">
        <is>
          <t>,000000000</t>
        </is>
      </c>
      <c r="U133" t="inlineStr">
        <is>
          <t>,000000000</t>
        </is>
      </c>
      <c r="V133" t="inlineStr">
        <is>
          <t>,000000000</t>
        </is>
      </c>
      <c r="W133" t="inlineStr">
        <is>
          <t>,000000000</t>
        </is>
      </c>
      <c r="X133" t="inlineStr">
        <is>
          <t>,000000000</t>
        </is>
      </c>
      <c r="Y133" t="inlineStr">
        <is>
          <t>,000000000</t>
        </is>
      </c>
      <c r="Z133" t="inlineStr">
        <is>
          <t>,000000000</t>
        </is>
      </c>
      <c r="AA133" t="inlineStr">
        <is>
          <t>,000000000</t>
        </is>
      </c>
      <c r="AB133" t="inlineStr">
        <is>
          <t>3</t>
        </is>
      </c>
      <c r="AC133" t="inlineStr">
        <is>
          <t>3</t>
        </is>
      </c>
      <c r="AD133" s="3">
        <f>UPPER(C3)</f>
        <v/>
      </c>
      <c r="AE133" s="3">
        <f>VLOOKUP(E3,'[1]Nómina Agentes'!$C:$D,3,0)</f>
        <v/>
      </c>
      <c r="AF133" s="5">
        <f>F3</f>
        <v/>
      </c>
      <c r="AG133" s="5">
        <f>H3</f>
        <v/>
      </c>
    </row>
    <row r="134">
      <c r="A134" s="1" t="inlineStr">
        <is>
          <t>9/10/2024</t>
        </is>
      </c>
      <c r="B134" t="inlineStr">
        <is>
          <t>925</t>
        </is>
      </c>
      <c r="C134" t="inlineStr">
        <is>
          <t>S2S Premium</t>
        </is>
      </c>
      <c r="D134" t="inlineStr">
        <is>
          <t>Pm_Arias, Franco</t>
        </is>
      </c>
      <c r="E134" t="inlineStr">
        <is>
          <t>606287</t>
        </is>
      </c>
      <c r="F134" s="2" t="inlineStr">
        <is>
          <t>08:30</t>
        </is>
      </c>
      <c r="G134" t="inlineStr">
        <is>
          <t>-</t>
        </is>
      </c>
      <c r="H134" s="2" t="inlineStr">
        <is>
          <t>09:00</t>
        </is>
      </c>
      <c r="I134" t="inlineStr">
        <is>
          <t>1219,000000000</t>
        </is>
      </c>
      <c r="J134" t="inlineStr">
        <is>
          <t>74,000000000</t>
        </is>
      </c>
      <c r="K134" t="inlineStr">
        <is>
          <t>,000000000</t>
        </is>
      </c>
      <c r="L134" t="inlineStr">
        <is>
          <t>20,000000000</t>
        </is>
      </c>
      <c r="M134" t="inlineStr">
        <is>
          <t>,000000000</t>
        </is>
      </c>
      <c r="N134" t="inlineStr">
        <is>
          <t>,000000000</t>
        </is>
      </c>
      <c r="O134" t="inlineStr">
        <is>
          <t>,000000000</t>
        </is>
      </c>
      <c r="P134" t="inlineStr">
        <is>
          <t>115,000000000</t>
        </is>
      </c>
      <c r="Q134" t="inlineStr">
        <is>
          <t>,000000000</t>
        </is>
      </c>
      <c r="R134" t="inlineStr">
        <is>
          <t>,000000000</t>
        </is>
      </c>
      <c r="S134" t="inlineStr">
        <is>
          <t>,000000000</t>
        </is>
      </c>
      <c r="T134" t="inlineStr">
        <is>
          <t>,000000000</t>
        </is>
      </c>
      <c r="U134" t="inlineStr">
        <is>
          <t>,000000000</t>
        </is>
      </c>
      <c r="V134" t="inlineStr">
        <is>
          <t>,000000000</t>
        </is>
      </c>
      <c r="W134" t="inlineStr">
        <is>
          <t>,000000000</t>
        </is>
      </c>
      <c r="X134" t="inlineStr">
        <is>
          <t>,000000000</t>
        </is>
      </c>
      <c r="Y134" t="inlineStr">
        <is>
          <t>,000000000</t>
        </is>
      </c>
      <c r="Z134" t="inlineStr">
        <is>
          <t>,000000000</t>
        </is>
      </c>
      <c r="AA134" t="inlineStr">
        <is>
          <t>,000000000</t>
        </is>
      </c>
      <c r="AB134" t="inlineStr">
        <is>
          <t>5</t>
        </is>
      </c>
      <c r="AC134" t="inlineStr">
        <is>
          <t>4</t>
        </is>
      </c>
      <c r="AD134" s="3">
        <f>UPPER(C3)</f>
        <v/>
      </c>
      <c r="AE134" s="3">
        <f>VLOOKUP(E3,'[1]Nómina Agentes'!$C:$D,3,0)</f>
        <v/>
      </c>
      <c r="AF134" s="5">
        <f>F3</f>
        <v/>
      </c>
      <c r="AG134" s="5">
        <f>H3</f>
        <v/>
      </c>
    </row>
    <row r="135">
      <c r="A135" s="1" t="inlineStr">
        <is>
          <t>9/10/2024</t>
        </is>
      </c>
      <c r="B135" t="inlineStr">
        <is>
          <t>925</t>
        </is>
      </c>
      <c r="C135" t="inlineStr">
        <is>
          <t>S2S Premium</t>
        </is>
      </c>
      <c r="D135" t="inlineStr">
        <is>
          <t>P_Gonzalez, Gonza</t>
        </is>
      </c>
      <c r="E135" t="inlineStr">
        <is>
          <t>606300</t>
        </is>
      </c>
      <c r="F135" s="2" t="inlineStr">
        <is>
          <t>07:30</t>
        </is>
      </c>
      <c r="G135" t="inlineStr">
        <is>
          <t>-</t>
        </is>
      </c>
      <c r="H135" s="2" t="inlineStr">
        <is>
          <t>08:00</t>
        </is>
      </c>
      <c r="I135" t="inlineStr">
        <is>
          <t>,000000000</t>
        </is>
      </c>
      <c r="J135" t="inlineStr">
        <is>
          <t>,000000000</t>
        </is>
      </c>
      <c r="K135" t="inlineStr">
        <is>
          <t>,000000000</t>
        </is>
      </c>
      <c r="L135" t="inlineStr">
        <is>
          <t>,000000000</t>
        </is>
      </c>
      <c r="M135" t="inlineStr">
        <is>
          <t>,000000000</t>
        </is>
      </c>
      <c r="N135" t="inlineStr">
        <is>
          <t>,000000000</t>
        </is>
      </c>
      <c r="O135" t="inlineStr">
        <is>
          <t>,000000000</t>
        </is>
      </c>
      <c r="P135" t="inlineStr">
        <is>
          <t>,000000000</t>
        </is>
      </c>
      <c r="Q135" t="inlineStr">
        <is>
          <t>,000000000</t>
        </is>
      </c>
      <c r="R135" t="inlineStr">
        <is>
          <t>,000000000</t>
        </is>
      </c>
      <c r="S135" t="inlineStr">
        <is>
          <t>,000000000</t>
        </is>
      </c>
      <c r="T135" t="inlineStr">
        <is>
          <t>,000000000</t>
        </is>
      </c>
      <c r="U135" t="inlineStr">
        <is>
          <t>,000000000</t>
        </is>
      </c>
      <c r="V135" t="inlineStr">
        <is>
          <t>,000000000</t>
        </is>
      </c>
      <c r="W135" t="inlineStr">
        <is>
          <t>,000000000</t>
        </is>
      </c>
      <c r="X135" t="inlineStr">
        <is>
          <t>,000000000</t>
        </is>
      </c>
      <c r="Y135" t="inlineStr">
        <is>
          <t>,000000000</t>
        </is>
      </c>
      <c r="Z135" t="inlineStr">
        <is>
          <t>,000000000</t>
        </is>
      </c>
      <c r="AA135" t="inlineStr">
        <is>
          <t>,000000000</t>
        </is>
      </c>
      <c r="AB135" t="inlineStr">
        <is>
          <t>0</t>
        </is>
      </c>
      <c r="AC135" t="inlineStr">
        <is>
          <t>0</t>
        </is>
      </c>
      <c r="AD135" s="3">
        <f>UPPER(C3)</f>
        <v/>
      </c>
      <c r="AE135" s="3">
        <f>VLOOKUP(E3,'[1]Nómina Agentes'!$C:$D,3,0)</f>
        <v/>
      </c>
      <c r="AF135" s="5">
        <f>F3</f>
        <v/>
      </c>
      <c r="AG135" s="5">
        <f>H3</f>
        <v/>
      </c>
    </row>
    <row r="136">
      <c r="A136" s="1" t="inlineStr">
        <is>
          <t>9/10/2024</t>
        </is>
      </c>
      <c r="B136" t="inlineStr">
        <is>
          <t>925</t>
        </is>
      </c>
      <c r="C136" t="inlineStr">
        <is>
          <t>S2S Premium</t>
        </is>
      </c>
      <c r="D136" t="inlineStr">
        <is>
          <t>P_Gonzalez, Gonza</t>
        </is>
      </c>
      <c r="E136" t="inlineStr">
        <is>
          <t>606300</t>
        </is>
      </c>
      <c r="F136" s="2" t="inlineStr">
        <is>
          <t>06:30</t>
        </is>
      </c>
      <c r="G136" t="inlineStr">
        <is>
          <t>-</t>
        </is>
      </c>
      <c r="H136" s="2" t="inlineStr">
        <is>
          <t>07:00</t>
        </is>
      </c>
      <c r="I136" t="inlineStr">
        <is>
          <t>,000000000</t>
        </is>
      </c>
      <c r="J136" t="inlineStr">
        <is>
          <t>,000000000</t>
        </is>
      </c>
      <c r="K136" t="inlineStr">
        <is>
          <t>,000000000</t>
        </is>
      </c>
      <c r="L136" t="inlineStr">
        <is>
          <t>,000000000</t>
        </is>
      </c>
      <c r="M136" t="inlineStr">
        <is>
          <t>,000000000</t>
        </is>
      </c>
      <c r="N136" t="inlineStr">
        <is>
          <t>,000000000</t>
        </is>
      </c>
      <c r="O136" t="inlineStr">
        <is>
          <t>,000000000</t>
        </is>
      </c>
      <c r="P136" t="inlineStr">
        <is>
          <t>,000000000</t>
        </is>
      </c>
      <c r="Q136" t="inlineStr">
        <is>
          <t>,000000000</t>
        </is>
      </c>
      <c r="R136" t="inlineStr">
        <is>
          <t>,000000000</t>
        </is>
      </c>
      <c r="S136" t="inlineStr">
        <is>
          <t>,000000000</t>
        </is>
      </c>
      <c r="T136" t="inlineStr">
        <is>
          <t>,000000000</t>
        </is>
      </c>
      <c r="U136" t="inlineStr">
        <is>
          <t>,000000000</t>
        </is>
      </c>
      <c r="V136" t="inlineStr">
        <is>
          <t>,000000000</t>
        </is>
      </c>
      <c r="W136" t="inlineStr">
        <is>
          <t>,000000000</t>
        </is>
      </c>
      <c r="X136" t="inlineStr">
        <is>
          <t>,000000000</t>
        </is>
      </c>
      <c r="Y136" t="inlineStr">
        <is>
          <t>,000000000</t>
        </is>
      </c>
      <c r="Z136" t="inlineStr">
        <is>
          <t>,000000000</t>
        </is>
      </c>
      <c r="AA136" t="inlineStr">
        <is>
          <t>,000000000</t>
        </is>
      </c>
      <c r="AB136" t="inlineStr">
        <is>
          <t>0</t>
        </is>
      </c>
      <c r="AC136" t="inlineStr">
        <is>
          <t>0</t>
        </is>
      </c>
      <c r="AD136" s="3">
        <f>UPPER(C3)</f>
        <v/>
      </c>
      <c r="AE136" s="3">
        <f>VLOOKUP(E3,'[1]Nómina Agentes'!$C:$D,3,0)</f>
        <v/>
      </c>
      <c r="AF136" s="5">
        <f>F3</f>
        <v/>
      </c>
      <c r="AG136" s="5">
        <f>H3</f>
        <v/>
      </c>
    </row>
    <row r="137">
      <c r="A137" s="1" t="inlineStr">
        <is>
          <t>9/10/2024</t>
        </is>
      </c>
      <c r="B137" t="inlineStr">
        <is>
          <t>925</t>
        </is>
      </c>
      <c r="C137" t="inlineStr">
        <is>
          <t>S2S Premium</t>
        </is>
      </c>
      <c r="D137" t="inlineStr">
        <is>
          <t>P_Gonzalez, Gonza</t>
        </is>
      </c>
      <c r="E137" t="inlineStr">
        <is>
          <t>606300</t>
        </is>
      </c>
      <c r="F137" s="2" t="inlineStr">
        <is>
          <t>06:00</t>
        </is>
      </c>
      <c r="G137" t="inlineStr">
        <is>
          <t>-</t>
        </is>
      </c>
      <c r="H137" s="2" t="inlineStr">
        <is>
          <t>06:30</t>
        </is>
      </c>
      <c r="I137" t="inlineStr">
        <is>
          <t>,000000000</t>
        </is>
      </c>
      <c r="J137" t="inlineStr">
        <is>
          <t>,000000000</t>
        </is>
      </c>
      <c r="K137" t="inlineStr">
        <is>
          <t>,000000000</t>
        </is>
      </c>
      <c r="L137" t="inlineStr">
        <is>
          <t>,000000000</t>
        </is>
      </c>
      <c r="M137" t="inlineStr">
        <is>
          <t>,000000000</t>
        </is>
      </c>
      <c r="N137" t="inlineStr">
        <is>
          <t>,000000000</t>
        </is>
      </c>
      <c r="O137" t="inlineStr">
        <is>
          <t>,000000000</t>
        </is>
      </c>
      <c r="P137" t="inlineStr">
        <is>
          <t>,000000000</t>
        </is>
      </c>
      <c r="Q137" t="inlineStr">
        <is>
          <t>,000000000</t>
        </is>
      </c>
      <c r="R137" t="inlineStr">
        <is>
          <t>,000000000</t>
        </is>
      </c>
      <c r="S137" t="inlineStr">
        <is>
          <t>,000000000</t>
        </is>
      </c>
      <c r="T137" t="inlineStr">
        <is>
          <t>,000000000</t>
        </is>
      </c>
      <c r="U137" t="inlineStr">
        <is>
          <t>,000000000</t>
        </is>
      </c>
      <c r="V137" t="inlineStr">
        <is>
          <t>,000000000</t>
        </is>
      </c>
      <c r="W137" t="inlineStr">
        <is>
          <t>,000000000</t>
        </is>
      </c>
      <c r="X137" t="inlineStr">
        <is>
          <t>,000000000</t>
        </is>
      </c>
      <c r="Y137" t="inlineStr">
        <is>
          <t>,000000000</t>
        </is>
      </c>
      <c r="Z137" t="inlineStr">
        <is>
          <t>,000000000</t>
        </is>
      </c>
      <c r="AA137" t="inlineStr">
        <is>
          <t>,000000000</t>
        </is>
      </c>
      <c r="AB137" t="inlineStr">
        <is>
          <t>0</t>
        </is>
      </c>
      <c r="AC137" t="inlineStr">
        <is>
          <t>0</t>
        </is>
      </c>
      <c r="AD137" s="3">
        <f>UPPER(C3)</f>
        <v/>
      </c>
      <c r="AE137" s="3">
        <f>VLOOKUP(E3,'[1]Nómina Agentes'!$C:$D,3,0)</f>
        <v/>
      </c>
      <c r="AF137" s="5">
        <f>F3</f>
        <v/>
      </c>
      <c r="AG137" s="5">
        <f>H3</f>
        <v/>
      </c>
    </row>
    <row r="138">
      <c r="A138" s="1" t="inlineStr">
        <is>
          <t>9/10/2024</t>
        </is>
      </c>
      <c r="B138" t="inlineStr">
        <is>
          <t>925</t>
        </is>
      </c>
      <c r="C138" t="inlineStr">
        <is>
          <t>S2S Premium</t>
        </is>
      </c>
      <c r="D138" t="inlineStr">
        <is>
          <t>P_Gonzalez, Gonza</t>
        </is>
      </c>
      <c r="E138" t="inlineStr">
        <is>
          <t>606300</t>
        </is>
      </c>
      <c r="F138" s="2" t="inlineStr">
        <is>
          <t>07:00</t>
        </is>
      </c>
      <c r="G138" t="inlineStr">
        <is>
          <t>-</t>
        </is>
      </c>
      <c r="H138" s="2" t="inlineStr">
        <is>
          <t>07:30</t>
        </is>
      </c>
      <c r="I138" t="inlineStr">
        <is>
          <t>358,000000000</t>
        </is>
      </c>
      <c r="J138" t="inlineStr">
        <is>
          <t>,000000000</t>
        </is>
      </c>
      <c r="K138" t="inlineStr">
        <is>
          <t>,000000000</t>
        </is>
      </c>
      <c r="L138" t="inlineStr">
        <is>
          <t>12,000000000</t>
        </is>
      </c>
      <c r="M138" t="inlineStr">
        <is>
          <t>,000000000</t>
        </is>
      </c>
      <c r="N138" t="inlineStr">
        <is>
          <t>,000000000</t>
        </is>
      </c>
      <c r="O138" t="inlineStr">
        <is>
          <t>,000000000</t>
        </is>
      </c>
      <c r="P138" t="inlineStr">
        <is>
          <t>2,000000000</t>
        </is>
      </c>
      <c r="Q138" t="inlineStr">
        <is>
          <t>,000000000</t>
        </is>
      </c>
      <c r="R138" t="inlineStr">
        <is>
          <t>,000000000</t>
        </is>
      </c>
      <c r="S138" t="inlineStr">
        <is>
          <t>,000000000</t>
        </is>
      </c>
      <c r="T138" t="inlineStr">
        <is>
          <t>,000000000</t>
        </is>
      </c>
      <c r="U138" t="inlineStr">
        <is>
          <t>,000000000</t>
        </is>
      </c>
      <c r="V138" t="inlineStr">
        <is>
          <t>,000000000</t>
        </is>
      </c>
      <c r="W138" t="inlineStr">
        <is>
          <t>,000000000</t>
        </is>
      </c>
      <c r="X138" t="inlineStr">
        <is>
          <t>,000000000</t>
        </is>
      </c>
      <c r="Y138" t="inlineStr">
        <is>
          <t>,000000000</t>
        </is>
      </c>
      <c r="Z138" t="inlineStr">
        <is>
          <t>,000000000</t>
        </is>
      </c>
      <c r="AA138" t="inlineStr">
        <is>
          <t>,000000000</t>
        </is>
      </c>
      <c r="AB138" t="inlineStr">
        <is>
          <t>2</t>
        </is>
      </c>
      <c r="AC138" t="inlineStr">
        <is>
          <t>2</t>
        </is>
      </c>
      <c r="AD138" s="3">
        <f>UPPER(C3)</f>
        <v/>
      </c>
      <c r="AE138" s="3">
        <f>VLOOKUP(E3,'[1]Nómina Agentes'!$C:$D,3,0)</f>
        <v/>
      </c>
      <c r="AF138" s="5">
        <f>F3</f>
        <v/>
      </c>
      <c r="AG138" s="5">
        <f>H3</f>
        <v/>
      </c>
    </row>
    <row r="139">
      <c r="A139" s="1" t="inlineStr">
        <is>
          <t>9/10/2024</t>
        </is>
      </c>
      <c r="B139" t="inlineStr">
        <is>
          <t>925</t>
        </is>
      </c>
      <c r="C139" t="inlineStr">
        <is>
          <t>S2S Premium</t>
        </is>
      </c>
      <c r="D139" t="inlineStr">
        <is>
          <t>P_Gonzalez, Gonza</t>
        </is>
      </c>
      <c r="E139" t="inlineStr">
        <is>
          <t>606300</t>
        </is>
      </c>
      <c r="F139" s="2" t="inlineStr">
        <is>
          <t>09:00</t>
        </is>
      </c>
      <c r="G139" t="inlineStr">
        <is>
          <t>-</t>
        </is>
      </c>
      <c r="H139" s="2" t="inlineStr">
        <is>
          <t>09:30</t>
        </is>
      </c>
      <c r="I139" t="inlineStr">
        <is>
          <t>476,000000000</t>
        </is>
      </c>
      <c r="J139" t="inlineStr">
        <is>
          <t>,000000000</t>
        </is>
      </c>
      <c r="K139" t="inlineStr">
        <is>
          <t>,000000000</t>
        </is>
      </c>
      <c r="L139" t="inlineStr">
        <is>
          <t>4,000000000</t>
        </is>
      </c>
      <c r="M139" t="inlineStr">
        <is>
          <t>,000000000</t>
        </is>
      </c>
      <c r="N139" t="inlineStr">
        <is>
          <t>,000000000</t>
        </is>
      </c>
      <c r="O139" t="inlineStr">
        <is>
          <t>,000000000</t>
        </is>
      </c>
      <c r="P139" t="inlineStr">
        <is>
          <t>1,000000000</t>
        </is>
      </c>
      <c r="Q139" t="inlineStr">
        <is>
          <t>,000000000</t>
        </is>
      </c>
      <c r="R139" t="inlineStr">
        <is>
          <t>,000000000</t>
        </is>
      </c>
      <c r="S139" t="inlineStr">
        <is>
          <t>,000000000</t>
        </is>
      </c>
      <c r="T139" t="inlineStr">
        <is>
          <t>,000000000</t>
        </is>
      </c>
      <c r="U139" t="inlineStr">
        <is>
          <t>,000000000</t>
        </is>
      </c>
      <c r="V139" t="inlineStr">
        <is>
          <t>,000000000</t>
        </is>
      </c>
      <c r="W139" t="inlineStr">
        <is>
          <t>,000000000</t>
        </is>
      </c>
      <c r="X139" t="inlineStr">
        <is>
          <t>,000000000</t>
        </is>
      </c>
      <c r="Y139" t="inlineStr">
        <is>
          <t>,000000000</t>
        </is>
      </c>
      <c r="Z139" t="inlineStr">
        <is>
          <t>,000000000</t>
        </is>
      </c>
      <c r="AA139" t="inlineStr">
        <is>
          <t>,000000000</t>
        </is>
      </c>
      <c r="AB139" t="inlineStr">
        <is>
          <t>2</t>
        </is>
      </c>
      <c r="AC139" t="inlineStr">
        <is>
          <t>1</t>
        </is>
      </c>
      <c r="AD139" s="3">
        <f>UPPER(C3)</f>
        <v/>
      </c>
      <c r="AE139" s="3">
        <f>VLOOKUP(E3,'[1]Nómina Agentes'!$C:$D,3,0)</f>
        <v/>
      </c>
      <c r="AF139" s="5">
        <f>F3</f>
        <v/>
      </c>
      <c r="AG139" s="5">
        <f>H3</f>
        <v/>
      </c>
    </row>
    <row r="140">
      <c r="A140" s="1" t="inlineStr">
        <is>
          <t>9/10/2024</t>
        </is>
      </c>
      <c r="B140" t="inlineStr">
        <is>
          <t>925</t>
        </is>
      </c>
      <c r="C140" t="inlineStr">
        <is>
          <t>S2S Premium</t>
        </is>
      </c>
      <c r="D140" t="inlineStr">
        <is>
          <t>P_Gonzalez, Gonza</t>
        </is>
      </c>
      <c r="E140" t="inlineStr">
        <is>
          <t>606300</t>
        </is>
      </c>
      <c r="F140" s="2" t="inlineStr">
        <is>
          <t>08:00</t>
        </is>
      </c>
      <c r="G140" t="inlineStr">
        <is>
          <t>-</t>
        </is>
      </c>
      <c r="H140" s="2" t="inlineStr">
        <is>
          <t>08:30</t>
        </is>
      </c>
      <c r="I140" t="inlineStr">
        <is>
          <t>797,000000000</t>
        </is>
      </c>
      <c r="J140" t="inlineStr">
        <is>
          <t>,000000000</t>
        </is>
      </c>
      <c r="K140" t="inlineStr">
        <is>
          <t>,000000000</t>
        </is>
      </c>
      <c r="L140" t="inlineStr">
        <is>
          <t>17,000000000</t>
        </is>
      </c>
      <c r="M140" t="inlineStr">
        <is>
          <t>,000000000</t>
        </is>
      </c>
      <c r="N140" t="inlineStr">
        <is>
          <t>,000000000</t>
        </is>
      </c>
      <c r="O140" t="inlineStr">
        <is>
          <t>,000000000</t>
        </is>
      </c>
      <c r="P140" t="inlineStr">
        <is>
          <t>4,000000000</t>
        </is>
      </c>
      <c r="Q140" t="inlineStr">
        <is>
          <t>,000000000</t>
        </is>
      </c>
      <c r="R140" t="inlineStr">
        <is>
          <t>,000000000</t>
        </is>
      </c>
      <c r="S140" t="inlineStr">
        <is>
          <t>,000000000</t>
        </is>
      </c>
      <c r="T140" t="inlineStr">
        <is>
          <t>,000000000</t>
        </is>
      </c>
      <c r="U140" t="inlineStr">
        <is>
          <t>,000000000</t>
        </is>
      </c>
      <c r="V140" t="inlineStr">
        <is>
          <t>,000000000</t>
        </is>
      </c>
      <c r="W140" t="inlineStr">
        <is>
          <t>,000000000</t>
        </is>
      </c>
      <c r="X140" t="inlineStr">
        <is>
          <t>,000000000</t>
        </is>
      </c>
      <c r="Y140" t="inlineStr">
        <is>
          <t>,000000000</t>
        </is>
      </c>
      <c r="Z140" t="inlineStr">
        <is>
          <t>,000000000</t>
        </is>
      </c>
      <c r="AA140" t="inlineStr">
        <is>
          <t>,000000000</t>
        </is>
      </c>
      <c r="AB140" t="inlineStr">
        <is>
          <t>4</t>
        </is>
      </c>
      <c r="AC140" t="inlineStr">
        <is>
          <t>4</t>
        </is>
      </c>
      <c r="AD140" s="3">
        <f>UPPER(C3)</f>
        <v/>
      </c>
      <c r="AE140" s="3">
        <f>VLOOKUP(E3,'[1]Nómina Agentes'!$C:$D,3,0)</f>
        <v/>
      </c>
      <c r="AF140" s="5">
        <f>F3</f>
        <v/>
      </c>
      <c r="AG140" s="5">
        <f>H3</f>
        <v/>
      </c>
    </row>
    <row r="141">
      <c r="A141" s="1" t="inlineStr">
        <is>
          <t>9/10/2024</t>
        </is>
      </c>
      <c r="B141" t="inlineStr">
        <is>
          <t>925</t>
        </is>
      </c>
      <c r="C141" t="inlineStr">
        <is>
          <t>S2S Premium</t>
        </is>
      </c>
      <c r="D141" t="inlineStr">
        <is>
          <t>P_Gonzalez, Gonza</t>
        </is>
      </c>
      <c r="E141" t="inlineStr">
        <is>
          <t>606300</t>
        </is>
      </c>
      <c r="F141" s="2" t="inlineStr">
        <is>
          <t>08:30</t>
        </is>
      </c>
      <c r="G141" t="inlineStr">
        <is>
          <t>-</t>
        </is>
      </c>
      <c r="H141" s="2" t="inlineStr">
        <is>
          <t>09:00</t>
        </is>
      </c>
      <c r="I141" t="inlineStr">
        <is>
          <t>1217,000000000</t>
        </is>
      </c>
      <c r="J141" t="inlineStr">
        <is>
          <t>,000000000</t>
        </is>
      </c>
      <c r="K141" t="inlineStr">
        <is>
          <t>,000000000</t>
        </is>
      </c>
      <c r="L141" t="inlineStr">
        <is>
          <t>24,000000000</t>
        </is>
      </c>
      <c r="M141" t="inlineStr">
        <is>
          <t>,000000000</t>
        </is>
      </c>
      <c r="N141" t="inlineStr">
        <is>
          <t>,000000000</t>
        </is>
      </c>
      <c r="O141" t="inlineStr">
        <is>
          <t>,000000000</t>
        </is>
      </c>
      <c r="P141" t="inlineStr">
        <is>
          <t>194,000000000</t>
        </is>
      </c>
      <c r="Q141" t="inlineStr">
        <is>
          <t>62,000000000</t>
        </is>
      </c>
      <c r="R141" t="inlineStr">
        <is>
          <t>,000000000</t>
        </is>
      </c>
      <c r="S141" t="inlineStr">
        <is>
          <t>,000000000</t>
        </is>
      </c>
      <c r="T141" t="inlineStr">
        <is>
          <t>,000000000</t>
        </is>
      </c>
      <c r="U141" t="inlineStr">
        <is>
          <t>,000000000</t>
        </is>
      </c>
      <c r="V141" t="inlineStr">
        <is>
          <t>,000000000</t>
        </is>
      </c>
      <c r="W141" t="inlineStr">
        <is>
          <t>,000000000</t>
        </is>
      </c>
      <c r="X141" t="inlineStr">
        <is>
          <t>,000000000</t>
        </is>
      </c>
      <c r="Y141" t="inlineStr">
        <is>
          <t>,000000000</t>
        </is>
      </c>
      <c r="Z141" t="inlineStr">
        <is>
          <t>,000000000</t>
        </is>
      </c>
      <c r="AA141" t="inlineStr">
        <is>
          <t>,000000000</t>
        </is>
      </c>
      <c r="AB141" t="inlineStr">
        <is>
          <t>5</t>
        </is>
      </c>
      <c r="AC141" t="inlineStr">
        <is>
          <t>5</t>
        </is>
      </c>
      <c r="AD141" s="3">
        <f>UPPER(C3)</f>
        <v/>
      </c>
      <c r="AE141" s="3">
        <f>VLOOKUP(E3,'[1]Nómina Agentes'!$C:$D,3,0)</f>
        <v/>
      </c>
      <c r="AF141" s="5">
        <f>F3</f>
        <v/>
      </c>
      <c r="AG141" s="5">
        <f>H3</f>
        <v/>
      </c>
    </row>
    <row r="142">
      <c r="A142" s="1" t="inlineStr">
        <is>
          <t>9/10/2024</t>
        </is>
      </c>
      <c r="B142" t="inlineStr">
        <is>
          <t>925</t>
        </is>
      </c>
      <c r="C142" t="inlineStr">
        <is>
          <t>S2S Premium</t>
        </is>
      </c>
      <c r="D142" t="inlineStr">
        <is>
          <t>Pm_Amaria, Evelyn</t>
        </is>
      </c>
      <c r="E142" t="inlineStr">
        <is>
          <t>606301</t>
        </is>
      </c>
      <c r="F142" s="2" t="inlineStr">
        <is>
          <t>07:30</t>
        </is>
      </c>
      <c r="G142" t="inlineStr">
        <is>
          <t>-</t>
        </is>
      </c>
      <c r="H142" s="2" t="inlineStr">
        <is>
          <t>08:00</t>
        </is>
      </c>
      <c r="I142" t="inlineStr">
        <is>
          <t>,000000000</t>
        </is>
      </c>
      <c r="J142" t="inlineStr">
        <is>
          <t>,000000000</t>
        </is>
      </c>
      <c r="K142" t="inlineStr">
        <is>
          <t>,000000000</t>
        </is>
      </c>
      <c r="L142" t="inlineStr">
        <is>
          <t>,000000000</t>
        </is>
      </c>
      <c r="M142" t="inlineStr">
        <is>
          <t>,000000000</t>
        </is>
      </c>
      <c r="N142" t="inlineStr">
        <is>
          <t>,000000000</t>
        </is>
      </c>
      <c r="O142" t="inlineStr">
        <is>
          <t>,000000000</t>
        </is>
      </c>
      <c r="P142" t="inlineStr">
        <is>
          <t>,000000000</t>
        </is>
      </c>
      <c r="Q142" t="inlineStr">
        <is>
          <t>,000000000</t>
        </is>
      </c>
      <c r="R142" t="inlineStr">
        <is>
          <t>,000000000</t>
        </is>
      </c>
      <c r="S142" t="inlineStr">
        <is>
          <t>,000000000</t>
        </is>
      </c>
      <c r="T142" t="inlineStr">
        <is>
          <t>,000000000</t>
        </is>
      </c>
      <c r="U142" t="inlineStr">
        <is>
          <t>,000000000</t>
        </is>
      </c>
      <c r="V142" t="inlineStr">
        <is>
          <t>,000000000</t>
        </is>
      </c>
      <c r="W142" t="inlineStr">
        <is>
          <t>,000000000</t>
        </is>
      </c>
      <c r="X142" t="inlineStr">
        <is>
          <t>,000000000</t>
        </is>
      </c>
      <c r="Y142" t="inlineStr">
        <is>
          <t>,000000000</t>
        </is>
      </c>
      <c r="Z142" t="inlineStr">
        <is>
          <t>,000000000</t>
        </is>
      </c>
      <c r="AA142" t="inlineStr">
        <is>
          <t>,000000000</t>
        </is>
      </c>
      <c r="AB142" t="inlineStr">
        <is>
          <t>0</t>
        </is>
      </c>
      <c r="AC142" t="inlineStr">
        <is>
          <t>0</t>
        </is>
      </c>
      <c r="AD142" s="3">
        <f>UPPER(C3)</f>
        <v/>
      </c>
      <c r="AE142" s="3">
        <f>VLOOKUP(E3,'[1]Nómina Agentes'!$C:$D,3,0)</f>
        <v/>
      </c>
      <c r="AF142" s="5">
        <f>F3</f>
        <v/>
      </c>
      <c r="AG142" s="5">
        <f>H3</f>
        <v/>
      </c>
    </row>
    <row r="143">
      <c r="A143" s="1" t="inlineStr">
        <is>
          <t>9/10/2024</t>
        </is>
      </c>
      <c r="B143" t="inlineStr">
        <is>
          <t>925</t>
        </is>
      </c>
      <c r="C143" t="inlineStr">
        <is>
          <t>S2S Premium</t>
        </is>
      </c>
      <c r="D143" t="inlineStr">
        <is>
          <t>Pm_Amaria, Evelyn</t>
        </is>
      </c>
      <c r="E143" t="inlineStr">
        <is>
          <t>606301</t>
        </is>
      </c>
      <c r="F143" s="2" t="inlineStr">
        <is>
          <t>09:30</t>
        </is>
      </c>
      <c r="G143" t="inlineStr">
        <is>
          <t>-</t>
        </is>
      </c>
      <c r="H143" s="2" t="inlineStr">
        <is>
          <t>10:00</t>
        </is>
      </c>
      <c r="I143" t="inlineStr">
        <is>
          <t>44,000000000</t>
        </is>
      </c>
      <c r="J143" t="inlineStr">
        <is>
          <t>,000000000</t>
        </is>
      </c>
      <c r="K143" t="inlineStr">
        <is>
          <t>,000000000</t>
        </is>
      </c>
      <c r="L143" t="inlineStr">
        <is>
          <t>,000000000</t>
        </is>
      </c>
      <c r="M143" t="inlineStr">
        <is>
          <t>,000000000</t>
        </is>
      </c>
      <c r="N143" t="inlineStr">
        <is>
          <t>,000000000</t>
        </is>
      </c>
      <c r="O143" t="inlineStr">
        <is>
          <t>,000000000</t>
        </is>
      </c>
      <c r="P143" t="inlineStr">
        <is>
          <t>1,000000000</t>
        </is>
      </c>
      <c r="Q143" t="inlineStr">
        <is>
          <t>,000000000</t>
        </is>
      </c>
      <c r="R143" t="inlineStr">
        <is>
          <t>,000000000</t>
        </is>
      </c>
      <c r="S143" t="inlineStr">
        <is>
          <t>,000000000</t>
        </is>
      </c>
      <c r="T143" t="inlineStr">
        <is>
          <t>,000000000</t>
        </is>
      </c>
      <c r="U143" t="inlineStr">
        <is>
          <t>,000000000</t>
        </is>
      </c>
      <c r="V143" t="inlineStr">
        <is>
          <t>,000000000</t>
        </is>
      </c>
      <c r="W143" t="inlineStr">
        <is>
          <t>,000000000</t>
        </is>
      </c>
      <c r="X143" t="inlineStr">
        <is>
          <t>,000000000</t>
        </is>
      </c>
      <c r="Y143" t="inlineStr">
        <is>
          <t>,000000000</t>
        </is>
      </c>
      <c r="Z143" t="inlineStr">
        <is>
          <t>,000000000</t>
        </is>
      </c>
      <c r="AA143" t="inlineStr">
        <is>
          <t>,000000000</t>
        </is>
      </c>
      <c r="AB143" t="inlineStr">
        <is>
          <t>1</t>
        </is>
      </c>
      <c r="AC143" t="inlineStr">
        <is>
          <t>1</t>
        </is>
      </c>
      <c r="AD143" s="3">
        <f>UPPER(C3)</f>
        <v/>
      </c>
      <c r="AE143" s="3">
        <f>VLOOKUP(E3,'[1]Nómina Agentes'!$C:$D,3,0)</f>
        <v/>
      </c>
      <c r="AF143" s="5">
        <f>F3</f>
        <v/>
      </c>
      <c r="AG143" s="5">
        <f>H3</f>
        <v/>
      </c>
    </row>
    <row r="144">
      <c r="A144" s="1" t="inlineStr">
        <is>
          <t>9/10/2024</t>
        </is>
      </c>
      <c r="B144" t="inlineStr">
        <is>
          <t>925</t>
        </is>
      </c>
      <c r="C144" t="inlineStr">
        <is>
          <t>S2S Premium</t>
        </is>
      </c>
      <c r="D144" t="inlineStr">
        <is>
          <t>Pm_Amaria, Evelyn</t>
        </is>
      </c>
      <c r="E144" t="inlineStr">
        <is>
          <t>606301</t>
        </is>
      </c>
      <c r="F144" s="2" t="inlineStr">
        <is>
          <t>10:00</t>
        </is>
      </c>
      <c r="G144" t="inlineStr">
        <is>
          <t>-</t>
        </is>
      </c>
      <c r="H144" s="2" t="inlineStr">
        <is>
          <t>10:30</t>
        </is>
      </c>
      <c r="I144" t="inlineStr">
        <is>
          <t>678,000000000</t>
        </is>
      </c>
      <c r="J144" t="inlineStr">
        <is>
          <t>,000000000</t>
        </is>
      </c>
      <c r="K144" t="inlineStr">
        <is>
          <t>,000000000</t>
        </is>
      </c>
      <c r="L144" t="inlineStr">
        <is>
          <t>20,000000000</t>
        </is>
      </c>
      <c r="M144" t="inlineStr">
        <is>
          <t>,000000000</t>
        </is>
      </c>
      <c r="N144" t="inlineStr">
        <is>
          <t>,000000000</t>
        </is>
      </c>
      <c r="O144" t="inlineStr">
        <is>
          <t>,000000000</t>
        </is>
      </c>
      <c r="P144" t="inlineStr">
        <is>
          <t>164,000000000</t>
        </is>
      </c>
      <c r="Q144" t="inlineStr">
        <is>
          <t>45,000000000</t>
        </is>
      </c>
      <c r="R144" t="inlineStr">
        <is>
          <t>,000000000</t>
        </is>
      </c>
      <c r="S144" t="inlineStr">
        <is>
          <t>,000000000</t>
        </is>
      </c>
      <c r="T144" t="inlineStr">
        <is>
          <t>,000000000</t>
        </is>
      </c>
      <c r="U144" t="inlineStr">
        <is>
          <t>,000000000</t>
        </is>
      </c>
      <c r="V144" t="inlineStr">
        <is>
          <t>,000000000</t>
        </is>
      </c>
      <c r="W144" t="inlineStr">
        <is>
          <t>,000000000</t>
        </is>
      </c>
      <c r="X144" t="inlineStr">
        <is>
          <t>,000000000</t>
        </is>
      </c>
      <c r="Y144" t="inlineStr">
        <is>
          <t>,000000000</t>
        </is>
      </c>
      <c r="Z144" t="inlineStr">
        <is>
          <t>,000000000</t>
        </is>
      </c>
      <c r="AA144" t="inlineStr">
        <is>
          <t>,000000000</t>
        </is>
      </c>
      <c r="AB144" t="inlineStr">
        <is>
          <t>4</t>
        </is>
      </c>
      <c r="AC144" t="inlineStr">
        <is>
          <t>4</t>
        </is>
      </c>
      <c r="AD144" s="3">
        <f>UPPER(C3)</f>
        <v/>
      </c>
      <c r="AE144" s="3">
        <f>VLOOKUP(E3,'[1]Nómina Agentes'!$C:$D,3,0)</f>
        <v/>
      </c>
      <c r="AF144" s="5">
        <f>F3</f>
        <v/>
      </c>
      <c r="AG144" s="5">
        <f>H3</f>
        <v/>
      </c>
    </row>
    <row r="145">
      <c r="A145" s="1" t="inlineStr">
        <is>
          <t>9/10/2024</t>
        </is>
      </c>
      <c r="B145" t="inlineStr">
        <is>
          <t>925</t>
        </is>
      </c>
      <c r="C145" t="inlineStr">
        <is>
          <t>S2S Premium</t>
        </is>
      </c>
      <c r="D145" t="inlineStr">
        <is>
          <t>Pm_Amaria, Evelyn</t>
        </is>
      </c>
      <c r="E145" t="inlineStr">
        <is>
          <t>606301</t>
        </is>
      </c>
      <c r="F145" s="2" t="inlineStr">
        <is>
          <t>09:00</t>
        </is>
      </c>
      <c r="G145" t="inlineStr">
        <is>
          <t>-</t>
        </is>
      </c>
      <c r="H145" s="2" t="inlineStr">
        <is>
          <t>09:30</t>
        </is>
      </c>
      <c r="I145" t="inlineStr">
        <is>
          <t>866,000000000</t>
        </is>
      </c>
      <c r="J145" t="inlineStr">
        <is>
          <t>37,000000000</t>
        </is>
      </c>
      <c r="K145" t="inlineStr">
        <is>
          <t>,000000000</t>
        </is>
      </c>
      <c r="L145" t="inlineStr">
        <is>
          <t>12,000000000</t>
        </is>
      </c>
      <c r="M145" t="inlineStr">
        <is>
          <t>,000000000</t>
        </is>
      </c>
      <c r="N145" t="inlineStr">
        <is>
          <t>,000000000</t>
        </is>
      </c>
      <c r="O145" t="inlineStr">
        <is>
          <t>,000000000</t>
        </is>
      </c>
      <c r="P145" t="inlineStr">
        <is>
          <t>111,000000000</t>
        </is>
      </c>
      <c r="Q145" t="inlineStr">
        <is>
          <t>,000000000</t>
        </is>
      </c>
      <c r="R145" t="inlineStr">
        <is>
          <t>,000000000</t>
        </is>
      </c>
      <c r="S145" t="inlineStr">
        <is>
          <t>,000000000</t>
        </is>
      </c>
      <c r="T145" t="inlineStr">
        <is>
          <t>,000000000</t>
        </is>
      </c>
      <c r="U145" t="inlineStr">
        <is>
          <t>,000000000</t>
        </is>
      </c>
      <c r="V145" t="inlineStr">
        <is>
          <t>,000000000</t>
        </is>
      </c>
      <c r="W145" t="inlineStr">
        <is>
          <t>,000000000</t>
        </is>
      </c>
      <c r="X145" t="inlineStr">
        <is>
          <t>,000000000</t>
        </is>
      </c>
      <c r="Y145" t="inlineStr">
        <is>
          <t>,000000000</t>
        </is>
      </c>
      <c r="Z145" t="inlineStr">
        <is>
          <t>,000000000</t>
        </is>
      </c>
      <c r="AA145" t="inlineStr">
        <is>
          <t>,000000000</t>
        </is>
      </c>
      <c r="AB145" t="inlineStr">
        <is>
          <t>2</t>
        </is>
      </c>
      <c r="AC145" t="inlineStr">
        <is>
          <t>1</t>
        </is>
      </c>
      <c r="AD145" s="3">
        <f>UPPER(C3)</f>
        <v/>
      </c>
      <c r="AE145" s="3">
        <f>VLOOKUP(E3,'[1]Nómina Agentes'!$C:$D,3,0)</f>
        <v/>
      </c>
      <c r="AF145" s="5">
        <f>F3</f>
        <v/>
      </c>
      <c r="AG145" s="5">
        <f>H3</f>
        <v/>
      </c>
    </row>
    <row r="146">
      <c r="A146" s="1" t="inlineStr">
        <is>
          <t>9/10/2024</t>
        </is>
      </c>
      <c r="B146" t="inlineStr">
        <is>
          <t>925</t>
        </is>
      </c>
      <c r="C146" t="inlineStr">
        <is>
          <t>S2S Premium</t>
        </is>
      </c>
      <c r="D146" t="inlineStr">
        <is>
          <t>Pm_Amaria, Evelyn</t>
        </is>
      </c>
      <c r="E146" t="inlineStr">
        <is>
          <t>606301</t>
        </is>
      </c>
      <c r="F146" s="2" t="inlineStr">
        <is>
          <t>08:00</t>
        </is>
      </c>
      <c r="G146" t="inlineStr">
        <is>
          <t>-</t>
        </is>
      </c>
      <c r="H146" s="2" t="inlineStr">
        <is>
          <t>08:30</t>
        </is>
      </c>
      <c r="I146" t="inlineStr">
        <is>
          <t>1221,000000000</t>
        </is>
      </c>
      <c r="J146" t="inlineStr">
        <is>
          <t>,000000000</t>
        </is>
      </c>
      <c r="K146" t="inlineStr">
        <is>
          <t>,000000000</t>
        </is>
      </c>
      <c r="L146" t="inlineStr">
        <is>
          <t>16,000000000</t>
        </is>
      </c>
      <c r="M146" t="inlineStr">
        <is>
          <t>,000000000</t>
        </is>
      </c>
      <c r="N146" t="inlineStr">
        <is>
          <t>,000000000</t>
        </is>
      </c>
      <c r="O146" t="inlineStr">
        <is>
          <t>,000000000</t>
        </is>
      </c>
      <c r="P146" t="inlineStr">
        <is>
          <t>71,000000000</t>
        </is>
      </c>
      <c r="Q146" t="inlineStr">
        <is>
          <t>65,000000000</t>
        </is>
      </c>
      <c r="R146" t="inlineStr">
        <is>
          <t>,000000000</t>
        </is>
      </c>
      <c r="S146" t="inlineStr">
        <is>
          <t>,000000000</t>
        </is>
      </c>
      <c r="T146" t="inlineStr">
        <is>
          <t>,000000000</t>
        </is>
      </c>
      <c r="U146" t="inlineStr">
        <is>
          <t>,000000000</t>
        </is>
      </c>
      <c r="V146" t="inlineStr">
        <is>
          <t>,000000000</t>
        </is>
      </c>
      <c r="W146" t="inlineStr">
        <is>
          <t>,000000000</t>
        </is>
      </c>
      <c r="X146" t="inlineStr">
        <is>
          <t>,000000000</t>
        </is>
      </c>
      <c r="Y146" t="inlineStr">
        <is>
          <t>,000000000</t>
        </is>
      </c>
      <c r="Z146" t="inlineStr">
        <is>
          <t>,000000000</t>
        </is>
      </c>
      <c r="AA146" t="inlineStr">
        <is>
          <t>,000000000</t>
        </is>
      </c>
      <c r="AB146" t="inlineStr">
        <is>
          <t>3</t>
        </is>
      </c>
      <c r="AC146" t="inlineStr">
        <is>
          <t>2</t>
        </is>
      </c>
      <c r="AD146" s="3">
        <f>UPPER(C3)</f>
        <v/>
      </c>
      <c r="AE146" s="3">
        <f>VLOOKUP(E3,'[1]Nómina Agentes'!$C:$D,3,0)</f>
        <v/>
      </c>
      <c r="AF146" s="5">
        <f>F3</f>
        <v/>
      </c>
      <c r="AG146" s="5">
        <f>H3</f>
        <v/>
      </c>
    </row>
    <row r="147">
      <c r="A147" s="1" t="inlineStr">
        <is>
          <t>9/10/2024</t>
        </is>
      </c>
      <c r="B147" t="inlineStr">
        <is>
          <t>925</t>
        </is>
      </c>
      <c r="C147" t="inlineStr">
        <is>
          <t>S2S Premium</t>
        </is>
      </c>
      <c r="D147" t="inlineStr">
        <is>
          <t>Pm_Amaria, Evelyn</t>
        </is>
      </c>
      <c r="E147" t="inlineStr">
        <is>
          <t>606301</t>
        </is>
      </c>
      <c r="F147" s="2" t="inlineStr">
        <is>
          <t>10:30</t>
        </is>
      </c>
      <c r="G147" t="inlineStr">
        <is>
          <t>-</t>
        </is>
      </c>
      <c r="H147" s="2" t="inlineStr">
        <is>
          <t>11:00</t>
        </is>
      </c>
      <c r="I147" t="inlineStr">
        <is>
          <t>1417,000000000</t>
        </is>
      </c>
      <c r="J147" t="inlineStr">
        <is>
          <t>,000000000</t>
        </is>
      </c>
      <c r="K147" t="inlineStr">
        <is>
          <t>,000000000</t>
        </is>
      </c>
      <c r="L147" t="inlineStr">
        <is>
          <t>13,000000000</t>
        </is>
      </c>
      <c r="M147" t="inlineStr">
        <is>
          <t>,000000000</t>
        </is>
      </c>
      <c r="N147" t="inlineStr">
        <is>
          <t>,000000000</t>
        </is>
      </c>
      <c r="O147" t="inlineStr">
        <is>
          <t>,000000000</t>
        </is>
      </c>
      <c r="P147" t="inlineStr">
        <is>
          <t>218,000000000</t>
        </is>
      </c>
      <c r="Q147" t="inlineStr">
        <is>
          <t>203,000000000</t>
        </is>
      </c>
      <c r="R147" t="inlineStr">
        <is>
          <t>,000000000</t>
        </is>
      </c>
      <c r="S147" t="inlineStr">
        <is>
          <t>,000000000</t>
        </is>
      </c>
      <c r="T147" t="inlineStr">
        <is>
          <t>,000000000</t>
        </is>
      </c>
      <c r="U147" t="inlineStr">
        <is>
          <t>,000000000</t>
        </is>
      </c>
      <c r="V147" t="inlineStr">
        <is>
          <t>,000000000</t>
        </is>
      </c>
      <c r="W147" t="inlineStr">
        <is>
          <t>,000000000</t>
        </is>
      </c>
      <c r="X147" t="inlineStr">
        <is>
          <t>,000000000</t>
        </is>
      </c>
      <c r="Y147" t="inlineStr">
        <is>
          <t>,000000000</t>
        </is>
      </c>
      <c r="Z147" t="inlineStr">
        <is>
          <t>,000000000</t>
        </is>
      </c>
      <c r="AA147" t="inlineStr">
        <is>
          <t>,000000000</t>
        </is>
      </c>
      <c r="AB147" t="inlineStr">
        <is>
          <t>3</t>
        </is>
      </c>
      <c r="AC147" t="inlineStr">
        <is>
          <t>2</t>
        </is>
      </c>
      <c r="AD147" s="3">
        <f>UPPER(C3)</f>
        <v/>
      </c>
      <c r="AE147" s="3">
        <f>VLOOKUP(E3,'[1]Nómina Agentes'!$C:$D,3,0)</f>
        <v/>
      </c>
      <c r="AF147" s="5">
        <f>F3</f>
        <v/>
      </c>
      <c r="AG147" s="5">
        <f>H3</f>
        <v/>
      </c>
    </row>
    <row r="148">
      <c r="A148" s="1" t="inlineStr">
        <is>
          <t>9/10/2024</t>
        </is>
      </c>
      <c r="B148" t="inlineStr">
        <is>
          <t>925</t>
        </is>
      </c>
      <c r="C148" t="inlineStr">
        <is>
          <t>S2S Premium</t>
        </is>
      </c>
      <c r="D148" t="inlineStr">
        <is>
          <t>Pm_Amaria, Evelyn</t>
        </is>
      </c>
      <c r="E148" t="inlineStr">
        <is>
          <t>606301</t>
        </is>
      </c>
      <c r="F148" s="2" t="inlineStr">
        <is>
          <t>08:30</t>
        </is>
      </c>
      <c r="G148" t="inlineStr">
        <is>
          <t>-</t>
        </is>
      </c>
      <c r="H148" s="2" t="inlineStr">
        <is>
          <t>09:00</t>
        </is>
      </c>
      <c r="I148" t="inlineStr">
        <is>
          <t>1461,000000000</t>
        </is>
      </c>
      <c r="J148" t="inlineStr">
        <is>
          <t>92,000000000</t>
        </is>
      </c>
      <c r="K148" t="inlineStr">
        <is>
          <t>,000000000</t>
        </is>
      </c>
      <c r="L148" t="inlineStr">
        <is>
          <t>19,000000000</t>
        </is>
      </c>
      <c r="M148" t="inlineStr">
        <is>
          <t>,000000000</t>
        </is>
      </c>
      <c r="N148" t="inlineStr">
        <is>
          <t>,000000000</t>
        </is>
      </c>
      <c r="O148" t="inlineStr">
        <is>
          <t>,000000000</t>
        </is>
      </c>
      <c r="P148" t="inlineStr">
        <is>
          <t>4,000000000</t>
        </is>
      </c>
      <c r="Q148" t="inlineStr">
        <is>
          <t>,000000000</t>
        </is>
      </c>
      <c r="R148" t="inlineStr">
        <is>
          <t>,000000000</t>
        </is>
      </c>
      <c r="S148" t="inlineStr">
        <is>
          <t>,000000000</t>
        </is>
      </c>
      <c r="T148" t="inlineStr">
        <is>
          <t>,000000000</t>
        </is>
      </c>
      <c r="U148" t="inlineStr">
        <is>
          <t>,000000000</t>
        </is>
      </c>
      <c r="V148" t="inlineStr">
        <is>
          <t>,000000000</t>
        </is>
      </c>
      <c r="W148" t="inlineStr">
        <is>
          <t>,000000000</t>
        </is>
      </c>
      <c r="X148" t="inlineStr">
        <is>
          <t>,000000000</t>
        </is>
      </c>
      <c r="Y148" t="inlineStr">
        <is>
          <t>,000000000</t>
        </is>
      </c>
      <c r="Z148" t="inlineStr">
        <is>
          <t>,000000000</t>
        </is>
      </c>
      <c r="AA148" t="inlineStr">
        <is>
          <t>,000000000</t>
        </is>
      </c>
      <c r="AB148" t="inlineStr">
        <is>
          <t>4</t>
        </is>
      </c>
      <c r="AC148" t="inlineStr">
        <is>
          <t>4</t>
        </is>
      </c>
      <c r="AD148" s="3">
        <f>UPPER(C3)</f>
        <v/>
      </c>
      <c r="AE148" s="3">
        <f>VLOOKUP(E3,'[1]Nómina Agentes'!$C:$D,3,0)</f>
        <v/>
      </c>
      <c r="AF148" s="5">
        <f>F3</f>
        <v/>
      </c>
      <c r="AG148" s="5">
        <f>H3</f>
        <v/>
      </c>
    </row>
    <row r="149">
      <c r="A149" s="1" t="inlineStr">
        <is>
          <t>9/10/2024</t>
        </is>
      </c>
      <c r="B149" t="inlineStr">
        <is>
          <t>924</t>
        </is>
      </c>
      <c r="C149" t="inlineStr">
        <is>
          <t>S2S No Premium</t>
        </is>
      </c>
      <c r="D149" t="inlineStr">
        <is>
          <t>N2_Mosqueira, Federi</t>
        </is>
      </c>
      <c r="E149" t="inlineStr">
        <is>
          <t>606306</t>
        </is>
      </c>
      <c r="F149" s="2" t="inlineStr">
        <is>
          <t>10:30</t>
        </is>
      </c>
      <c r="G149" t="inlineStr">
        <is>
          <t>-</t>
        </is>
      </c>
      <c r="H149" s="2" t="inlineStr">
        <is>
          <t>11:00</t>
        </is>
      </c>
      <c r="I149" t="inlineStr">
        <is>
          <t>186,000000000</t>
        </is>
      </c>
      <c r="J149" t="inlineStr">
        <is>
          <t>,000000000</t>
        </is>
      </c>
      <c r="K149" t="inlineStr">
        <is>
          <t>,000000000</t>
        </is>
      </c>
      <c r="L149" t="inlineStr">
        <is>
          <t>6,000000000</t>
        </is>
      </c>
      <c r="M149" t="inlineStr">
        <is>
          <t>,000000000</t>
        </is>
      </c>
      <c r="N149" t="inlineStr">
        <is>
          <t>,000000000</t>
        </is>
      </c>
      <c r="O149" t="inlineStr">
        <is>
          <t>,000000000</t>
        </is>
      </c>
      <c r="P149" t="inlineStr">
        <is>
          <t>,000000000</t>
        </is>
      </c>
      <c r="Q149" t="inlineStr">
        <is>
          <t>,000000000</t>
        </is>
      </c>
      <c r="R149" t="inlineStr">
        <is>
          <t>,000000000</t>
        </is>
      </c>
      <c r="S149" t="inlineStr">
        <is>
          <t>,000000000</t>
        </is>
      </c>
      <c r="T149" t="inlineStr">
        <is>
          <t>,000000000</t>
        </is>
      </c>
      <c r="U149" t="inlineStr">
        <is>
          <t>,000000000</t>
        </is>
      </c>
      <c r="V149" t="inlineStr">
        <is>
          <t>,000000000</t>
        </is>
      </c>
      <c r="W149" t="inlineStr">
        <is>
          <t>,000000000</t>
        </is>
      </c>
      <c r="X149" t="inlineStr">
        <is>
          <t>,000000000</t>
        </is>
      </c>
      <c r="Y149" t="inlineStr">
        <is>
          <t>,000000000</t>
        </is>
      </c>
      <c r="Z149" t="inlineStr">
        <is>
          <t>,000000000</t>
        </is>
      </c>
      <c r="AA149" t="inlineStr">
        <is>
          <t>,000000000</t>
        </is>
      </c>
      <c r="AB149" t="inlineStr">
        <is>
          <t>0</t>
        </is>
      </c>
      <c r="AC149" t="inlineStr">
        <is>
          <t>0</t>
        </is>
      </c>
      <c r="AD149" s="3">
        <f>UPPER(C3)</f>
        <v/>
      </c>
      <c r="AE149" s="3">
        <f>VLOOKUP(E3,'[1]Nómina Agentes'!$C:$D,3,0)</f>
        <v/>
      </c>
      <c r="AF149" s="5">
        <f>F3</f>
        <v/>
      </c>
      <c r="AG149" s="5">
        <f>H3</f>
        <v/>
      </c>
    </row>
    <row r="150">
      <c r="A150" s="1" t="inlineStr">
        <is>
          <t>9/10/2024</t>
        </is>
      </c>
      <c r="B150" t="inlineStr">
        <is>
          <t>924</t>
        </is>
      </c>
      <c r="C150" t="inlineStr">
        <is>
          <t>S2S No Premium</t>
        </is>
      </c>
      <c r="D150" t="inlineStr">
        <is>
          <t>N2_Ramos Lastra</t>
        </is>
      </c>
      <c r="E150" t="inlineStr">
        <is>
          <t>606320</t>
        </is>
      </c>
      <c r="F150" s="2" t="inlineStr">
        <is>
          <t>09:30</t>
        </is>
      </c>
      <c r="G150" t="inlineStr">
        <is>
          <t>-</t>
        </is>
      </c>
      <c r="H150" s="2" t="inlineStr">
        <is>
          <t>10:00</t>
        </is>
      </c>
      <c r="I150" t="inlineStr">
        <is>
          <t>53,000000000</t>
        </is>
      </c>
      <c r="J150" t="inlineStr">
        <is>
          <t>,000000000</t>
        </is>
      </c>
      <c r="K150" t="inlineStr">
        <is>
          <t>,000000000</t>
        </is>
      </c>
      <c r="L150" t="inlineStr">
        <is>
          <t>,000000000</t>
        </is>
      </c>
      <c r="M150" t="inlineStr">
        <is>
          <t>,000000000</t>
        </is>
      </c>
      <c r="N150" t="inlineStr">
        <is>
          <t>,000000000</t>
        </is>
      </c>
      <c r="O150" t="inlineStr">
        <is>
          <t>,000000000</t>
        </is>
      </c>
      <c r="P150" t="inlineStr">
        <is>
          <t>31,000000000</t>
        </is>
      </c>
      <c r="Q150" t="inlineStr">
        <is>
          <t>,000000000</t>
        </is>
      </c>
      <c r="R150" t="inlineStr">
        <is>
          <t>,000000000</t>
        </is>
      </c>
      <c r="S150" t="inlineStr">
        <is>
          <t>,000000000</t>
        </is>
      </c>
      <c r="T150" t="inlineStr">
        <is>
          <t>,000000000</t>
        </is>
      </c>
      <c r="U150" t="inlineStr">
        <is>
          <t>,000000000</t>
        </is>
      </c>
      <c r="V150" t="inlineStr">
        <is>
          <t>,000000000</t>
        </is>
      </c>
      <c r="W150" t="inlineStr">
        <is>
          <t>,000000000</t>
        </is>
      </c>
      <c r="X150" t="inlineStr">
        <is>
          <t>,000000000</t>
        </is>
      </c>
      <c r="Y150" t="inlineStr">
        <is>
          <t>,000000000</t>
        </is>
      </c>
      <c r="Z150" t="inlineStr">
        <is>
          <t>,000000000</t>
        </is>
      </c>
      <c r="AA150" t="inlineStr">
        <is>
          <t>,000000000</t>
        </is>
      </c>
      <c r="AB150" t="inlineStr">
        <is>
          <t>1</t>
        </is>
      </c>
      <c r="AC150" t="inlineStr">
        <is>
          <t>0</t>
        </is>
      </c>
      <c r="AD150" s="3">
        <f>UPPER(C3)</f>
        <v/>
      </c>
      <c r="AE150" s="3">
        <f>VLOOKUP(E3,'[1]Nómina Agentes'!$C:$D,3,0)</f>
        <v/>
      </c>
      <c r="AF150" s="5">
        <f>F3</f>
        <v/>
      </c>
      <c r="AG150" s="5">
        <f>H3</f>
        <v/>
      </c>
    </row>
    <row r="151">
      <c r="A151" s="1" t="inlineStr">
        <is>
          <t>9/10/2024</t>
        </is>
      </c>
      <c r="B151" t="inlineStr">
        <is>
          <t>924</t>
        </is>
      </c>
      <c r="C151" t="inlineStr">
        <is>
          <t>S2S No Premium</t>
        </is>
      </c>
      <c r="D151" t="inlineStr">
        <is>
          <t>N2_Ramos Lastra</t>
        </is>
      </c>
      <c r="E151" t="inlineStr">
        <is>
          <t>606320</t>
        </is>
      </c>
      <c r="F151" s="2" t="inlineStr">
        <is>
          <t>10:00</t>
        </is>
      </c>
      <c r="G151" t="inlineStr">
        <is>
          <t>-</t>
        </is>
      </c>
      <c r="H151" s="2" t="inlineStr">
        <is>
          <t>10:30</t>
        </is>
      </c>
      <c r="I151" t="inlineStr">
        <is>
          <t>721,000000000</t>
        </is>
      </c>
      <c r="J151" t="inlineStr">
        <is>
          <t>,000000000</t>
        </is>
      </c>
      <c r="K151" t="inlineStr">
        <is>
          <t>,000000000</t>
        </is>
      </c>
      <c r="L151" t="inlineStr">
        <is>
          <t>16,000000000</t>
        </is>
      </c>
      <c r="M151" t="inlineStr">
        <is>
          <t>,000000000</t>
        </is>
      </c>
      <c r="N151" t="inlineStr">
        <is>
          <t>,000000000</t>
        </is>
      </c>
      <c r="O151" t="inlineStr">
        <is>
          <t>,000000000</t>
        </is>
      </c>
      <c r="P151" t="inlineStr">
        <is>
          <t>2,000000000</t>
        </is>
      </c>
      <c r="Q151" t="inlineStr">
        <is>
          <t>,000000000</t>
        </is>
      </c>
      <c r="R151" t="inlineStr">
        <is>
          <t>,000000000</t>
        </is>
      </c>
      <c r="S151" t="inlineStr">
        <is>
          <t>,000000000</t>
        </is>
      </c>
      <c r="T151" t="inlineStr">
        <is>
          <t>,000000000</t>
        </is>
      </c>
      <c r="U151" t="inlineStr">
        <is>
          <t>,000000000</t>
        </is>
      </c>
      <c r="V151" t="inlineStr">
        <is>
          <t>,000000000</t>
        </is>
      </c>
      <c r="W151" t="inlineStr">
        <is>
          <t>,000000000</t>
        </is>
      </c>
      <c r="X151" t="inlineStr">
        <is>
          <t>,000000000</t>
        </is>
      </c>
      <c r="Y151" t="inlineStr">
        <is>
          <t>,000000000</t>
        </is>
      </c>
      <c r="Z151" t="inlineStr">
        <is>
          <t>,000000000</t>
        </is>
      </c>
      <c r="AA151" t="inlineStr">
        <is>
          <t>,000000000</t>
        </is>
      </c>
      <c r="AB151" t="inlineStr">
        <is>
          <t>3</t>
        </is>
      </c>
      <c r="AC151" t="inlineStr">
        <is>
          <t>2</t>
        </is>
      </c>
      <c r="AD151" s="3">
        <f>UPPER(C3)</f>
        <v/>
      </c>
      <c r="AE151" s="3">
        <f>VLOOKUP(E3,'[1]Nómina Agentes'!$C:$D,3,0)</f>
        <v/>
      </c>
      <c r="AF151" s="5">
        <f>F3</f>
        <v/>
      </c>
      <c r="AG151" s="5">
        <f>H3</f>
        <v/>
      </c>
    </row>
    <row r="152">
      <c r="A152" s="1" t="inlineStr">
        <is>
          <t>9/10/2024</t>
        </is>
      </c>
      <c r="B152" t="inlineStr">
        <is>
          <t>924</t>
        </is>
      </c>
      <c r="C152" t="inlineStr">
        <is>
          <t>S2S No Premium</t>
        </is>
      </c>
      <c r="D152" t="inlineStr">
        <is>
          <t>N2_Ramos Lastra</t>
        </is>
      </c>
      <c r="E152" t="inlineStr">
        <is>
          <t>606320</t>
        </is>
      </c>
      <c r="F152" s="2" t="inlineStr">
        <is>
          <t>10:30</t>
        </is>
      </c>
      <c r="G152" t="inlineStr">
        <is>
          <t>-</t>
        </is>
      </c>
      <c r="H152" s="2" t="inlineStr">
        <is>
          <t>11:00</t>
        </is>
      </c>
      <c r="I152" t="inlineStr">
        <is>
          <t>818,000000000</t>
        </is>
      </c>
      <c r="J152" t="inlineStr">
        <is>
          <t>,000000000</t>
        </is>
      </c>
      <c r="K152" t="inlineStr">
        <is>
          <t>,000000000</t>
        </is>
      </c>
      <c r="L152" t="inlineStr">
        <is>
          <t>4,000000000</t>
        </is>
      </c>
      <c r="M152" t="inlineStr">
        <is>
          <t>,000000000</t>
        </is>
      </c>
      <c r="N152" t="inlineStr">
        <is>
          <t>,000000000</t>
        </is>
      </c>
      <c r="O152" t="inlineStr">
        <is>
          <t>,000000000</t>
        </is>
      </c>
      <c r="P152" t="inlineStr">
        <is>
          <t>2,000000000</t>
        </is>
      </c>
      <c r="Q152" t="inlineStr">
        <is>
          <t>,000000000</t>
        </is>
      </c>
      <c r="R152" t="inlineStr">
        <is>
          <t>,000000000</t>
        </is>
      </c>
      <c r="S152" t="inlineStr">
        <is>
          <t>,000000000</t>
        </is>
      </c>
      <c r="T152" t="inlineStr">
        <is>
          <t>,000000000</t>
        </is>
      </c>
      <c r="U152" t="inlineStr">
        <is>
          <t>,000000000</t>
        </is>
      </c>
      <c r="V152" t="inlineStr">
        <is>
          <t>,000000000</t>
        </is>
      </c>
      <c r="W152" t="inlineStr">
        <is>
          <t>,000000000</t>
        </is>
      </c>
      <c r="X152" t="inlineStr">
        <is>
          <t>,000000000</t>
        </is>
      </c>
      <c r="Y152" t="inlineStr">
        <is>
          <t>,000000000</t>
        </is>
      </c>
      <c r="Z152" t="inlineStr">
        <is>
          <t>,000000000</t>
        </is>
      </c>
      <c r="AA152" t="inlineStr">
        <is>
          <t>,000000000</t>
        </is>
      </c>
      <c r="AB152" t="inlineStr">
        <is>
          <t>2</t>
        </is>
      </c>
      <c r="AC152" t="inlineStr">
        <is>
          <t>2</t>
        </is>
      </c>
      <c r="AD152" s="3">
        <f>UPPER(C3)</f>
        <v/>
      </c>
      <c r="AE152" s="3">
        <f>VLOOKUP(E3,'[1]Nómina Agentes'!$C:$D,3,0)</f>
        <v/>
      </c>
      <c r="AF152" s="5">
        <f>F3</f>
        <v/>
      </c>
      <c r="AG152" s="5">
        <f>H3</f>
        <v/>
      </c>
    </row>
    <row r="153">
      <c r="A153" s="1" t="inlineStr">
        <is>
          <t>9/10/2024</t>
        </is>
      </c>
      <c r="B153" t="inlineStr">
        <is>
          <t>924</t>
        </is>
      </c>
      <c r="C153" t="inlineStr">
        <is>
          <t>S2S No Premium</t>
        </is>
      </c>
      <c r="D153" t="inlineStr">
        <is>
          <t>N2_Ramos Lastra</t>
        </is>
      </c>
      <c r="E153" t="inlineStr">
        <is>
          <t>606320</t>
        </is>
      </c>
      <c r="F153" s="2" t="inlineStr">
        <is>
          <t>09:00</t>
        </is>
      </c>
      <c r="G153" t="inlineStr">
        <is>
          <t>-</t>
        </is>
      </c>
      <c r="H153" s="2" t="inlineStr">
        <is>
          <t>09:30</t>
        </is>
      </c>
      <c r="I153" t="inlineStr">
        <is>
          <t>994,000000000</t>
        </is>
      </c>
      <c r="J153" t="inlineStr">
        <is>
          <t>,000000000</t>
        </is>
      </c>
      <c r="K153" t="inlineStr">
        <is>
          <t>,000000000</t>
        </is>
      </c>
      <c r="L153" t="inlineStr">
        <is>
          <t>17,000000000</t>
        </is>
      </c>
      <c r="M153" t="inlineStr">
        <is>
          <t>,000000000</t>
        </is>
      </c>
      <c r="N153" t="inlineStr">
        <is>
          <t>,000000000</t>
        </is>
      </c>
      <c r="O153" t="inlineStr">
        <is>
          <t>,000000000</t>
        </is>
      </c>
      <c r="P153" t="inlineStr">
        <is>
          <t>3,000000000</t>
        </is>
      </c>
      <c r="Q153" t="inlineStr">
        <is>
          <t>,000000000</t>
        </is>
      </c>
      <c r="R153" t="inlineStr">
        <is>
          <t>,000000000</t>
        </is>
      </c>
      <c r="S153" t="inlineStr">
        <is>
          <t>,000000000</t>
        </is>
      </c>
      <c r="T153" t="inlineStr">
        <is>
          <t>,000000000</t>
        </is>
      </c>
      <c r="U153" t="inlineStr">
        <is>
          <t>,000000000</t>
        </is>
      </c>
      <c r="V153" t="inlineStr">
        <is>
          <t>,000000000</t>
        </is>
      </c>
      <c r="W153" t="inlineStr">
        <is>
          <t>,000000000</t>
        </is>
      </c>
      <c r="X153" t="inlineStr">
        <is>
          <t>,000000000</t>
        </is>
      </c>
      <c r="Y153" t="inlineStr">
        <is>
          <t>,000000000</t>
        </is>
      </c>
      <c r="Z153" t="inlineStr">
        <is>
          <t>,000000000</t>
        </is>
      </c>
      <c r="AA153" t="inlineStr">
        <is>
          <t>,000000000</t>
        </is>
      </c>
      <c r="AB153" t="inlineStr">
        <is>
          <t>3</t>
        </is>
      </c>
      <c r="AC153" t="inlineStr">
        <is>
          <t>3</t>
        </is>
      </c>
      <c r="AD153" s="3">
        <f>UPPER(C3)</f>
        <v/>
      </c>
      <c r="AE153" s="3">
        <f>VLOOKUP(E3,'[1]Nómina Agentes'!$C:$D,3,0)</f>
        <v/>
      </c>
      <c r="AF153" s="5">
        <f>F3</f>
        <v/>
      </c>
      <c r="AG153" s="5">
        <f>H3</f>
        <v/>
      </c>
    </row>
    <row r="154">
      <c r="A154" s="1" t="inlineStr">
        <is>
          <t>9/10/2024</t>
        </is>
      </c>
      <c r="B154" t="inlineStr">
        <is>
          <t>925</t>
        </is>
      </c>
      <c r="C154" t="inlineStr">
        <is>
          <t>S2S Premium</t>
        </is>
      </c>
      <c r="D154" t="inlineStr">
        <is>
          <t>Pm_MartinezCarolina</t>
        </is>
      </c>
      <c r="E154" t="inlineStr">
        <is>
          <t>606335</t>
        </is>
      </c>
      <c r="F154" s="2" t="inlineStr">
        <is>
          <t>09:00</t>
        </is>
      </c>
      <c r="G154" t="inlineStr">
        <is>
          <t>-</t>
        </is>
      </c>
      <c r="H154" s="2" t="inlineStr">
        <is>
          <t>09:30</t>
        </is>
      </c>
      <c r="I154" t="inlineStr">
        <is>
          <t>,000000000</t>
        </is>
      </c>
      <c r="J154" t="inlineStr">
        <is>
          <t>,000000000</t>
        </is>
      </c>
      <c r="K154" t="inlineStr">
        <is>
          <t>,000000000</t>
        </is>
      </c>
      <c r="L154" t="inlineStr">
        <is>
          <t>,000000000</t>
        </is>
      </c>
      <c r="M154" t="inlineStr">
        <is>
          <t>,000000000</t>
        </is>
      </c>
      <c r="N154" t="inlineStr">
        <is>
          <t>,000000000</t>
        </is>
      </c>
      <c r="O154" t="inlineStr">
        <is>
          <t>,000000000</t>
        </is>
      </c>
      <c r="P154" t="inlineStr">
        <is>
          <t>,000000000</t>
        </is>
      </c>
      <c r="Q154" t="inlineStr">
        <is>
          <t>,000000000</t>
        </is>
      </c>
      <c r="R154" t="inlineStr">
        <is>
          <t>,000000000</t>
        </is>
      </c>
      <c r="S154" t="inlineStr">
        <is>
          <t>,000000000</t>
        </is>
      </c>
      <c r="T154" t="inlineStr">
        <is>
          <t>,000000000</t>
        </is>
      </c>
      <c r="U154" t="inlineStr">
        <is>
          <t>,000000000</t>
        </is>
      </c>
      <c r="V154" t="inlineStr">
        <is>
          <t>,000000000</t>
        </is>
      </c>
      <c r="W154" t="inlineStr">
        <is>
          <t>,000000000</t>
        </is>
      </c>
      <c r="X154" t="inlineStr">
        <is>
          <t>,000000000</t>
        </is>
      </c>
      <c r="Y154" t="inlineStr">
        <is>
          <t>,000000000</t>
        </is>
      </c>
      <c r="Z154" t="inlineStr">
        <is>
          <t>,000000000</t>
        </is>
      </c>
      <c r="AA154" t="inlineStr">
        <is>
          <t>,000000000</t>
        </is>
      </c>
      <c r="AB154" t="inlineStr">
        <is>
          <t>0</t>
        </is>
      </c>
      <c r="AC154" t="inlineStr">
        <is>
          <t>0</t>
        </is>
      </c>
      <c r="AD154" s="3">
        <f>UPPER(C3)</f>
        <v/>
      </c>
      <c r="AE154" s="3">
        <f>VLOOKUP(E3,'[1]Nómina Agentes'!$C:$D,3,0)</f>
        <v/>
      </c>
      <c r="AF154" s="5">
        <f>F3</f>
        <v/>
      </c>
      <c r="AG154" s="5">
        <f>H3</f>
        <v/>
      </c>
    </row>
    <row r="155">
      <c r="A155" s="1" t="inlineStr">
        <is>
          <t>9/10/2024</t>
        </is>
      </c>
      <c r="B155" t="inlineStr">
        <is>
          <t>925</t>
        </is>
      </c>
      <c r="C155" t="inlineStr">
        <is>
          <t>S2S Premium</t>
        </is>
      </c>
      <c r="D155" t="inlineStr">
        <is>
          <t>Pm_MartinezCarolina</t>
        </is>
      </c>
      <c r="E155" t="inlineStr">
        <is>
          <t>606335</t>
        </is>
      </c>
      <c r="F155" s="2" t="inlineStr">
        <is>
          <t>08:30</t>
        </is>
      </c>
      <c r="G155" t="inlineStr">
        <is>
          <t>-</t>
        </is>
      </c>
      <c r="H155" s="2" t="inlineStr">
        <is>
          <t>09:00</t>
        </is>
      </c>
      <c r="I155" t="inlineStr">
        <is>
          <t>,000000000</t>
        </is>
      </c>
      <c r="J155" t="inlineStr">
        <is>
          <t>,000000000</t>
        </is>
      </c>
      <c r="K155" t="inlineStr">
        <is>
          <t>,000000000</t>
        </is>
      </c>
      <c r="L155" t="inlineStr">
        <is>
          <t>,000000000</t>
        </is>
      </c>
      <c r="M155" t="inlineStr">
        <is>
          <t>,000000000</t>
        </is>
      </c>
      <c r="N155" t="inlineStr">
        <is>
          <t>,000000000</t>
        </is>
      </c>
      <c r="O155" t="inlineStr">
        <is>
          <t>,000000000</t>
        </is>
      </c>
      <c r="P155" t="inlineStr">
        <is>
          <t>,000000000</t>
        </is>
      </c>
      <c r="Q155" t="inlineStr">
        <is>
          <t>,000000000</t>
        </is>
      </c>
      <c r="R155" t="inlineStr">
        <is>
          <t>,000000000</t>
        </is>
      </c>
      <c r="S155" t="inlineStr">
        <is>
          <t>,000000000</t>
        </is>
      </c>
      <c r="T155" t="inlineStr">
        <is>
          <t>,000000000</t>
        </is>
      </c>
      <c r="U155" t="inlineStr">
        <is>
          <t>,000000000</t>
        </is>
      </c>
      <c r="V155" t="inlineStr">
        <is>
          <t>,000000000</t>
        </is>
      </c>
      <c r="W155" t="inlineStr">
        <is>
          <t>,000000000</t>
        </is>
      </c>
      <c r="X155" t="inlineStr">
        <is>
          <t>,000000000</t>
        </is>
      </c>
      <c r="Y155" t="inlineStr">
        <is>
          <t>,000000000</t>
        </is>
      </c>
      <c r="Z155" t="inlineStr">
        <is>
          <t>,000000000</t>
        </is>
      </c>
      <c r="AA155" t="inlineStr">
        <is>
          <t>,000000000</t>
        </is>
      </c>
      <c r="AB155" t="inlineStr">
        <is>
          <t>0</t>
        </is>
      </c>
      <c r="AC155" t="inlineStr">
        <is>
          <t>0</t>
        </is>
      </c>
      <c r="AD155" s="3">
        <f>UPPER(C3)</f>
        <v/>
      </c>
      <c r="AE155" s="3">
        <f>VLOOKUP(E3,'[1]Nómina Agentes'!$C:$D,3,0)</f>
        <v/>
      </c>
      <c r="AF155" s="5">
        <f>F3</f>
        <v/>
      </c>
      <c r="AG155" s="5">
        <f>H3</f>
        <v/>
      </c>
    </row>
    <row r="156">
      <c r="A156" s="1" t="inlineStr">
        <is>
          <t>9/10/2024</t>
        </is>
      </c>
      <c r="B156" t="inlineStr">
        <is>
          <t>925</t>
        </is>
      </c>
      <c r="C156" t="inlineStr">
        <is>
          <t>S2S Premium</t>
        </is>
      </c>
      <c r="D156" t="inlineStr">
        <is>
          <t>P_Romero, Franco</t>
        </is>
      </c>
      <c r="E156" t="inlineStr">
        <is>
          <t>606349</t>
        </is>
      </c>
      <c r="F156" s="2" t="inlineStr">
        <is>
          <t>07:30</t>
        </is>
      </c>
      <c r="G156" t="inlineStr">
        <is>
          <t>-</t>
        </is>
      </c>
      <c r="H156" s="2" t="inlineStr">
        <is>
          <t>08:00</t>
        </is>
      </c>
      <c r="I156" t="inlineStr">
        <is>
          <t>,000000000</t>
        </is>
      </c>
      <c r="J156" t="inlineStr">
        <is>
          <t>,000000000</t>
        </is>
      </c>
      <c r="K156" t="inlineStr">
        <is>
          <t>,000000000</t>
        </is>
      </c>
      <c r="L156" t="inlineStr">
        <is>
          <t>,000000000</t>
        </is>
      </c>
      <c r="M156" t="inlineStr">
        <is>
          <t>,000000000</t>
        </is>
      </c>
      <c r="N156" t="inlineStr">
        <is>
          <t>,000000000</t>
        </is>
      </c>
      <c r="O156" t="inlineStr">
        <is>
          <t>,000000000</t>
        </is>
      </c>
      <c r="P156" t="inlineStr">
        <is>
          <t>,000000000</t>
        </is>
      </c>
      <c r="Q156" t="inlineStr">
        <is>
          <t>,000000000</t>
        </is>
      </c>
      <c r="R156" t="inlineStr">
        <is>
          <t>,000000000</t>
        </is>
      </c>
      <c r="S156" t="inlineStr">
        <is>
          <t>,000000000</t>
        </is>
      </c>
      <c r="T156" t="inlineStr">
        <is>
          <t>,000000000</t>
        </is>
      </c>
      <c r="U156" t="inlineStr">
        <is>
          <t>,000000000</t>
        </is>
      </c>
      <c r="V156" t="inlineStr">
        <is>
          <t>,000000000</t>
        </is>
      </c>
      <c r="W156" t="inlineStr">
        <is>
          <t>,000000000</t>
        </is>
      </c>
      <c r="X156" t="inlineStr">
        <is>
          <t>,000000000</t>
        </is>
      </c>
      <c r="Y156" t="inlineStr">
        <is>
          <t>,000000000</t>
        </is>
      </c>
      <c r="Z156" t="inlineStr">
        <is>
          <t>,000000000</t>
        </is>
      </c>
      <c r="AA156" t="inlineStr">
        <is>
          <t>,000000000</t>
        </is>
      </c>
      <c r="AB156" t="inlineStr">
        <is>
          <t>0</t>
        </is>
      </c>
      <c r="AC156" t="inlineStr">
        <is>
          <t>0</t>
        </is>
      </c>
      <c r="AD156" s="3">
        <f>UPPER(C3)</f>
        <v/>
      </c>
      <c r="AE156" s="3">
        <f>VLOOKUP(E3,'[1]Nómina Agentes'!$C:$D,3,0)</f>
        <v/>
      </c>
      <c r="AF156" s="5">
        <f>F3</f>
        <v/>
      </c>
      <c r="AG156" s="5">
        <f>H3</f>
        <v/>
      </c>
    </row>
    <row r="157">
      <c r="A157" s="1" t="inlineStr">
        <is>
          <t>9/10/2024</t>
        </is>
      </c>
      <c r="B157" t="inlineStr">
        <is>
          <t>925</t>
        </is>
      </c>
      <c r="C157" t="inlineStr">
        <is>
          <t>S2S Premium</t>
        </is>
      </c>
      <c r="D157" t="inlineStr">
        <is>
          <t>P_Romero, Franco</t>
        </is>
      </c>
      <c r="E157" t="inlineStr">
        <is>
          <t>606349</t>
        </is>
      </c>
      <c r="F157" s="2" t="inlineStr">
        <is>
          <t>09:00</t>
        </is>
      </c>
      <c r="G157" t="inlineStr">
        <is>
          <t>-</t>
        </is>
      </c>
      <c r="H157" s="2" t="inlineStr">
        <is>
          <t>09:30</t>
        </is>
      </c>
      <c r="I157" t="inlineStr">
        <is>
          <t>215,000000000</t>
        </is>
      </c>
      <c r="J157" t="inlineStr">
        <is>
          <t>,000000000</t>
        </is>
      </c>
      <c r="K157" t="inlineStr">
        <is>
          <t>,000000000</t>
        </is>
      </c>
      <c r="L157" t="inlineStr">
        <is>
          <t>4,000000000</t>
        </is>
      </c>
      <c r="M157" t="inlineStr">
        <is>
          <t>,000000000</t>
        </is>
      </c>
      <c r="N157" t="inlineStr">
        <is>
          <t>,000000000</t>
        </is>
      </c>
      <c r="O157" t="inlineStr">
        <is>
          <t>,000000000</t>
        </is>
      </c>
      <c r="P157" t="inlineStr">
        <is>
          <t>2,000000000</t>
        </is>
      </c>
      <c r="Q157" t="inlineStr">
        <is>
          <t>,000000000</t>
        </is>
      </c>
      <c r="R157" t="inlineStr">
        <is>
          <t>,000000000</t>
        </is>
      </c>
      <c r="S157" t="inlineStr">
        <is>
          <t>,000000000</t>
        </is>
      </c>
      <c r="T157" t="inlineStr">
        <is>
          <t>,000000000</t>
        </is>
      </c>
      <c r="U157" t="inlineStr">
        <is>
          <t>,000000000</t>
        </is>
      </c>
      <c r="V157" t="inlineStr">
        <is>
          <t>,000000000</t>
        </is>
      </c>
      <c r="W157" t="inlineStr">
        <is>
          <t>,000000000</t>
        </is>
      </c>
      <c r="X157" t="inlineStr">
        <is>
          <t>,000000000</t>
        </is>
      </c>
      <c r="Y157" t="inlineStr">
        <is>
          <t>,000000000</t>
        </is>
      </c>
      <c r="Z157" t="inlineStr">
        <is>
          <t>,000000000</t>
        </is>
      </c>
      <c r="AA157" t="inlineStr">
        <is>
          <t>,000000000</t>
        </is>
      </c>
      <c r="AB157" t="inlineStr">
        <is>
          <t>2</t>
        </is>
      </c>
      <c r="AC157" t="inlineStr">
        <is>
          <t>2</t>
        </is>
      </c>
      <c r="AD157" s="3">
        <f>UPPER(C3)</f>
        <v/>
      </c>
      <c r="AE157" s="3">
        <f>VLOOKUP(E3,'[1]Nómina Agentes'!$C:$D,3,0)</f>
        <v/>
      </c>
      <c r="AF157" s="5">
        <f>F3</f>
        <v/>
      </c>
      <c r="AG157" s="5">
        <f>H3</f>
        <v/>
      </c>
    </row>
    <row r="158">
      <c r="A158" s="1" t="inlineStr">
        <is>
          <t>9/10/2024</t>
        </is>
      </c>
      <c r="B158" t="inlineStr">
        <is>
          <t>925</t>
        </is>
      </c>
      <c r="C158" t="inlineStr">
        <is>
          <t>S2S Premium</t>
        </is>
      </c>
      <c r="D158" t="inlineStr">
        <is>
          <t>P_Romero, Franco</t>
        </is>
      </c>
      <c r="E158" t="inlineStr">
        <is>
          <t>606349</t>
        </is>
      </c>
      <c r="F158" s="2" t="inlineStr">
        <is>
          <t>08:00</t>
        </is>
      </c>
      <c r="G158" t="inlineStr">
        <is>
          <t>-</t>
        </is>
      </c>
      <c r="H158" s="2" t="inlineStr">
        <is>
          <t>08:30</t>
        </is>
      </c>
      <c r="I158" t="inlineStr">
        <is>
          <t>488,000000000</t>
        </is>
      </c>
      <c r="J158" t="inlineStr">
        <is>
          <t>,000000000</t>
        </is>
      </c>
      <c r="K158" t="inlineStr">
        <is>
          <t>,000000000</t>
        </is>
      </c>
      <c r="L158" t="inlineStr">
        <is>
          <t>24,000000000</t>
        </is>
      </c>
      <c r="M158" t="inlineStr">
        <is>
          <t>,000000000</t>
        </is>
      </c>
      <c r="N158" t="inlineStr">
        <is>
          <t>,000000000</t>
        </is>
      </c>
      <c r="O158" t="inlineStr">
        <is>
          <t>,000000000</t>
        </is>
      </c>
      <c r="P158" t="inlineStr">
        <is>
          <t>178,000000000</t>
        </is>
      </c>
      <c r="Q158" t="inlineStr">
        <is>
          <t>,000000000</t>
        </is>
      </c>
      <c r="R158" t="inlineStr">
        <is>
          <t>,000000000</t>
        </is>
      </c>
      <c r="S158" t="inlineStr">
        <is>
          <t>,000000000</t>
        </is>
      </c>
      <c r="T158" t="inlineStr">
        <is>
          <t>,000000000</t>
        </is>
      </c>
      <c r="U158" t="inlineStr">
        <is>
          <t>,000000000</t>
        </is>
      </c>
      <c r="V158" t="inlineStr">
        <is>
          <t>,000000000</t>
        </is>
      </c>
      <c r="W158" t="inlineStr">
        <is>
          <t>,000000000</t>
        </is>
      </c>
      <c r="X158" t="inlineStr">
        <is>
          <t>,000000000</t>
        </is>
      </c>
      <c r="Y158" t="inlineStr">
        <is>
          <t>,000000000</t>
        </is>
      </c>
      <c r="Z158" t="inlineStr">
        <is>
          <t>,000000000</t>
        </is>
      </c>
      <c r="AA158" t="inlineStr">
        <is>
          <t>,000000000</t>
        </is>
      </c>
      <c r="AB158" t="inlineStr">
        <is>
          <t>5</t>
        </is>
      </c>
      <c r="AC158" t="inlineStr">
        <is>
          <t>5</t>
        </is>
      </c>
      <c r="AD158" s="3">
        <f>UPPER(C3)</f>
        <v/>
      </c>
      <c r="AE158" s="3">
        <f>VLOOKUP(E3,'[1]Nómina Agentes'!$C:$D,3,0)</f>
        <v/>
      </c>
      <c r="AF158" s="5">
        <f>F3</f>
        <v/>
      </c>
      <c r="AG158" s="5">
        <f>H3</f>
        <v/>
      </c>
    </row>
    <row r="159">
      <c r="A159" s="1" t="inlineStr">
        <is>
          <t>9/10/2024</t>
        </is>
      </c>
      <c r="B159" t="inlineStr">
        <is>
          <t>925</t>
        </is>
      </c>
      <c r="C159" t="inlineStr">
        <is>
          <t>S2S Premium</t>
        </is>
      </c>
      <c r="D159" t="inlineStr">
        <is>
          <t>P_Romero, Franco</t>
        </is>
      </c>
      <c r="E159" t="inlineStr">
        <is>
          <t>606349</t>
        </is>
      </c>
      <c r="F159" s="2" t="inlineStr">
        <is>
          <t>08:30</t>
        </is>
      </c>
      <c r="G159" t="inlineStr">
        <is>
          <t>-</t>
        </is>
      </c>
      <c r="H159" s="2" t="inlineStr">
        <is>
          <t>09:00</t>
        </is>
      </c>
      <c r="I159" t="inlineStr">
        <is>
          <t>1301,000000000</t>
        </is>
      </c>
      <c r="J159" t="inlineStr">
        <is>
          <t>,000000000</t>
        </is>
      </c>
      <c r="K159" t="inlineStr">
        <is>
          <t>,000000000</t>
        </is>
      </c>
      <c r="L159" t="inlineStr">
        <is>
          <t>30,000000000</t>
        </is>
      </c>
      <c r="M159" t="inlineStr">
        <is>
          <t>,000000000</t>
        </is>
      </c>
      <c r="N159" t="inlineStr">
        <is>
          <t>,000000000</t>
        </is>
      </c>
      <c r="O159" t="inlineStr">
        <is>
          <t>,000000000</t>
        </is>
      </c>
      <c r="P159" t="inlineStr">
        <is>
          <t>6,000000000</t>
        </is>
      </c>
      <c r="Q159" t="inlineStr">
        <is>
          <t>,000000000</t>
        </is>
      </c>
      <c r="R159" t="inlineStr">
        <is>
          <t>,000000000</t>
        </is>
      </c>
      <c r="S159" t="inlineStr">
        <is>
          <t>,000000000</t>
        </is>
      </c>
      <c r="T159" t="inlineStr">
        <is>
          <t>,000000000</t>
        </is>
      </c>
      <c r="U159" t="inlineStr">
        <is>
          <t>,000000000</t>
        </is>
      </c>
      <c r="V159" t="inlineStr">
        <is>
          <t>,000000000</t>
        </is>
      </c>
      <c r="W159" t="inlineStr">
        <is>
          <t>,000000000</t>
        </is>
      </c>
      <c r="X159" t="inlineStr">
        <is>
          <t>,000000000</t>
        </is>
      </c>
      <c r="Y159" t="inlineStr">
        <is>
          <t>,000000000</t>
        </is>
      </c>
      <c r="Z159" t="inlineStr">
        <is>
          <t>,000000000</t>
        </is>
      </c>
      <c r="AA159" t="inlineStr">
        <is>
          <t>,000000000</t>
        </is>
      </c>
      <c r="AB159" t="inlineStr">
        <is>
          <t>6</t>
        </is>
      </c>
      <c r="AC159" t="inlineStr">
        <is>
          <t>6</t>
        </is>
      </c>
      <c r="AD159" s="3">
        <f>UPPER(C3)</f>
        <v/>
      </c>
      <c r="AE159" s="3">
        <f>VLOOKUP(E3,'[1]Nómina Agentes'!$C:$D,3,0)</f>
        <v/>
      </c>
      <c r="AF159" s="5">
        <f>F3</f>
        <v/>
      </c>
      <c r="AG159" s="5">
        <f>H3</f>
        <v/>
      </c>
    </row>
    <row r="160">
      <c r="A160" s="1" t="inlineStr">
        <is>
          <t>9/10/2024</t>
        </is>
      </c>
      <c r="B160" t="inlineStr">
        <is>
          <t>924</t>
        </is>
      </c>
      <c r="C160" t="inlineStr">
        <is>
          <t>S2S No Premium</t>
        </is>
      </c>
      <c r="D160" t="inlineStr">
        <is>
          <t>N2_Padilla, Ruth</t>
        </is>
      </c>
      <c r="E160" t="inlineStr">
        <is>
          <t>606357</t>
        </is>
      </c>
      <c r="F160" s="2" t="inlineStr">
        <is>
          <t>06:30</t>
        </is>
      </c>
      <c r="G160" t="inlineStr">
        <is>
          <t>-</t>
        </is>
      </c>
      <c r="H160" s="2" t="inlineStr">
        <is>
          <t>07:00</t>
        </is>
      </c>
      <c r="I160" t="inlineStr">
        <is>
          <t>,000000000</t>
        </is>
      </c>
      <c r="J160" t="inlineStr">
        <is>
          <t>,000000000</t>
        </is>
      </c>
      <c r="K160" t="inlineStr">
        <is>
          <t>,000000000</t>
        </is>
      </c>
      <c r="L160" t="inlineStr">
        <is>
          <t>,000000000</t>
        </is>
      </c>
      <c r="M160" t="inlineStr">
        <is>
          <t>,000000000</t>
        </is>
      </c>
      <c r="N160" t="inlineStr">
        <is>
          <t>,000000000</t>
        </is>
      </c>
      <c r="O160" t="inlineStr">
        <is>
          <t>,000000000</t>
        </is>
      </c>
      <c r="P160" t="inlineStr">
        <is>
          <t>,000000000</t>
        </is>
      </c>
      <c r="Q160" t="inlineStr">
        <is>
          <t>,000000000</t>
        </is>
      </c>
      <c r="R160" t="inlineStr">
        <is>
          <t>,000000000</t>
        </is>
      </c>
      <c r="S160" t="inlineStr">
        <is>
          <t>,000000000</t>
        </is>
      </c>
      <c r="T160" t="inlineStr">
        <is>
          <t>,000000000</t>
        </is>
      </c>
      <c r="U160" t="inlineStr">
        <is>
          <t>,000000000</t>
        </is>
      </c>
      <c r="V160" t="inlineStr">
        <is>
          <t>,000000000</t>
        </is>
      </c>
      <c r="W160" t="inlineStr">
        <is>
          <t>,000000000</t>
        </is>
      </c>
      <c r="X160" t="inlineStr">
        <is>
          <t>,000000000</t>
        </is>
      </c>
      <c r="Y160" t="inlineStr">
        <is>
          <t>,000000000</t>
        </is>
      </c>
      <c r="Z160" t="inlineStr">
        <is>
          <t>,000000000</t>
        </is>
      </c>
      <c r="AA160" t="inlineStr">
        <is>
          <t>,000000000</t>
        </is>
      </c>
      <c r="AB160" t="inlineStr">
        <is>
          <t>0</t>
        </is>
      </c>
      <c r="AC160" t="inlineStr">
        <is>
          <t>0</t>
        </is>
      </c>
      <c r="AD160" s="3">
        <f>UPPER(C3)</f>
        <v/>
      </c>
      <c r="AE160" s="3">
        <f>VLOOKUP(E3,'[1]Nómina Agentes'!$C:$D,3,0)</f>
        <v/>
      </c>
      <c r="AF160" s="5">
        <f>F3</f>
        <v/>
      </c>
      <c r="AG160" s="5">
        <f>H3</f>
        <v/>
      </c>
    </row>
    <row r="161">
      <c r="A161" s="1" t="inlineStr">
        <is>
          <t>9/10/2024</t>
        </is>
      </c>
      <c r="B161" t="inlineStr">
        <is>
          <t>924</t>
        </is>
      </c>
      <c r="C161" t="inlineStr">
        <is>
          <t>S2S No Premium</t>
        </is>
      </c>
      <c r="D161" t="inlineStr">
        <is>
          <t>N2_Padilla, Ruth</t>
        </is>
      </c>
      <c r="E161" t="inlineStr">
        <is>
          <t>606357</t>
        </is>
      </c>
      <c r="F161" s="2" t="inlineStr">
        <is>
          <t>08:30</t>
        </is>
      </c>
      <c r="G161" t="inlineStr">
        <is>
          <t>-</t>
        </is>
      </c>
      <c r="H161" s="2" t="inlineStr">
        <is>
          <t>09:00</t>
        </is>
      </c>
      <c r="I161" t="inlineStr">
        <is>
          <t>,000000000</t>
        </is>
      </c>
      <c r="J161" t="inlineStr">
        <is>
          <t>,000000000</t>
        </is>
      </c>
      <c r="K161" t="inlineStr">
        <is>
          <t>,000000000</t>
        </is>
      </c>
      <c r="L161" t="inlineStr">
        <is>
          <t>,000000000</t>
        </is>
      </c>
      <c r="M161" t="inlineStr">
        <is>
          <t>,000000000</t>
        </is>
      </c>
      <c r="N161" t="inlineStr">
        <is>
          <t>,000000000</t>
        </is>
      </c>
      <c r="O161" t="inlineStr">
        <is>
          <t>,000000000</t>
        </is>
      </c>
      <c r="P161" t="inlineStr">
        <is>
          <t>,000000000</t>
        </is>
      </c>
      <c r="Q161" t="inlineStr">
        <is>
          <t>,000000000</t>
        </is>
      </c>
      <c r="R161" t="inlineStr">
        <is>
          <t>,000000000</t>
        </is>
      </c>
      <c r="S161" t="inlineStr">
        <is>
          <t>,000000000</t>
        </is>
      </c>
      <c r="T161" t="inlineStr">
        <is>
          <t>,000000000</t>
        </is>
      </c>
      <c r="U161" t="inlineStr">
        <is>
          <t>,000000000</t>
        </is>
      </c>
      <c r="V161" t="inlineStr">
        <is>
          <t>,000000000</t>
        </is>
      </c>
      <c r="W161" t="inlineStr">
        <is>
          <t>,000000000</t>
        </is>
      </c>
      <c r="X161" t="inlineStr">
        <is>
          <t>,000000000</t>
        </is>
      </c>
      <c r="Y161" t="inlineStr">
        <is>
          <t>,000000000</t>
        </is>
      </c>
      <c r="Z161" t="inlineStr">
        <is>
          <t>,000000000</t>
        </is>
      </c>
      <c r="AA161" t="inlineStr">
        <is>
          <t>,000000000</t>
        </is>
      </c>
      <c r="AB161" t="inlineStr">
        <is>
          <t>0</t>
        </is>
      </c>
      <c r="AC161" t="inlineStr">
        <is>
          <t>0</t>
        </is>
      </c>
      <c r="AD161" s="3">
        <f>UPPER(C3)</f>
        <v/>
      </c>
      <c r="AE161" s="3">
        <f>VLOOKUP(E3,'[1]Nómina Agentes'!$C:$D,3,0)</f>
        <v/>
      </c>
      <c r="AF161" s="5">
        <f>F3</f>
        <v/>
      </c>
      <c r="AG161" s="5">
        <f>H3</f>
        <v/>
      </c>
    </row>
    <row r="162">
      <c r="A162" s="1" t="inlineStr">
        <is>
          <t>9/10/2024</t>
        </is>
      </c>
      <c r="B162" t="inlineStr">
        <is>
          <t>924</t>
        </is>
      </c>
      <c r="C162" t="inlineStr">
        <is>
          <t>S2S No Premium</t>
        </is>
      </c>
      <c r="D162" t="inlineStr">
        <is>
          <t>N2_Padilla, Ruth</t>
        </is>
      </c>
      <c r="E162" t="inlineStr">
        <is>
          <t>606357</t>
        </is>
      </c>
      <c r="F162" s="2" t="inlineStr">
        <is>
          <t>07:30</t>
        </is>
      </c>
      <c r="G162" t="inlineStr">
        <is>
          <t>-</t>
        </is>
      </c>
      <c r="H162" s="2" t="inlineStr">
        <is>
          <t>08:00</t>
        </is>
      </c>
      <c r="I162" t="inlineStr">
        <is>
          <t>,000000000</t>
        </is>
      </c>
      <c r="J162" t="inlineStr">
        <is>
          <t>,000000000</t>
        </is>
      </c>
      <c r="K162" t="inlineStr">
        <is>
          <t>,000000000</t>
        </is>
      </c>
      <c r="L162" t="inlineStr">
        <is>
          <t>2,000000000</t>
        </is>
      </c>
      <c r="M162" t="inlineStr">
        <is>
          <t>,000000000</t>
        </is>
      </c>
      <c r="N162" t="inlineStr">
        <is>
          <t>,000000000</t>
        </is>
      </c>
      <c r="O162" t="inlineStr">
        <is>
          <t>,000000000</t>
        </is>
      </c>
      <c r="P162" t="inlineStr">
        <is>
          <t>,000000000</t>
        </is>
      </c>
      <c r="Q162" t="inlineStr">
        <is>
          <t>,000000000</t>
        </is>
      </c>
      <c r="R162" t="inlineStr">
        <is>
          <t>,000000000</t>
        </is>
      </c>
      <c r="S162" t="inlineStr">
        <is>
          <t>,000000000</t>
        </is>
      </c>
      <c r="T162" t="inlineStr">
        <is>
          <t>,000000000</t>
        </is>
      </c>
      <c r="U162" t="inlineStr">
        <is>
          <t>,000000000</t>
        </is>
      </c>
      <c r="V162" t="inlineStr">
        <is>
          <t>,000000000</t>
        </is>
      </c>
      <c r="W162" t="inlineStr">
        <is>
          <t>,000000000</t>
        </is>
      </c>
      <c r="X162" t="inlineStr">
        <is>
          <t>,000000000</t>
        </is>
      </c>
      <c r="Y162" t="inlineStr">
        <is>
          <t>,000000000</t>
        </is>
      </c>
      <c r="Z162" t="inlineStr">
        <is>
          <t>,000000000</t>
        </is>
      </c>
      <c r="AA162" t="inlineStr">
        <is>
          <t>,000000000</t>
        </is>
      </c>
      <c r="AB162" t="inlineStr">
        <is>
          <t>0</t>
        </is>
      </c>
      <c r="AC162" t="inlineStr">
        <is>
          <t>0</t>
        </is>
      </c>
      <c r="AD162" s="3">
        <f>UPPER(C3)</f>
        <v/>
      </c>
      <c r="AE162" s="3">
        <f>VLOOKUP(E3,'[1]Nómina Agentes'!$C:$D,3,0)</f>
        <v/>
      </c>
      <c r="AF162" s="5">
        <f>F3</f>
        <v/>
      </c>
      <c r="AG162" s="5">
        <f>H3</f>
        <v/>
      </c>
    </row>
    <row r="163">
      <c r="A163" s="1" t="inlineStr">
        <is>
          <t>9/10/2024</t>
        </is>
      </c>
      <c r="B163" t="inlineStr">
        <is>
          <t>924</t>
        </is>
      </c>
      <c r="C163" t="inlineStr">
        <is>
          <t>S2S No Premium</t>
        </is>
      </c>
      <c r="D163" t="inlineStr">
        <is>
          <t>N2_Padilla, Ruth</t>
        </is>
      </c>
      <c r="E163" t="inlineStr">
        <is>
          <t>606357</t>
        </is>
      </c>
      <c r="F163" s="2" t="inlineStr">
        <is>
          <t>07:00</t>
        </is>
      </c>
      <c r="G163" t="inlineStr">
        <is>
          <t>-</t>
        </is>
      </c>
      <c r="H163" s="2" t="inlineStr">
        <is>
          <t>07:30</t>
        </is>
      </c>
      <c r="I163" t="inlineStr">
        <is>
          <t>35,000000000</t>
        </is>
      </c>
      <c r="J163" t="inlineStr">
        <is>
          <t>,000000000</t>
        </is>
      </c>
      <c r="K163" t="inlineStr">
        <is>
          <t>,000000000</t>
        </is>
      </c>
      <c r="L163" t="inlineStr">
        <is>
          <t>6,000000000</t>
        </is>
      </c>
      <c r="M163" t="inlineStr">
        <is>
          <t>,000000000</t>
        </is>
      </c>
      <c r="N163" t="inlineStr">
        <is>
          <t>,000000000</t>
        </is>
      </c>
      <c r="O163" t="inlineStr">
        <is>
          <t>,000000000</t>
        </is>
      </c>
      <c r="P163" t="inlineStr">
        <is>
          <t>,000000000</t>
        </is>
      </c>
      <c r="Q163" t="inlineStr">
        <is>
          <t>,000000000</t>
        </is>
      </c>
      <c r="R163" t="inlineStr">
        <is>
          <t>,000000000</t>
        </is>
      </c>
      <c r="S163" t="inlineStr">
        <is>
          <t>,000000000</t>
        </is>
      </c>
      <c r="T163" t="inlineStr">
        <is>
          <t>,000000000</t>
        </is>
      </c>
      <c r="U163" t="inlineStr">
        <is>
          <t>,000000000</t>
        </is>
      </c>
      <c r="V163" t="inlineStr">
        <is>
          <t>,000000000</t>
        </is>
      </c>
      <c r="W163" t="inlineStr">
        <is>
          <t>,000000000</t>
        </is>
      </c>
      <c r="X163" t="inlineStr">
        <is>
          <t>,000000000</t>
        </is>
      </c>
      <c r="Y163" t="inlineStr">
        <is>
          <t>,000000000</t>
        </is>
      </c>
      <c r="Z163" t="inlineStr">
        <is>
          <t>,000000000</t>
        </is>
      </c>
      <c r="AA163" t="inlineStr">
        <is>
          <t>,000000000</t>
        </is>
      </c>
      <c r="AB163" t="inlineStr">
        <is>
          <t>1</t>
        </is>
      </c>
      <c r="AC163" t="inlineStr">
        <is>
          <t>0</t>
        </is>
      </c>
      <c r="AD163" s="3">
        <f>UPPER(C3)</f>
        <v/>
      </c>
      <c r="AE163" s="3">
        <f>VLOOKUP(E3,'[1]Nómina Agentes'!$C:$D,3,0)</f>
        <v/>
      </c>
      <c r="AF163" s="5">
        <f>F3</f>
        <v/>
      </c>
      <c r="AG163" s="5">
        <f>H3</f>
        <v/>
      </c>
    </row>
    <row r="164">
      <c r="A164" s="1" t="inlineStr">
        <is>
          <t>9/10/2024</t>
        </is>
      </c>
      <c r="B164" t="inlineStr">
        <is>
          <t>924</t>
        </is>
      </c>
      <c r="C164" t="inlineStr">
        <is>
          <t>S2S No Premium</t>
        </is>
      </c>
      <c r="D164" t="inlineStr">
        <is>
          <t>N2_Padilla, Ruth</t>
        </is>
      </c>
      <c r="E164" t="inlineStr">
        <is>
          <t>606357</t>
        </is>
      </c>
      <c r="F164" s="2" t="inlineStr">
        <is>
          <t>08:00</t>
        </is>
      </c>
      <c r="G164" t="inlineStr">
        <is>
          <t>-</t>
        </is>
      </c>
      <c r="H164" s="2" t="inlineStr">
        <is>
          <t>08:30</t>
        </is>
      </c>
      <c r="I164" t="inlineStr">
        <is>
          <t>544,000000000</t>
        </is>
      </c>
      <c r="J164" t="inlineStr">
        <is>
          <t>,000000000</t>
        </is>
      </c>
      <c r="K164" t="inlineStr">
        <is>
          <t>,000000000</t>
        </is>
      </c>
      <c r="L164" t="inlineStr">
        <is>
          <t>13,000000000</t>
        </is>
      </c>
      <c r="M164" t="inlineStr">
        <is>
          <t>,000000000</t>
        </is>
      </c>
      <c r="N164" t="inlineStr">
        <is>
          <t>,000000000</t>
        </is>
      </c>
      <c r="O164" t="inlineStr">
        <is>
          <t>,000000000</t>
        </is>
      </c>
      <c r="P164" t="inlineStr">
        <is>
          <t>2,000000000</t>
        </is>
      </c>
      <c r="Q164" t="inlineStr">
        <is>
          <t>,000000000</t>
        </is>
      </c>
      <c r="R164" t="inlineStr">
        <is>
          <t>,000000000</t>
        </is>
      </c>
      <c r="S164" t="inlineStr">
        <is>
          <t>,000000000</t>
        </is>
      </c>
      <c r="T164" t="inlineStr">
        <is>
          <t>,000000000</t>
        </is>
      </c>
      <c r="U164" t="inlineStr">
        <is>
          <t>,000000000</t>
        </is>
      </c>
      <c r="V164" t="inlineStr">
        <is>
          <t>,000000000</t>
        </is>
      </c>
      <c r="W164" t="inlineStr">
        <is>
          <t>,000000000</t>
        </is>
      </c>
      <c r="X164" t="inlineStr">
        <is>
          <t>,000000000</t>
        </is>
      </c>
      <c r="Y164" t="inlineStr">
        <is>
          <t>,000000000</t>
        </is>
      </c>
      <c r="Z164" t="inlineStr">
        <is>
          <t>,000000000</t>
        </is>
      </c>
      <c r="AA164" t="inlineStr">
        <is>
          <t>,000000000</t>
        </is>
      </c>
      <c r="AB164" t="inlineStr">
        <is>
          <t>2</t>
        </is>
      </c>
      <c r="AC164" t="inlineStr">
        <is>
          <t>2</t>
        </is>
      </c>
      <c r="AD164" s="3">
        <f>UPPER(C3)</f>
        <v/>
      </c>
      <c r="AE164" s="3">
        <f>VLOOKUP(E3,'[1]Nómina Agentes'!$C:$D,3,0)</f>
        <v/>
      </c>
      <c r="AF164" s="5">
        <f>F3</f>
        <v/>
      </c>
      <c r="AG164" s="5">
        <f>H3</f>
        <v/>
      </c>
    </row>
    <row r="165">
      <c r="A165" s="1" t="inlineStr">
        <is>
          <t>9/10/2024</t>
        </is>
      </c>
      <c r="B165" t="inlineStr">
        <is>
          <t>924</t>
        </is>
      </c>
      <c r="C165" t="inlineStr">
        <is>
          <t>S2S No Premium</t>
        </is>
      </c>
      <c r="D165" t="inlineStr">
        <is>
          <t>N2_Padilla, Ruth</t>
        </is>
      </c>
      <c r="E165" t="inlineStr">
        <is>
          <t>606357</t>
        </is>
      </c>
      <c r="F165" s="2" t="inlineStr">
        <is>
          <t>09:00</t>
        </is>
      </c>
      <c r="G165" t="inlineStr">
        <is>
          <t>-</t>
        </is>
      </c>
      <c r="H165" s="2" t="inlineStr">
        <is>
          <t>09:30</t>
        </is>
      </c>
      <c r="I165" t="inlineStr">
        <is>
          <t>861,000000000</t>
        </is>
      </c>
      <c r="J165" t="inlineStr">
        <is>
          <t>,000000000</t>
        </is>
      </c>
      <c r="K165" t="inlineStr">
        <is>
          <t>,000000000</t>
        </is>
      </c>
      <c r="L165" t="inlineStr">
        <is>
          <t>9,000000000</t>
        </is>
      </c>
      <c r="M165" t="inlineStr">
        <is>
          <t>,000000000</t>
        </is>
      </c>
      <c r="N165" t="inlineStr">
        <is>
          <t>,000000000</t>
        </is>
      </c>
      <c r="O165" t="inlineStr">
        <is>
          <t>,000000000</t>
        </is>
      </c>
      <c r="P165" t="inlineStr">
        <is>
          <t>,000000000</t>
        </is>
      </c>
      <c r="Q165" t="inlineStr">
        <is>
          <t>,000000000</t>
        </is>
      </c>
      <c r="R165" t="inlineStr">
        <is>
          <t>,000000000</t>
        </is>
      </c>
      <c r="S165" t="inlineStr">
        <is>
          <t>,000000000</t>
        </is>
      </c>
      <c r="T165" t="inlineStr">
        <is>
          <t>,000000000</t>
        </is>
      </c>
      <c r="U165" t="inlineStr">
        <is>
          <t>,000000000</t>
        </is>
      </c>
      <c r="V165" t="inlineStr">
        <is>
          <t>,000000000</t>
        </is>
      </c>
      <c r="W165" t="inlineStr">
        <is>
          <t>,000000000</t>
        </is>
      </c>
      <c r="X165" t="inlineStr">
        <is>
          <t>,000000000</t>
        </is>
      </c>
      <c r="Y165" t="inlineStr">
        <is>
          <t>,000000000</t>
        </is>
      </c>
      <c r="Z165" t="inlineStr">
        <is>
          <t>,000000000</t>
        </is>
      </c>
      <c r="AA165" t="inlineStr">
        <is>
          <t>,000000000</t>
        </is>
      </c>
      <c r="AB165" t="inlineStr">
        <is>
          <t>1</t>
        </is>
      </c>
      <c r="AC165" t="inlineStr">
        <is>
          <t>1</t>
        </is>
      </c>
      <c r="AD165" s="3">
        <f>UPPER(C3)</f>
        <v/>
      </c>
      <c r="AE165" s="3">
        <f>VLOOKUP(E3,'[1]Nómina Agentes'!$C:$D,3,0)</f>
        <v/>
      </c>
      <c r="AF165" s="5">
        <f>F3</f>
        <v/>
      </c>
      <c r="AG165" s="5">
        <f>H3</f>
        <v/>
      </c>
    </row>
    <row r="166">
      <c r="A166" s="1" t="inlineStr">
        <is>
          <t>9/10/2024</t>
        </is>
      </c>
      <c r="B166" t="inlineStr">
        <is>
          <t>924</t>
        </is>
      </c>
      <c r="C166" t="inlineStr">
        <is>
          <t>S2S No Premium</t>
        </is>
      </c>
      <c r="D166" t="inlineStr">
        <is>
          <t>N2_Padilla, Ruth</t>
        </is>
      </c>
      <c r="E166" t="inlineStr">
        <is>
          <t>606357</t>
        </is>
      </c>
      <c r="F166" s="2" t="inlineStr">
        <is>
          <t>10:30</t>
        </is>
      </c>
      <c r="G166" t="inlineStr">
        <is>
          <t>-</t>
        </is>
      </c>
      <c r="H166" s="2" t="inlineStr">
        <is>
          <t>11:00</t>
        </is>
      </c>
      <c r="I166" t="inlineStr">
        <is>
          <t>912,000000000</t>
        </is>
      </c>
      <c r="J166" t="inlineStr">
        <is>
          <t>,000000000</t>
        </is>
      </c>
      <c r="K166" t="inlineStr">
        <is>
          <t>,000000000</t>
        </is>
      </c>
      <c r="L166" t="inlineStr">
        <is>
          <t>5,000000000</t>
        </is>
      </c>
      <c r="M166" t="inlineStr">
        <is>
          <t>,000000000</t>
        </is>
      </c>
      <c r="N166" t="inlineStr">
        <is>
          <t>,000000000</t>
        </is>
      </c>
      <c r="O166" t="inlineStr">
        <is>
          <t>,000000000</t>
        </is>
      </c>
      <c r="P166" t="inlineStr">
        <is>
          <t>1,000000000</t>
        </is>
      </c>
      <c r="Q166" t="inlineStr">
        <is>
          <t>,000000000</t>
        </is>
      </c>
      <c r="R166" t="inlineStr">
        <is>
          <t>,000000000</t>
        </is>
      </c>
      <c r="S166" t="inlineStr">
        <is>
          <t>,000000000</t>
        </is>
      </c>
      <c r="T166" t="inlineStr">
        <is>
          <t>,000000000</t>
        </is>
      </c>
      <c r="U166" t="inlineStr">
        <is>
          <t>,000000000</t>
        </is>
      </c>
      <c r="V166" t="inlineStr">
        <is>
          <t>,000000000</t>
        </is>
      </c>
      <c r="W166" t="inlineStr">
        <is>
          <t>,000000000</t>
        </is>
      </c>
      <c r="X166" t="inlineStr">
        <is>
          <t>,000000000</t>
        </is>
      </c>
      <c r="Y166" t="inlineStr">
        <is>
          <t>,000000000</t>
        </is>
      </c>
      <c r="Z166" t="inlineStr">
        <is>
          <t>,000000000</t>
        </is>
      </c>
      <c r="AA166" t="inlineStr">
        <is>
          <t>,000000000</t>
        </is>
      </c>
      <c r="AB166" t="inlineStr">
        <is>
          <t>2</t>
        </is>
      </c>
      <c r="AC166" t="inlineStr">
        <is>
          <t>1</t>
        </is>
      </c>
      <c r="AD166" s="3">
        <f>UPPER(C3)</f>
        <v/>
      </c>
      <c r="AE166" s="3">
        <f>VLOOKUP(E3,'[1]Nómina Agentes'!$C:$D,3,0)</f>
        <v/>
      </c>
      <c r="AF166" s="5">
        <f>F3</f>
        <v/>
      </c>
      <c r="AG166" s="5">
        <f>H3</f>
        <v/>
      </c>
    </row>
    <row r="167">
      <c r="A167" s="1" t="inlineStr">
        <is>
          <t>9/10/2024</t>
        </is>
      </c>
      <c r="B167" t="inlineStr">
        <is>
          <t>924</t>
        </is>
      </c>
      <c r="C167" t="inlineStr">
        <is>
          <t>S2S No Premium</t>
        </is>
      </c>
      <c r="D167" t="inlineStr">
        <is>
          <t>N2_Padilla, Ruth</t>
        </is>
      </c>
      <c r="E167" t="inlineStr">
        <is>
          <t>606357</t>
        </is>
      </c>
      <c r="F167" s="2" t="inlineStr">
        <is>
          <t>10:00</t>
        </is>
      </c>
      <c r="G167" t="inlineStr">
        <is>
          <t>-</t>
        </is>
      </c>
      <c r="H167" s="2" t="inlineStr">
        <is>
          <t>10:30</t>
        </is>
      </c>
      <c r="I167" t="inlineStr">
        <is>
          <t>967,000000000</t>
        </is>
      </c>
      <c r="J167" t="inlineStr">
        <is>
          <t>,000000000</t>
        </is>
      </c>
      <c r="K167" t="inlineStr">
        <is>
          <t>,000000000</t>
        </is>
      </c>
      <c r="L167" t="inlineStr">
        <is>
          <t>17,000000000</t>
        </is>
      </c>
      <c r="M167" t="inlineStr">
        <is>
          <t>,000000000</t>
        </is>
      </c>
      <c r="N167" t="inlineStr">
        <is>
          <t>,000000000</t>
        </is>
      </c>
      <c r="O167" t="inlineStr">
        <is>
          <t>,000000000</t>
        </is>
      </c>
      <c r="P167" t="inlineStr">
        <is>
          <t>4,000000000</t>
        </is>
      </c>
      <c r="Q167" t="inlineStr">
        <is>
          <t>,000000000</t>
        </is>
      </c>
      <c r="R167" t="inlineStr">
        <is>
          <t>,000000000</t>
        </is>
      </c>
      <c r="S167" t="inlineStr">
        <is>
          <t>,000000000</t>
        </is>
      </c>
      <c r="T167" t="inlineStr">
        <is>
          <t>,000000000</t>
        </is>
      </c>
      <c r="U167" t="inlineStr">
        <is>
          <t>,000000000</t>
        </is>
      </c>
      <c r="V167" t="inlineStr">
        <is>
          <t>,000000000</t>
        </is>
      </c>
      <c r="W167" t="inlineStr">
        <is>
          <t>,000000000</t>
        </is>
      </c>
      <c r="X167" t="inlineStr">
        <is>
          <t>,000000000</t>
        </is>
      </c>
      <c r="Y167" t="inlineStr">
        <is>
          <t>,000000000</t>
        </is>
      </c>
      <c r="Z167" t="inlineStr">
        <is>
          <t>,000000000</t>
        </is>
      </c>
      <c r="AA167" t="inlineStr">
        <is>
          <t>,000000000</t>
        </is>
      </c>
      <c r="AB167" t="inlineStr">
        <is>
          <t>4</t>
        </is>
      </c>
      <c r="AC167" t="inlineStr">
        <is>
          <t>4</t>
        </is>
      </c>
      <c r="AD167" s="3">
        <f>UPPER(C3)</f>
        <v/>
      </c>
      <c r="AE167" s="3">
        <f>VLOOKUP(E3,'[1]Nómina Agentes'!$C:$D,3,0)</f>
        <v/>
      </c>
      <c r="AF167" s="5">
        <f>F3</f>
        <v/>
      </c>
      <c r="AG167" s="5">
        <f>H3</f>
        <v/>
      </c>
    </row>
    <row r="168">
      <c r="A168" s="1" t="inlineStr">
        <is>
          <t>9/10/2024</t>
        </is>
      </c>
      <c r="B168" t="inlineStr">
        <is>
          <t>924</t>
        </is>
      </c>
      <c r="C168" t="inlineStr">
        <is>
          <t>S2S No Premium</t>
        </is>
      </c>
      <c r="D168" t="inlineStr">
        <is>
          <t>N2_Padilla, Ruth</t>
        </is>
      </c>
      <c r="E168" t="inlineStr">
        <is>
          <t>606357</t>
        </is>
      </c>
      <c r="F168" s="2" t="inlineStr">
        <is>
          <t>09:30</t>
        </is>
      </c>
      <c r="G168" t="inlineStr">
        <is>
          <t>-</t>
        </is>
      </c>
      <c r="H168" s="2" t="inlineStr">
        <is>
          <t>10:00</t>
        </is>
      </c>
      <c r="I168" t="inlineStr">
        <is>
          <t>1303,000000000</t>
        </is>
      </c>
      <c r="J168" t="inlineStr">
        <is>
          <t>,000000000</t>
        </is>
      </c>
      <c r="K168" t="inlineStr">
        <is>
          <t>,000000000</t>
        </is>
      </c>
      <c r="L168" t="inlineStr">
        <is>
          <t>8,000000000</t>
        </is>
      </c>
      <c r="M168" t="inlineStr">
        <is>
          <t>,000000000</t>
        </is>
      </c>
      <c r="N168" t="inlineStr">
        <is>
          <t>,000000000</t>
        </is>
      </c>
      <c r="O168" t="inlineStr">
        <is>
          <t>,000000000</t>
        </is>
      </c>
      <c r="P168" t="inlineStr">
        <is>
          <t>296,000000000</t>
        </is>
      </c>
      <c r="Q168" t="inlineStr">
        <is>
          <t>,000000000</t>
        </is>
      </c>
      <c r="R168" t="inlineStr">
        <is>
          <t>,000000000</t>
        </is>
      </c>
      <c r="S168" t="inlineStr">
        <is>
          <t>,000000000</t>
        </is>
      </c>
      <c r="T168" t="inlineStr">
        <is>
          <t>,000000000</t>
        </is>
      </c>
      <c r="U168" t="inlineStr">
        <is>
          <t>,000000000</t>
        </is>
      </c>
      <c r="V168" t="inlineStr">
        <is>
          <t>,000000000</t>
        </is>
      </c>
      <c r="W168" t="inlineStr">
        <is>
          <t>,000000000</t>
        </is>
      </c>
      <c r="X168" t="inlineStr">
        <is>
          <t>,000000000</t>
        </is>
      </c>
      <c r="Y168" t="inlineStr">
        <is>
          <t>,000000000</t>
        </is>
      </c>
      <c r="Z168" t="inlineStr">
        <is>
          <t>,000000000</t>
        </is>
      </c>
      <c r="AA168" t="inlineStr">
        <is>
          <t>,000000000</t>
        </is>
      </c>
      <c r="AB168" t="inlineStr">
        <is>
          <t>2</t>
        </is>
      </c>
      <c r="AC168" t="inlineStr">
        <is>
          <t>2</t>
        </is>
      </c>
      <c r="AD168" s="3">
        <f>UPPER(C3)</f>
        <v/>
      </c>
      <c r="AE168" s="3">
        <f>VLOOKUP(E3,'[1]Nómina Agentes'!$C:$D,3,0)</f>
        <v/>
      </c>
      <c r="AF168" s="5">
        <f>F3</f>
        <v/>
      </c>
      <c r="AG168" s="5">
        <f>H3</f>
        <v/>
      </c>
    </row>
    <row r="169">
      <c r="A169" s="1" t="inlineStr">
        <is>
          <t>9/10/2024</t>
        </is>
      </c>
      <c r="B169" t="inlineStr">
        <is>
          <t>924</t>
        </is>
      </c>
      <c r="C169" t="inlineStr">
        <is>
          <t>S2S No Premium</t>
        </is>
      </c>
      <c r="D169" t="inlineStr">
        <is>
          <t>N2_Martinez Norbert</t>
        </is>
      </c>
      <c r="E169" t="inlineStr">
        <is>
          <t>606359</t>
        </is>
      </c>
      <c r="F169" s="2" t="inlineStr">
        <is>
          <t>09:30</t>
        </is>
      </c>
      <c r="G169" t="inlineStr">
        <is>
          <t>-</t>
        </is>
      </c>
      <c r="H169" s="2" t="inlineStr">
        <is>
          <t>10:00</t>
        </is>
      </c>
      <c r="I169" t="inlineStr">
        <is>
          <t>70,000000000</t>
        </is>
      </c>
      <c r="J169" t="inlineStr">
        <is>
          <t>,000000000</t>
        </is>
      </c>
      <c r="K169" t="inlineStr">
        <is>
          <t>,000000000</t>
        </is>
      </c>
      <c r="L169" t="inlineStr">
        <is>
          <t>7,000000000</t>
        </is>
      </c>
      <c r="M169" t="inlineStr">
        <is>
          <t>,000000000</t>
        </is>
      </c>
      <c r="N169" t="inlineStr">
        <is>
          <t>,000000000</t>
        </is>
      </c>
      <c r="O169" t="inlineStr">
        <is>
          <t>,000000000</t>
        </is>
      </c>
      <c r="P169" t="inlineStr">
        <is>
          <t>,000000000</t>
        </is>
      </c>
      <c r="Q169" t="inlineStr">
        <is>
          <t>,000000000</t>
        </is>
      </c>
      <c r="R169" t="inlineStr">
        <is>
          <t>,000000000</t>
        </is>
      </c>
      <c r="S169" t="inlineStr">
        <is>
          <t>,000000000</t>
        </is>
      </c>
      <c r="T169" t="inlineStr">
        <is>
          <t>,000000000</t>
        </is>
      </c>
      <c r="U169" t="inlineStr">
        <is>
          <t>,000000000</t>
        </is>
      </c>
      <c r="V169" t="inlineStr">
        <is>
          <t>,000000000</t>
        </is>
      </c>
      <c r="W169" t="inlineStr">
        <is>
          <t>,000000000</t>
        </is>
      </c>
      <c r="X169" t="inlineStr">
        <is>
          <t>,000000000</t>
        </is>
      </c>
      <c r="Y169" t="inlineStr">
        <is>
          <t>,000000000</t>
        </is>
      </c>
      <c r="Z169" t="inlineStr">
        <is>
          <t>,000000000</t>
        </is>
      </c>
      <c r="AA169" t="inlineStr">
        <is>
          <t>,000000000</t>
        </is>
      </c>
      <c r="AB169" t="inlineStr">
        <is>
          <t>1</t>
        </is>
      </c>
      <c r="AC169" t="inlineStr">
        <is>
          <t>1</t>
        </is>
      </c>
      <c r="AD169" s="3">
        <f>UPPER(C3)</f>
        <v/>
      </c>
      <c r="AE169" s="3">
        <f>VLOOKUP(E3,'[1]Nómina Agentes'!$C:$D,3,0)</f>
        <v/>
      </c>
      <c r="AF169" s="5">
        <f>F3</f>
        <v/>
      </c>
      <c r="AG169" s="5">
        <f>H3</f>
        <v/>
      </c>
    </row>
    <row r="170">
      <c r="A170" s="1" t="inlineStr">
        <is>
          <t>9/10/2024</t>
        </is>
      </c>
      <c r="B170" t="inlineStr">
        <is>
          <t>924</t>
        </is>
      </c>
      <c r="C170" t="inlineStr">
        <is>
          <t>S2S No Premium</t>
        </is>
      </c>
      <c r="D170" t="inlineStr">
        <is>
          <t>N2_Martinez Norbert</t>
        </is>
      </c>
      <c r="E170" t="inlineStr">
        <is>
          <t>606359</t>
        </is>
      </c>
      <c r="F170" s="2" t="inlineStr">
        <is>
          <t>10:00</t>
        </is>
      </c>
      <c r="G170" t="inlineStr">
        <is>
          <t>-</t>
        </is>
      </c>
      <c r="H170" s="2" t="inlineStr">
        <is>
          <t>10:30</t>
        </is>
      </c>
      <c r="I170" t="inlineStr">
        <is>
          <t>903,000000000</t>
        </is>
      </c>
      <c r="J170" t="inlineStr">
        <is>
          <t>,000000000</t>
        </is>
      </c>
      <c r="K170" t="inlineStr">
        <is>
          <t>,000000000</t>
        </is>
      </c>
      <c r="L170" t="inlineStr">
        <is>
          <t>20,000000000</t>
        </is>
      </c>
      <c r="M170" t="inlineStr">
        <is>
          <t>,000000000</t>
        </is>
      </c>
      <c r="N170" t="inlineStr">
        <is>
          <t>,000000000</t>
        </is>
      </c>
      <c r="O170" t="inlineStr">
        <is>
          <t>,000000000</t>
        </is>
      </c>
      <c r="P170" t="inlineStr">
        <is>
          <t>1,000000000</t>
        </is>
      </c>
      <c r="Q170" t="inlineStr">
        <is>
          <t>,000000000</t>
        </is>
      </c>
      <c r="R170" t="inlineStr">
        <is>
          <t>,000000000</t>
        </is>
      </c>
      <c r="S170" t="inlineStr">
        <is>
          <t>,000000000</t>
        </is>
      </c>
      <c r="T170" t="inlineStr">
        <is>
          <t>,000000000</t>
        </is>
      </c>
      <c r="U170" t="inlineStr">
        <is>
          <t>,000000000</t>
        </is>
      </c>
      <c r="V170" t="inlineStr">
        <is>
          <t>,000000000</t>
        </is>
      </c>
      <c r="W170" t="inlineStr">
        <is>
          <t>,000000000</t>
        </is>
      </c>
      <c r="X170" t="inlineStr">
        <is>
          <t>,000000000</t>
        </is>
      </c>
      <c r="Y170" t="inlineStr">
        <is>
          <t>,000000000</t>
        </is>
      </c>
      <c r="Z170" t="inlineStr">
        <is>
          <t>,000000000</t>
        </is>
      </c>
      <c r="AA170" t="inlineStr">
        <is>
          <t>,000000000</t>
        </is>
      </c>
      <c r="AB170" t="inlineStr">
        <is>
          <t>4</t>
        </is>
      </c>
      <c r="AC170" t="inlineStr">
        <is>
          <t>1</t>
        </is>
      </c>
      <c r="AD170" s="3">
        <f>UPPER(C3)</f>
        <v/>
      </c>
      <c r="AE170" s="3">
        <f>VLOOKUP(E3,'[1]Nómina Agentes'!$C:$D,3,0)</f>
        <v/>
      </c>
      <c r="AF170" s="5">
        <f>F3</f>
        <v/>
      </c>
      <c r="AG170" s="5">
        <f>H3</f>
        <v/>
      </c>
    </row>
    <row r="171">
      <c r="A171" s="1" t="inlineStr">
        <is>
          <t>9/10/2024</t>
        </is>
      </c>
      <c r="B171" t="inlineStr">
        <is>
          <t>924</t>
        </is>
      </c>
      <c r="C171" t="inlineStr">
        <is>
          <t>S2S No Premium</t>
        </is>
      </c>
      <c r="D171" t="inlineStr">
        <is>
          <t>N2_Martinez Norbert</t>
        </is>
      </c>
      <c r="E171" t="inlineStr">
        <is>
          <t>606359</t>
        </is>
      </c>
      <c r="F171" s="2" t="inlineStr">
        <is>
          <t>10:30</t>
        </is>
      </c>
      <c r="G171" t="inlineStr">
        <is>
          <t>-</t>
        </is>
      </c>
      <c r="H171" s="2" t="inlineStr">
        <is>
          <t>11:00</t>
        </is>
      </c>
      <c r="I171" t="inlineStr">
        <is>
          <t>1296,000000000</t>
        </is>
      </c>
      <c r="J171" t="inlineStr">
        <is>
          <t>,000000000</t>
        </is>
      </c>
      <c r="K171" t="inlineStr">
        <is>
          <t>,000000000</t>
        </is>
      </c>
      <c r="L171" t="inlineStr">
        <is>
          <t>24,000000000</t>
        </is>
      </c>
      <c r="M171" t="inlineStr">
        <is>
          <t>,000000000</t>
        </is>
      </c>
      <c r="N171" t="inlineStr">
        <is>
          <t>,000000000</t>
        </is>
      </c>
      <c r="O171" t="inlineStr">
        <is>
          <t>,000000000</t>
        </is>
      </c>
      <c r="P171" t="inlineStr">
        <is>
          <t>2,000000000</t>
        </is>
      </c>
      <c r="Q171" t="inlineStr">
        <is>
          <t>,000000000</t>
        </is>
      </c>
      <c r="R171" t="inlineStr">
        <is>
          <t>,000000000</t>
        </is>
      </c>
      <c r="S171" t="inlineStr">
        <is>
          <t>,000000000</t>
        </is>
      </c>
      <c r="T171" t="inlineStr">
        <is>
          <t>,000000000</t>
        </is>
      </c>
      <c r="U171" t="inlineStr">
        <is>
          <t>,000000000</t>
        </is>
      </c>
      <c r="V171" t="inlineStr">
        <is>
          <t>,000000000</t>
        </is>
      </c>
      <c r="W171" t="inlineStr">
        <is>
          <t>,000000000</t>
        </is>
      </c>
      <c r="X171" t="inlineStr">
        <is>
          <t>,000000000</t>
        </is>
      </c>
      <c r="Y171" t="inlineStr">
        <is>
          <t>,000000000</t>
        </is>
      </c>
      <c r="Z171" t="inlineStr">
        <is>
          <t>,000000000</t>
        </is>
      </c>
      <c r="AA171" t="inlineStr">
        <is>
          <t>,000000000</t>
        </is>
      </c>
      <c r="AB171" t="inlineStr">
        <is>
          <t>6</t>
        </is>
      </c>
      <c r="AC171" t="inlineStr">
        <is>
          <t>2</t>
        </is>
      </c>
      <c r="AD171" s="3">
        <f>UPPER(C3)</f>
        <v/>
      </c>
      <c r="AE171" s="3">
        <f>VLOOKUP(E3,'[1]Nómina Agentes'!$C:$D,3,0)</f>
        <v/>
      </c>
      <c r="AF171" s="5">
        <f>F3</f>
        <v/>
      </c>
      <c r="AG171" s="5">
        <f>H3</f>
        <v/>
      </c>
    </row>
    <row r="172">
      <c r="A172" s="1" t="inlineStr">
        <is>
          <t>9/10/2024</t>
        </is>
      </c>
      <c r="B172" t="inlineStr">
        <is>
          <t>925</t>
        </is>
      </c>
      <c r="C172" t="inlineStr">
        <is>
          <t>S2S Premium</t>
        </is>
      </c>
      <c r="D172" t="inlineStr">
        <is>
          <t>P_Romero, Romina</t>
        </is>
      </c>
      <c r="E172" t="inlineStr">
        <is>
          <t>606368</t>
        </is>
      </c>
      <c r="F172" s="2" t="inlineStr">
        <is>
          <t>08:30</t>
        </is>
      </c>
      <c r="G172" t="inlineStr">
        <is>
          <t>-</t>
        </is>
      </c>
      <c r="H172" s="2" t="inlineStr">
        <is>
          <t>09:00</t>
        </is>
      </c>
      <c r="I172" t="inlineStr">
        <is>
          <t>,000000000</t>
        </is>
      </c>
      <c r="J172" t="inlineStr">
        <is>
          <t>,000000000</t>
        </is>
      </c>
      <c r="K172" t="inlineStr">
        <is>
          <t>,000000000</t>
        </is>
      </c>
      <c r="L172" t="inlineStr">
        <is>
          <t>,000000000</t>
        </is>
      </c>
      <c r="M172" t="inlineStr">
        <is>
          <t>,000000000</t>
        </is>
      </c>
      <c r="N172" t="inlineStr">
        <is>
          <t>,000000000</t>
        </is>
      </c>
      <c r="O172" t="inlineStr">
        <is>
          <t>,000000000</t>
        </is>
      </c>
      <c r="P172" t="inlineStr">
        <is>
          <t>,000000000</t>
        </is>
      </c>
      <c r="Q172" t="inlineStr">
        <is>
          <t>,000000000</t>
        </is>
      </c>
      <c r="R172" t="inlineStr">
        <is>
          <t>,000000000</t>
        </is>
      </c>
      <c r="S172" t="inlineStr">
        <is>
          <t>,000000000</t>
        </is>
      </c>
      <c r="T172" t="inlineStr">
        <is>
          <t>,000000000</t>
        </is>
      </c>
      <c r="U172" t="inlineStr">
        <is>
          <t>,000000000</t>
        </is>
      </c>
      <c r="V172" t="inlineStr">
        <is>
          <t>,000000000</t>
        </is>
      </c>
      <c r="W172" t="inlineStr">
        <is>
          <t>,000000000</t>
        </is>
      </c>
      <c r="X172" t="inlineStr">
        <is>
          <t>,000000000</t>
        </is>
      </c>
      <c r="Y172" t="inlineStr">
        <is>
          <t>,000000000</t>
        </is>
      </c>
      <c r="Z172" t="inlineStr">
        <is>
          <t>,000000000</t>
        </is>
      </c>
      <c r="AA172" t="inlineStr">
        <is>
          <t>,000000000</t>
        </is>
      </c>
      <c r="AB172" t="inlineStr">
        <is>
          <t>0</t>
        </is>
      </c>
      <c r="AC172" t="inlineStr">
        <is>
          <t>0</t>
        </is>
      </c>
      <c r="AD172" s="3">
        <f>UPPER(C3)</f>
        <v/>
      </c>
      <c r="AE172" s="3">
        <f>VLOOKUP(E3,'[1]Nómina Agentes'!$C:$D,3,0)</f>
        <v/>
      </c>
      <c r="AF172" s="5">
        <f>F3</f>
        <v/>
      </c>
      <c r="AG172" s="5">
        <f>H3</f>
        <v/>
      </c>
    </row>
    <row r="173">
      <c r="A173" s="1" t="inlineStr">
        <is>
          <t>9/10/2024</t>
        </is>
      </c>
      <c r="B173" t="inlineStr">
        <is>
          <t>925</t>
        </is>
      </c>
      <c r="C173" t="inlineStr">
        <is>
          <t>S2S Premium</t>
        </is>
      </c>
      <c r="D173" t="inlineStr">
        <is>
          <t>P_Romero, Romina</t>
        </is>
      </c>
      <c r="E173" t="inlineStr">
        <is>
          <t>606368</t>
        </is>
      </c>
      <c r="F173" s="2" t="inlineStr">
        <is>
          <t>09:00</t>
        </is>
      </c>
      <c r="G173" t="inlineStr">
        <is>
          <t>-</t>
        </is>
      </c>
      <c r="H173" s="2" t="inlineStr">
        <is>
          <t>09:30</t>
        </is>
      </c>
      <c r="I173" t="inlineStr">
        <is>
          <t>544,000000000</t>
        </is>
      </c>
      <c r="J173" t="inlineStr">
        <is>
          <t>,000000000</t>
        </is>
      </c>
      <c r="K173" t="inlineStr">
        <is>
          <t>,000000000</t>
        </is>
      </c>
      <c r="L173" t="inlineStr">
        <is>
          <t>13,000000000</t>
        </is>
      </c>
      <c r="M173" t="inlineStr">
        <is>
          <t>,000000000</t>
        </is>
      </c>
      <c r="N173" t="inlineStr">
        <is>
          <t>,000000000</t>
        </is>
      </c>
      <c r="O173" t="inlineStr">
        <is>
          <t>,000000000</t>
        </is>
      </c>
      <c r="P173" t="inlineStr">
        <is>
          <t>2,000000000</t>
        </is>
      </c>
      <c r="Q173" t="inlineStr">
        <is>
          <t>,000000000</t>
        </is>
      </c>
      <c r="R173" t="inlineStr">
        <is>
          <t>,000000000</t>
        </is>
      </c>
      <c r="S173" t="inlineStr">
        <is>
          <t>,000000000</t>
        </is>
      </c>
      <c r="T173" t="inlineStr">
        <is>
          <t>,000000000</t>
        </is>
      </c>
      <c r="U173" t="inlineStr">
        <is>
          <t>,000000000</t>
        </is>
      </c>
      <c r="V173" t="inlineStr">
        <is>
          <t>,000000000</t>
        </is>
      </c>
      <c r="W173" t="inlineStr">
        <is>
          <t>,000000000</t>
        </is>
      </c>
      <c r="X173" t="inlineStr">
        <is>
          <t>,000000000</t>
        </is>
      </c>
      <c r="Y173" t="inlineStr">
        <is>
          <t>,000000000</t>
        </is>
      </c>
      <c r="Z173" t="inlineStr">
        <is>
          <t>,000000000</t>
        </is>
      </c>
      <c r="AA173" t="inlineStr">
        <is>
          <t>,000000000</t>
        </is>
      </c>
      <c r="AB173" t="inlineStr">
        <is>
          <t>2</t>
        </is>
      </c>
      <c r="AC173" t="inlineStr">
        <is>
          <t>2</t>
        </is>
      </c>
      <c r="AD173" s="3">
        <f>UPPER(C3)</f>
        <v/>
      </c>
      <c r="AE173" s="3">
        <f>VLOOKUP(E3,'[1]Nómina Agentes'!$C:$D,3,0)</f>
        <v/>
      </c>
      <c r="AF173" s="5">
        <f>F3</f>
        <v/>
      </c>
      <c r="AG173" s="5">
        <f>H3</f>
        <v/>
      </c>
    </row>
    <row r="174">
      <c r="A174" s="1" t="inlineStr">
        <is>
          <t>9/10/2024</t>
        </is>
      </c>
      <c r="B174" t="inlineStr">
        <is>
          <t>925</t>
        </is>
      </c>
      <c r="C174" t="inlineStr">
        <is>
          <t>S2S Premium</t>
        </is>
      </c>
      <c r="D174" t="inlineStr">
        <is>
          <t>P_Bareiro, Jonatan</t>
        </is>
      </c>
      <c r="E174" t="inlineStr">
        <is>
          <t>606369</t>
        </is>
      </c>
      <c r="F174" s="2" t="inlineStr">
        <is>
          <t>08:30</t>
        </is>
      </c>
      <c r="G174" t="inlineStr">
        <is>
          <t>-</t>
        </is>
      </c>
      <c r="H174" s="2" t="inlineStr">
        <is>
          <t>09:00</t>
        </is>
      </c>
      <c r="I174" t="inlineStr">
        <is>
          <t>,000000000</t>
        </is>
      </c>
      <c r="J174" t="inlineStr">
        <is>
          <t>,000000000</t>
        </is>
      </c>
      <c r="K174" t="inlineStr">
        <is>
          <t>,000000000</t>
        </is>
      </c>
      <c r="L174" t="inlineStr">
        <is>
          <t>,000000000</t>
        </is>
      </c>
      <c r="M174" t="inlineStr">
        <is>
          <t>,000000000</t>
        </is>
      </c>
      <c r="N174" t="inlineStr">
        <is>
          <t>,000000000</t>
        </is>
      </c>
      <c r="O174" t="inlineStr">
        <is>
          <t>,000000000</t>
        </is>
      </c>
      <c r="P174" t="inlineStr">
        <is>
          <t>,000000000</t>
        </is>
      </c>
      <c r="Q174" t="inlineStr">
        <is>
          <t>,000000000</t>
        </is>
      </c>
      <c r="R174" t="inlineStr">
        <is>
          <t>,000000000</t>
        </is>
      </c>
      <c r="S174" t="inlineStr">
        <is>
          <t>,000000000</t>
        </is>
      </c>
      <c r="T174" t="inlineStr">
        <is>
          <t>,000000000</t>
        </is>
      </c>
      <c r="U174" t="inlineStr">
        <is>
          <t>,000000000</t>
        </is>
      </c>
      <c r="V174" t="inlineStr">
        <is>
          <t>,000000000</t>
        </is>
      </c>
      <c r="W174" t="inlineStr">
        <is>
          <t>,000000000</t>
        </is>
      </c>
      <c r="X174" t="inlineStr">
        <is>
          <t>,000000000</t>
        </is>
      </c>
      <c r="Y174" t="inlineStr">
        <is>
          <t>,000000000</t>
        </is>
      </c>
      <c r="Z174" t="inlineStr">
        <is>
          <t>,000000000</t>
        </is>
      </c>
      <c r="AA174" t="inlineStr">
        <is>
          <t>,000000000</t>
        </is>
      </c>
      <c r="AB174" t="inlineStr">
        <is>
          <t>0</t>
        </is>
      </c>
      <c r="AC174" t="inlineStr">
        <is>
          <t>0</t>
        </is>
      </c>
      <c r="AD174" s="3">
        <f>UPPER(C3)</f>
        <v/>
      </c>
      <c r="AE174" s="3">
        <f>VLOOKUP(E3,'[1]Nómina Agentes'!$C:$D,3,0)</f>
        <v/>
      </c>
      <c r="AF174" s="5">
        <f>F3</f>
        <v/>
      </c>
      <c r="AG174" s="5">
        <f>H3</f>
        <v/>
      </c>
    </row>
    <row r="175">
      <c r="A175" s="1" t="inlineStr">
        <is>
          <t>9/10/2024</t>
        </is>
      </c>
      <c r="B175" t="inlineStr">
        <is>
          <t>925</t>
        </is>
      </c>
      <c r="C175" t="inlineStr">
        <is>
          <t>S2S Premium</t>
        </is>
      </c>
      <c r="D175" t="inlineStr">
        <is>
          <t>P_Bareiro, Jonatan</t>
        </is>
      </c>
      <c r="E175" t="inlineStr">
        <is>
          <t>606369</t>
        </is>
      </c>
      <c r="F175" s="2" t="inlineStr">
        <is>
          <t>09:00</t>
        </is>
      </c>
      <c r="G175" t="inlineStr">
        <is>
          <t>-</t>
        </is>
      </c>
      <c r="H175" s="2" t="inlineStr">
        <is>
          <t>09:30</t>
        </is>
      </c>
      <c r="I175" t="inlineStr">
        <is>
          <t>523,000000000</t>
        </is>
      </c>
      <c r="J175" t="inlineStr">
        <is>
          <t>,000000000</t>
        </is>
      </c>
      <c r="K175" t="inlineStr">
        <is>
          <t>,000000000</t>
        </is>
      </c>
      <c r="L175" t="inlineStr">
        <is>
          <t>16,000000000</t>
        </is>
      </c>
      <c r="M175" t="inlineStr">
        <is>
          <t>,000000000</t>
        </is>
      </c>
      <c r="N175" t="inlineStr">
        <is>
          <t>,000000000</t>
        </is>
      </c>
      <c r="O175" t="inlineStr">
        <is>
          <t>,000000000</t>
        </is>
      </c>
      <c r="P175" t="inlineStr">
        <is>
          <t>87,000000000</t>
        </is>
      </c>
      <c r="Q175" t="inlineStr">
        <is>
          <t>,000000000</t>
        </is>
      </c>
      <c r="R175" t="inlineStr">
        <is>
          <t>,000000000</t>
        </is>
      </c>
      <c r="S175" t="inlineStr">
        <is>
          <t>,000000000</t>
        </is>
      </c>
      <c r="T175" t="inlineStr">
        <is>
          <t>,000000000</t>
        </is>
      </c>
      <c r="U175" t="inlineStr">
        <is>
          <t>,000000000</t>
        </is>
      </c>
      <c r="V175" t="inlineStr">
        <is>
          <t>,000000000</t>
        </is>
      </c>
      <c r="W175" t="inlineStr">
        <is>
          <t>,000000000</t>
        </is>
      </c>
      <c r="X175" t="inlineStr">
        <is>
          <t>,000000000</t>
        </is>
      </c>
      <c r="Y175" t="inlineStr">
        <is>
          <t>,000000000</t>
        </is>
      </c>
      <c r="Z175" t="inlineStr">
        <is>
          <t>,000000000</t>
        </is>
      </c>
      <c r="AA175" t="inlineStr">
        <is>
          <t>,000000000</t>
        </is>
      </c>
      <c r="AB175" t="inlineStr">
        <is>
          <t>2</t>
        </is>
      </c>
      <c r="AC175" t="inlineStr">
        <is>
          <t>2</t>
        </is>
      </c>
      <c r="AD175" s="3">
        <f>UPPER(C3)</f>
        <v/>
      </c>
      <c r="AE175" s="3">
        <f>VLOOKUP(E3,'[1]Nómina Agentes'!$C:$D,3,0)</f>
        <v/>
      </c>
      <c r="AF175" s="5">
        <f>F3</f>
        <v/>
      </c>
      <c r="AG175" s="5">
        <f>H3</f>
        <v/>
      </c>
    </row>
    <row r="176">
      <c r="A176" s="1" t="inlineStr">
        <is>
          <t>9/10/2024</t>
        </is>
      </c>
      <c r="B176" t="inlineStr">
        <is>
          <t>925</t>
        </is>
      </c>
      <c r="C176" t="inlineStr">
        <is>
          <t>S2S Premium</t>
        </is>
      </c>
      <c r="D176" t="inlineStr">
        <is>
          <t>P_Bareiro, Jonatan</t>
        </is>
      </c>
      <c r="E176" t="inlineStr">
        <is>
          <t>606369</t>
        </is>
      </c>
      <c r="F176" s="2" t="inlineStr">
        <is>
          <t>10:00</t>
        </is>
      </c>
      <c r="G176" t="inlineStr">
        <is>
          <t>-</t>
        </is>
      </c>
      <c r="H176" s="2" t="inlineStr">
        <is>
          <t>10:30</t>
        </is>
      </c>
      <c r="I176" t="inlineStr">
        <is>
          <t>896,000000000</t>
        </is>
      </c>
      <c r="J176" t="inlineStr">
        <is>
          <t>,000000000</t>
        </is>
      </c>
      <c r="K176" t="inlineStr">
        <is>
          <t>,000000000</t>
        </is>
      </c>
      <c r="L176" t="inlineStr">
        <is>
          <t>16,000000000</t>
        </is>
      </c>
      <c r="M176" t="inlineStr">
        <is>
          <t>,000000000</t>
        </is>
      </c>
      <c r="N176" t="inlineStr">
        <is>
          <t>,000000000</t>
        </is>
      </c>
      <c r="O176" t="inlineStr">
        <is>
          <t>,000000000</t>
        </is>
      </c>
      <c r="P176" t="inlineStr">
        <is>
          <t>175,000000000</t>
        </is>
      </c>
      <c r="Q176" t="inlineStr">
        <is>
          <t>,000000000</t>
        </is>
      </c>
      <c r="R176" t="inlineStr">
        <is>
          <t>,000000000</t>
        </is>
      </c>
      <c r="S176" t="inlineStr">
        <is>
          <t>,000000000</t>
        </is>
      </c>
      <c r="T176" t="inlineStr">
        <is>
          <t>,000000000</t>
        </is>
      </c>
      <c r="U176" t="inlineStr">
        <is>
          <t>,000000000</t>
        </is>
      </c>
      <c r="V176" t="inlineStr">
        <is>
          <t>,000000000</t>
        </is>
      </c>
      <c r="W176" t="inlineStr">
        <is>
          <t>,000000000</t>
        </is>
      </c>
      <c r="X176" t="inlineStr">
        <is>
          <t>,000000000</t>
        </is>
      </c>
      <c r="Y176" t="inlineStr">
        <is>
          <t>,000000000</t>
        </is>
      </c>
      <c r="Z176" t="inlineStr">
        <is>
          <t>,000000000</t>
        </is>
      </c>
      <c r="AA176" t="inlineStr">
        <is>
          <t>,000000000</t>
        </is>
      </c>
      <c r="AB176" t="inlineStr">
        <is>
          <t>3</t>
        </is>
      </c>
      <c r="AC176" t="inlineStr">
        <is>
          <t>1</t>
        </is>
      </c>
      <c r="AD176" s="3">
        <f>UPPER(C3)</f>
        <v/>
      </c>
      <c r="AE176" s="3">
        <f>VLOOKUP(E3,'[1]Nómina Agentes'!$C:$D,3,0)</f>
        <v/>
      </c>
      <c r="AF176" s="5">
        <f>F3</f>
        <v/>
      </c>
      <c r="AG176" s="5">
        <f>H3</f>
        <v/>
      </c>
    </row>
    <row r="177">
      <c r="A177" s="1" t="inlineStr">
        <is>
          <t>9/10/2024</t>
        </is>
      </c>
      <c r="B177" t="inlineStr">
        <is>
          <t>925</t>
        </is>
      </c>
      <c r="C177" t="inlineStr">
        <is>
          <t>S2S Premium</t>
        </is>
      </c>
      <c r="D177" t="inlineStr">
        <is>
          <t>P_Bareiro, Jonatan</t>
        </is>
      </c>
      <c r="E177" t="inlineStr">
        <is>
          <t>606369</t>
        </is>
      </c>
      <c r="F177" s="2" t="inlineStr">
        <is>
          <t>10:30</t>
        </is>
      </c>
      <c r="G177" t="inlineStr">
        <is>
          <t>-</t>
        </is>
      </c>
      <c r="H177" s="2" t="inlineStr">
        <is>
          <t>11:00</t>
        </is>
      </c>
      <c r="I177" t="inlineStr">
        <is>
          <t>1069,000000000</t>
        </is>
      </c>
      <c r="J177" t="inlineStr">
        <is>
          <t>17,000000000</t>
        </is>
      </c>
      <c r="K177" t="inlineStr">
        <is>
          <t>,000000000</t>
        </is>
      </c>
      <c r="L177" t="inlineStr">
        <is>
          <t>24,000000000</t>
        </is>
      </c>
      <c r="M177" t="inlineStr">
        <is>
          <t>,000000000</t>
        </is>
      </c>
      <c r="N177" t="inlineStr">
        <is>
          <t>,000000000</t>
        </is>
      </c>
      <c r="O177" t="inlineStr">
        <is>
          <t>,000000000</t>
        </is>
      </c>
      <c r="P177" t="inlineStr">
        <is>
          <t>96,000000000</t>
        </is>
      </c>
      <c r="Q177" t="inlineStr">
        <is>
          <t>85,000000000</t>
        </is>
      </c>
      <c r="R177" t="inlineStr">
        <is>
          <t>,000000000</t>
        </is>
      </c>
      <c r="S177" t="inlineStr">
        <is>
          <t>,000000000</t>
        </is>
      </c>
      <c r="T177" t="inlineStr">
        <is>
          <t>,000000000</t>
        </is>
      </c>
      <c r="U177" t="inlineStr">
        <is>
          <t>,000000000</t>
        </is>
      </c>
      <c r="V177" t="inlineStr">
        <is>
          <t>,000000000</t>
        </is>
      </c>
      <c r="W177" t="inlineStr">
        <is>
          <t>,000000000</t>
        </is>
      </c>
      <c r="X177" t="inlineStr">
        <is>
          <t>,000000000</t>
        </is>
      </c>
      <c r="Y177" t="inlineStr">
        <is>
          <t>,000000000</t>
        </is>
      </c>
      <c r="Z177" t="inlineStr">
        <is>
          <t>,000000000</t>
        </is>
      </c>
      <c r="AA177" t="inlineStr">
        <is>
          <t>,000000000</t>
        </is>
      </c>
      <c r="AB177" t="inlineStr">
        <is>
          <t>6</t>
        </is>
      </c>
      <c r="AC177" t="inlineStr">
        <is>
          <t>4</t>
        </is>
      </c>
      <c r="AD177" s="3">
        <f>UPPER(C3)</f>
        <v/>
      </c>
      <c r="AE177" s="3">
        <f>VLOOKUP(E3,'[1]Nómina Agentes'!$C:$D,3,0)</f>
        <v/>
      </c>
      <c r="AF177" s="5">
        <f>F3</f>
        <v/>
      </c>
      <c r="AG177" s="5">
        <f>H3</f>
        <v/>
      </c>
    </row>
    <row r="178">
      <c r="A178" s="1" t="inlineStr">
        <is>
          <t>9/10/2024</t>
        </is>
      </c>
      <c r="B178" t="inlineStr">
        <is>
          <t>925</t>
        </is>
      </c>
      <c r="C178" t="inlineStr">
        <is>
          <t>S2S Premium</t>
        </is>
      </c>
      <c r="D178" t="inlineStr">
        <is>
          <t>P_Bareiro, Jonatan</t>
        </is>
      </c>
      <c r="E178" t="inlineStr">
        <is>
          <t>606369</t>
        </is>
      </c>
      <c r="F178" s="2" t="inlineStr">
        <is>
          <t>09:30</t>
        </is>
      </c>
      <c r="G178" t="inlineStr">
        <is>
          <t>-</t>
        </is>
      </c>
      <c r="H178" s="2" t="inlineStr">
        <is>
          <t>10:00</t>
        </is>
      </c>
      <c r="I178" t="inlineStr">
        <is>
          <t>1085,000000000</t>
        </is>
      </c>
      <c r="J178" t="inlineStr">
        <is>
          <t>20,000000000</t>
        </is>
      </c>
      <c r="K178" t="inlineStr">
        <is>
          <t>,000000000</t>
        </is>
      </c>
      <c r="L178" t="inlineStr">
        <is>
          <t>20,000000000</t>
        </is>
      </c>
      <c r="M178" t="inlineStr">
        <is>
          <t>,000000000</t>
        </is>
      </c>
      <c r="N178" t="inlineStr">
        <is>
          <t>,000000000</t>
        </is>
      </c>
      <c r="O178" t="inlineStr">
        <is>
          <t>,000000000</t>
        </is>
      </c>
      <c r="P178" t="inlineStr">
        <is>
          <t>45,000000000</t>
        </is>
      </c>
      <c r="Q178" t="inlineStr">
        <is>
          <t>,000000000</t>
        </is>
      </c>
      <c r="R178" t="inlineStr">
        <is>
          <t>,000000000</t>
        </is>
      </c>
      <c r="S178" t="inlineStr">
        <is>
          <t>,000000000</t>
        </is>
      </c>
      <c r="T178" t="inlineStr">
        <is>
          <t>,000000000</t>
        </is>
      </c>
      <c r="U178" t="inlineStr">
        <is>
          <t>,000000000</t>
        </is>
      </c>
      <c r="V178" t="inlineStr">
        <is>
          <t>,000000000</t>
        </is>
      </c>
      <c r="W178" t="inlineStr">
        <is>
          <t>,000000000</t>
        </is>
      </c>
      <c r="X178" t="inlineStr">
        <is>
          <t>,000000000</t>
        </is>
      </c>
      <c r="Y178" t="inlineStr">
        <is>
          <t>,000000000</t>
        </is>
      </c>
      <c r="Z178" t="inlineStr">
        <is>
          <t>,000000000</t>
        </is>
      </c>
      <c r="AA178" t="inlineStr">
        <is>
          <t>,000000000</t>
        </is>
      </c>
      <c r="AB178" t="inlineStr">
        <is>
          <t>6</t>
        </is>
      </c>
      <c r="AC178" t="inlineStr">
        <is>
          <t>4</t>
        </is>
      </c>
      <c r="AD178" s="3">
        <f>UPPER(C3)</f>
        <v/>
      </c>
      <c r="AE178" s="3">
        <f>VLOOKUP(E3,'[1]Nómina Agentes'!$C:$D,3,0)</f>
        <v/>
      </c>
      <c r="AF178" s="5">
        <f>F3</f>
        <v/>
      </c>
      <c r="AG178" s="5">
        <f>H3</f>
        <v/>
      </c>
    </row>
    <row r="179">
      <c r="A179" s="1" t="inlineStr">
        <is>
          <t>9/10/2024</t>
        </is>
      </c>
      <c r="B179" t="inlineStr">
        <is>
          <t>925</t>
        </is>
      </c>
      <c r="C179" t="inlineStr">
        <is>
          <t>S2S Premium</t>
        </is>
      </c>
      <c r="D179" t="inlineStr">
        <is>
          <t>Pm_Castoro, Sofía</t>
        </is>
      </c>
      <c r="E179" t="inlineStr">
        <is>
          <t>606378</t>
        </is>
      </c>
      <c r="F179" s="2" t="inlineStr">
        <is>
          <t>07:30</t>
        </is>
      </c>
      <c r="G179" t="inlineStr">
        <is>
          <t>-</t>
        </is>
      </c>
      <c r="H179" s="2" t="inlineStr">
        <is>
          <t>08:00</t>
        </is>
      </c>
      <c r="I179" t="inlineStr">
        <is>
          <t>,000000000</t>
        </is>
      </c>
      <c r="J179" t="inlineStr">
        <is>
          <t>,000000000</t>
        </is>
      </c>
      <c r="K179" t="inlineStr">
        <is>
          <t>,000000000</t>
        </is>
      </c>
      <c r="L179" t="inlineStr">
        <is>
          <t>,000000000</t>
        </is>
      </c>
      <c r="M179" t="inlineStr">
        <is>
          <t>,000000000</t>
        </is>
      </c>
      <c r="N179" t="inlineStr">
        <is>
          <t>,000000000</t>
        </is>
      </c>
      <c r="O179" t="inlineStr">
        <is>
          <t>,000000000</t>
        </is>
      </c>
      <c r="P179" t="inlineStr">
        <is>
          <t>,000000000</t>
        </is>
      </c>
      <c r="Q179" t="inlineStr">
        <is>
          <t>,000000000</t>
        </is>
      </c>
      <c r="R179" t="inlineStr">
        <is>
          <t>,000000000</t>
        </is>
      </c>
      <c r="S179" t="inlineStr">
        <is>
          <t>,000000000</t>
        </is>
      </c>
      <c r="T179" t="inlineStr">
        <is>
          <t>,000000000</t>
        </is>
      </c>
      <c r="U179" t="inlineStr">
        <is>
          <t>,000000000</t>
        </is>
      </c>
      <c r="V179" t="inlineStr">
        <is>
          <t>,000000000</t>
        </is>
      </c>
      <c r="W179" t="inlineStr">
        <is>
          <t>,000000000</t>
        </is>
      </c>
      <c r="X179" t="inlineStr">
        <is>
          <t>,000000000</t>
        </is>
      </c>
      <c r="Y179" t="inlineStr">
        <is>
          <t>,000000000</t>
        </is>
      </c>
      <c r="Z179" t="inlineStr">
        <is>
          <t>,000000000</t>
        </is>
      </c>
      <c r="AA179" t="inlineStr">
        <is>
          <t>,000000000</t>
        </is>
      </c>
      <c r="AB179" t="inlineStr">
        <is>
          <t>0</t>
        </is>
      </c>
      <c r="AC179" t="inlineStr">
        <is>
          <t>0</t>
        </is>
      </c>
      <c r="AD179" s="3">
        <f>UPPER(C3)</f>
        <v/>
      </c>
      <c r="AE179" s="3">
        <f>VLOOKUP(E3,'[1]Nómina Agentes'!$C:$D,3,0)</f>
        <v/>
      </c>
      <c r="AF179" s="5">
        <f>F3</f>
        <v/>
      </c>
      <c r="AG179" s="5">
        <f>H3</f>
        <v/>
      </c>
    </row>
    <row r="180">
      <c r="A180" s="1" t="inlineStr">
        <is>
          <t>9/10/2024</t>
        </is>
      </c>
      <c r="B180" t="inlineStr">
        <is>
          <t>925</t>
        </is>
      </c>
      <c r="C180" t="inlineStr">
        <is>
          <t>S2S Premium</t>
        </is>
      </c>
      <c r="D180" t="inlineStr">
        <is>
          <t>Pm_Castoro, Sofía</t>
        </is>
      </c>
      <c r="E180" t="inlineStr">
        <is>
          <t>606378</t>
        </is>
      </c>
      <c r="F180" s="2" t="inlineStr">
        <is>
          <t>09:30</t>
        </is>
      </c>
      <c r="G180" t="inlineStr">
        <is>
          <t>-</t>
        </is>
      </c>
      <c r="H180" s="2" t="inlineStr">
        <is>
          <t>10:00</t>
        </is>
      </c>
      <c r="I180" t="inlineStr">
        <is>
          <t>91,000000000</t>
        </is>
      </c>
      <c r="J180" t="inlineStr">
        <is>
          <t>,000000000</t>
        </is>
      </c>
      <c r="K180" t="inlineStr">
        <is>
          <t>,000000000</t>
        </is>
      </c>
      <c r="L180" t="inlineStr">
        <is>
          <t>,000000000</t>
        </is>
      </c>
      <c r="M180" t="inlineStr">
        <is>
          <t>,000000000</t>
        </is>
      </c>
      <c r="N180" t="inlineStr">
        <is>
          <t>,000000000</t>
        </is>
      </c>
      <c r="O180" t="inlineStr">
        <is>
          <t>,000000000</t>
        </is>
      </c>
      <c r="P180" t="inlineStr">
        <is>
          <t>,000000000</t>
        </is>
      </c>
      <c r="Q180" t="inlineStr">
        <is>
          <t>,000000000</t>
        </is>
      </c>
      <c r="R180" t="inlineStr">
        <is>
          <t>,000000000</t>
        </is>
      </c>
      <c r="S180" t="inlineStr">
        <is>
          <t>,000000000</t>
        </is>
      </c>
      <c r="T180" t="inlineStr">
        <is>
          <t>,000000000</t>
        </is>
      </c>
      <c r="U180" t="inlineStr">
        <is>
          <t>,000000000</t>
        </is>
      </c>
      <c r="V180" t="inlineStr">
        <is>
          <t>,000000000</t>
        </is>
      </c>
      <c r="W180" t="inlineStr">
        <is>
          <t>,000000000</t>
        </is>
      </c>
      <c r="X180" t="inlineStr">
        <is>
          <t>,000000000</t>
        </is>
      </c>
      <c r="Y180" t="inlineStr">
        <is>
          <t>,000000000</t>
        </is>
      </c>
      <c r="Z180" t="inlineStr">
        <is>
          <t>,000000000</t>
        </is>
      </c>
      <c r="AA180" t="inlineStr">
        <is>
          <t>,000000000</t>
        </is>
      </c>
      <c r="AB180" t="inlineStr">
        <is>
          <t>1</t>
        </is>
      </c>
      <c r="AC180" t="inlineStr">
        <is>
          <t>0</t>
        </is>
      </c>
      <c r="AD180" s="3">
        <f>UPPER(C3)</f>
        <v/>
      </c>
      <c r="AE180" s="3">
        <f>VLOOKUP(E3,'[1]Nómina Agentes'!$C:$D,3,0)</f>
        <v/>
      </c>
      <c r="AF180" s="5">
        <f>F3</f>
        <v/>
      </c>
      <c r="AG180" s="5">
        <f>H3</f>
        <v/>
      </c>
    </row>
    <row r="181">
      <c r="A181" s="1" t="inlineStr">
        <is>
          <t>9/10/2024</t>
        </is>
      </c>
      <c r="B181" t="inlineStr">
        <is>
          <t>925</t>
        </is>
      </c>
      <c r="C181" t="inlineStr">
        <is>
          <t>S2S Premium</t>
        </is>
      </c>
      <c r="D181" t="inlineStr">
        <is>
          <t>Pm_Castoro, Sofía</t>
        </is>
      </c>
      <c r="E181" t="inlineStr">
        <is>
          <t>606378</t>
        </is>
      </c>
      <c r="F181" s="2" t="inlineStr">
        <is>
          <t>08:00</t>
        </is>
      </c>
      <c r="G181" t="inlineStr">
        <is>
          <t>-</t>
        </is>
      </c>
      <c r="H181" s="2" t="inlineStr">
        <is>
          <t>08:30</t>
        </is>
      </c>
      <c r="I181" t="inlineStr">
        <is>
          <t>797,000000000</t>
        </is>
      </c>
      <c r="J181" t="inlineStr">
        <is>
          <t>,000000000</t>
        </is>
      </c>
      <c r="K181" t="inlineStr">
        <is>
          <t>,000000000</t>
        </is>
      </c>
      <c r="L181" t="inlineStr">
        <is>
          <t>19,000000000</t>
        </is>
      </c>
      <c r="M181" t="inlineStr">
        <is>
          <t>,000000000</t>
        </is>
      </c>
      <c r="N181" t="inlineStr">
        <is>
          <t>,000000000</t>
        </is>
      </c>
      <c r="O181" t="inlineStr">
        <is>
          <t>,000000000</t>
        </is>
      </c>
      <c r="P181" t="inlineStr">
        <is>
          <t>,000000000</t>
        </is>
      </c>
      <c r="Q181" t="inlineStr">
        <is>
          <t>,000000000</t>
        </is>
      </c>
      <c r="R181" t="inlineStr">
        <is>
          <t>,000000000</t>
        </is>
      </c>
      <c r="S181" t="inlineStr">
        <is>
          <t>,000000000</t>
        </is>
      </c>
      <c r="T181" t="inlineStr">
        <is>
          <t>,000000000</t>
        </is>
      </c>
      <c r="U181" t="inlineStr">
        <is>
          <t>,000000000</t>
        </is>
      </c>
      <c r="V181" t="inlineStr">
        <is>
          <t>,000000000</t>
        </is>
      </c>
      <c r="W181" t="inlineStr">
        <is>
          <t>,000000000</t>
        </is>
      </c>
      <c r="X181" t="inlineStr">
        <is>
          <t>,000000000</t>
        </is>
      </c>
      <c r="Y181" t="inlineStr">
        <is>
          <t>,000000000</t>
        </is>
      </c>
      <c r="Z181" t="inlineStr">
        <is>
          <t>,000000000</t>
        </is>
      </c>
      <c r="AA181" t="inlineStr">
        <is>
          <t>,000000000</t>
        </is>
      </c>
      <c r="AB181" t="inlineStr">
        <is>
          <t>3</t>
        </is>
      </c>
      <c r="AC181" t="inlineStr">
        <is>
          <t>0</t>
        </is>
      </c>
      <c r="AD181" s="3">
        <f>UPPER(C3)</f>
        <v/>
      </c>
      <c r="AE181" s="3">
        <f>VLOOKUP(E3,'[1]Nómina Agentes'!$C:$D,3,0)</f>
        <v/>
      </c>
      <c r="AF181" s="5">
        <f>F3</f>
        <v/>
      </c>
      <c r="AG181" s="5">
        <f>H3</f>
        <v/>
      </c>
    </row>
    <row r="182">
      <c r="A182" s="1" t="inlineStr">
        <is>
          <t>9/10/2024</t>
        </is>
      </c>
      <c r="B182" t="inlineStr">
        <is>
          <t>925</t>
        </is>
      </c>
      <c r="C182" t="inlineStr">
        <is>
          <t>S2S Premium</t>
        </is>
      </c>
      <c r="D182" t="inlineStr">
        <is>
          <t>Pm_Castoro, Sofía</t>
        </is>
      </c>
      <c r="E182" t="inlineStr">
        <is>
          <t>606378</t>
        </is>
      </c>
      <c r="F182" s="2" t="inlineStr">
        <is>
          <t>09:00</t>
        </is>
      </c>
      <c r="G182" t="inlineStr">
        <is>
          <t>-</t>
        </is>
      </c>
      <c r="H182" s="2" t="inlineStr">
        <is>
          <t>09:30</t>
        </is>
      </c>
      <c r="I182" t="inlineStr">
        <is>
          <t>838,000000000</t>
        </is>
      </c>
      <c r="J182" t="inlineStr">
        <is>
          <t>,000000000</t>
        </is>
      </c>
      <c r="K182" t="inlineStr">
        <is>
          <t>,000000000</t>
        </is>
      </c>
      <c r="L182" t="inlineStr">
        <is>
          <t>12,000000000</t>
        </is>
      </c>
      <c r="M182" t="inlineStr">
        <is>
          <t>,000000000</t>
        </is>
      </c>
      <c r="N182" t="inlineStr">
        <is>
          <t>,000000000</t>
        </is>
      </c>
      <c r="O182" t="inlineStr">
        <is>
          <t>,000000000</t>
        </is>
      </c>
      <c r="P182" t="inlineStr">
        <is>
          <t>1,000000000</t>
        </is>
      </c>
      <c r="Q182" t="inlineStr">
        <is>
          <t>,000000000</t>
        </is>
      </c>
      <c r="R182" t="inlineStr">
        <is>
          <t>,000000000</t>
        </is>
      </c>
      <c r="S182" t="inlineStr">
        <is>
          <t>,000000000</t>
        </is>
      </c>
      <c r="T182" t="inlineStr">
        <is>
          <t>,000000000</t>
        </is>
      </c>
      <c r="U182" t="inlineStr">
        <is>
          <t>,000000000</t>
        </is>
      </c>
      <c r="V182" t="inlineStr">
        <is>
          <t>,000000000</t>
        </is>
      </c>
      <c r="W182" t="inlineStr">
        <is>
          <t>,000000000</t>
        </is>
      </c>
      <c r="X182" t="inlineStr">
        <is>
          <t>,000000000</t>
        </is>
      </c>
      <c r="Y182" t="inlineStr">
        <is>
          <t>,000000000</t>
        </is>
      </c>
      <c r="Z182" t="inlineStr">
        <is>
          <t>,000000000</t>
        </is>
      </c>
      <c r="AA182" t="inlineStr">
        <is>
          <t>,000000000</t>
        </is>
      </c>
      <c r="AB182" t="inlineStr">
        <is>
          <t>3</t>
        </is>
      </c>
      <c r="AC182" t="inlineStr">
        <is>
          <t>1</t>
        </is>
      </c>
      <c r="AD182" s="3">
        <f>UPPER(C3)</f>
        <v/>
      </c>
      <c r="AE182" s="3">
        <f>VLOOKUP(E3,'[1]Nómina Agentes'!$C:$D,3,0)</f>
        <v/>
      </c>
      <c r="AF182" s="5">
        <f>F3</f>
        <v/>
      </c>
      <c r="AG182" s="5">
        <f>H3</f>
        <v/>
      </c>
    </row>
    <row r="183">
      <c r="A183" s="1" t="inlineStr">
        <is>
          <t>9/10/2024</t>
        </is>
      </c>
      <c r="B183" t="inlineStr">
        <is>
          <t>925</t>
        </is>
      </c>
      <c r="C183" t="inlineStr">
        <is>
          <t>S2S Premium</t>
        </is>
      </c>
      <c r="D183" t="inlineStr">
        <is>
          <t>Pm_Castoro, Sofía</t>
        </is>
      </c>
      <c r="E183" t="inlineStr">
        <is>
          <t>606378</t>
        </is>
      </c>
      <c r="F183" s="2" t="inlineStr">
        <is>
          <t>10:00</t>
        </is>
      </c>
      <c r="G183" t="inlineStr">
        <is>
          <t>-</t>
        </is>
      </c>
      <c r="H183" s="2" t="inlineStr">
        <is>
          <t>10:30</t>
        </is>
      </c>
      <c r="I183" t="inlineStr">
        <is>
          <t>898,000000000</t>
        </is>
      </c>
      <c r="J183" t="inlineStr">
        <is>
          <t>,000000000</t>
        </is>
      </c>
      <c r="K183" t="inlineStr">
        <is>
          <t>,000000000</t>
        </is>
      </c>
      <c r="L183" t="inlineStr">
        <is>
          <t>16,000000000</t>
        </is>
      </c>
      <c r="M183" t="inlineStr">
        <is>
          <t>,000000000</t>
        </is>
      </c>
      <c r="N183" t="inlineStr">
        <is>
          <t>,000000000</t>
        </is>
      </c>
      <c r="O183" t="inlineStr">
        <is>
          <t>,000000000</t>
        </is>
      </c>
      <c r="P183" t="inlineStr">
        <is>
          <t>3,000000000</t>
        </is>
      </c>
      <c r="Q183" t="inlineStr">
        <is>
          <t>,000000000</t>
        </is>
      </c>
      <c r="R183" t="inlineStr">
        <is>
          <t>,000000000</t>
        </is>
      </c>
      <c r="S183" t="inlineStr">
        <is>
          <t>,000000000</t>
        </is>
      </c>
      <c r="T183" t="inlineStr">
        <is>
          <t>,000000000</t>
        </is>
      </c>
      <c r="U183" t="inlineStr">
        <is>
          <t>,000000000</t>
        </is>
      </c>
      <c r="V183" t="inlineStr">
        <is>
          <t>,000000000</t>
        </is>
      </c>
      <c r="W183" t="inlineStr">
        <is>
          <t>,000000000</t>
        </is>
      </c>
      <c r="X183" t="inlineStr">
        <is>
          <t>,000000000</t>
        </is>
      </c>
      <c r="Y183" t="inlineStr">
        <is>
          <t>,000000000</t>
        </is>
      </c>
      <c r="Z183" t="inlineStr">
        <is>
          <t>,000000000</t>
        </is>
      </c>
      <c r="AA183" t="inlineStr">
        <is>
          <t>,000000000</t>
        </is>
      </c>
      <c r="AB183" t="inlineStr">
        <is>
          <t>4</t>
        </is>
      </c>
      <c r="AC183" t="inlineStr">
        <is>
          <t>3</t>
        </is>
      </c>
      <c r="AD183" s="3">
        <f>UPPER(C3)</f>
        <v/>
      </c>
      <c r="AE183" s="3">
        <f>VLOOKUP(E3,'[1]Nómina Agentes'!$C:$D,3,0)</f>
        <v/>
      </c>
      <c r="AF183" s="5">
        <f>F3</f>
        <v/>
      </c>
      <c r="AG183" s="5">
        <f>H3</f>
        <v/>
      </c>
    </row>
    <row r="184">
      <c r="A184" s="1" t="inlineStr">
        <is>
          <t>9/10/2024</t>
        </is>
      </c>
      <c r="B184" t="inlineStr">
        <is>
          <t>925</t>
        </is>
      </c>
      <c r="C184" t="inlineStr">
        <is>
          <t>S2S Premium</t>
        </is>
      </c>
      <c r="D184" t="inlineStr">
        <is>
          <t>Pm_Castoro, Sofía</t>
        </is>
      </c>
      <c r="E184" t="inlineStr">
        <is>
          <t>606378</t>
        </is>
      </c>
      <c r="F184" s="2" t="inlineStr">
        <is>
          <t>10:30</t>
        </is>
      </c>
      <c r="G184" t="inlineStr">
        <is>
          <t>-</t>
        </is>
      </c>
      <c r="H184" s="2" t="inlineStr">
        <is>
          <t>11:00</t>
        </is>
      </c>
      <c r="I184" t="inlineStr">
        <is>
          <t>938,000000000</t>
        </is>
      </c>
      <c r="J184" t="inlineStr">
        <is>
          <t>,000000000</t>
        </is>
      </c>
      <c r="K184" t="inlineStr">
        <is>
          <t>,000000000</t>
        </is>
      </c>
      <c r="L184" t="inlineStr">
        <is>
          <t>21,000000000</t>
        </is>
      </c>
      <c r="M184" t="inlineStr">
        <is>
          <t>,000000000</t>
        </is>
      </c>
      <c r="N184" t="inlineStr">
        <is>
          <t>,000000000</t>
        </is>
      </c>
      <c r="O184" t="inlineStr">
        <is>
          <t>,000000000</t>
        </is>
      </c>
      <c r="P184" t="inlineStr">
        <is>
          <t>219,000000000</t>
        </is>
      </c>
      <c r="Q184" t="inlineStr">
        <is>
          <t>52,000000000</t>
        </is>
      </c>
      <c r="R184" t="inlineStr">
        <is>
          <t>,000000000</t>
        </is>
      </c>
      <c r="S184" t="inlineStr">
        <is>
          <t>,000000000</t>
        </is>
      </c>
      <c r="T184" t="inlineStr">
        <is>
          <t>,000000000</t>
        </is>
      </c>
      <c r="U184" t="inlineStr">
        <is>
          <t>,000000000</t>
        </is>
      </c>
      <c r="V184" t="inlineStr">
        <is>
          <t>,000000000</t>
        </is>
      </c>
      <c r="W184" t="inlineStr">
        <is>
          <t>,000000000</t>
        </is>
      </c>
      <c r="X184" t="inlineStr">
        <is>
          <t>,000000000</t>
        </is>
      </c>
      <c r="Y184" t="inlineStr">
        <is>
          <t>,000000000</t>
        </is>
      </c>
      <c r="Z184" t="inlineStr">
        <is>
          <t>,000000000</t>
        </is>
      </c>
      <c r="AA184" t="inlineStr">
        <is>
          <t>,000000000</t>
        </is>
      </c>
      <c r="AB184" t="inlineStr">
        <is>
          <t>4</t>
        </is>
      </c>
      <c r="AC184" t="inlineStr">
        <is>
          <t>0</t>
        </is>
      </c>
      <c r="AD184" s="3">
        <f>UPPER(C3)</f>
        <v/>
      </c>
      <c r="AE184" s="3">
        <f>VLOOKUP(E3,'[1]Nómina Agentes'!$C:$D,3,0)</f>
        <v/>
      </c>
      <c r="AF184" s="5">
        <f>F3</f>
        <v/>
      </c>
      <c r="AG184" s="5">
        <f>H3</f>
        <v/>
      </c>
    </row>
    <row r="185">
      <c r="A185" s="1" t="inlineStr">
        <is>
          <t>9/10/2024</t>
        </is>
      </c>
      <c r="B185" t="inlineStr">
        <is>
          <t>925</t>
        </is>
      </c>
      <c r="C185" t="inlineStr">
        <is>
          <t>S2S Premium</t>
        </is>
      </c>
      <c r="D185" t="inlineStr">
        <is>
          <t>Pm_Castoro, Sofía</t>
        </is>
      </c>
      <c r="E185" t="inlineStr">
        <is>
          <t>606378</t>
        </is>
      </c>
      <c r="F185" s="2" t="inlineStr">
        <is>
          <t>08:30</t>
        </is>
      </c>
      <c r="G185" t="inlineStr">
        <is>
          <t>-</t>
        </is>
      </c>
      <c r="H185" s="2" t="inlineStr">
        <is>
          <t>09:00</t>
        </is>
      </c>
      <c r="I185" t="inlineStr">
        <is>
          <t>1198,000000000</t>
        </is>
      </c>
      <c r="J185" t="inlineStr">
        <is>
          <t>,000000000</t>
        </is>
      </c>
      <c r="K185" t="inlineStr">
        <is>
          <t>,000000000</t>
        </is>
      </c>
      <c r="L185" t="inlineStr">
        <is>
          <t>21,000000000</t>
        </is>
      </c>
      <c r="M185" t="inlineStr">
        <is>
          <t>,000000000</t>
        </is>
      </c>
      <c r="N185" t="inlineStr">
        <is>
          <t>,000000000</t>
        </is>
      </c>
      <c r="O185" t="inlineStr">
        <is>
          <t>,000000000</t>
        </is>
      </c>
      <c r="P185" t="inlineStr">
        <is>
          <t>114,000000000</t>
        </is>
      </c>
      <c r="Q185" t="inlineStr">
        <is>
          <t>98,000000000</t>
        </is>
      </c>
      <c r="R185" t="inlineStr">
        <is>
          <t>,000000000</t>
        </is>
      </c>
      <c r="S185" t="inlineStr">
        <is>
          <t>,000000000</t>
        </is>
      </c>
      <c r="T185" t="inlineStr">
        <is>
          <t>,000000000</t>
        </is>
      </c>
      <c r="U185" t="inlineStr">
        <is>
          <t>,000000000</t>
        </is>
      </c>
      <c r="V185" t="inlineStr">
        <is>
          <t>,000000000</t>
        </is>
      </c>
      <c r="W185" t="inlineStr">
        <is>
          <t>,000000000</t>
        </is>
      </c>
      <c r="X185" t="inlineStr">
        <is>
          <t>,000000000</t>
        </is>
      </c>
      <c r="Y185" t="inlineStr">
        <is>
          <t>,000000000</t>
        </is>
      </c>
      <c r="Z185" t="inlineStr">
        <is>
          <t>,000000000</t>
        </is>
      </c>
      <c r="AA185" t="inlineStr">
        <is>
          <t>,000000000</t>
        </is>
      </c>
      <c r="AB185" t="inlineStr">
        <is>
          <t>5</t>
        </is>
      </c>
      <c r="AC185" t="inlineStr">
        <is>
          <t>3</t>
        </is>
      </c>
      <c r="AD185" s="3">
        <f>UPPER(C3)</f>
        <v/>
      </c>
      <c r="AE185" s="3">
        <f>VLOOKUP(E3,'[1]Nómina Agentes'!$C:$D,3,0)</f>
        <v/>
      </c>
      <c r="AF185" s="5">
        <f>F3</f>
        <v/>
      </c>
      <c r="AG185" s="5">
        <f>H3</f>
        <v/>
      </c>
    </row>
    <row r="186">
      <c r="A186" s="1" t="inlineStr">
        <is>
          <t>9/10/2024</t>
        </is>
      </c>
      <c r="B186" t="inlineStr">
        <is>
          <t>924</t>
        </is>
      </c>
      <c r="C186" t="inlineStr">
        <is>
          <t>S2S No Premium</t>
        </is>
      </c>
      <c r="D186" t="inlineStr">
        <is>
          <t>N2_Manfredi, Agostin</t>
        </is>
      </c>
      <c r="E186" t="inlineStr">
        <is>
          <t>606398</t>
        </is>
      </c>
      <c r="F186" s="2" t="inlineStr">
        <is>
          <t>08:30</t>
        </is>
      </c>
      <c r="G186" t="inlineStr">
        <is>
          <t>-</t>
        </is>
      </c>
      <c r="H186" s="2" t="inlineStr">
        <is>
          <t>09:00</t>
        </is>
      </c>
      <c r="I186" t="inlineStr">
        <is>
          <t>,000000000</t>
        </is>
      </c>
      <c r="J186" t="inlineStr">
        <is>
          <t>,000000000</t>
        </is>
      </c>
      <c r="K186" t="inlineStr">
        <is>
          <t>,000000000</t>
        </is>
      </c>
      <c r="L186" t="inlineStr">
        <is>
          <t>,000000000</t>
        </is>
      </c>
      <c r="M186" t="inlineStr">
        <is>
          <t>,000000000</t>
        </is>
      </c>
      <c r="N186" t="inlineStr">
        <is>
          <t>,000000000</t>
        </is>
      </c>
      <c r="O186" t="inlineStr">
        <is>
          <t>,000000000</t>
        </is>
      </c>
      <c r="P186" t="inlineStr">
        <is>
          <t>,000000000</t>
        </is>
      </c>
      <c r="Q186" t="inlineStr">
        <is>
          <t>,000000000</t>
        </is>
      </c>
      <c r="R186" t="inlineStr">
        <is>
          <t>,000000000</t>
        </is>
      </c>
      <c r="S186" t="inlineStr">
        <is>
          <t>,000000000</t>
        </is>
      </c>
      <c r="T186" t="inlineStr">
        <is>
          <t>,000000000</t>
        </is>
      </c>
      <c r="U186" t="inlineStr">
        <is>
          <t>,000000000</t>
        </is>
      </c>
      <c r="V186" t="inlineStr">
        <is>
          <t>,000000000</t>
        </is>
      </c>
      <c r="W186" t="inlineStr">
        <is>
          <t>,000000000</t>
        </is>
      </c>
      <c r="X186" t="inlineStr">
        <is>
          <t>,000000000</t>
        </is>
      </c>
      <c r="Y186" t="inlineStr">
        <is>
          <t>,000000000</t>
        </is>
      </c>
      <c r="Z186" t="inlineStr">
        <is>
          <t>,000000000</t>
        </is>
      </c>
      <c r="AA186" t="inlineStr">
        <is>
          <t>,000000000</t>
        </is>
      </c>
      <c r="AB186" t="inlineStr">
        <is>
          <t>0</t>
        </is>
      </c>
      <c r="AC186" t="inlineStr">
        <is>
          <t>0</t>
        </is>
      </c>
      <c r="AD186" s="3">
        <f>UPPER(C3)</f>
        <v/>
      </c>
      <c r="AE186" s="3">
        <f>VLOOKUP(E3,'[1]Nómina Agentes'!$C:$D,3,0)</f>
        <v/>
      </c>
      <c r="AF186" s="5">
        <f>F3</f>
        <v/>
      </c>
      <c r="AG186" s="5">
        <f>H3</f>
        <v/>
      </c>
    </row>
    <row r="187">
      <c r="A187" s="1" t="inlineStr">
        <is>
          <t>9/10/2024</t>
        </is>
      </c>
      <c r="B187" t="inlineStr">
        <is>
          <t>924</t>
        </is>
      </c>
      <c r="C187" t="inlineStr">
        <is>
          <t>S2S No Premium</t>
        </is>
      </c>
      <c r="D187" t="inlineStr">
        <is>
          <t>N2_Manfredi, Agostin</t>
        </is>
      </c>
      <c r="E187" t="inlineStr">
        <is>
          <t>606398</t>
        </is>
      </c>
      <c r="F187" s="2" t="inlineStr">
        <is>
          <t>09:30</t>
        </is>
      </c>
      <c r="G187" t="inlineStr">
        <is>
          <t>-</t>
        </is>
      </c>
      <c r="H187" s="2" t="inlineStr">
        <is>
          <t>10:00</t>
        </is>
      </c>
      <c r="I187" t="inlineStr">
        <is>
          <t>283,000000000</t>
        </is>
      </c>
      <c r="J187" t="inlineStr">
        <is>
          <t>,000000000</t>
        </is>
      </c>
      <c r="K187" t="inlineStr">
        <is>
          <t>,000000000</t>
        </is>
      </c>
      <c r="L187" t="inlineStr">
        <is>
          <t>22,000000000</t>
        </is>
      </c>
      <c r="M187" t="inlineStr">
        <is>
          <t>,000000000</t>
        </is>
      </c>
      <c r="N187" t="inlineStr">
        <is>
          <t>,000000000</t>
        </is>
      </c>
      <c r="O187" t="inlineStr">
        <is>
          <t>,000000000</t>
        </is>
      </c>
      <c r="P187" t="inlineStr">
        <is>
          <t>2,000000000</t>
        </is>
      </c>
      <c r="Q187" t="inlineStr">
        <is>
          <t>,000000000</t>
        </is>
      </c>
      <c r="R187" t="inlineStr">
        <is>
          <t>,000000000</t>
        </is>
      </c>
      <c r="S187" t="inlineStr">
        <is>
          <t>,000000000</t>
        </is>
      </c>
      <c r="T187" t="inlineStr">
        <is>
          <t>,000000000</t>
        </is>
      </c>
      <c r="U187" t="inlineStr">
        <is>
          <t>,000000000</t>
        </is>
      </c>
      <c r="V187" t="inlineStr">
        <is>
          <t>,000000000</t>
        </is>
      </c>
      <c r="W187" t="inlineStr">
        <is>
          <t>,000000000</t>
        </is>
      </c>
      <c r="X187" t="inlineStr">
        <is>
          <t>,000000000</t>
        </is>
      </c>
      <c r="Y187" t="inlineStr">
        <is>
          <t>,000000000</t>
        </is>
      </c>
      <c r="Z187" t="inlineStr">
        <is>
          <t>,000000000</t>
        </is>
      </c>
      <c r="AA187" t="inlineStr">
        <is>
          <t>,000000000</t>
        </is>
      </c>
      <c r="AB187" t="inlineStr">
        <is>
          <t>2</t>
        </is>
      </c>
      <c r="AC187" t="inlineStr">
        <is>
          <t>2</t>
        </is>
      </c>
      <c r="AD187" s="3">
        <f>UPPER(C3)</f>
        <v/>
      </c>
      <c r="AE187" s="3">
        <f>VLOOKUP(E3,'[1]Nómina Agentes'!$C:$D,3,0)</f>
        <v/>
      </c>
      <c r="AF187" s="5">
        <f>F3</f>
        <v/>
      </c>
      <c r="AG187" s="5">
        <f>H3</f>
        <v/>
      </c>
    </row>
    <row r="188">
      <c r="A188" s="1" t="inlineStr">
        <is>
          <t>9/10/2024</t>
        </is>
      </c>
      <c r="B188" t="inlineStr">
        <is>
          <t>924</t>
        </is>
      </c>
      <c r="C188" t="inlineStr">
        <is>
          <t>S2S No Premium</t>
        </is>
      </c>
      <c r="D188" t="inlineStr">
        <is>
          <t>N2_Manfredi, Agostin</t>
        </is>
      </c>
      <c r="E188" t="inlineStr">
        <is>
          <t>606398</t>
        </is>
      </c>
      <c r="F188" s="2" t="inlineStr">
        <is>
          <t>10:30</t>
        </is>
      </c>
      <c r="G188" t="inlineStr">
        <is>
          <t>-</t>
        </is>
      </c>
      <c r="H188" s="2" t="inlineStr">
        <is>
          <t>11:00</t>
        </is>
      </c>
      <c r="I188" t="inlineStr">
        <is>
          <t>475,000000000</t>
        </is>
      </c>
      <c r="J188" t="inlineStr">
        <is>
          <t>,000000000</t>
        </is>
      </c>
      <c r="K188" t="inlineStr">
        <is>
          <t>,000000000</t>
        </is>
      </c>
      <c r="L188" t="inlineStr">
        <is>
          <t>12,000000000</t>
        </is>
      </c>
      <c r="M188" t="inlineStr">
        <is>
          <t>,000000000</t>
        </is>
      </c>
      <c r="N188" t="inlineStr">
        <is>
          <t>,000000000</t>
        </is>
      </c>
      <c r="O188" t="inlineStr">
        <is>
          <t>,000000000</t>
        </is>
      </c>
      <c r="P188" t="inlineStr">
        <is>
          <t>3,000000000</t>
        </is>
      </c>
      <c r="Q188" t="inlineStr">
        <is>
          <t>,000000000</t>
        </is>
      </c>
      <c r="R188" t="inlineStr">
        <is>
          <t>,000000000</t>
        </is>
      </c>
      <c r="S188" t="inlineStr">
        <is>
          <t>,000000000</t>
        </is>
      </c>
      <c r="T188" t="inlineStr">
        <is>
          <t>,000000000</t>
        </is>
      </c>
      <c r="U188" t="inlineStr">
        <is>
          <t>,000000000</t>
        </is>
      </c>
      <c r="V188" t="inlineStr">
        <is>
          <t>,000000000</t>
        </is>
      </c>
      <c r="W188" t="inlineStr">
        <is>
          <t>,000000000</t>
        </is>
      </c>
      <c r="X188" t="inlineStr">
        <is>
          <t>,000000000</t>
        </is>
      </c>
      <c r="Y188" t="inlineStr">
        <is>
          <t>,000000000</t>
        </is>
      </c>
      <c r="Z188" t="inlineStr">
        <is>
          <t>,000000000</t>
        </is>
      </c>
      <c r="AA188" t="inlineStr">
        <is>
          <t>,000000000</t>
        </is>
      </c>
      <c r="AB188" t="inlineStr">
        <is>
          <t>3</t>
        </is>
      </c>
      <c r="AC188" t="inlineStr">
        <is>
          <t>3</t>
        </is>
      </c>
      <c r="AD188" s="3">
        <f>UPPER(C3)</f>
        <v/>
      </c>
      <c r="AE188" s="3">
        <f>VLOOKUP(E3,'[1]Nómina Agentes'!$C:$D,3,0)</f>
        <v/>
      </c>
      <c r="AF188" s="5">
        <f>F3</f>
        <v/>
      </c>
      <c r="AG188" s="5">
        <f>H3</f>
        <v/>
      </c>
    </row>
    <row r="189">
      <c r="A189" s="1" t="inlineStr">
        <is>
          <t>9/10/2024</t>
        </is>
      </c>
      <c r="B189" t="inlineStr">
        <is>
          <t>924</t>
        </is>
      </c>
      <c r="C189" t="inlineStr">
        <is>
          <t>S2S No Premium</t>
        </is>
      </c>
      <c r="D189" t="inlineStr">
        <is>
          <t>N2_Manfredi, Agostin</t>
        </is>
      </c>
      <c r="E189" t="inlineStr">
        <is>
          <t>606398</t>
        </is>
      </c>
      <c r="F189" s="2" t="inlineStr">
        <is>
          <t>09:00</t>
        </is>
      </c>
      <c r="G189" t="inlineStr">
        <is>
          <t>-</t>
        </is>
      </c>
      <c r="H189" s="2" t="inlineStr">
        <is>
          <t>09:30</t>
        </is>
      </c>
      <c r="I189" t="inlineStr">
        <is>
          <t>824,000000000</t>
        </is>
      </c>
      <c r="J189" t="inlineStr">
        <is>
          <t>,000000000</t>
        </is>
      </c>
      <c r="K189" t="inlineStr">
        <is>
          <t>,000000000</t>
        </is>
      </c>
      <c r="L189" t="inlineStr">
        <is>
          <t>22,000000000</t>
        </is>
      </c>
      <c r="M189" t="inlineStr">
        <is>
          <t>,000000000</t>
        </is>
      </c>
      <c r="N189" t="inlineStr">
        <is>
          <t>,000000000</t>
        </is>
      </c>
      <c r="O189" t="inlineStr">
        <is>
          <t>,000000000</t>
        </is>
      </c>
      <c r="P189" t="inlineStr">
        <is>
          <t>4,000000000</t>
        </is>
      </c>
      <c r="Q189" t="inlineStr">
        <is>
          <t>,000000000</t>
        </is>
      </c>
      <c r="R189" t="inlineStr">
        <is>
          <t>,000000000</t>
        </is>
      </c>
      <c r="S189" t="inlineStr">
        <is>
          <t>,000000000</t>
        </is>
      </c>
      <c r="T189" t="inlineStr">
        <is>
          <t>,000000000</t>
        </is>
      </c>
      <c r="U189" t="inlineStr">
        <is>
          <t>,000000000</t>
        </is>
      </c>
      <c r="V189" t="inlineStr">
        <is>
          <t>,000000000</t>
        </is>
      </c>
      <c r="W189" t="inlineStr">
        <is>
          <t>,000000000</t>
        </is>
      </c>
      <c r="X189" t="inlineStr">
        <is>
          <t>,000000000</t>
        </is>
      </c>
      <c r="Y189" t="inlineStr">
        <is>
          <t>,000000000</t>
        </is>
      </c>
      <c r="Z189" t="inlineStr">
        <is>
          <t>,000000000</t>
        </is>
      </c>
      <c r="AA189" t="inlineStr">
        <is>
          <t>,000000000</t>
        </is>
      </c>
      <c r="AB189" t="inlineStr">
        <is>
          <t>5</t>
        </is>
      </c>
      <c r="AC189" t="inlineStr">
        <is>
          <t>4</t>
        </is>
      </c>
      <c r="AD189" s="3">
        <f>UPPER(C3)</f>
        <v/>
      </c>
      <c r="AE189" s="3">
        <f>VLOOKUP(E3,'[1]Nómina Agentes'!$C:$D,3,0)</f>
        <v/>
      </c>
      <c r="AF189" s="5">
        <f>F3</f>
        <v/>
      </c>
      <c r="AG189" s="5">
        <f>H3</f>
        <v/>
      </c>
    </row>
    <row r="190">
      <c r="A190" s="1" t="inlineStr">
        <is>
          <t>9/10/2024</t>
        </is>
      </c>
      <c r="B190" t="inlineStr">
        <is>
          <t>924</t>
        </is>
      </c>
      <c r="C190" t="inlineStr">
        <is>
          <t>S2S No Premium</t>
        </is>
      </c>
      <c r="D190" t="inlineStr">
        <is>
          <t>N2_Manfredi, Agostin</t>
        </is>
      </c>
      <c r="E190" t="inlineStr">
        <is>
          <t>606398</t>
        </is>
      </c>
      <c r="F190" s="2" t="inlineStr">
        <is>
          <t>10:00</t>
        </is>
      </c>
      <c r="G190" t="inlineStr">
        <is>
          <t>-</t>
        </is>
      </c>
      <c r="H190" s="2" t="inlineStr">
        <is>
          <t>10:30</t>
        </is>
      </c>
      <c r="I190" t="inlineStr">
        <is>
          <t>1038,000000000</t>
        </is>
      </c>
      <c r="J190" t="inlineStr">
        <is>
          <t>,000000000</t>
        </is>
      </c>
      <c r="K190" t="inlineStr">
        <is>
          <t>,000000000</t>
        </is>
      </c>
      <c r="L190" t="inlineStr">
        <is>
          <t>12,000000000</t>
        </is>
      </c>
      <c r="M190" t="inlineStr">
        <is>
          <t>,000000000</t>
        </is>
      </c>
      <c r="N190" t="inlineStr">
        <is>
          <t>,000000000</t>
        </is>
      </c>
      <c r="O190" t="inlineStr">
        <is>
          <t>,000000000</t>
        </is>
      </c>
      <c r="P190" t="inlineStr">
        <is>
          <t>3,000000000</t>
        </is>
      </c>
      <c r="Q190" t="inlineStr">
        <is>
          <t>,000000000</t>
        </is>
      </c>
      <c r="R190" t="inlineStr">
        <is>
          <t>,000000000</t>
        </is>
      </c>
      <c r="S190" t="inlineStr">
        <is>
          <t>,000000000</t>
        </is>
      </c>
      <c r="T190" t="inlineStr">
        <is>
          <t>,000000000</t>
        </is>
      </c>
      <c r="U190" t="inlineStr">
        <is>
          <t>,000000000</t>
        </is>
      </c>
      <c r="V190" t="inlineStr">
        <is>
          <t>,000000000</t>
        </is>
      </c>
      <c r="W190" t="inlineStr">
        <is>
          <t>,000000000</t>
        </is>
      </c>
      <c r="X190" t="inlineStr">
        <is>
          <t>,000000000</t>
        </is>
      </c>
      <c r="Y190" t="inlineStr">
        <is>
          <t>,000000000</t>
        </is>
      </c>
      <c r="Z190" t="inlineStr">
        <is>
          <t>,000000000</t>
        </is>
      </c>
      <c r="AA190" t="inlineStr">
        <is>
          <t>,000000000</t>
        </is>
      </c>
      <c r="AB190" t="inlineStr">
        <is>
          <t>4</t>
        </is>
      </c>
      <c r="AC190" t="inlineStr">
        <is>
          <t>3</t>
        </is>
      </c>
      <c r="AD190" s="3">
        <f>UPPER(C3)</f>
        <v/>
      </c>
      <c r="AE190" s="3">
        <f>VLOOKUP(E3,'[1]Nómina Agentes'!$C:$D,3,0)</f>
        <v/>
      </c>
      <c r="AF190" s="5">
        <f>F3</f>
        <v/>
      </c>
      <c r="AG190" s="5">
        <f>H3</f>
        <v/>
      </c>
    </row>
    <row r="191">
      <c r="A191" s="1" t="inlineStr">
        <is>
          <t>9/10/2024</t>
        </is>
      </c>
      <c r="B191" t="inlineStr">
        <is>
          <t>925</t>
        </is>
      </c>
      <c r="C191" t="inlineStr">
        <is>
          <t>S2S Premium</t>
        </is>
      </c>
      <c r="D191" t="inlineStr">
        <is>
          <t>P_Gonzalez, Eliana</t>
        </is>
      </c>
      <c r="E191" t="inlineStr">
        <is>
          <t>606399</t>
        </is>
      </c>
      <c r="F191" s="2" t="inlineStr">
        <is>
          <t>09:00</t>
        </is>
      </c>
      <c r="G191" t="inlineStr">
        <is>
          <t>-</t>
        </is>
      </c>
      <c r="H191" s="2" t="inlineStr">
        <is>
          <t>09:30</t>
        </is>
      </c>
      <c r="I191" t="inlineStr">
        <is>
          <t>528,000000000</t>
        </is>
      </c>
      <c r="J191" t="inlineStr">
        <is>
          <t>,000000000</t>
        </is>
      </c>
      <c r="K191" t="inlineStr">
        <is>
          <t>,000000000</t>
        </is>
      </c>
      <c r="L191" t="inlineStr">
        <is>
          <t>11,000000000</t>
        </is>
      </c>
      <c r="M191" t="inlineStr">
        <is>
          <t>,000000000</t>
        </is>
      </c>
      <c r="N191" t="inlineStr">
        <is>
          <t>,000000000</t>
        </is>
      </c>
      <c r="O191" t="inlineStr">
        <is>
          <t>,000000000</t>
        </is>
      </c>
      <c r="P191" t="inlineStr">
        <is>
          <t>1,000000000</t>
        </is>
      </c>
      <c r="Q191" t="inlineStr">
        <is>
          <t>,000000000</t>
        </is>
      </c>
      <c r="R191" t="inlineStr">
        <is>
          <t>,000000000</t>
        </is>
      </c>
      <c r="S191" t="inlineStr">
        <is>
          <t>,000000000</t>
        </is>
      </c>
      <c r="T191" t="inlineStr">
        <is>
          <t>,000000000</t>
        </is>
      </c>
      <c r="U191" t="inlineStr">
        <is>
          <t>,000000000</t>
        </is>
      </c>
      <c r="V191" t="inlineStr">
        <is>
          <t>,000000000</t>
        </is>
      </c>
      <c r="W191" t="inlineStr">
        <is>
          <t>,000000000</t>
        </is>
      </c>
      <c r="X191" t="inlineStr">
        <is>
          <t>,000000000</t>
        </is>
      </c>
      <c r="Y191" t="inlineStr">
        <is>
          <t>,000000000</t>
        </is>
      </c>
      <c r="Z191" t="inlineStr">
        <is>
          <t>,000000000</t>
        </is>
      </c>
      <c r="AA191" t="inlineStr">
        <is>
          <t>,000000000</t>
        </is>
      </c>
      <c r="AB191" t="inlineStr">
        <is>
          <t>1</t>
        </is>
      </c>
      <c r="AC191" t="inlineStr">
        <is>
          <t>1</t>
        </is>
      </c>
      <c r="AD191" s="3">
        <f>UPPER(C3)</f>
        <v/>
      </c>
      <c r="AE191" s="3">
        <f>VLOOKUP(E3,'[1]Nómina Agentes'!$C:$D,3,0)</f>
        <v/>
      </c>
      <c r="AF191" s="5">
        <f>F3</f>
        <v/>
      </c>
      <c r="AG191" s="5">
        <f>H3</f>
        <v/>
      </c>
    </row>
    <row r="192">
      <c r="A192" s="1" t="inlineStr">
        <is>
          <t>9/10/2024</t>
        </is>
      </c>
      <c r="B192" t="inlineStr">
        <is>
          <t>925</t>
        </is>
      </c>
      <c r="C192" t="inlineStr">
        <is>
          <t>S2S Premium</t>
        </is>
      </c>
      <c r="D192" t="inlineStr">
        <is>
          <t>P_Gonzalez, Eliana</t>
        </is>
      </c>
      <c r="E192" t="inlineStr">
        <is>
          <t>606399</t>
        </is>
      </c>
      <c r="F192" s="2" t="inlineStr">
        <is>
          <t>10:00</t>
        </is>
      </c>
      <c r="G192" t="inlineStr">
        <is>
          <t>-</t>
        </is>
      </c>
      <c r="H192" s="2" t="inlineStr">
        <is>
          <t>10:30</t>
        </is>
      </c>
      <c r="I192" t="inlineStr">
        <is>
          <t>799,000000000</t>
        </is>
      </c>
      <c r="J192" t="inlineStr">
        <is>
          <t>,000000000</t>
        </is>
      </c>
      <c r="K192" t="inlineStr">
        <is>
          <t>,000000000</t>
        </is>
      </c>
      <c r="L192" t="inlineStr">
        <is>
          <t>17,000000000</t>
        </is>
      </c>
      <c r="M192" t="inlineStr">
        <is>
          <t>,000000000</t>
        </is>
      </c>
      <c r="N192" t="inlineStr">
        <is>
          <t>,000000000</t>
        </is>
      </c>
      <c r="O192" t="inlineStr">
        <is>
          <t>,000000000</t>
        </is>
      </c>
      <c r="P192" t="inlineStr">
        <is>
          <t>4,000000000</t>
        </is>
      </c>
      <c r="Q192" t="inlineStr">
        <is>
          <t>,000000000</t>
        </is>
      </c>
      <c r="R192" t="inlineStr">
        <is>
          <t>,000000000</t>
        </is>
      </c>
      <c r="S192" t="inlineStr">
        <is>
          <t>,000000000</t>
        </is>
      </c>
      <c r="T192" t="inlineStr">
        <is>
          <t>,000000000</t>
        </is>
      </c>
      <c r="U192" t="inlineStr">
        <is>
          <t>,000000000</t>
        </is>
      </c>
      <c r="V192" t="inlineStr">
        <is>
          <t>,000000000</t>
        </is>
      </c>
      <c r="W192" t="inlineStr">
        <is>
          <t>,000000000</t>
        </is>
      </c>
      <c r="X192" t="inlineStr">
        <is>
          <t>,000000000</t>
        </is>
      </c>
      <c r="Y192" t="inlineStr">
        <is>
          <t>,000000000</t>
        </is>
      </c>
      <c r="Z192" t="inlineStr">
        <is>
          <t>,000000000</t>
        </is>
      </c>
      <c r="AA192" t="inlineStr">
        <is>
          <t>,000000000</t>
        </is>
      </c>
      <c r="AB192" t="inlineStr">
        <is>
          <t>4</t>
        </is>
      </c>
      <c r="AC192" t="inlineStr">
        <is>
          <t>3</t>
        </is>
      </c>
      <c r="AD192" s="3">
        <f>UPPER(C3)</f>
        <v/>
      </c>
      <c r="AE192" s="3">
        <f>VLOOKUP(E3,'[1]Nómina Agentes'!$C:$D,3,0)</f>
        <v/>
      </c>
      <c r="AF192" s="5">
        <f>F3</f>
        <v/>
      </c>
      <c r="AG192" s="5">
        <f>H3</f>
        <v/>
      </c>
    </row>
    <row r="193">
      <c r="A193" s="1" t="inlineStr">
        <is>
          <t>9/10/2024</t>
        </is>
      </c>
      <c r="B193" t="inlineStr">
        <is>
          <t>925</t>
        </is>
      </c>
      <c r="C193" t="inlineStr">
        <is>
          <t>S2S Premium</t>
        </is>
      </c>
      <c r="D193" t="inlineStr">
        <is>
          <t>P_Gonzalez, Eliana</t>
        </is>
      </c>
      <c r="E193" t="inlineStr">
        <is>
          <t>606399</t>
        </is>
      </c>
      <c r="F193" s="2" t="inlineStr">
        <is>
          <t>09:30</t>
        </is>
      </c>
      <c r="G193" t="inlineStr">
        <is>
          <t>-</t>
        </is>
      </c>
      <c r="H193" s="2" t="inlineStr">
        <is>
          <t>10:00</t>
        </is>
      </c>
      <c r="I193" t="inlineStr">
        <is>
          <t>1089,000000000</t>
        </is>
      </c>
      <c r="J193" t="inlineStr">
        <is>
          <t>,000000000</t>
        </is>
      </c>
      <c r="K193" t="inlineStr">
        <is>
          <t>,000000000</t>
        </is>
      </c>
      <c r="L193" t="inlineStr">
        <is>
          <t>25,000000000</t>
        </is>
      </c>
      <c r="M193" t="inlineStr">
        <is>
          <t>,000000000</t>
        </is>
      </c>
      <c r="N193" t="inlineStr">
        <is>
          <t>,000000000</t>
        </is>
      </c>
      <c r="O193" t="inlineStr">
        <is>
          <t>,000000000</t>
        </is>
      </c>
      <c r="P193" t="inlineStr">
        <is>
          <t>7,000000000</t>
        </is>
      </c>
      <c r="Q193" t="inlineStr">
        <is>
          <t>,000000000</t>
        </is>
      </c>
      <c r="R193" t="inlineStr">
        <is>
          <t>,000000000</t>
        </is>
      </c>
      <c r="S193" t="inlineStr">
        <is>
          <t>,000000000</t>
        </is>
      </c>
      <c r="T193" t="inlineStr">
        <is>
          <t>,000000000</t>
        </is>
      </c>
      <c r="U193" t="inlineStr">
        <is>
          <t>,000000000</t>
        </is>
      </c>
      <c r="V193" t="inlineStr">
        <is>
          <t>,000000000</t>
        </is>
      </c>
      <c r="W193" t="inlineStr">
        <is>
          <t>,000000000</t>
        </is>
      </c>
      <c r="X193" t="inlineStr">
        <is>
          <t>,000000000</t>
        </is>
      </c>
      <c r="Y193" t="inlineStr">
        <is>
          <t>,000000000</t>
        </is>
      </c>
      <c r="Z193" t="inlineStr">
        <is>
          <t>,000000000</t>
        </is>
      </c>
      <c r="AA193" t="inlineStr">
        <is>
          <t>,000000000</t>
        </is>
      </c>
      <c r="AB193" t="inlineStr">
        <is>
          <t>7</t>
        </is>
      </c>
      <c r="AC193" t="inlineStr">
        <is>
          <t>7</t>
        </is>
      </c>
      <c r="AD193" s="3">
        <f>UPPER(C3)</f>
        <v/>
      </c>
      <c r="AE193" s="3">
        <f>VLOOKUP(E3,'[1]Nómina Agentes'!$C:$D,3,0)</f>
        <v/>
      </c>
      <c r="AF193" s="5">
        <f>F3</f>
        <v/>
      </c>
      <c r="AG193" s="5">
        <f>H3</f>
        <v/>
      </c>
    </row>
    <row r="194">
      <c r="A194" s="1" t="inlineStr">
        <is>
          <t>9/10/2024</t>
        </is>
      </c>
      <c r="B194" t="inlineStr">
        <is>
          <t>925</t>
        </is>
      </c>
      <c r="C194" t="inlineStr">
        <is>
          <t>S2S Premium</t>
        </is>
      </c>
      <c r="D194" t="inlineStr">
        <is>
          <t>P_Gonzalez, Eliana</t>
        </is>
      </c>
      <c r="E194" t="inlineStr">
        <is>
          <t>606399</t>
        </is>
      </c>
      <c r="F194" s="2" t="inlineStr">
        <is>
          <t>10:30</t>
        </is>
      </c>
      <c r="G194" t="inlineStr">
        <is>
          <t>-</t>
        </is>
      </c>
      <c r="H194" s="2" t="inlineStr">
        <is>
          <t>11:00</t>
        </is>
      </c>
      <c r="I194" t="inlineStr">
        <is>
          <t>1432,000000000</t>
        </is>
      </c>
      <c r="J194" t="inlineStr">
        <is>
          <t>,000000000</t>
        </is>
      </c>
      <c r="K194" t="inlineStr">
        <is>
          <t>,000000000</t>
        </is>
      </c>
      <c r="L194" t="inlineStr">
        <is>
          <t>21,000000000</t>
        </is>
      </c>
      <c r="M194" t="inlineStr">
        <is>
          <t>,000000000</t>
        </is>
      </c>
      <c r="N194" t="inlineStr">
        <is>
          <t>,000000000</t>
        </is>
      </c>
      <c r="O194" t="inlineStr">
        <is>
          <t>,000000000</t>
        </is>
      </c>
      <c r="P194" t="inlineStr">
        <is>
          <t>4,000000000</t>
        </is>
      </c>
      <c r="Q194" t="inlineStr">
        <is>
          <t>,000000000</t>
        </is>
      </c>
      <c r="R194" t="inlineStr">
        <is>
          <t>,000000000</t>
        </is>
      </c>
      <c r="S194" t="inlineStr">
        <is>
          <t>,000000000</t>
        </is>
      </c>
      <c r="T194" t="inlineStr">
        <is>
          <t>,000000000</t>
        </is>
      </c>
      <c r="U194" t="inlineStr">
        <is>
          <t>,000000000</t>
        </is>
      </c>
      <c r="V194" t="inlineStr">
        <is>
          <t>,000000000</t>
        </is>
      </c>
      <c r="W194" t="inlineStr">
        <is>
          <t>,000000000</t>
        </is>
      </c>
      <c r="X194" t="inlineStr">
        <is>
          <t>,000000000</t>
        </is>
      </c>
      <c r="Y194" t="inlineStr">
        <is>
          <t>,000000000</t>
        </is>
      </c>
      <c r="Z194" t="inlineStr">
        <is>
          <t>,000000000</t>
        </is>
      </c>
      <c r="AA194" t="inlineStr">
        <is>
          <t>,000000000</t>
        </is>
      </c>
      <c r="AB194" t="inlineStr">
        <is>
          <t>4</t>
        </is>
      </c>
      <c r="AC194" t="inlineStr">
        <is>
          <t>4</t>
        </is>
      </c>
      <c r="AD194" s="3">
        <f>UPPER(C3)</f>
        <v/>
      </c>
      <c r="AE194" s="3">
        <f>VLOOKUP(E3,'[1]Nómina Agentes'!$C:$D,3,0)</f>
        <v/>
      </c>
      <c r="AF194" s="5">
        <f>F3</f>
        <v/>
      </c>
      <c r="AG194" s="5">
        <f>H3</f>
        <v/>
      </c>
    </row>
    <row r="195">
      <c r="A195" s="1" t="inlineStr">
        <is>
          <t>9/10/2024</t>
        </is>
      </c>
      <c r="B195" t="inlineStr">
        <is>
          <t>924</t>
        </is>
      </c>
      <c r="C195" t="inlineStr">
        <is>
          <t>S2S No Premium</t>
        </is>
      </c>
      <c r="D195" t="inlineStr">
        <is>
          <t>N2_Belchior Medina</t>
        </is>
      </c>
      <c r="E195" t="inlineStr">
        <is>
          <t>606408</t>
        </is>
      </c>
      <c r="F195" s="2" t="inlineStr">
        <is>
          <t>08:30</t>
        </is>
      </c>
      <c r="G195" t="inlineStr">
        <is>
          <t>-</t>
        </is>
      </c>
      <c r="H195" s="2" t="inlineStr">
        <is>
          <t>09:00</t>
        </is>
      </c>
      <c r="I195" t="inlineStr">
        <is>
          <t>,000000000</t>
        </is>
      </c>
      <c r="J195" t="inlineStr">
        <is>
          <t>,000000000</t>
        </is>
      </c>
      <c r="K195" t="inlineStr">
        <is>
          <t>,000000000</t>
        </is>
      </c>
      <c r="L195" t="inlineStr">
        <is>
          <t>,000000000</t>
        </is>
      </c>
      <c r="M195" t="inlineStr">
        <is>
          <t>,000000000</t>
        </is>
      </c>
      <c r="N195" t="inlineStr">
        <is>
          <t>,000000000</t>
        </is>
      </c>
      <c r="O195" t="inlineStr">
        <is>
          <t>,000000000</t>
        </is>
      </c>
      <c r="P195" t="inlineStr">
        <is>
          <t>,000000000</t>
        </is>
      </c>
      <c r="Q195" t="inlineStr">
        <is>
          <t>,000000000</t>
        </is>
      </c>
      <c r="R195" t="inlineStr">
        <is>
          <t>,000000000</t>
        </is>
      </c>
      <c r="S195" t="inlineStr">
        <is>
          <t>,000000000</t>
        </is>
      </c>
      <c r="T195" t="inlineStr">
        <is>
          <t>,000000000</t>
        </is>
      </c>
      <c r="U195" t="inlineStr">
        <is>
          <t>,000000000</t>
        </is>
      </c>
      <c r="V195" t="inlineStr">
        <is>
          <t>,000000000</t>
        </is>
      </c>
      <c r="W195" t="inlineStr">
        <is>
          <t>,000000000</t>
        </is>
      </c>
      <c r="X195" t="inlineStr">
        <is>
          <t>,000000000</t>
        </is>
      </c>
      <c r="Y195" t="inlineStr">
        <is>
          <t>,000000000</t>
        </is>
      </c>
      <c r="Z195" t="inlineStr">
        <is>
          <t>,000000000</t>
        </is>
      </c>
      <c r="AA195" t="inlineStr">
        <is>
          <t>,000000000</t>
        </is>
      </c>
      <c r="AB195" t="inlineStr">
        <is>
          <t>0</t>
        </is>
      </c>
      <c r="AC195" t="inlineStr">
        <is>
          <t>0</t>
        </is>
      </c>
      <c r="AD195" s="3">
        <f>UPPER(C3)</f>
        <v/>
      </c>
      <c r="AE195" s="3">
        <f>VLOOKUP(E3,'[1]Nómina Agentes'!$C:$D,3,0)</f>
        <v/>
      </c>
      <c r="AF195" s="5">
        <f>F3</f>
        <v/>
      </c>
      <c r="AG195" s="5">
        <f>H3</f>
        <v/>
      </c>
    </row>
    <row r="196">
      <c r="A196" s="1" t="inlineStr">
        <is>
          <t>9/10/2024</t>
        </is>
      </c>
      <c r="B196" t="inlineStr">
        <is>
          <t>924</t>
        </is>
      </c>
      <c r="C196" t="inlineStr">
        <is>
          <t>S2S No Premium</t>
        </is>
      </c>
      <c r="D196" t="inlineStr">
        <is>
          <t>N2_Belchior Medina</t>
        </is>
      </c>
      <c r="E196" t="inlineStr">
        <is>
          <t>606408</t>
        </is>
      </c>
      <c r="F196" s="2" t="inlineStr">
        <is>
          <t>10:30</t>
        </is>
      </c>
      <c r="G196" t="inlineStr">
        <is>
          <t>-</t>
        </is>
      </c>
      <c r="H196" s="2" t="inlineStr">
        <is>
          <t>11:00</t>
        </is>
      </c>
      <c r="I196" t="inlineStr">
        <is>
          <t>637,000000000</t>
        </is>
      </c>
      <c r="J196" t="inlineStr">
        <is>
          <t>,000000000</t>
        </is>
      </c>
      <c r="K196" t="inlineStr">
        <is>
          <t>,000000000</t>
        </is>
      </c>
      <c r="L196" t="inlineStr">
        <is>
          <t>8,000000000</t>
        </is>
      </c>
      <c r="M196" t="inlineStr">
        <is>
          <t>,000000000</t>
        </is>
      </c>
      <c r="N196" t="inlineStr">
        <is>
          <t>,000000000</t>
        </is>
      </c>
      <c r="O196" t="inlineStr">
        <is>
          <t>,000000000</t>
        </is>
      </c>
      <c r="P196" t="inlineStr">
        <is>
          <t>94,000000000</t>
        </is>
      </c>
      <c r="Q196" t="inlineStr">
        <is>
          <t>,000000000</t>
        </is>
      </c>
      <c r="R196" t="inlineStr">
        <is>
          <t>,000000000</t>
        </is>
      </c>
      <c r="S196" t="inlineStr">
        <is>
          <t>,000000000</t>
        </is>
      </c>
      <c r="T196" t="inlineStr">
        <is>
          <t>,000000000</t>
        </is>
      </c>
      <c r="U196" t="inlineStr">
        <is>
          <t>,000000000</t>
        </is>
      </c>
      <c r="V196" t="inlineStr">
        <is>
          <t>,000000000</t>
        </is>
      </c>
      <c r="W196" t="inlineStr">
        <is>
          <t>,000000000</t>
        </is>
      </c>
      <c r="X196" t="inlineStr">
        <is>
          <t>,000000000</t>
        </is>
      </c>
      <c r="Y196" t="inlineStr">
        <is>
          <t>,000000000</t>
        </is>
      </c>
      <c r="Z196" t="inlineStr">
        <is>
          <t>,000000000</t>
        </is>
      </c>
      <c r="AA196" t="inlineStr">
        <is>
          <t>,000000000</t>
        </is>
      </c>
      <c r="AB196" t="inlineStr">
        <is>
          <t>3</t>
        </is>
      </c>
      <c r="AC196" t="inlineStr">
        <is>
          <t>3</t>
        </is>
      </c>
      <c r="AD196" s="3">
        <f>UPPER(C3)</f>
        <v/>
      </c>
      <c r="AE196" s="3">
        <f>VLOOKUP(E3,'[1]Nómina Agentes'!$C:$D,3,0)</f>
        <v/>
      </c>
      <c r="AF196" s="5">
        <f>F3</f>
        <v/>
      </c>
      <c r="AG196" s="5">
        <f>H3</f>
        <v/>
      </c>
    </row>
    <row r="197">
      <c r="A197" s="1" t="inlineStr">
        <is>
          <t>9/10/2024</t>
        </is>
      </c>
      <c r="B197" t="inlineStr">
        <is>
          <t>924</t>
        </is>
      </c>
      <c r="C197" t="inlineStr">
        <is>
          <t>S2S No Premium</t>
        </is>
      </c>
      <c r="D197" t="inlineStr">
        <is>
          <t>N2_Belchior Medina</t>
        </is>
      </c>
      <c r="E197" t="inlineStr">
        <is>
          <t>606408</t>
        </is>
      </c>
      <c r="F197" s="2" t="inlineStr">
        <is>
          <t>10:00</t>
        </is>
      </c>
      <c r="G197" t="inlineStr">
        <is>
          <t>-</t>
        </is>
      </c>
      <c r="H197" s="2" t="inlineStr">
        <is>
          <t>10:30</t>
        </is>
      </c>
      <c r="I197" t="inlineStr">
        <is>
          <t>649,000000000</t>
        </is>
      </c>
      <c r="J197" t="inlineStr">
        <is>
          <t>,000000000</t>
        </is>
      </c>
      <c r="K197" t="inlineStr">
        <is>
          <t>,000000000</t>
        </is>
      </c>
      <c r="L197" t="inlineStr">
        <is>
          <t>17,000000000</t>
        </is>
      </c>
      <c r="M197" t="inlineStr">
        <is>
          <t>,000000000</t>
        </is>
      </c>
      <c r="N197" t="inlineStr">
        <is>
          <t>,000000000</t>
        </is>
      </c>
      <c r="O197" t="inlineStr">
        <is>
          <t>,000000000</t>
        </is>
      </c>
      <c r="P197" t="inlineStr">
        <is>
          <t>2,000000000</t>
        </is>
      </c>
      <c r="Q197" t="inlineStr">
        <is>
          <t>85,000000000</t>
        </is>
      </c>
      <c r="R197" t="inlineStr">
        <is>
          <t>,000000000</t>
        </is>
      </c>
      <c r="S197" t="inlineStr">
        <is>
          <t>,000000000</t>
        </is>
      </c>
      <c r="T197" t="inlineStr">
        <is>
          <t>,000000000</t>
        </is>
      </c>
      <c r="U197" t="inlineStr">
        <is>
          <t>,000000000</t>
        </is>
      </c>
      <c r="V197" t="inlineStr">
        <is>
          <t>,000000000</t>
        </is>
      </c>
      <c r="W197" t="inlineStr">
        <is>
          <t>,000000000</t>
        </is>
      </c>
      <c r="X197" t="inlineStr">
        <is>
          <t>,000000000</t>
        </is>
      </c>
      <c r="Y197" t="inlineStr">
        <is>
          <t>,000000000</t>
        </is>
      </c>
      <c r="Z197" t="inlineStr">
        <is>
          <t>,000000000</t>
        </is>
      </c>
      <c r="AA197" t="inlineStr">
        <is>
          <t>,000000000</t>
        </is>
      </c>
      <c r="AB197" t="inlineStr">
        <is>
          <t>3</t>
        </is>
      </c>
      <c r="AC197" t="inlineStr">
        <is>
          <t>2</t>
        </is>
      </c>
      <c r="AD197" s="3">
        <f>UPPER(C3)</f>
        <v/>
      </c>
      <c r="AE197" s="3">
        <f>VLOOKUP(E3,'[1]Nómina Agentes'!$C:$D,3,0)</f>
        <v/>
      </c>
      <c r="AF197" s="5">
        <f>F3</f>
        <v/>
      </c>
      <c r="AG197" s="5">
        <f>H3</f>
        <v/>
      </c>
    </row>
    <row r="198">
      <c r="A198" s="1" t="inlineStr">
        <is>
          <t>9/10/2024</t>
        </is>
      </c>
      <c r="B198" t="inlineStr">
        <is>
          <t>924</t>
        </is>
      </c>
      <c r="C198" t="inlineStr">
        <is>
          <t>S2S No Premium</t>
        </is>
      </c>
      <c r="D198" t="inlineStr">
        <is>
          <t>N2_Belchior Medina</t>
        </is>
      </c>
      <c r="E198" t="inlineStr">
        <is>
          <t>606408</t>
        </is>
      </c>
      <c r="F198" s="2" t="inlineStr">
        <is>
          <t>09:00</t>
        </is>
      </c>
      <c r="G198" t="inlineStr">
        <is>
          <t>-</t>
        </is>
      </c>
      <c r="H198" s="2" t="inlineStr">
        <is>
          <t>09:30</t>
        </is>
      </c>
      <c r="I198" t="inlineStr">
        <is>
          <t>864,000000000</t>
        </is>
      </c>
      <c r="J198" t="inlineStr">
        <is>
          <t>,000000000</t>
        </is>
      </c>
      <c r="K198" t="inlineStr">
        <is>
          <t>,000000000</t>
        </is>
      </c>
      <c r="L198" t="inlineStr">
        <is>
          <t>22,000000000</t>
        </is>
      </c>
      <c r="M198" t="inlineStr">
        <is>
          <t>,000000000</t>
        </is>
      </c>
      <c r="N198" t="inlineStr">
        <is>
          <t>,000000000</t>
        </is>
      </c>
      <c r="O198" t="inlineStr">
        <is>
          <t>,000000000</t>
        </is>
      </c>
      <c r="P198" t="inlineStr">
        <is>
          <t>4,000000000</t>
        </is>
      </c>
      <c r="Q198" t="inlineStr">
        <is>
          <t>1,000000000</t>
        </is>
      </c>
      <c r="R198" t="inlineStr">
        <is>
          <t>,000000000</t>
        </is>
      </c>
      <c r="S198" t="inlineStr">
        <is>
          <t>,000000000</t>
        </is>
      </c>
      <c r="T198" t="inlineStr">
        <is>
          <t>,000000000</t>
        </is>
      </c>
      <c r="U198" t="inlineStr">
        <is>
          <t>,000000000</t>
        </is>
      </c>
      <c r="V198" t="inlineStr">
        <is>
          <t>,000000000</t>
        </is>
      </c>
      <c r="W198" t="inlineStr">
        <is>
          <t>,000000000</t>
        </is>
      </c>
      <c r="X198" t="inlineStr">
        <is>
          <t>,000000000</t>
        </is>
      </c>
      <c r="Y198" t="inlineStr">
        <is>
          <t>,000000000</t>
        </is>
      </c>
      <c r="Z198" t="inlineStr">
        <is>
          <t>,000000000</t>
        </is>
      </c>
      <c r="AA198" t="inlineStr">
        <is>
          <t>,000000000</t>
        </is>
      </c>
      <c r="AB198" t="inlineStr">
        <is>
          <t>5</t>
        </is>
      </c>
      <c r="AC198" t="inlineStr">
        <is>
          <t>4</t>
        </is>
      </c>
      <c r="AD198" s="3">
        <f>UPPER(C3)</f>
        <v/>
      </c>
      <c r="AE198" s="3">
        <f>VLOOKUP(E3,'[1]Nómina Agentes'!$C:$D,3,0)</f>
        <v/>
      </c>
      <c r="AF198" s="5">
        <f>F3</f>
        <v/>
      </c>
      <c r="AG198" s="5">
        <f>H3</f>
        <v/>
      </c>
    </row>
    <row r="199">
      <c r="A199" s="1" t="inlineStr">
        <is>
          <t>9/10/2024</t>
        </is>
      </c>
      <c r="B199" t="inlineStr">
        <is>
          <t>924</t>
        </is>
      </c>
      <c r="C199" t="inlineStr">
        <is>
          <t>S2S No Premium</t>
        </is>
      </c>
      <c r="D199" t="inlineStr">
        <is>
          <t>N2_Belchior Medina</t>
        </is>
      </c>
      <c r="E199" t="inlineStr">
        <is>
          <t>606408</t>
        </is>
      </c>
      <c r="F199" s="2" t="inlineStr">
        <is>
          <t>09:30</t>
        </is>
      </c>
      <c r="G199" t="inlineStr">
        <is>
          <t>-</t>
        </is>
      </c>
      <c r="H199" s="2" t="inlineStr">
        <is>
          <t>10:00</t>
        </is>
      </c>
      <c r="I199" t="inlineStr">
        <is>
          <t>1322,000000000</t>
        </is>
      </c>
      <c r="J199" t="inlineStr">
        <is>
          <t>,000000000</t>
        </is>
      </c>
      <c r="K199" t="inlineStr">
        <is>
          <t>,000000000</t>
        </is>
      </c>
      <c r="L199" t="inlineStr">
        <is>
          <t>16,000000000</t>
        </is>
      </c>
      <c r="M199" t="inlineStr">
        <is>
          <t>,000000000</t>
        </is>
      </c>
      <c r="N199" t="inlineStr">
        <is>
          <t>,000000000</t>
        </is>
      </c>
      <c r="O199" t="inlineStr">
        <is>
          <t>,000000000</t>
        </is>
      </c>
      <c r="P199" t="inlineStr">
        <is>
          <t>4,000000000</t>
        </is>
      </c>
      <c r="Q199" t="inlineStr">
        <is>
          <t>,000000000</t>
        </is>
      </c>
      <c r="R199" t="inlineStr">
        <is>
          <t>,000000000</t>
        </is>
      </c>
      <c r="S199" t="inlineStr">
        <is>
          <t>,000000000</t>
        </is>
      </c>
      <c r="T199" t="inlineStr">
        <is>
          <t>,000000000</t>
        </is>
      </c>
      <c r="U199" t="inlineStr">
        <is>
          <t>,000000000</t>
        </is>
      </c>
      <c r="V199" t="inlineStr">
        <is>
          <t>,000000000</t>
        </is>
      </c>
      <c r="W199" t="inlineStr">
        <is>
          <t>,000000000</t>
        </is>
      </c>
      <c r="X199" t="inlineStr">
        <is>
          <t>,000000000</t>
        </is>
      </c>
      <c r="Y199" t="inlineStr">
        <is>
          <t>,000000000</t>
        </is>
      </c>
      <c r="Z199" t="inlineStr">
        <is>
          <t>,000000000</t>
        </is>
      </c>
      <c r="AA199" t="inlineStr">
        <is>
          <t>,000000000</t>
        </is>
      </c>
      <c r="AB199" t="inlineStr">
        <is>
          <t>4</t>
        </is>
      </c>
      <c r="AC199" t="inlineStr">
        <is>
          <t>4</t>
        </is>
      </c>
      <c r="AD199" s="3">
        <f>UPPER(C3)</f>
        <v/>
      </c>
      <c r="AE199" s="3">
        <f>VLOOKUP(E3,'[1]Nómina Agentes'!$C:$D,3,0)</f>
        <v/>
      </c>
      <c r="AF199" s="5">
        <f>F3</f>
        <v/>
      </c>
      <c r="AG199" s="5">
        <f>H3</f>
        <v/>
      </c>
    </row>
    <row r="200">
      <c r="A200" s="1" t="inlineStr">
        <is>
          <t>9/10/2024</t>
        </is>
      </c>
      <c r="B200" t="inlineStr">
        <is>
          <t>924</t>
        </is>
      </c>
      <c r="C200" t="inlineStr">
        <is>
          <t>S2S No Premium</t>
        </is>
      </c>
      <c r="D200" t="inlineStr">
        <is>
          <t>N2m_Gomez, Cesar</t>
        </is>
      </c>
      <c r="E200" t="inlineStr">
        <is>
          <t>606411</t>
        </is>
      </c>
      <c r="F200" s="2" t="inlineStr">
        <is>
          <t>08:30</t>
        </is>
      </c>
      <c r="G200" t="inlineStr">
        <is>
          <t>-</t>
        </is>
      </c>
      <c r="H200" s="2" t="inlineStr">
        <is>
          <t>09:00</t>
        </is>
      </c>
      <c r="I200" t="inlineStr">
        <is>
          <t>,000000000</t>
        </is>
      </c>
      <c r="J200" t="inlineStr">
        <is>
          <t>,000000000</t>
        </is>
      </c>
      <c r="K200" t="inlineStr">
        <is>
          <t>,000000000</t>
        </is>
      </c>
      <c r="L200" t="inlineStr">
        <is>
          <t>,000000000</t>
        </is>
      </c>
      <c r="M200" t="inlineStr">
        <is>
          <t>,000000000</t>
        </is>
      </c>
      <c r="N200" t="inlineStr">
        <is>
          <t>,000000000</t>
        </is>
      </c>
      <c r="O200" t="inlineStr">
        <is>
          <t>,000000000</t>
        </is>
      </c>
      <c r="P200" t="inlineStr">
        <is>
          <t>,000000000</t>
        </is>
      </c>
      <c r="Q200" t="inlineStr">
        <is>
          <t>,000000000</t>
        </is>
      </c>
      <c r="R200" t="inlineStr">
        <is>
          <t>,000000000</t>
        </is>
      </c>
      <c r="S200" t="inlineStr">
        <is>
          <t>,000000000</t>
        </is>
      </c>
      <c r="T200" t="inlineStr">
        <is>
          <t>,000000000</t>
        </is>
      </c>
      <c r="U200" t="inlineStr">
        <is>
          <t>,000000000</t>
        </is>
      </c>
      <c r="V200" t="inlineStr">
        <is>
          <t>,000000000</t>
        </is>
      </c>
      <c r="W200" t="inlineStr">
        <is>
          <t>,000000000</t>
        </is>
      </c>
      <c r="X200" t="inlineStr">
        <is>
          <t>,000000000</t>
        </is>
      </c>
      <c r="Y200" t="inlineStr">
        <is>
          <t>,000000000</t>
        </is>
      </c>
      <c r="Z200" t="inlineStr">
        <is>
          <t>,000000000</t>
        </is>
      </c>
      <c r="AA200" t="inlineStr">
        <is>
          <t>,000000000</t>
        </is>
      </c>
      <c r="AB200" t="inlineStr">
        <is>
          <t>0</t>
        </is>
      </c>
      <c r="AC200" t="inlineStr">
        <is>
          <t>0</t>
        </is>
      </c>
      <c r="AD200" s="3">
        <f>UPPER(C3)</f>
        <v/>
      </c>
      <c r="AE200" s="3">
        <f>VLOOKUP(E3,'[1]Nómina Agentes'!$C:$D,3,0)</f>
        <v/>
      </c>
      <c r="AF200" s="5">
        <f>F3</f>
        <v/>
      </c>
      <c r="AG200" s="5">
        <f>H3</f>
        <v/>
      </c>
    </row>
    <row r="201">
      <c r="A201" s="1" t="inlineStr">
        <is>
          <t>9/10/2024</t>
        </is>
      </c>
      <c r="B201" t="inlineStr">
        <is>
          <t>924</t>
        </is>
      </c>
      <c r="C201" t="inlineStr">
        <is>
          <t>S2S No Premium</t>
        </is>
      </c>
      <c r="D201" t="inlineStr">
        <is>
          <t>N2m_Gomez, Cesar</t>
        </is>
      </c>
      <c r="E201" t="inlineStr">
        <is>
          <t>606411</t>
        </is>
      </c>
      <c r="F201" s="2" t="inlineStr">
        <is>
          <t>10:30</t>
        </is>
      </c>
      <c r="G201" t="inlineStr">
        <is>
          <t>-</t>
        </is>
      </c>
      <c r="H201" s="2" t="inlineStr">
        <is>
          <t>11:00</t>
        </is>
      </c>
      <c r="I201" t="inlineStr">
        <is>
          <t>,000000000</t>
        </is>
      </c>
      <c r="J201" t="inlineStr">
        <is>
          <t>,000000000</t>
        </is>
      </c>
      <c r="K201" t="inlineStr">
        <is>
          <t>,000000000</t>
        </is>
      </c>
      <c r="L201" t="inlineStr">
        <is>
          <t>,000000000</t>
        </is>
      </c>
      <c r="M201" t="inlineStr">
        <is>
          <t>,000000000</t>
        </is>
      </c>
      <c r="N201" t="inlineStr">
        <is>
          <t>,000000000</t>
        </is>
      </c>
      <c r="O201" t="inlineStr">
        <is>
          <t>,000000000</t>
        </is>
      </c>
      <c r="P201" t="inlineStr">
        <is>
          <t>,000000000</t>
        </is>
      </c>
      <c r="Q201" t="inlineStr">
        <is>
          <t>,000000000</t>
        </is>
      </c>
      <c r="R201" t="inlineStr">
        <is>
          <t>,000000000</t>
        </is>
      </c>
      <c r="S201" t="inlineStr">
        <is>
          <t>,000000000</t>
        </is>
      </c>
      <c r="T201" t="inlineStr">
        <is>
          <t>,000000000</t>
        </is>
      </c>
      <c r="U201" t="inlineStr">
        <is>
          <t>,000000000</t>
        </is>
      </c>
      <c r="V201" t="inlineStr">
        <is>
          <t>,000000000</t>
        </is>
      </c>
      <c r="W201" t="inlineStr">
        <is>
          <t>,000000000</t>
        </is>
      </c>
      <c r="X201" t="inlineStr">
        <is>
          <t>,000000000</t>
        </is>
      </c>
      <c r="Y201" t="inlineStr">
        <is>
          <t>,000000000</t>
        </is>
      </c>
      <c r="Z201" t="inlineStr">
        <is>
          <t>,000000000</t>
        </is>
      </c>
      <c r="AA201" t="inlineStr">
        <is>
          <t>,000000000</t>
        </is>
      </c>
      <c r="AB201" t="inlineStr">
        <is>
          <t>0</t>
        </is>
      </c>
      <c r="AC201" t="inlineStr">
        <is>
          <t>0</t>
        </is>
      </c>
      <c r="AD201" s="3">
        <f>UPPER(C3)</f>
        <v/>
      </c>
      <c r="AE201" s="3">
        <f>VLOOKUP(E3,'[1]Nómina Agentes'!$C:$D,3,0)</f>
        <v/>
      </c>
      <c r="AF201" s="5">
        <f>F3</f>
        <v/>
      </c>
      <c r="AG201" s="5">
        <f>H3</f>
        <v/>
      </c>
    </row>
    <row r="202">
      <c r="A202" s="1" t="inlineStr">
        <is>
          <t>9/10/2024</t>
        </is>
      </c>
      <c r="B202" t="inlineStr">
        <is>
          <t>924</t>
        </is>
      </c>
      <c r="C202" t="inlineStr">
        <is>
          <t>S2S No Premium</t>
        </is>
      </c>
      <c r="D202" t="inlineStr">
        <is>
          <t>N2m_Gomez, Cesar</t>
        </is>
      </c>
      <c r="E202" t="inlineStr">
        <is>
          <t>606411</t>
        </is>
      </c>
      <c r="F202" s="2" t="inlineStr">
        <is>
          <t>10:00</t>
        </is>
      </c>
      <c r="G202" t="inlineStr">
        <is>
          <t>-</t>
        </is>
      </c>
      <c r="H202" s="2" t="inlineStr">
        <is>
          <t>10:30</t>
        </is>
      </c>
      <c r="I202" t="inlineStr">
        <is>
          <t>640,000000000</t>
        </is>
      </c>
      <c r="J202" t="inlineStr">
        <is>
          <t>,000000000</t>
        </is>
      </c>
      <c r="K202" t="inlineStr">
        <is>
          <t>,000000000</t>
        </is>
      </c>
      <c r="L202" t="inlineStr">
        <is>
          <t>31,000000000</t>
        </is>
      </c>
      <c r="M202" t="inlineStr">
        <is>
          <t>,000000000</t>
        </is>
      </c>
      <c r="N202" t="inlineStr">
        <is>
          <t>,000000000</t>
        </is>
      </c>
      <c r="O202" t="inlineStr">
        <is>
          <t>,000000000</t>
        </is>
      </c>
      <c r="P202" t="inlineStr">
        <is>
          <t>204,000000000</t>
        </is>
      </c>
      <c r="Q202" t="inlineStr">
        <is>
          <t>,000000000</t>
        </is>
      </c>
      <c r="R202" t="inlineStr">
        <is>
          <t>,000000000</t>
        </is>
      </c>
      <c r="S202" t="inlineStr">
        <is>
          <t>,000000000</t>
        </is>
      </c>
      <c r="T202" t="inlineStr">
        <is>
          <t>,000000000</t>
        </is>
      </c>
      <c r="U202" t="inlineStr">
        <is>
          <t>,000000000</t>
        </is>
      </c>
      <c r="V202" t="inlineStr">
        <is>
          <t>,000000000</t>
        </is>
      </c>
      <c r="W202" t="inlineStr">
        <is>
          <t>,000000000</t>
        </is>
      </c>
      <c r="X202" t="inlineStr">
        <is>
          <t>,000000000</t>
        </is>
      </c>
      <c r="Y202" t="inlineStr">
        <is>
          <t>,000000000</t>
        </is>
      </c>
      <c r="Z202" t="inlineStr">
        <is>
          <t>,000000000</t>
        </is>
      </c>
      <c r="AA202" t="inlineStr">
        <is>
          <t>,000000000</t>
        </is>
      </c>
      <c r="AB202" t="inlineStr">
        <is>
          <t>4</t>
        </is>
      </c>
      <c r="AC202" t="inlineStr">
        <is>
          <t>2</t>
        </is>
      </c>
      <c r="AD202" s="3">
        <f>UPPER(C3)</f>
        <v/>
      </c>
      <c r="AE202" s="3">
        <f>VLOOKUP(E3,'[1]Nómina Agentes'!$C:$D,3,0)</f>
        <v/>
      </c>
      <c r="AF202" s="5">
        <f>F3</f>
        <v/>
      </c>
      <c r="AG202" s="5">
        <f>H3</f>
        <v/>
      </c>
    </row>
    <row r="203">
      <c r="A203" s="1" t="inlineStr">
        <is>
          <t>9/10/2024</t>
        </is>
      </c>
      <c r="B203" t="inlineStr">
        <is>
          <t>924</t>
        </is>
      </c>
      <c r="C203" t="inlineStr">
        <is>
          <t>S2S No Premium</t>
        </is>
      </c>
      <c r="D203" t="inlineStr">
        <is>
          <t>N2m_Gomez, Cesar</t>
        </is>
      </c>
      <c r="E203" t="inlineStr">
        <is>
          <t>606411</t>
        </is>
      </c>
      <c r="F203" s="2" t="inlineStr">
        <is>
          <t>09:00</t>
        </is>
      </c>
      <c r="G203" t="inlineStr">
        <is>
          <t>-</t>
        </is>
      </c>
      <c r="H203" s="2" t="inlineStr">
        <is>
          <t>09:30</t>
        </is>
      </c>
      <c r="I203" t="inlineStr">
        <is>
          <t>797,000000000</t>
        </is>
      </c>
      <c r="J203" t="inlineStr">
        <is>
          <t>,000000000</t>
        </is>
      </c>
      <c r="K203" t="inlineStr">
        <is>
          <t>,000000000</t>
        </is>
      </c>
      <c r="L203" t="inlineStr">
        <is>
          <t>32,000000000</t>
        </is>
      </c>
      <c r="M203" t="inlineStr">
        <is>
          <t>,000000000</t>
        </is>
      </c>
      <c r="N203" t="inlineStr">
        <is>
          <t>,000000000</t>
        </is>
      </c>
      <c r="O203" t="inlineStr">
        <is>
          <t>,000000000</t>
        </is>
      </c>
      <c r="P203" t="inlineStr">
        <is>
          <t>3,000000000</t>
        </is>
      </c>
      <c r="Q203" t="inlineStr">
        <is>
          <t>63,000000000</t>
        </is>
      </c>
      <c r="R203" t="inlineStr">
        <is>
          <t>,000000000</t>
        </is>
      </c>
      <c r="S203" t="inlineStr">
        <is>
          <t>,000000000</t>
        </is>
      </c>
      <c r="T203" t="inlineStr">
        <is>
          <t>,000000000</t>
        </is>
      </c>
      <c r="U203" t="inlineStr">
        <is>
          <t>,000000000</t>
        </is>
      </c>
      <c r="V203" t="inlineStr">
        <is>
          <t>,000000000</t>
        </is>
      </c>
      <c r="W203" t="inlineStr">
        <is>
          <t>,000000000</t>
        </is>
      </c>
      <c r="X203" t="inlineStr">
        <is>
          <t>,000000000</t>
        </is>
      </c>
      <c r="Y203" t="inlineStr">
        <is>
          <t>,000000000</t>
        </is>
      </c>
      <c r="Z203" t="inlineStr">
        <is>
          <t>,000000000</t>
        </is>
      </c>
      <c r="AA203" t="inlineStr">
        <is>
          <t>,000000000</t>
        </is>
      </c>
      <c r="AB203" t="inlineStr">
        <is>
          <t>3</t>
        </is>
      </c>
      <c r="AC203" t="inlineStr">
        <is>
          <t>2</t>
        </is>
      </c>
      <c r="AD203" s="3">
        <f>UPPER(C3)</f>
        <v/>
      </c>
      <c r="AE203" s="3">
        <f>VLOOKUP(E3,'[1]Nómina Agentes'!$C:$D,3,0)</f>
        <v/>
      </c>
      <c r="AF203" s="5">
        <f>F3</f>
        <v/>
      </c>
      <c r="AG203" s="5">
        <f>H3</f>
        <v/>
      </c>
    </row>
    <row r="204">
      <c r="A204" s="1" t="inlineStr">
        <is>
          <t>9/10/2024</t>
        </is>
      </c>
      <c r="B204" t="inlineStr">
        <is>
          <t>924</t>
        </is>
      </c>
      <c r="C204" t="inlineStr">
        <is>
          <t>S2S No Premium</t>
        </is>
      </c>
      <c r="D204" t="inlineStr">
        <is>
          <t>N2m_Gomez, Cesar</t>
        </is>
      </c>
      <c r="E204" t="inlineStr">
        <is>
          <t>606411</t>
        </is>
      </c>
      <c r="F204" s="2" t="inlineStr">
        <is>
          <t>09:30</t>
        </is>
      </c>
      <c r="G204" t="inlineStr">
        <is>
          <t>-</t>
        </is>
      </c>
      <c r="H204" s="2" t="inlineStr">
        <is>
          <t>10:00</t>
        </is>
      </c>
      <c r="I204" t="inlineStr">
        <is>
          <t>1015,000000000</t>
        </is>
      </c>
      <c r="J204" t="inlineStr">
        <is>
          <t>,000000000</t>
        </is>
      </c>
      <c r="K204" t="inlineStr">
        <is>
          <t>,000000000</t>
        </is>
      </c>
      <c r="L204" t="inlineStr">
        <is>
          <t>24,000000000</t>
        </is>
      </c>
      <c r="M204" t="inlineStr">
        <is>
          <t>,000000000</t>
        </is>
      </c>
      <c r="N204" t="inlineStr">
        <is>
          <t>,000000000</t>
        </is>
      </c>
      <c r="O204" t="inlineStr">
        <is>
          <t>,000000000</t>
        </is>
      </c>
      <c r="P204" t="inlineStr">
        <is>
          <t>464,000000000</t>
        </is>
      </c>
      <c r="Q204" t="inlineStr">
        <is>
          <t>111,000000000</t>
        </is>
      </c>
      <c r="R204" t="inlineStr">
        <is>
          <t>,000000000</t>
        </is>
      </c>
      <c r="S204" t="inlineStr">
        <is>
          <t>,000000000</t>
        </is>
      </c>
      <c r="T204" t="inlineStr">
        <is>
          <t>,000000000</t>
        </is>
      </c>
      <c r="U204" t="inlineStr">
        <is>
          <t>,000000000</t>
        </is>
      </c>
      <c r="V204" t="inlineStr">
        <is>
          <t>,000000000</t>
        </is>
      </c>
      <c r="W204" t="inlineStr">
        <is>
          <t>,000000000</t>
        </is>
      </c>
      <c r="X204" t="inlineStr">
        <is>
          <t>,000000000</t>
        </is>
      </c>
      <c r="Y204" t="inlineStr">
        <is>
          <t>,000000000</t>
        </is>
      </c>
      <c r="Z204" t="inlineStr">
        <is>
          <t>,000000000</t>
        </is>
      </c>
      <c r="AA204" t="inlineStr">
        <is>
          <t>,000000000</t>
        </is>
      </c>
      <c r="AB204" t="inlineStr">
        <is>
          <t>4</t>
        </is>
      </c>
      <c r="AC204" t="inlineStr">
        <is>
          <t>4</t>
        </is>
      </c>
      <c r="AD204" s="3">
        <f>UPPER(C3)</f>
        <v/>
      </c>
      <c r="AE204" s="3">
        <f>VLOOKUP(E3,'[1]Nómina Agentes'!$C:$D,3,0)</f>
        <v/>
      </c>
      <c r="AF204" s="5">
        <f>F3</f>
        <v/>
      </c>
      <c r="AG204" s="5">
        <f>H3</f>
        <v/>
      </c>
    </row>
    <row r="205">
      <c r="A205" s="1" t="inlineStr">
        <is>
          <t>9/10/2024</t>
        </is>
      </c>
      <c r="B205" t="inlineStr">
        <is>
          <t>925</t>
        </is>
      </c>
      <c r="C205" t="inlineStr">
        <is>
          <t>S2S Premium</t>
        </is>
      </c>
      <c r="D205" t="inlineStr">
        <is>
          <t>Pm_Garrigo Carolina</t>
        </is>
      </c>
      <c r="E205" t="inlineStr">
        <is>
          <t>606445</t>
        </is>
      </c>
      <c r="F205" s="2" t="inlineStr">
        <is>
          <t>09:30</t>
        </is>
      </c>
      <c r="G205" t="inlineStr">
        <is>
          <t>-</t>
        </is>
      </c>
      <c r="H205" s="2" t="inlineStr">
        <is>
          <t>10:00</t>
        </is>
      </c>
      <c r="I205" t="inlineStr">
        <is>
          <t>103,000000000</t>
        </is>
      </c>
      <c r="J205" t="inlineStr">
        <is>
          <t>,000000000</t>
        </is>
      </c>
      <c r="K205" t="inlineStr">
        <is>
          <t>,000000000</t>
        </is>
      </c>
      <c r="L205" t="inlineStr">
        <is>
          <t>6,000000000</t>
        </is>
      </c>
      <c r="M205" t="inlineStr">
        <is>
          <t>,000000000</t>
        </is>
      </c>
      <c r="N205" t="inlineStr">
        <is>
          <t>,000000000</t>
        </is>
      </c>
      <c r="O205" t="inlineStr">
        <is>
          <t>,000000000</t>
        </is>
      </c>
      <c r="P205" t="inlineStr">
        <is>
          <t>1,000000000</t>
        </is>
      </c>
      <c r="Q205" t="inlineStr">
        <is>
          <t>,000000000</t>
        </is>
      </c>
      <c r="R205" t="inlineStr">
        <is>
          <t>,000000000</t>
        </is>
      </c>
      <c r="S205" t="inlineStr">
        <is>
          <t>,000000000</t>
        </is>
      </c>
      <c r="T205" t="inlineStr">
        <is>
          <t>,000000000</t>
        </is>
      </c>
      <c r="U205" t="inlineStr">
        <is>
          <t>,000000000</t>
        </is>
      </c>
      <c r="V205" t="inlineStr">
        <is>
          <t>,000000000</t>
        </is>
      </c>
      <c r="W205" t="inlineStr">
        <is>
          <t>,000000000</t>
        </is>
      </c>
      <c r="X205" t="inlineStr">
        <is>
          <t>,000000000</t>
        </is>
      </c>
      <c r="Y205" t="inlineStr">
        <is>
          <t>,000000000</t>
        </is>
      </c>
      <c r="Z205" t="inlineStr">
        <is>
          <t>,000000000</t>
        </is>
      </c>
      <c r="AA205" t="inlineStr">
        <is>
          <t>,000000000</t>
        </is>
      </c>
      <c r="AB205" t="inlineStr">
        <is>
          <t>1</t>
        </is>
      </c>
      <c r="AC205" t="inlineStr">
        <is>
          <t>1</t>
        </is>
      </c>
      <c r="AD205" s="3">
        <f>UPPER(C3)</f>
        <v/>
      </c>
      <c r="AE205" s="3">
        <f>VLOOKUP(E3,'[1]Nómina Agentes'!$C:$D,3,0)</f>
        <v/>
      </c>
      <c r="AF205" s="5">
        <f>F3</f>
        <v/>
      </c>
      <c r="AG205" s="5">
        <f>H3</f>
        <v/>
      </c>
    </row>
    <row r="206">
      <c r="A206" s="1" t="inlineStr">
        <is>
          <t>9/10/2024</t>
        </is>
      </c>
      <c r="B206" t="inlineStr">
        <is>
          <t>925</t>
        </is>
      </c>
      <c r="C206" t="inlineStr">
        <is>
          <t>S2S Premium</t>
        </is>
      </c>
      <c r="D206" t="inlineStr">
        <is>
          <t>Pm_Garrigo Carolina</t>
        </is>
      </c>
      <c r="E206" t="inlineStr">
        <is>
          <t>606445</t>
        </is>
      </c>
      <c r="F206" s="2" t="inlineStr">
        <is>
          <t>10:00</t>
        </is>
      </c>
      <c r="G206" t="inlineStr">
        <is>
          <t>-</t>
        </is>
      </c>
      <c r="H206" s="2" t="inlineStr">
        <is>
          <t>10:30</t>
        </is>
      </c>
      <c r="I206" t="inlineStr">
        <is>
          <t>993,000000000</t>
        </is>
      </c>
      <c r="J206" t="inlineStr">
        <is>
          <t>,000000000</t>
        </is>
      </c>
      <c r="K206" t="inlineStr">
        <is>
          <t>,000000000</t>
        </is>
      </c>
      <c r="L206" t="inlineStr">
        <is>
          <t>20,000000000</t>
        </is>
      </c>
      <c r="M206" t="inlineStr">
        <is>
          <t>,000000000</t>
        </is>
      </c>
      <c r="N206" t="inlineStr">
        <is>
          <t>,000000000</t>
        </is>
      </c>
      <c r="O206" t="inlineStr">
        <is>
          <t>,000000000</t>
        </is>
      </c>
      <c r="P206" t="inlineStr">
        <is>
          <t>4,000000000</t>
        </is>
      </c>
      <c r="Q206" t="inlineStr">
        <is>
          <t>,000000000</t>
        </is>
      </c>
      <c r="R206" t="inlineStr">
        <is>
          <t>,000000000</t>
        </is>
      </c>
      <c r="S206" t="inlineStr">
        <is>
          <t>,000000000</t>
        </is>
      </c>
      <c r="T206" t="inlineStr">
        <is>
          <t>,000000000</t>
        </is>
      </c>
      <c r="U206" t="inlineStr">
        <is>
          <t>,000000000</t>
        </is>
      </c>
      <c r="V206" t="inlineStr">
        <is>
          <t>,000000000</t>
        </is>
      </c>
      <c r="W206" t="inlineStr">
        <is>
          <t>,000000000</t>
        </is>
      </c>
      <c r="X206" t="inlineStr">
        <is>
          <t>,000000000</t>
        </is>
      </c>
      <c r="Y206" t="inlineStr">
        <is>
          <t>,000000000</t>
        </is>
      </c>
      <c r="Z206" t="inlineStr">
        <is>
          <t>,000000000</t>
        </is>
      </c>
      <c r="AA206" t="inlineStr">
        <is>
          <t>,000000000</t>
        </is>
      </c>
      <c r="AB206" t="inlineStr">
        <is>
          <t>4</t>
        </is>
      </c>
      <c r="AC206" t="inlineStr">
        <is>
          <t>4</t>
        </is>
      </c>
      <c r="AD206" s="3">
        <f>UPPER(C3)</f>
        <v/>
      </c>
      <c r="AE206" s="3">
        <f>VLOOKUP(E3,'[1]Nómina Agentes'!$C:$D,3,0)</f>
        <v/>
      </c>
      <c r="AF206" s="5">
        <f>F3</f>
        <v/>
      </c>
      <c r="AG206" s="5">
        <f>H3</f>
        <v/>
      </c>
    </row>
    <row r="207">
      <c r="A207" s="1" t="inlineStr">
        <is>
          <t>9/10/2024</t>
        </is>
      </c>
      <c r="B207" t="inlineStr">
        <is>
          <t>925</t>
        </is>
      </c>
      <c r="C207" t="inlineStr">
        <is>
          <t>S2S Premium</t>
        </is>
      </c>
      <c r="D207" t="inlineStr">
        <is>
          <t>Pm_Garrigo Carolina</t>
        </is>
      </c>
      <c r="E207" t="inlineStr">
        <is>
          <t>606445</t>
        </is>
      </c>
      <c r="F207" s="2" t="inlineStr">
        <is>
          <t>10:30</t>
        </is>
      </c>
      <c r="G207" t="inlineStr">
        <is>
          <t>-</t>
        </is>
      </c>
      <c r="H207" s="2" t="inlineStr">
        <is>
          <t>11:00</t>
        </is>
      </c>
      <c r="I207" t="inlineStr">
        <is>
          <t>1524,000000000</t>
        </is>
      </c>
      <c r="J207" t="inlineStr">
        <is>
          <t>,000000000</t>
        </is>
      </c>
      <c r="K207" t="inlineStr">
        <is>
          <t>,000000000</t>
        </is>
      </c>
      <c r="L207" t="inlineStr">
        <is>
          <t>21,000000000</t>
        </is>
      </c>
      <c r="M207" t="inlineStr">
        <is>
          <t>,000000000</t>
        </is>
      </c>
      <c r="N207" t="inlineStr">
        <is>
          <t>,000000000</t>
        </is>
      </c>
      <c r="O207" t="inlineStr">
        <is>
          <t>,000000000</t>
        </is>
      </c>
      <c r="P207" t="inlineStr">
        <is>
          <t>3,000000000</t>
        </is>
      </c>
      <c r="Q207" t="inlineStr">
        <is>
          <t>,000000000</t>
        </is>
      </c>
      <c r="R207" t="inlineStr">
        <is>
          <t>,000000000</t>
        </is>
      </c>
      <c r="S207" t="inlineStr">
        <is>
          <t>,000000000</t>
        </is>
      </c>
      <c r="T207" t="inlineStr">
        <is>
          <t>,000000000</t>
        </is>
      </c>
      <c r="U207" t="inlineStr">
        <is>
          <t>,000000000</t>
        </is>
      </c>
      <c r="V207" t="inlineStr">
        <is>
          <t>,000000000</t>
        </is>
      </c>
      <c r="W207" t="inlineStr">
        <is>
          <t>,000000000</t>
        </is>
      </c>
      <c r="X207" t="inlineStr">
        <is>
          <t>,000000000</t>
        </is>
      </c>
      <c r="Y207" t="inlineStr">
        <is>
          <t>,000000000</t>
        </is>
      </c>
      <c r="Z207" t="inlineStr">
        <is>
          <t>,000000000</t>
        </is>
      </c>
      <c r="AA207" t="inlineStr">
        <is>
          <t>,000000000</t>
        </is>
      </c>
      <c r="AB207" t="inlineStr">
        <is>
          <t>5</t>
        </is>
      </c>
      <c r="AC207" t="inlineStr">
        <is>
          <t>3</t>
        </is>
      </c>
      <c r="AD207" s="3">
        <f>UPPER(C3)</f>
        <v/>
      </c>
      <c r="AE207" s="3">
        <f>VLOOKUP(E3,'[1]Nómina Agentes'!$C:$D,3,0)</f>
        <v/>
      </c>
      <c r="AF207" s="5">
        <f>F3</f>
        <v/>
      </c>
      <c r="AG207" s="5">
        <f>H3</f>
        <v/>
      </c>
    </row>
    <row r="208">
      <c r="A208" s="1" t="inlineStr">
        <is>
          <t>9/10/2024</t>
        </is>
      </c>
      <c r="B208" t="inlineStr">
        <is>
          <t>924</t>
        </is>
      </c>
      <c r="C208" t="inlineStr">
        <is>
          <t>S2S No Premium</t>
        </is>
      </c>
      <c r="D208" t="inlineStr">
        <is>
          <t>N2m_Condratiuk Migue</t>
        </is>
      </c>
      <c r="E208" t="inlineStr">
        <is>
          <t>606461</t>
        </is>
      </c>
      <c r="F208" s="2" t="inlineStr">
        <is>
          <t>07:30</t>
        </is>
      </c>
      <c r="G208" t="inlineStr">
        <is>
          <t>-</t>
        </is>
      </c>
      <c r="H208" s="2" t="inlineStr">
        <is>
          <t>08:00</t>
        </is>
      </c>
      <c r="I208" t="inlineStr">
        <is>
          <t>,000000000</t>
        </is>
      </c>
      <c r="J208" t="inlineStr">
        <is>
          <t>,000000000</t>
        </is>
      </c>
      <c r="K208" t="inlineStr">
        <is>
          <t>,000000000</t>
        </is>
      </c>
      <c r="L208" t="inlineStr">
        <is>
          <t>,000000000</t>
        </is>
      </c>
      <c r="M208" t="inlineStr">
        <is>
          <t>,000000000</t>
        </is>
      </c>
      <c r="N208" t="inlineStr">
        <is>
          <t>,000000000</t>
        </is>
      </c>
      <c r="O208" t="inlineStr">
        <is>
          <t>,000000000</t>
        </is>
      </c>
      <c r="P208" t="inlineStr">
        <is>
          <t>,000000000</t>
        </is>
      </c>
      <c r="Q208" t="inlineStr">
        <is>
          <t>,000000000</t>
        </is>
      </c>
      <c r="R208" t="inlineStr">
        <is>
          <t>,000000000</t>
        </is>
      </c>
      <c r="S208" t="inlineStr">
        <is>
          <t>,000000000</t>
        </is>
      </c>
      <c r="T208" t="inlineStr">
        <is>
          <t>,000000000</t>
        </is>
      </c>
      <c r="U208" t="inlineStr">
        <is>
          <t>,000000000</t>
        </is>
      </c>
      <c r="V208" t="inlineStr">
        <is>
          <t>,000000000</t>
        </is>
      </c>
      <c r="W208" t="inlineStr">
        <is>
          <t>,000000000</t>
        </is>
      </c>
      <c r="X208" t="inlineStr">
        <is>
          <t>,000000000</t>
        </is>
      </c>
      <c r="Y208" t="inlineStr">
        <is>
          <t>,000000000</t>
        </is>
      </c>
      <c r="Z208" t="inlineStr">
        <is>
          <t>,000000000</t>
        </is>
      </c>
      <c r="AA208" t="inlineStr">
        <is>
          <t>,000000000</t>
        </is>
      </c>
      <c r="AB208" t="inlineStr">
        <is>
          <t>0</t>
        </is>
      </c>
      <c r="AC208" t="inlineStr">
        <is>
          <t>0</t>
        </is>
      </c>
      <c r="AD208" s="3">
        <f>UPPER(C3)</f>
        <v/>
      </c>
      <c r="AE208" s="3">
        <f>VLOOKUP(E3,'[1]Nómina Agentes'!$C:$D,3,0)</f>
        <v/>
      </c>
      <c r="AF208" s="5">
        <f>F3</f>
        <v/>
      </c>
      <c r="AG208" s="5">
        <f>H3</f>
        <v/>
      </c>
    </row>
    <row r="209">
      <c r="A209" s="1" t="inlineStr">
        <is>
          <t>9/10/2024</t>
        </is>
      </c>
      <c r="B209" t="inlineStr">
        <is>
          <t>924</t>
        </is>
      </c>
      <c r="C209" t="inlineStr">
        <is>
          <t>S2S No Premium</t>
        </is>
      </c>
      <c r="D209" t="inlineStr">
        <is>
          <t>N2m_Condratiuk Migue</t>
        </is>
      </c>
      <c r="E209" t="inlineStr">
        <is>
          <t>606461</t>
        </is>
      </c>
      <c r="F209" s="2" t="inlineStr">
        <is>
          <t>10:00</t>
        </is>
      </c>
      <c r="G209" t="inlineStr">
        <is>
          <t>-</t>
        </is>
      </c>
      <c r="H209" s="2" t="inlineStr">
        <is>
          <t>10:30</t>
        </is>
      </c>
      <c r="I209" t="inlineStr">
        <is>
          <t>151,000000000</t>
        </is>
      </c>
      <c r="J209" t="inlineStr">
        <is>
          <t>,000000000</t>
        </is>
      </c>
      <c r="K209" t="inlineStr">
        <is>
          <t>,000000000</t>
        </is>
      </c>
      <c r="L209" t="inlineStr">
        <is>
          <t>8,000000000</t>
        </is>
      </c>
      <c r="M209" t="inlineStr">
        <is>
          <t>,000000000</t>
        </is>
      </c>
      <c r="N209" t="inlineStr">
        <is>
          <t>,000000000</t>
        </is>
      </c>
      <c r="O209" t="inlineStr">
        <is>
          <t>,000000000</t>
        </is>
      </c>
      <c r="P209" t="inlineStr">
        <is>
          <t>1,000000000</t>
        </is>
      </c>
      <c r="Q209" t="inlineStr">
        <is>
          <t>,000000000</t>
        </is>
      </c>
      <c r="R209" t="inlineStr">
        <is>
          <t>,000000000</t>
        </is>
      </c>
      <c r="S209" t="inlineStr">
        <is>
          <t>,000000000</t>
        </is>
      </c>
      <c r="T209" t="inlineStr">
        <is>
          <t>,000000000</t>
        </is>
      </c>
      <c r="U209" t="inlineStr">
        <is>
          <t>,000000000</t>
        </is>
      </c>
      <c r="V209" t="inlineStr">
        <is>
          <t>,000000000</t>
        </is>
      </c>
      <c r="W209" t="inlineStr">
        <is>
          <t>,000000000</t>
        </is>
      </c>
      <c r="X209" t="inlineStr">
        <is>
          <t>,000000000</t>
        </is>
      </c>
      <c r="Y209" t="inlineStr">
        <is>
          <t>,000000000</t>
        </is>
      </c>
      <c r="Z209" t="inlineStr">
        <is>
          <t>,000000000</t>
        </is>
      </c>
      <c r="AA209" t="inlineStr">
        <is>
          <t>,000000000</t>
        </is>
      </c>
      <c r="AB209" t="inlineStr">
        <is>
          <t>2</t>
        </is>
      </c>
      <c r="AC209" t="inlineStr">
        <is>
          <t>1</t>
        </is>
      </c>
      <c r="AD209" s="3">
        <f>UPPER(C3)</f>
        <v/>
      </c>
      <c r="AE209" s="3">
        <f>VLOOKUP(E3,'[1]Nómina Agentes'!$C:$D,3,0)</f>
        <v/>
      </c>
      <c r="AF209" s="5">
        <f>F3</f>
        <v/>
      </c>
      <c r="AG209" s="5">
        <f>H3</f>
        <v/>
      </c>
    </row>
    <row r="210">
      <c r="A210" s="1" t="inlineStr">
        <is>
          <t>9/10/2024</t>
        </is>
      </c>
      <c r="B210" t="inlineStr">
        <is>
          <t>924</t>
        </is>
      </c>
      <c r="C210" t="inlineStr">
        <is>
          <t>S2S No Premium</t>
        </is>
      </c>
      <c r="D210" t="inlineStr">
        <is>
          <t>N2m_Condratiuk Migue</t>
        </is>
      </c>
      <c r="E210" t="inlineStr">
        <is>
          <t>606461</t>
        </is>
      </c>
      <c r="F210" s="2" t="inlineStr">
        <is>
          <t>08:00</t>
        </is>
      </c>
      <c r="G210" t="inlineStr">
        <is>
          <t>-</t>
        </is>
      </c>
      <c r="H210" s="2" t="inlineStr">
        <is>
          <t>08:30</t>
        </is>
      </c>
      <c r="I210" t="inlineStr">
        <is>
          <t>234,000000000</t>
        </is>
      </c>
      <c r="J210" t="inlineStr">
        <is>
          <t>,000000000</t>
        </is>
      </c>
      <c r="K210" t="inlineStr">
        <is>
          <t>,000000000</t>
        </is>
      </c>
      <c r="L210" t="inlineStr">
        <is>
          <t>6,000000000</t>
        </is>
      </c>
      <c r="M210" t="inlineStr">
        <is>
          <t>,000000000</t>
        </is>
      </c>
      <c r="N210" t="inlineStr">
        <is>
          <t>,000000000</t>
        </is>
      </c>
      <c r="O210" t="inlineStr">
        <is>
          <t>,000000000</t>
        </is>
      </c>
      <c r="P210" t="inlineStr">
        <is>
          <t>,000000000</t>
        </is>
      </c>
      <c r="Q210" t="inlineStr">
        <is>
          <t>,000000000</t>
        </is>
      </c>
      <c r="R210" t="inlineStr">
        <is>
          <t>,000000000</t>
        </is>
      </c>
      <c r="S210" t="inlineStr">
        <is>
          <t>,000000000</t>
        </is>
      </c>
      <c r="T210" t="inlineStr">
        <is>
          <t>,000000000</t>
        </is>
      </c>
      <c r="U210" t="inlineStr">
        <is>
          <t>,000000000</t>
        </is>
      </c>
      <c r="V210" t="inlineStr">
        <is>
          <t>,000000000</t>
        </is>
      </c>
      <c r="W210" t="inlineStr">
        <is>
          <t>,000000000</t>
        </is>
      </c>
      <c r="X210" t="inlineStr">
        <is>
          <t>,000000000</t>
        </is>
      </c>
      <c r="Y210" t="inlineStr">
        <is>
          <t>,000000000</t>
        </is>
      </c>
      <c r="Z210" t="inlineStr">
        <is>
          <t>,000000000</t>
        </is>
      </c>
      <c r="AA210" t="inlineStr">
        <is>
          <t>,000000000</t>
        </is>
      </c>
      <c r="AB210" t="inlineStr">
        <is>
          <t>1</t>
        </is>
      </c>
      <c r="AC210" t="inlineStr">
        <is>
          <t>0</t>
        </is>
      </c>
      <c r="AD210" s="3">
        <f>UPPER(C3)</f>
        <v/>
      </c>
      <c r="AE210" s="3">
        <f>VLOOKUP(E3,'[1]Nómina Agentes'!$C:$D,3,0)</f>
        <v/>
      </c>
      <c r="AF210" s="5">
        <f>F3</f>
        <v/>
      </c>
      <c r="AG210" s="5">
        <f>H3</f>
        <v/>
      </c>
    </row>
    <row r="211">
      <c r="A211" s="1" t="inlineStr">
        <is>
          <t>9/10/2024</t>
        </is>
      </c>
      <c r="B211" t="inlineStr">
        <is>
          <t>924</t>
        </is>
      </c>
      <c r="C211" t="inlineStr">
        <is>
          <t>S2S No Premium</t>
        </is>
      </c>
      <c r="D211" t="inlineStr">
        <is>
          <t>N2m_Condratiuk Migue</t>
        </is>
      </c>
      <c r="E211" t="inlineStr">
        <is>
          <t>606461</t>
        </is>
      </c>
      <c r="F211" s="2" t="inlineStr">
        <is>
          <t>09:30</t>
        </is>
      </c>
      <c r="G211" t="inlineStr">
        <is>
          <t>-</t>
        </is>
      </c>
      <c r="H211" s="2" t="inlineStr">
        <is>
          <t>10:00</t>
        </is>
      </c>
      <c r="I211" t="inlineStr">
        <is>
          <t>248,000000000</t>
        </is>
      </c>
      <c r="J211" t="inlineStr">
        <is>
          <t>,000000000</t>
        </is>
      </c>
      <c r="K211" t="inlineStr">
        <is>
          <t>,000000000</t>
        </is>
      </c>
      <c r="L211" t="inlineStr">
        <is>
          <t>,000000000</t>
        </is>
      </c>
      <c r="M211" t="inlineStr">
        <is>
          <t>,000000000</t>
        </is>
      </c>
      <c r="N211" t="inlineStr">
        <is>
          <t>,000000000</t>
        </is>
      </c>
      <c r="O211" t="inlineStr">
        <is>
          <t>,000000000</t>
        </is>
      </c>
      <c r="P211" t="inlineStr">
        <is>
          <t>1,000000000</t>
        </is>
      </c>
      <c r="Q211" t="inlineStr">
        <is>
          <t>,000000000</t>
        </is>
      </c>
      <c r="R211" t="inlineStr">
        <is>
          <t>,000000000</t>
        </is>
      </c>
      <c r="S211" t="inlineStr">
        <is>
          <t>,000000000</t>
        </is>
      </c>
      <c r="T211" t="inlineStr">
        <is>
          <t>,000000000</t>
        </is>
      </c>
      <c r="U211" t="inlineStr">
        <is>
          <t>,000000000</t>
        </is>
      </c>
      <c r="V211" t="inlineStr">
        <is>
          <t>,000000000</t>
        </is>
      </c>
      <c r="W211" t="inlineStr">
        <is>
          <t>,000000000</t>
        </is>
      </c>
      <c r="X211" t="inlineStr">
        <is>
          <t>,000000000</t>
        </is>
      </c>
      <c r="Y211" t="inlineStr">
        <is>
          <t>,000000000</t>
        </is>
      </c>
      <c r="Z211" t="inlineStr">
        <is>
          <t>,000000000</t>
        </is>
      </c>
      <c r="AA211" t="inlineStr">
        <is>
          <t>,000000000</t>
        </is>
      </c>
      <c r="AB211" t="inlineStr">
        <is>
          <t>1</t>
        </is>
      </c>
      <c r="AC211" t="inlineStr">
        <is>
          <t>1</t>
        </is>
      </c>
      <c r="AD211" s="3">
        <f>UPPER(C3)</f>
        <v/>
      </c>
      <c r="AE211" s="3">
        <f>VLOOKUP(E3,'[1]Nómina Agentes'!$C:$D,3,0)</f>
        <v/>
      </c>
      <c r="AF211" s="5">
        <f>F3</f>
        <v/>
      </c>
      <c r="AG211" s="5">
        <f>H3</f>
        <v/>
      </c>
    </row>
    <row r="212">
      <c r="A212" s="1" t="inlineStr">
        <is>
          <t>9/10/2024</t>
        </is>
      </c>
      <c r="B212" t="inlineStr">
        <is>
          <t>924</t>
        </is>
      </c>
      <c r="C212" t="inlineStr">
        <is>
          <t>S2S No Premium</t>
        </is>
      </c>
      <c r="D212" t="inlineStr">
        <is>
          <t>N2m_Condratiuk Migue</t>
        </is>
      </c>
      <c r="E212" t="inlineStr">
        <is>
          <t>606461</t>
        </is>
      </c>
      <c r="F212" s="2" t="inlineStr">
        <is>
          <t>08:30</t>
        </is>
      </c>
      <c r="G212" t="inlineStr">
        <is>
          <t>-</t>
        </is>
      </c>
      <c r="H212" s="2" t="inlineStr">
        <is>
          <t>09:00</t>
        </is>
      </c>
      <c r="I212" t="inlineStr">
        <is>
          <t>417,000000000</t>
        </is>
      </c>
      <c r="J212" t="inlineStr">
        <is>
          <t>,000000000</t>
        </is>
      </c>
      <c r="K212" t="inlineStr">
        <is>
          <t>,000000000</t>
        </is>
      </c>
      <c r="L212" t="inlineStr">
        <is>
          <t>16,000000000</t>
        </is>
      </c>
      <c r="M212" t="inlineStr">
        <is>
          <t>,000000000</t>
        </is>
      </c>
      <c r="N212" t="inlineStr">
        <is>
          <t>,000000000</t>
        </is>
      </c>
      <c r="O212" t="inlineStr">
        <is>
          <t>,000000000</t>
        </is>
      </c>
      <c r="P212" t="inlineStr">
        <is>
          <t>5,000000000</t>
        </is>
      </c>
      <c r="Q212" t="inlineStr">
        <is>
          <t>,000000000</t>
        </is>
      </c>
      <c r="R212" t="inlineStr">
        <is>
          <t>,000000000</t>
        </is>
      </c>
      <c r="S212" t="inlineStr">
        <is>
          <t>,000000000</t>
        </is>
      </c>
      <c r="T212" t="inlineStr">
        <is>
          <t>,000000000</t>
        </is>
      </c>
      <c r="U212" t="inlineStr">
        <is>
          <t>,000000000</t>
        </is>
      </c>
      <c r="V212" t="inlineStr">
        <is>
          <t>,000000000</t>
        </is>
      </c>
      <c r="W212" t="inlineStr">
        <is>
          <t>,000000000</t>
        </is>
      </c>
      <c r="X212" t="inlineStr">
        <is>
          <t>,000000000</t>
        </is>
      </c>
      <c r="Y212" t="inlineStr">
        <is>
          <t>,000000000</t>
        </is>
      </c>
      <c r="Z212" t="inlineStr">
        <is>
          <t>,000000000</t>
        </is>
      </c>
      <c r="AA212" t="inlineStr">
        <is>
          <t>,000000000</t>
        </is>
      </c>
      <c r="AB212" t="inlineStr">
        <is>
          <t>4</t>
        </is>
      </c>
      <c r="AC212" t="inlineStr">
        <is>
          <t>4</t>
        </is>
      </c>
      <c r="AD212" s="3">
        <f>UPPER(C3)</f>
        <v/>
      </c>
      <c r="AE212" s="3">
        <f>VLOOKUP(E3,'[1]Nómina Agentes'!$C:$D,3,0)</f>
        <v/>
      </c>
      <c r="AF212" s="5">
        <f>F3</f>
        <v/>
      </c>
      <c r="AG212" s="5">
        <f>H3</f>
        <v/>
      </c>
    </row>
    <row r="213">
      <c r="A213" s="1" t="inlineStr">
        <is>
          <t>9/10/2024</t>
        </is>
      </c>
      <c r="B213" t="inlineStr">
        <is>
          <t>924</t>
        </is>
      </c>
      <c r="C213" t="inlineStr">
        <is>
          <t>S2S No Premium</t>
        </is>
      </c>
      <c r="D213" t="inlineStr">
        <is>
          <t>N2m_Condratiuk Migue</t>
        </is>
      </c>
      <c r="E213" t="inlineStr">
        <is>
          <t>606461</t>
        </is>
      </c>
      <c r="F213" s="2" t="inlineStr">
        <is>
          <t>09:00</t>
        </is>
      </c>
      <c r="G213" t="inlineStr">
        <is>
          <t>-</t>
        </is>
      </c>
      <c r="H213" s="2" t="inlineStr">
        <is>
          <t>09:30</t>
        </is>
      </c>
      <c r="I213" t="inlineStr">
        <is>
          <t>769,000000000</t>
        </is>
      </c>
      <c r="J213" t="inlineStr">
        <is>
          <t>,000000000</t>
        </is>
      </c>
      <c r="K213" t="inlineStr">
        <is>
          <t>,000000000</t>
        </is>
      </c>
      <c r="L213" t="inlineStr">
        <is>
          <t>25,000000000</t>
        </is>
      </c>
      <c r="M213" t="inlineStr">
        <is>
          <t>,000000000</t>
        </is>
      </c>
      <c r="N213" t="inlineStr">
        <is>
          <t>,000000000</t>
        </is>
      </c>
      <c r="O213" t="inlineStr">
        <is>
          <t>,000000000</t>
        </is>
      </c>
      <c r="P213" t="inlineStr">
        <is>
          <t>4,000000000</t>
        </is>
      </c>
      <c r="Q213" t="inlineStr">
        <is>
          <t>,000000000</t>
        </is>
      </c>
      <c r="R213" t="inlineStr">
        <is>
          <t>,000000000</t>
        </is>
      </c>
      <c r="S213" t="inlineStr">
        <is>
          <t>,000000000</t>
        </is>
      </c>
      <c r="T213" t="inlineStr">
        <is>
          <t>,000000000</t>
        </is>
      </c>
      <c r="U213" t="inlineStr">
        <is>
          <t>,000000000</t>
        </is>
      </c>
      <c r="V213" t="inlineStr">
        <is>
          <t>,000000000</t>
        </is>
      </c>
      <c r="W213" t="inlineStr">
        <is>
          <t>,000000000</t>
        </is>
      </c>
      <c r="X213" t="inlineStr">
        <is>
          <t>,000000000</t>
        </is>
      </c>
      <c r="Y213" t="inlineStr">
        <is>
          <t>,000000000</t>
        </is>
      </c>
      <c r="Z213" t="inlineStr">
        <is>
          <t>,000000000</t>
        </is>
      </c>
      <c r="AA213" t="inlineStr">
        <is>
          <t>,000000000</t>
        </is>
      </c>
      <c r="AB213" t="inlineStr">
        <is>
          <t>5</t>
        </is>
      </c>
      <c r="AC213" t="inlineStr">
        <is>
          <t>3</t>
        </is>
      </c>
      <c r="AD213" s="3">
        <f>UPPER(C3)</f>
        <v/>
      </c>
      <c r="AE213" s="3">
        <f>VLOOKUP(E3,'[1]Nómina Agentes'!$C:$D,3,0)</f>
        <v/>
      </c>
      <c r="AF213" s="5">
        <f>F3</f>
        <v/>
      </c>
      <c r="AG213" s="5">
        <f>H3</f>
        <v/>
      </c>
    </row>
    <row r="214">
      <c r="A214" s="1" t="inlineStr">
        <is>
          <t>9/10/2024</t>
        </is>
      </c>
      <c r="B214" t="inlineStr">
        <is>
          <t>924</t>
        </is>
      </c>
      <c r="C214" t="inlineStr">
        <is>
          <t>S2S No Premium</t>
        </is>
      </c>
      <c r="D214" t="inlineStr">
        <is>
          <t>N2m_Condratiuk Migue</t>
        </is>
      </c>
      <c r="E214" t="inlineStr">
        <is>
          <t>606461</t>
        </is>
      </c>
      <c r="F214" s="2" t="inlineStr">
        <is>
          <t>10:30</t>
        </is>
      </c>
      <c r="G214" t="inlineStr">
        <is>
          <t>-</t>
        </is>
      </c>
      <c r="H214" s="2" t="inlineStr">
        <is>
          <t>11:00</t>
        </is>
      </c>
      <c r="I214" t="inlineStr">
        <is>
          <t>789,000000000</t>
        </is>
      </c>
      <c r="J214" t="inlineStr">
        <is>
          <t>,000000000</t>
        </is>
      </c>
      <c r="K214" t="inlineStr">
        <is>
          <t>,000000000</t>
        </is>
      </c>
      <c r="L214" t="inlineStr">
        <is>
          <t>12,000000000</t>
        </is>
      </c>
      <c r="M214" t="inlineStr">
        <is>
          <t>,000000000</t>
        </is>
      </c>
      <c r="N214" t="inlineStr">
        <is>
          <t>,000000000</t>
        </is>
      </c>
      <c r="O214" t="inlineStr">
        <is>
          <t>,000000000</t>
        </is>
      </c>
      <c r="P214" t="inlineStr">
        <is>
          <t>3,000000000</t>
        </is>
      </c>
      <c r="Q214" t="inlineStr">
        <is>
          <t>,000000000</t>
        </is>
      </c>
      <c r="R214" t="inlineStr">
        <is>
          <t>,000000000</t>
        </is>
      </c>
      <c r="S214" t="inlineStr">
        <is>
          <t>,000000000</t>
        </is>
      </c>
      <c r="T214" t="inlineStr">
        <is>
          <t>,000000000</t>
        </is>
      </c>
      <c r="U214" t="inlineStr">
        <is>
          <t>,000000000</t>
        </is>
      </c>
      <c r="V214" t="inlineStr">
        <is>
          <t>,000000000</t>
        </is>
      </c>
      <c r="W214" t="inlineStr">
        <is>
          <t>,000000000</t>
        </is>
      </c>
      <c r="X214" t="inlineStr">
        <is>
          <t>,000000000</t>
        </is>
      </c>
      <c r="Y214" t="inlineStr">
        <is>
          <t>,000000000</t>
        </is>
      </c>
      <c r="Z214" t="inlineStr">
        <is>
          <t>,000000000</t>
        </is>
      </c>
      <c r="AA214" t="inlineStr">
        <is>
          <t>,000000000</t>
        </is>
      </c>
      <c r="AB214" t="inlineStr">
        <is>
          <t>3</t>
        </is>
      </c>
      <c r="AC214" t="inlineStr">
        <is>
          <t>3</t>
        </is>
      </c>
      <c r="AD214" s="3">
        <f>UPPER(C3)</f>
        <v/>
      </c>
      <c r="AE214" s="3">
        <f>VLOOKUP(E3,'[1]Nómina Agentes'!$C:$D,3,0)</f>
        <v/>
      </c>
      <c r="AF214" s="5">
        <f>F3</f>
        <v/>
      </c>
      <c r="AG214" s="5">
        <f>H3</f>
        <v/>
      </c>
    </row>
    <row r="215">
      <c r="A215" s="1" t="inlineStr">
        <is>
          <t>9/10/2024</t>
        </is>
      </c>
      <c r="B215" t="inlineStr">
        <is>
          <t>924</t>
        </is>
      </c>
      <c r="C215" t="inlineStr">
        <is>
          <t>S2S No Premium</t>
        </is>
      </c>
      <c r="D215" t="inlineStr">
        <is>
          <t>N2m_Vaca, Andrea</t>
        </is>
      </c>
      <c r="E215" t="inlineStr">
        <is>
          <t>606475</t>
        </is>
      </c>
      <c r="F215" s="2" t="inlineStr">
        <is>
          <t>09:30</t>
        </is>
      </c>
      <c r="G215" t="inlineStr">
        <is>
          <t>-</t>
        </is>
      </c>
      <c r="H215" s="2" t="inlineStr">
        <is>
          <t>10:00</t>
        </is>
      </c>
      <c r="I215" t="inlineStr">
        <is>
          <t>,000000000</t>
        </is>
      </c>
      <c r="J215" t="inlineStr">
        <is>
          <t>,000000000</t>
        </is>
      </c>
      <c r="K215" t="inlineStr">
        <is>
          <t>,000000000</t>
        </is>
      </c>
      <c r="L215" t="inlineStr">
        <is>
          <t>,000000000</t>
        </is>
      </c>
      <c r="M215" t="inlineStr">
        <is>
          <t>,000000000</t>
        </is>
      </c>
      <c r="N215" t="inlineStr">
        <is>
          <t>,000000000</t>
        </is>
      </c>
      <c r="O215" t="inlineStr">
        <is>
          <t>,000000000</t>
        </is>
      </c>
      <c r="P215" t="inlineStr">
        <is>
          <t>,000000000</t>
        </is>
      </c>
      <c r="Q215" t="inlineStr">
        <is>
          <t>,000000000</t>
        </is>
      </c>
      <c r="R215" t="inlineStr">
        <is>
          <t>,000000000</t>
        </is>
      </c>
      <c r="S215" t="inlineStr">
        <is>
          <t>,000000000</t>
        </is>
      </c>
      <c r="T215" t="inlineStr">
        <is>
          <t>,000000000</t>
        </is>
      </c>
      <c r="U215" t="inlineStr">
        <is>
          <t>,000000000</t>
        </is>
      </c>
      <c r="V215" t="inlineStr">
        <is>
          <t>,000000000</t>
        </is>
      </c>
      <c r="W215" t="inlineStr">
        <is>
          <t>,000000000</t>
        </is>
      </c>
      <c r="X215" t="inlineStr">
        <is>
          <t>,000000000</t>
        </is>
      </c>
      <c r="Y215" t="inlineStr">
        <is>
          <t>,000000000</t>
        </is>
      </c>
      <c r="Z215" t="inlineStr">
        <is>
          <t>,000000000</t>
        </is>
      </c>
      <c r="AA215" t="inlineStr">
        <is>
          <t>,000000000</t>
        </is>
      </c>
      <c r="AB215" t="inlineStr">
        <is>
          <t>0</t>
        </is>
      </c>
      <c r="AC215" t="inlineStr">
        <is>
          <t>0</t>
        </is>
      </c>
      <c r="AD215" s="3">
        <f>UPPER(C3)</f>
        <v/>
      </c>
      <c r="AE215" s="3">
        <f>VLOOKUP(E3,'[1]Nómina Agentes'!$C:$D,3,0)</f>
        <v/>
      </c>
      <c r="AF215" s="5">
        <f>F3</f>
        <v/>
      </c>
      <c r="AG215" s="5">
        <f>H3</f>
        <v/>
      </c>
    </row>
    <row r="216">
      <c r="A216" s="1" t="inlineStr">
        <is>
          <t>9/10/2024</t>
        </is>
      </c>
      <c r="B216" t="inlineStr">
        <is>
          <t>924</t>
        </is>
      </c>
      <c r="C216" t="inlineStr">
        <is>
          <t>S2S No Premium</t>
        </is>
      </c>
      <c r="D216" t="inlineStr">
        <is>
          <t>N2m_Vaca, Andrea</t>
        </is>
      </c>
      <c r="E216" t="inlineStr">
        <is>
          <t>606475</t>
        </is>
      </c>
      <c r="F216" s="2" t="inlineStr">
        <is>
          <t>10:00</t>
        </is>
      </c>
      <c r="G216" t="inlineStr">
        <is>
          <t>-</t>
        </is>
      </c>
      <c r="H216" s="2" t="inlineStr">
        <is>
          <t>10:30</t>
        </is>
      </c>
      <c r="I216" t="inlineStr">
        <is>
          <t>898,000000000</t>
        </is>
      </c>
      <c r="J216" t="inlineStr">
        <is>
          <t>,000000000</t>
        </is>
      </c>
      <c r="K216" t="inlineStr">
        <is>
          <t>,000000000</t>
        </is>
      </c>
      <c r="L216" t="inlineStr">
        <is>
          <t>19,000000000</t>
        </is>
      </c>
      <c r="M216" t="inlineStr">
        <is>
          <t>,000000000</t>
        </is>
      </c>
      <c r="N216" t="inlineStr">
        <is>
          <t>,000000000</t>
        </is>
      </c>
      <c r="O216" t="inlineStr">
        <is>
          <t>,000000000</t>
        </is>
      </c>
      <c r="P216" t="inlineStr">
        <is>
          <t>4,000000000</t>
        </is>
      </c>
      <c r="Q216" t="inlineStr">
        <is>
          <t>,000000000</t>
        </is>
      </c>
      <c r="R216" t="inlineStr">
        <is>
          <t>,000000000</t>
        </is>
      </c>
      <c r="S216" t="inlineStr">
        <is>
          <t>,000000000</t>
        </is>
      </c>
      <c r="T216" t="inlineStr">
        <is>
          <t>,000000000</t>
        </is>
      </c>
      <c r="U216" t="inlineStr">
        <is>
          <t>,000000000</t>
        </is>
      </c>
      <c r="V216" t="inlineStr">
        <is>
          <t>,000000000</t>
        </is>
      </c>
      <c r="W216" t="inlineStr">
        <is>
          <t>,000000000</t>
        </is>
      </c>
      <c r="X216" t="inlineStr">
        <is>
          <t>,000000000</t>
        </is>
      </c>
      <c r="Y216" t="inlineStr">
        <is>
          <t>,000000000</t>
        </is>
      </c>
      <c r="Z216" t="inlineStr">
        <is>
          <t>,000000000</t>
        </is>
      </c>
      <c r="AA216" t="inlineStr">
        <is>
          <t>,000000000</t>
        </is>
      </c>
      <c r="AB216" t="inlineStr">
        <is>
          <t>4</t>
        </is>
      </c>
      <c r="AC216" t="inlineStr">
        <is>
          <t>4</t>
        </is>
      </c>
      <c r="AD216" s="3">
        <f>UPPER(C3)</f>
        <v/>
      </c>
      <c r="AE216" s="3">
        <f>VLOOKUP(E3,'[1]Nómina Agentes'!$C:$D,3,0)</f>
        <v/>
      </c>
      <c r="AF216" s="5">
        <f>F3</f>
        <v/>
      </c>
      <c r="AG216" s="5">
        <f>H3</f>
        <v/>
      </c>
    </row>
    <row r="217">
      <c r="A217" s="1" t="inlineStr">
        <is>
          <t>9/10/2024</t>
        </is>
      </c>
      <c r="B217" t="inlineStr">
        <is>
          <t>924</t>
        </is>
      </c>
      <c r="C217" t="inlineStr">
        <is>
          <t>S2S No Premium</t>
        </is>
      </c>
      <c r="D217" t="inlineStr">
        <is>
          <t>N2m_Vaca, Andrea</t>
        </is>
      </c>
      <c r="E217" t="inlineStr">
        <is>
          <t>606475</t>
        </is>
      </c>
      <c r="F217" s="2" t="inlineStr">
        <is>
          <t>10:30</t>
        </is>
      </c>
      <c r="G217" t="inlineStr">
        <is>
          <t>-</t>
        </is>
      </c>
      <c r="H217" s="2" t="inlineStr">
        <is>
          <t>11:00</t>
        </is>
      </c>
      <c r="I217" t="inlineStr">
        <is>
          <t>1143,000000000</t>
        </is>
      </c>
      <c r="J217" t="inlineStr">
        <is>
          <t>,000000000</t>
        </is>
      </c>
      <c r="K217" t="inlineStr">
        <is>
          <t>,000000000</t>
        </is>
      </c>
      <c r="L217" t="inlineStr">
        <is>
          <t>29,000000000</t>
        </is>
      </c>
      <c r="M217" t="inlineStr">
        <is>
          <t>,000000000</t>
        </is>
      </c>
      <c r="N217" t="inlineStr">
        <is>
          <t>,000000000</t>
        </is>
      </c>
      <c r="O217" t="inlineStr">
        <is>
          <t>,000000000</t>
        </is>
      </c>
      <c r="P217" t="inlineStr">
        <is>
          <t>71,000000000</t>
        </is>
      </c>
      <c r="Q217" t="inlineStr">
        <is>
          <t>,000000000</t>
        </is>
      </c>
      <c r="R217" t="inlineStr">
        <is>
          <t>,000000000</t>
        </is>
      </c>
      <c r="S217" t="inlineStr">
        <is>
          <t>,000000000</t>
        </is>
      </c>
      <c r="T217" t="inlineStr">
        <is>
          <t>,000000000</t>
        </is>
      </c>
      <c r="U217" t="inlineStr">
        <is>
          <t>,000000000</t>
        </is>
      </c>
      <c r="V217" t="inlineStr">
        <is>
          <t>,000000000</t>
        </is>
      </c>
      <c r="W217" t="inlineStr">
        <is>
          <t>,000000000</t>
        </is>
      </c>
      <c r="X217" t="inlineStr">
        <is>
          <t>,000000000</t>
        </is>
      </c>
      <c r="Y217" t="inlineStr">
        <is>
          <t>,000000000</t>
        </is>
      </c>
      <c r="Z217" t="inlineStr">
        <is>
          <t>,000000000</t>
        </is>
      </c>
      <c r="AA217" t="inlineStr">
        <is>
          <t>,000000000</t>
        </is>
      </c>
      <c r="AB217" t="inlineStr">
        <is>
          <t>6</t>
        </is>
      </c>
      <c r="AC217" t="inlineStr">
        <is>
          <t>4</t>
        </is>
      </c>
      <c r="AD217" s="3">
        <f>UPPER(C3)</f>
        <v/>
      </c>
      <c r="AE217" s="3">
        <f>VLOOKUP(E3,'[1]Nómina Agentes'!$C:$D,3,0)</f>
        <v/>
      </c>
      <c r="AF217" s="5">
        <f>F3</f>
        <v/>
      </c>
      <c r="AG217" s="5">
        <f>H3</f>
        <v/>
      </c>
    </row>
    <row r="218">
      <c r="A218" s="1" t="inlineStr">
        <is>
          <t>9/10/2024</t>
        </is>
      </c>
      <c r="B218" t="inlineStr">
        <is>
          <t>925</t>
        </is>
      </c>
      <c r="C218" t="inlineStr">
        <is>
          <t>S2S Premium</t>
        </is>
      </c>
      <c r="D218" t="inlineStr">
        <is>
          <t>Pm_Brusco, Jade</t>
        </is>
      </c>
      <c r="E218" t="inlineStr">
        <is>
          <t>606476</t>
        </is>
      </c>
      <c r="F218" s="2" t="inlineStr">
        <is>
          <t>08:30</t>
        </is>
      </c>
      <c r="G218" t="inlineStr">
        <is>
          <t>-</t>
        </is>
      </c>
      <c r="H218" s="2" t="inlineStr">
        <is>
          <t>09:00</t>
        </is>
      </c>
      <c r="I218" t="inlineStr">
        <is>
          <t>192,000000000</t>
        </is>
      </c>
      <c r="J218" t="inlineStr">
        <is>
          <t>,000000000</t>
        </is>
      </c>
      <c r="K218" t="inlineStr">
        <is>
          <t>,000000000</t>
        </is>
      </c>
      <c r="L218" t="inlineStr">
        <is>
          <t>10,000000000</t>
        </is>
      </c>
      <c r="M218" t="inlineStr">
        <is>
          <t>,000000000</t>
        </is>
      </c>
      <c r="N218" t="inlineStr">
        <is>
          <t>,000000000</t>
        </is>
      </c>
      <c r="O218" t="inlineStr">
        <is>
          <t>,000000000</t>
        </is>
      </c>
      <c r="P218" t="inlineStr">
        <is>
          <t>,000000000</t>
        </is>
      </c>
      <c r="Q218" t="inlineStr">
        <is>
          <t>,000000000</t>
        </is>
      </c>
      <c r="R218" t="inlineStr">
        <is>
          <t>,000000000</t>
        </is>
      </c>
      <c r="S218" t="inlineStr">
        <is>
          <t>,000000000</t>
        </is>
      </c>
      <c r="T218" t="inlineStr">
        <is>
          <t>,000000000</t>
        </is>
      </c>
      <c r="U218" t="inlineStr">
        <is>
          <t>,000000000</t>
        </is>
      </c>
      <c r="V218" t="inlineStr">
        <is>
          <t>,000000000</t>
        </is>
      </c>
      <c r="W218" t="inlineStr">
        <is>
          <t>,000000000</t>
        </is>
      </c>
      <c r="X218" t="inlineStr">
        <is>
          <t>,000000000</t>
        </is>
      </c>
      <c r="Y218" t="inlineStr">
        <is>
          <t>,000000000</t>
        </is>
      </c>
      <c r="Z218" t="inlineStr">
        <is>
          <t>,000000000</t>
        </is>
      </c>
      <c r="AA218" t="inlineStr">
        <is>
          <t>,000000000</t>
        </is>
      </c>
      <c r="AB218" t="inlineStr">
        <is>
          <t>1</t>
        </is>
      </c>
      <c r="AC218" t="inlineStr">
        <is>
          <t>0</t>
        </is>
      </c>
      <c r="AD218" s="3">
        <f>UPPER(C3)</f>
        <v/>
      </c>
      <c r="AE218" s="3">
        <f>VLOOKUP(E3,'[1]Nómina Agentes'!$C:$D,3,0)</f>
        <v/>
      </c>
      <c r="AF218" s="5">
        <f>F3</f>
        <v/>
      </c>
      <c r="AG218" s="5">
        <f>H3</f>
        <v/>
      </c>
    </row>
    <row r="219">
      <c r="A219" s="1" t="inlineStr">
        <is>
          <t>9/10/2024</t>
        </is>
      </c>
      <c r="B219" t="inlineStr">
        <is>
          <t>925</t>
        </is>
      </c>
      <c r="C219" t="inlineStr">
        <is>
          <t>S2S Premium</t>
        </is>
      </c>
      <c r="D219" t="inlineStr">
        <is>
          <t>Pm_Brusco, Jade</t>
        </is>
      </c>
      <c r="E219" t="inlineStr">
        <is>
          <t>606476</t>
        </is>
      </c>
      <c r="F219" s="2" t="inlineStr">
        <is>
          <t>09:00</t>
        </is>
      </c>
      <c r="G219" t="inlineStr">
        <is>
          <t>-</t>
        </is>
      </c>
      <c r="H219" s="2" t="inlineStr">
        <is>
          <t>09:30</t>
        </is>
      </c>
      <c r="I219" t="inlineStr">
        <is>
          <t>498,000000000</t>
        </is>
      </c>
      <c r="J219" t="inlineStr">
        <is>
          <t>,000000000</t>
        </is>
      </c>
      <c r="K219" t="inlineStr">
        <is>
          <t>,000000000</t>
        </is>
      </c>
      <c r="L219" t="inlineStr">
        <is>
          <t>16,000000000</t>
        </is>
      </c>
      <c r="M219" t="inlineStr">
        <is>
          <t>,000000000</t>
        </is>
      </c>
      <c r="N219" t="inlineStr">
        <is>
          <t>,000000000</t>
        </is>
      </c>
      <c r="O219" t="inlineStr">
        <is>
          <t>,000000000</t>
        </is>
      </c>
      <c r="P219" t="inlineStr">
        <is>
          <t>4,000000000</t>
        </is>
      </c>
      <c r="Q219" t="inlineStr">
        <is>
          <t>,000000000</t>
        </is>
      </c>
      <c r="R219" t="inlineStr">
        <is>
          <t>,000000000</t>
        </is>
      </c>
      <c r="S219" t="inlineStr">
        <is>
          <t>,000000000</t>
        </is>
      </c>
      <c r="T219" t="inlineStr">
        <is>
          <t>,000000000</t>
        </is>
      </c>
      <c r="U219" t="inlineStr">
        <is>
          <t>,000000000</t>
        </is>
      </c>
      <c r="V219" t="inlineStr">
        <is>
          <t>,000000000</t>
        </is>
      </c>
      <c r="W219" t="inlineStr">
        <is>
          <t>,000000000</t>
        </is>
      </c>
      <c r="X219" t="inlineStr">
        <is>
          <t>,000000000</t>
        </is>
      </c>
      <c r="Y219" t="inlineStr">
        <is>
          <t>,000000000</t>
        </is>
      </c>
      <c r="Z219" t="inlineStr">
        <is>
          <t>,000000000</t>
        </is>
      </c>
      <c r="AA219" t="inlineStr">
        <is>
          <t>,000000000</t>
        </is>
      </c>
      <c r="AB219" t="inlineStr">
        <is>
          <t>4</t>
        </is>
      </c>
      <c r="AC219" t="inlineStr">
        <is>
          <t>4</t>
        </is>
      </c>
      <c r="AD219" s="3">
        <f>UPPER(C3)</f>
        <v/>
      </c>
      <c r="AE219" s="3">
        <f>VLOOKUP(E3,'[1]Nómina Agentes'!$C:$D,3,0)</f>
        <v/>
      </c>
      <c r="AF219" s="5">
        <f>F3</f>
        <v/>
      </c>
      <c r="AG219" s="5">
        <f>H3</f>
        <v/>
      </c>
    </row>
    <row r="220">
      <c r="A220" s="1" t="inlineStr">
        <is>
          <t>9/10/2024</t>
        </is>
      </c>
      <c r="B220" t="inlineStr">
        <is>
          <t>925</t>
        </is>
      </c>
      <c r="C220" t="inlineStr">
        <is>
          <t>S2S Premium</t>
        </is>
      </c>
      <c r="D220" t="inlineStr">
        <is>
          <t>Pm_Brusco, Jade</t>
        </is>
      </c>
      <c r="E220" t="inlineStr">
        <is>
          <t>606476</t>
        </is>
      </c>
      <c r="F220" s="2" t="inlineStr">
        <is>
          <t>10:00</t>
        </is>
      </c>
      <c r="G220" t="inlineStr">
        <is>
          <t>-</t>
        </is>
      </c>
      <c r="H220" s="2" t="inlineStr">
        <is>
          <t>10:30</t>
        </is>
      </c>
      <c r="I220" t="inlineStr">
        <is>
          <t>852,000000000</t>
        </is>
      </c>
      <c r="J220" t="inlineStr">
        <is>
          <t>,000000000</t>
        </is>
      </c>
      <c r="K220" t="inlineStr">
        <is>
          <t>,000000000</t>
        </is>
      </c>
      <c r="L220" t="inlineStr">
        <is>
          <t>17,000000000</t>
        </is>
      </c>
      <c r="M220" t="inlineStr">
        <is>
          <t>,000000000</t>
        </is>
      </c>
      <c r="N220" t="inlineStr">
        <is>
          <t>,000000000</t>
        </is>
      </c>
      <c r="O220" t="inlineStr">
        <is>
          <t>,000000000</t>
        </is>
      </c>
      <c r="P220" t="inlineStr">
        <is>
          <t>53,000000000</t>
        </is>
      </c>
      <c r="Q220" t="inlineStr">
        <is>
          <t>42,000000000</t>
        </is>
      </c>
      <c r="R220" t="inlineStr">
        <is>
          <t>,000000000</t>
        </is>
      </c>
      <c r="S220" t="inlineStr">
        <is>
          <t>,000000000</t>
        </is>
      </c>
      <c r="T220" t="inlineStr">
        <is>
          <t>,000000000</t>
        </is>
      </c>
      <c r="U220" t="inlineStr">
        <is>
          <t>,000000000</t>
        </is>
      </c>
      <c r="V220" t="inlineStr">
        <is>
          <t>,000000000</t>
        </is>
      </c>
      <c r="W220" t="inlineStr">
        <is>
          <t>,000000000</t>
        </is>
      </c>
      <c r="X220" t="inlineStr">
        <is>
          <t>,000000000</t>
        </is>
      </c>
      <c r="Y220" t="inlineStr">
        <is>
          <t>,000000000</t>
        </is>
      </c>
      <c r="Z220" t="inlineStr">
        <is>
          <t>,000000000</t>
        </is>
      </c>
      <c r="AA220" t="inlineStr">
        <is>
          <t>,000000000</t>
        </is>
      </c>
      <c r="AB220" t="inlineStr">
        <is>
          <t>5</t>
        </is>
      </c>
      <c r="AC220" t="inlineStr">
        <is>
          <t>4</t>
        </is>
      </c>
      <c r="AD220" s="3">
        <f>UPPER(C3)</f>
        <v/>
      </c>
      <c r="AE220" s="3">
        <f>VLOOKUP(E3,'[1]Nómina Agentes'!$C:$D,3,0)</f>
        <v/>
      </c>
      <c r="AF220" s="5">
        <f>F3</f>
        <v/>
      </c>
      <c r="AG220" s="5">
        <f>H3</f>
        <v/>
      </c>
    </row>
    <row r="221">
      <c r="A221" s="1" t="inlineStr">
        <is>
          <t>9/10/2024</t>
        </is>
      </c>
      <c r="B221" t="inlineStr">
        <is>
          <t>925</t>
        </is>
      </c>
      <c r="C221" t="inlineStr">
        <is>
          <t>S2S Premium</t>
        </is>
      </c>
      <c r="D221" t="inlineStr">
        <is>
          <t>Pm_Brusco, Jade</t>
        </is>
      </c>
      <c r="E221" t="inlineStr">
        <is>
          <t>606476</t>
        </is>
      </c>
      <c r="F221" s="2" t="inlineStr">
        <is>
          <t>10:30</t>
        </is>
      </c>
      <c r="G221" t="inlineStr">
        <is>
          <t>-</t>
        </is>
      </c>
      <c r="H221" s="2" t="inlineStr">
        <is>
          <t>11:00</t>
        </is>
      </c>
      <c r="I221" t="inlineStr">
        <is>
          <t>1137,000000000</t>
        </is>
      </c>
      <c r="J221" t="inlineStr">
        <is>
          <t>,000000000</t>
        </is>
      </c>
      <c r="K221" t="inlineStr">
        <is>
          <t>,000000000</t>
        </is>
      </c>
      <c r="L221" t="inlineStr">
        <is>
          <t>20,000000000</t>
        </is>
      </c>
      <c r="M221" t="inlineStr">
        <is>
          <t>,000000000</t>
        </is>
      </c>
      <c r="N221" t="inlineStr">
        <is>
          <t>,000000000</t>
        </is>
      </c>
      <c r="O221" t="inlineStr">
        <is>
          <t>,000000000</t>
        </is>
      </c>
      <c r="P221" t="inlineStr">
        <is>
          <t>55,000000000</t>
        </is>
      </c>
      <c r="Q221" t="inlineStr">
        <is>
          <t>46,000000000</t>
        </is>
      </c>
      <c r="R221" t="inlineStr">
        <is>
          <t>,000000000</t>
        </is>
      </c>
      <c r="S221" t="inlineStr">
        <is>
          <t>,000000000</t>
        </is>
      </c>
      <c r="T221" t="inlineStr">
        <is>
          <t>,000000000</t>
        </is>
      </c>
      <c r="U221" t="inlineStr">
        <is>
          <t>,000000000</t>
        </is>
      </c>
      <c r="V221" t="inlineStr">
        <is>
          <t>,000000000</t>
        </is>
      </c>
      <c r="W221" t="inlineStr">
        <is>
          <t>,000000000</t>
        </is>
      </c>
      <c r="X221" t="inlineStr">
        <is>
          <t>,000000000</t>
        </is>
      </c>
      <c r="Y221" t="inlineStr">
        <is>
          <t>,000000000</t>
        </is>
      </c>
      <c r="Z221" t="inlineStr">
        <is>
          <t>,000000000</t>
        </is>
      </c>
      <c r="AA221" t="inlineStr">
        <is>
          <t>,000000000</t>
        </is>
      </c>
      <c r="AB221" t="inlineStr">
        <is>
          <t>4</t>
        </is>
      </c>
      <c r="AC221" t="inlineStr">
        <is>
          <t>4</t>
        </is>
      </c>
      <c r="AD221" s="3">
        <f>UPPER(C3)</f>
        <v/>
      </c>
      <c r="AE221" s="3">
        <f>VLOOKUP(E3,'[1]Nómina Agentes'!$C:$D,3,0)</f>
        <v/>
      </c>
      <c r="AF221" s="5">
        <f>F3</f>
        <v/>
      </c>
      <c r="AG221" s="5">
        <f>H3</f>
        <v/>
      </c>
    </row>
    <row r="222">
      <c r="A222" s="1" t="inlineStr">
        <is>
          <t>9/10/2024</t>
        </is>
      </c>
      <c r="B222" t="inlineStr">
        <is>
          <t>925</t>
        </is>
      </c>
      <c r="C222" t="inlineStr">
        <is>
          <t>S2S Premium</t>
        </is>
      </c>
      <c r="D222" t="inlineStr">
        <is>
          <t>Pm_Brusco, Jade</t>
        </is>
      </c>
      <c r="E222" t="inlineStr">
        <is>
          <t>606476</t>
        </is>
      </c>
      <c r="F222" s="2" t="inlineStr">
        <is>
          <t>09:30</t>
        </is>
      </c>
      <c r="G222" t="inlineStr">
        <is>
          <t>-</t>
        </is>
      </c>
      <c r="H222" s="2" t="inlineStr">
        <is>
          <t>10:00</t>
        </is>
      </c>
      <c r="I222" t="inlineStr">
        <is>
          <t>1317,000000000</t>
        </is>
      </c>
      <c r="J222" t="inlineStr">
        <is>
          <t>,000000000</t>
        </is>
      </c>
      <c r="K222" t="inlineStr">
        <is>
          <t>,000000000</t>
        </is>
      </c>
      <c r="L222" t="inlineStr">
        <is>
          <t>16,000000000</t>
        </is>
      </c>
      <c r="M222" t="inlineStr">
        <is>
          <t>,000000000</t>
        </is>
      </c>
      <c r="N222" t="inlineStr">
        <is>
          <t>,000000000</t>
        </is>
      </c>
      <c r="O222" t="inlineStr">
        <is>
          <t>,000000000</t>
        </is>
      </c>
      <c r="P222" t="inlineStr">
        <is>
          <t>5,000000000</t>
        </is>
      </c>
      <c r="Q222" t="inlineStr">
        <is>
          <t>,000000000</t>
        </is>
      </c>
      <c r="R222" t="inlineStr">
        <is>
          <t>,000000000</t>
        </is>
      </c>
      <c r="S222" t="inlineStr">
        <is>
          <t>,000000000</t>
        </is>
      </c>
      <c r="T222" t="inlineStr">
        <is>
          <t>,000000000</t>
        </is>
      </c>
      <c r="U222" t="inlineStr">
        <is>
          <t>,000000000</t>
        </is>
      </c>
      <c r="V222" t="inlineStr">
        <is>
          <t>,000000000</t>
        </is>
      </c>
      <c r="W222" t="inlineStr">
        <is>
          <t>,000000000</t>
        </is>
      </c>
      <c r="X222" t="inlineStr">
        <is>
          <t>,000000000</t>
        </is>
      </c>
      <c r="Y222" t="inlineStr">
        <is>
          <t>,000000000</t>
        </is>
      </c>
      <c r="Z222" t="inlineStr">
        <is>
          <t>,000000000</t>
        </is>
      </c>
      <c r="AA222" t="inlineStr">
        <is>
          <t>,000000000</t>
        </is>
      </c>
      <c r="AB222" t="inlineStr">
        <is>
          <t>4</t>
        </is>
      </c>
      <c r="AC222" t="inlineStr">
        <is>
          <t>4</t>
        </is>
      </c>
      <c r="AD222" s="3">
        <f>UPPER(C3)</f>
        <v/>
      </c>
      <c r="AE222" s="3">
        <f>VLOOKUP(E3,'[1]Nómina Agentes'!$C:$D,3,0)</f>
        <v/>
      </c>
      <c r="AF222" s="5">
        <f>F3</f>
        <v/>
      </c>
      <c r="AG222" s="5">
        <f>H3</f>
        <v/>
      </c>
    </row>
    <row r="223">
      <c r="A223" s="1" t="inlineStr">
        <is>
          <t>9/10/2024</t>
        </is>
      </c>
      <c r="B223" t="inlineStr">
        <is>
          <t>924</t>
        </is>
      </c>
      <c r="C223" t="inlineStr">
        <is>
          <t>S2S No Premium</t>
        </is>
      </c>
      <c r="D223" t="inlineStr">
        <is>
          <t>N2m_Quisbert, Andrew</t>
        </is>
      </c>
      <c r="E223" t="inlineStr">
        <is>
          <t>606478</t>
        </is>
      </c>
      <c r="F223" s="2" t="inlineStr">
        <is>
          <t>08:30</t>
        </is>
      </c>
      <c r="G223" t="inlineStr">
        <is>
          <t>-</t>
        </is>
      </c>
      <c r="H223" s="2" t="inlineStr">
        <is>
          <t>09:00</t>
        </is>
      </c>
      <c r="I223" t="inlineStr">
        <is>
          <t>,000000000</t>
        </is>
      </c>
      <c r="J223" t="inlineStr">
        <is>
          <t>,000000000</t>
        </is>
      </c>
      <c r="K223" t="inlineStr">
        <is>
          <t>,000000000</t>
        </is>
      </c>
      <c r="L223" t="inlineStr">
        <is>
          <t>,000000000</t>
        </is>
      </c>
      <c r="M223" t="inlineStr">
        <is>
          <t>,000000000</t>
        </is>
      </c>
      <c r="N223" t="inlineStr">
        <is>
          <t>,000000000</t>
        </is>
      </c>
      <c r="O223" t="inlineStr">
        <is>
          <t>,000000000</t>
        </is>
      </c>
      <c r="P223" t="inlineStr">
        <is>
          <t>,000000000</t>
        </is>
      </c>
      <c r="Q223" t="inlineStr">
        <is>
          <t>,000000000</t>
        </is>
      </c>
      <c r="R223" t="inlineStr">
        <is>
          <t>,000000000</t>
        </is>
      </c>
      <c r="S223" t="inlineStr">
        <is>
          <t>,000000000</t>
        </is>
      </c>
      <c r="T223" t="inlineStr">
        <is>
          <t>,000000000</t>
        </is>
      </c>
      <c r="U223" t="inlineStr">
        <is>
          <t>,000000000</t>
        </is>
      </c>
      <c r="V223" t="inlineStr">
        <is>
          <t>,000000000</t>
        </is>
      </c>
      <c r="W223" t="inlineStr">
        <is>
          <t>,000000000</t>
        </is>
      </c>
      <c r="X223" t="inlineStr">
        <is>
          <t>,000000000</t>
        </is>
      </c>
      <c r="Y223" t="inlineStr">
        <is>
          <t>,000000000</t>
        </is>
      </c>
      <c r="Z223" t="inlineStr">
        <is>
          <t>,000000000</t>
        </is>
      </c>
      <c r="AA223" t="inlineStr">
        <is>
          <t>,000000000</t>
        </is>
      </c>
      <c r="AB223" t="inlineStr">
        <is>
          <t>0</t>
        </is>
      </c>
      <c r="AC223" t="inlineStr">
        <is>
          <t>0</t>
        </is>
      </c>
      <c r="AD223" s="3">
        <f>UPPER(C3)</f>
        <v/>
      </c>
      <c r="AE223" s="3">
        <f>VLOOKUP(E3,'[1]Nómina Agentes'!$C:$D,3,0)</f>
        <v/>
      </c>
      <c r="AF223" s="5">
        <f>F3</f>
        <v/>
      </c>
      <c r="AG223" s="5">
        <f>H3</f>
        <v/>
      </c>
    </row>
    <row r="224">
      <c r="A224" s="1" t="inlineStr">
        <is>
          <t>9/10/2024</t>
        </is>
      </c>
      <c r="B224" t="inlineStr">
        <is>
          <t>924</t>
        </is>
      </c>
      <c r="C224" t="inlineStr">
        <is>
          <t>S2S No Premium</t>
        </is>
      </c>
      <c r="D224" t="inlineStr">
        <is>
          <t>N2m_Quisbert, Andrew</t>
        </is>
      </c>
      <c r="E224" t="inlineStr">
        <is>
          <t>606478</t>
        </is>
      </c>
      <c r="F224" s="2" t="inlineStr">
        <is>
          <t>10:00</t>
        </is>
      </c>
      <c r="G224" t="inlineStr">
        <is>
          <t>-</t>
        </is>
      </c>
      <c r="H224" s="2" t="inlineStr">
        <is>
          <t>10:30</t>
        </is>
      </c>
      <c r="I224" t="inlineStr">
        <is>
          <t>981,000000000</t>
        </is>
      </c>
      <c r="J224" t="inlineStr">
        <is>
          <t>41,000000000</t>
        </is>
      </c>
      <c r="K224" t="inlineStr">
        <is>
          <t>,000000000</t>
        </is>
      </c>
      <c r="L224" t="inlineStr">
        <is>
          <t>16,000000000</t>
        </is>
      </c>
      <c r="M224" t="inlineStr">
        <is>
          <t>,000000000</t>
        </is>
      </c>
      <c r="N224" t="inlineStr">
        <is>
          <t>,000000000</t>
        </is>
      </c>
      <c r="O224" t="inlineStr">
        <is>
          <t>,000000000</t>
        </is>
      </c>
      <c r="P224" t="inlineStr">
        <is>
          <t>1,000000000</t>
        </is>
      </c>
      <c r="Q224" t="inlineStr">
        <is>
          <t>,000000000</t>
        </is>
      </c>
      <c r="R224" t="inlineStr">
        <is>
          <t>,000000000</t>
        </is>
      </c>
      <c r="S224" t="inlineStr">
        <is>
          <t>,000000000</t>
        </is>
      </c>
      <c r="T224" t="inlineStr">
        <is>
          <t>,000000000</t>
        </is>
      </c>
      <c r="U224" t="inlineStr">
        <is>
          <t>,000000000</t>
        </is>
      </c>
      <c r="V224" t="inlineStr">
        <is>
          <t>,000000000</t>
        </is>
      </c>
      <c r="W224" t="inlineStr">
        <is>
          <t>,000000000</t>
        </is>
      </c>
      <c r="X224" t="inlineStr">
        <is>
          <t>,000000000</t>
        </is>
      </c>
      <c r="Y224" t="inlineStr">
        <is>
          <t>,000000000</t>
        </is>
      </c>
      <c r="Z224" t="inlineStr">
        <is>
          <t>,000000000</t>
        </is>
      </c>
      <c r="AA224" t="inlineStr">
        <is>
          <t>,000000000</t>
        </is>
      </c>
      <c r="AB224" t="inlineStr">
        <is>
          <t>3</t>
        </is>
      </c>
      <c r="AC224" t="inlineStr">
        <is>
          <t>2</t>
        </is>
      </c>
      <c r="AD224" s="3">
        <f>UPPER(C3)</f>
        <v/>
      </c>
      <c r="AE224" s="3">
        <f>VLOOKUP(E3,'[1]Nómina Agentes'!$C:$D,3,0)</f>
        <v/>
      </c>
      <c r="AF224" s="5">
        <f>F3</f>
        <v/>
      </c>
      <c r="AG224" s="5">
        <f>H3</f>
        <v/>
      </c>
    </row>
    <row r="225">
      <c r="A225" s="1" t="inlineStr">
        <is>
          <t>9/10/2024</t>
        </is>
      </c>
      <c r="B225" t="inlineStr">
        <is>
          <t>924</t>
        </is>
      </c>
      <c r="C225" t="inlineStr">
        <is>
          <t>S2S No Premium</t>
        </is>
      </c>
      <c r="D225" t="inlineStr">
        <is>
          <t>N2m_Quisbert, Andrew</t>
        </is>
      </c>
      <c r="E225" t="inlineStr">
        <is>
          <t>606478</t>
        </is>
      </c>
      <c r="F225" s="2" t="inlineStr">
        <is>
          <t>09:00</t>
        </is>
      </c>
      <c r="G225" t="inlineStr">
        <is>
          <t>-</t>
        </is>
      </c>
      <c r="H225" s="2" t="inlineStr">
        <is>
          <t>09:30</t>
        </is>
      </c>
      <c r="I225" t="inlineStr">
        <is>
          <t>984,000000000</t>
        </is>
      </c>
      <c r="J225" t="inlineStr">
        <is>
          <t>46,000000000</t>
        </is>
      </c>
      <c r="K225" t="inlineStr">
        <is>
          <t>,000000000</t>
        </is>
      </c>
      <c r="L225" t="inlineStr">
        <is>
          <t>19,000000000</t>
        </is>
      </c>
      <c r="M225" t="inlineStr">
        <is>
          <t>,000000000</t>
        </is>
      </c>
      <c r="N225" t="inlineStr">
        <is>
          <t>,000000000</t>
        </is>
      </c>
      <c r="O225" t="inlineStr">
        <is>
          <t>,000000000</t>
        </is>
      </c>
      <c r="P225" t="inlineStr">
        <is>
          <t>3,000000000</t>
        </is>
      </c>
      <c r="Q225" t="inlineStr">
        <is>
          <t>,000000000</t>
        </is>
      </c>
      <c r="R225" t="inlineStr">
        <is>
          <t>,000000000</t>
        </is>
      </c>
      <c r="S225" t="inlineStr">
        <is>
          <t>,000000000</t>
        </is>
      </c>
      <c r="T225" t="inlineStr">
        <is>
          <t>,000000000</t>
        </is>
      </c>
      <c r="U225" t="inlineStr">
        <is>
          <t>,000000000</t>
        </is>
      </c>
      <c r="V225" t="inlineStr">
        <is>
          <t>,000000000</t>
        </is>
      </c>
      <c r="W225" t="inlineStr">
        <is>
          <t>,000000000</t>
        </is>
      </c>
      <c r="X225" t="inlineStr">
        <is>
          <t>,000000000</t>
        </is>
      </c>
      <c r="Y225" t="inlineStr">
        <is>
          <t>,000000000</t>
        </is>
      </c>
      <c r="Z225" t="inlineStr">
        <is>
          <t>,000000000</t>
        </is>
      </c>
      <c r="AA225" t="inlineStr">
        <is>
          <t>,000000000</t>
        </is>
      </c>
      <c r="AB225" t="inlineStr">
        <is>
          <t>3</t>
        </is>
      </c>
      <c r="AC225" t="inlineStr">
        <is>
          <t>3</t>
        </is>
      </c>
      <c r="AD225" s="3">
        <f>UPPER(C3)</f>
        <v/>
      </c>
      <c r="AE225" s="3">
        <f>VLOOKUP(E3,'[1]Nómina Agentes'!$C:$D,3,0)</f>
        <v/>
      </c>
      <c r="AF225" s="5">
        <f>F3</f>
        <v/>
      </c>
      <c r="AG225" s="5">
        <f>H3</f>
        <v/>
      </c>
    </row>
    <row r="226">
      <c r="A226" s="1" t="inlineStr">
        <is>
          <t>9/10/2024</t>
        </is>
      </c>
      <c r="B226" t="inlineStr">
        <is>
          <t>924</t>
        </is>
      </c>
      <c r="C226" t="inlineStr">
        <is>
          <t>S2S No Premium</t>
        </is>
      </c>
      <c r="D226" t="inlineStr">
        <is>
          <t>N2m_Quisbert, Andrew</t>
        </is>
      </c>
      <c r="E226" t="inlineStr">
        <is>
          <t>606478</t>
        </is>
      </c>
      <c r="F226" s="2" t="inlineStr">
        <is>
          <t>10:30</t>
        </is>
      </c>
      <c r="G226" t="inlineStr">
        <is>
          <t>-</t>
        </is>
      </c>
      <c r="H226" s="2" t="inlineStr">
        <is>
          <t>11:00</t>
        </is>
      </c>
      <c r="I226" t="inlineStr">
        <is>
          <t>1213,000000000</t>
        </is>
      </c>
      <c r="J226" t="inlineStr">
        <is>
          <t>4,000000000</t>
        </is>
      </c>
      <c r="K226" t="inlineStr">
        <is>
          <t>,000000000</t>
        </is>
      </c>
      <c r="L226" t="inlineStr">
        <is>
          <t>30,000000000</t>
        </is>
      </c>
      <c r="M226" t="inlineStr">
        <is>
          <t>,000000000</t>
        </is>
      </c>
      <c r="N226" t="inlineStr">
        <is>
          <t>,000000000</t>
        </is>
      </c>
      <c r="O226" t="inlineStr">
        <is>
          <t>,000000000</t>
        </is>
      </c>
      <c r="P226" t="inlineStr">
        <is>
          <t>5,000000000</t>
        </is>
      </c>
      <c r="Q226" t="inlineStr">
        <is>
          <t>,000000000</t>
        </is>
      </c>
      <c r="R226" t="inlineStr">
        <is>
          <t>,000000000</t>
        </is>
      </c>
      <c r="S226" t="inlineStr">
        <is>
          <t>,000000000</t>
        </is>
      </c>
      <c r="T226" t="inlineStr">
        <is>
          <t>,000000000</t>
        </is>
      </c>
      <c r="U226" t="inlineStr">
        <is>
          <t>,000000000</t>
        </is>
      </c>
      <c r="V226" t="inlineStr">
        <is>
          <t>,000000000</t>
        </is>
      </c>
      <c r="W226" t="inlineStr">
        <is>
          <t>,000000000</t>
        </is>
      </c>
      <c r="X226" t="inlineStr">
        <is>
          <t>,000000000</t>
        </is>
      </c>
      <c r="Y226" t="inlineStr">
        <is>
          <t>,000000000</t>
        </is>
      </c>
      <c r="Z226" t="inlineStr">
        <is>
          <t>,000000000</t>
        </is>
      </c>
      <c r="AA226" t="inlineStr">
        <is>
          <t>,000000000</t>
        </is>
      </c>
      <c r="AB226" t="inlineStr">
        <is>
          <t>7</t>
        </is>
      </c>
      <c r="AC226" t="inlineStr">
        <is>
          <t>5</t>
        </is>
      </c>
      <c r="AD226" s="3">
        <f>UPPER(C3)</f>
        <v/>
      </c>
      <c r="AE226" s="3">
        <f>VLOOKUP(E3,'[1]Nómina Agentes'!$C:$D,3,0)</f>
        <v/>
      </c>
      <c r="AF226" s="5">
        <f>F3</f>
        <v/>
      </c>
      <c r="AG226" s="5">
        <f>H3</f>
        <v/>
      </c>
    </row>
    <row r="227">
      <c r="A227" s="1" t="inlineStr">
        <is>
          <t>9/10/2024</t>
        </is>
      </c>
      <c r="B227" t="inlineStr">
        <is>
          <t>924</t>
        </is>
      </c>
      <c r="C227" t="inlineStr">
        <is>
          <t>S2S No Premium</t>
        </is>
      </c>
      <c r="D227" t="inlineStr">
        <is>
          <t>N2m_Quisbert, Andrew</t>
        </is>
      </c>
      <c r="E227" t="inlineStr">
        <is>
          <t>606478</t>
        </is>
      </c>
      <c r="F227" s="2" t="inlineStr">
        <is>
          <t>09:30</t>
        </is>
      </c>
      <c r="G227" t="inlineStr">
        <is>
          <t>-</t>
        </is>
      </c>
      <c r="H227" s="2" t="inlineStr">
        <is>
          <t>10:00</t>
        </is>
      </c>
      <c r="I227" t="inlineStr">
        <is>
          <t>1452,000000000</t>
        </is>
      </c>
      <c r="J227" t="inlineStr">
        <is>
          <t>,000000000</t>
        </is>
      </c>
      <c r="K227" t="inlineStr">
        <is>
          <t>,000000000</t>
        </is>
      </c>
      <c r="L227" t="inlineStr">
        <is>
          <t>12,000000000</t>
        </is>
      </c>
      <c r="M227" t="inlineStr">
        <is>
          <t>,000000000</t>
        </is>
      </c>
      <c r="N227" t="inlineStr">
        <is>
          <t>,000000000</t>
        </is>
      </c>
      <c r="O227" t="inlineStr">
        <is>
          <t>,000000000</t>
        </is>
      </c>
      <c r="P227" t="inlineStr">
        <is>
          <t>4,000000000</t>
        </is>
      </c>
      <c r="Q227" t="inlineStr">
        <is>
          <t>,000000000</t>
        </is>
      </c>
      <c r="R227" t="inlineStr">
        <is>
          <t>,000000000</t>
        </is>
      </c>
      <c r="S227" t="inlineStr">
        <is>
          <t>,000000000</t>
        </is>
      </c>
      <c r="T227" t="inlineStr">
        <is>
          <t>,000000000</t>
        </is>
      </c>
      <c r="U227" t="inlineStr">
        <is>
          <t>,000000000</t>
        </is>
      </c>
      <c r="V227" t="inlineStr">
        <is>
          <t>,000000000</t>
        </is>
      </c>
      <c r="W227" t="inlineStr">
        <is>
          <t>,000000000</t>
        </is>
      </c>
      <c r="X227" t="inlineStr">
        <is>
          <t>,000000000</t>
        </is>
      </c>
      <c r="Y227" t="inlineStr">
        <is>
          <t>,000000000</t>
        </is>
      </c>
      <c r="Z227" t="inlineStr">
        <is>
          <t>,000000000</t>
        </is>
      </c>
      <c r="AA227" t="inlineStr">
        <is>
          <t>,000000000</t>
        </is>
      </c>
      <c r="AB227" t="inlineStr">
        <is>
          <t>4</t>
        </is>
      </c>
      <c r="AC227" t="inlineStr">
        <is>
          <t>4</t>
        </is>
      </c>
      <c r="AD227" s="3">
        <f>UPPER(C3)</f>
        <v/>
      </c>
      <c r="AE227" s="3">
        <f>VLOOKUP(E3,'[1]Nómina Agentes'!$C:$D,3,0)</f>
        <v/>
      </c>
      <c r="AF227" s="5">
        <f>F3</f>
        <v/>
      </c>
      <c r="AG227" s="5">
        <f>H3</f>
        <v/>
      </c>
    </row>
    <row r="228">
      <c r="A228" s="1" t="inlineStr">
        <is>
          <t>9/10/2024</t>
        </is>
      </c>
      <c r="B228" t="inlineStr">
        <is>
          <t>924</t>
        </is>
      </c>
      <c r="C228" t="inlineStr">
        <is>
          <t>S2S No Premium</t>
        </is>
      </c>
      <c r="D228" t="inlineStr">
        <is>
          <t>N2m_Gutierrez, Brisa</t>
        </is>
      </c>
      <c r="E228" t="inlineStr">
        <is>
          <t>606481</t>
        </is>
      </c>
      <c r="F228" s="2" t="inlineStr">
        <is>
          <t>08:30</t>
        </is>
      </c>
      <c r="G228" t="inlineStr">
        <is>
          <t>-</t>
        </is>
      </c>
      <c r="H228" s="2" t="inlineStr">
        <is>
          <t>09:00</t>
        </is>
      </c>
      <c r="I228" t="inlineStr">
        <is>
          <t>,000000000</t>
        </is>
      </c>
      <c r="J228" t="inlineStr">
        <is>
          <t>,000000000</t>
        </is>
      </c>
      <c r="K228" t="inlineStr">
        <is>
          <t>,000000000</t>
        </is>
      </c>
      <c r="L228" t="inlineStr">
        <is>
          <t>,000000000</t>
        </is>
      </c>
      <c r="M228" t="inlineStr">
        <is>
          <t>,000000000</t>
        </is>
      </c>
      <c r="N228" t="inlineStr">
        <is>
          <t>,000000000</t>
        </is>
      </c>
      <c r="O228" t="inlineStr">
        <is>
          <t>,000000000</t>
        </is>
      </c>
      <c r="P228" t="inlineStr">
        <is>
          <t>,000000000</t>
        </is>
      </c>
      <c r="Q228" t="inlineStr">
        <is>
          <t>,000000000</t>
        </is>
      </c>
      <c r="R228" t="inlineStr">
        <is>
          <t>,000000000</t>
        </is>
      </c>
      <c r="S228" t="inlineStr">
        <is>
          <t>,000000000</t>
        </is>
      </c>
      <c r="T228" t="inlineStr">
        <is>
          <t>,000000000</t>
        </is>
      </c>
      <c r="U228" t="inlineStr">
        <is>
          <t>,000000000</t>
        </is>
      </c>
      <c r="V228" t="inlineStr">
        <is>
          <t>,000000000</t>
        </is>
      </c>
      <c r="W228" t="inlineStr">
        <is>
          <t>,000000000</t>
        </is>
      </c>
      <c r="X228" t="inlineStr">
        <is>
          <t>,000000000</t>
        </is>
      </c>
      <c r="Y228" t="inlineStr">
        <is>
          <t>,000000000</t>
        </is>
      </c>
      <c r="Z228" t="inlineStr">
        <is>
          <t>,000000000</t>
        </is>
      </c>
      <c r="AA228" t="inlineStr">
        <is>
          <t>,000000000</t>
        </is>
      </c>
      <c r="AB228" t="inlineStr">
        <is>
          <t>0</t>
        </is>
      </c>
      <c r="AC228" t="inlineStr">
        <is>
          <t>0</t>
        </is>
      </c>
      <c r="AD228" s="3">
        <f>UPPER(C3)</f>
        <v/>
      </c>
      <c r="AE228" s="3">
        <f>VLOOKUP(E3,'[1]Nómina Agentes'!$C:$D,3,0)</f>
        <v/>
      </c>
      <c r="AF228" s="5">
        <f>F3</f>
        <v/>
      </c>
      <c r="AG228" s="5">
        <f>H3</f>
        <v/>
      </c>
    </row>
    <row r="229">
      <c r="A229" s="1" t="inlineStr">
        <is>
          <t>9/10/2024</t>
        </is>
      </c>
      <c r="B229" t="inlineStr">
        <is>
          <t>924</t>
        </is>
      </c>
      <c r="C229" t="inlineStr">
        <is>
          <t>S2S No Premium</t>
        </is>
      </c>
      <c r="D229" t="inlineStr">
        <is>
          <t>N2m_Gutierrez, Brisa</t>
        </is>
      </c>
      <c r="E229" t="inlineStr">
        <is>
          <t>606481</t>
        </is>
      </c>
      <c r="F229" s="2" t="inlineStr">
        <is>
          <t>09:30</t>
        </is>
      </c>
      <c r="G229" t="inlineStr">
        <is>
          <t>-</t>
        </is>
      </c>
      <c r="H229" s="2" t="inlineStr">
        <is>
          <t>10:00</t>
        </is>
      </c>
      <c r="I229" t="inlineStr">
        <is>
          <t>64,000000000</t>
        </is>
      </c>
      <c r="J229" t="inlineStr">
        <is>
          <t>,000000000</t>
        </is>
      </c>
      <c r="K229" t="inlineStr">
        <is>
          <t>,000000000</t>
        </is>
      </c>
      <c r="L229" t="inlineStr">
        <is>
          <t>,000000000</t>
        </is>
      </c>
      <c r="M229" t="inlineStr">
        <is>
          <t>,000000000</t>
        </is>
      </c>
      <c r="N229" t="inlineStr">
        <is>
          <t>,000000000</t>
        </is>
      </c>
      <c r="O229" t="inlineStr">
        <is>
          <t>,000000000</t>
        </is>
      </c>
      <c r="P229" t="inlineStr">
        <is>
          <t>,000000000</t>
        </is>
      </c>
      <c r="Q229" t="inlineStr">
        <is>
          <t>,000000000</t>
        </is>
      </c>
      <c r="R229" t="inlineStr">
        <is>
          <t>,000000000</t>
        </is>
      </c>
      <c r="S229" t="inlineStr">
        <is>
          <t>,000000000</t>
        </is>
      </c>
      <c r="T229" t="inlineStr">
        <is>
          <t>,000000000</t>
        </is>
      </c>
      <c r="U229" t="inlineStr">
        <is>
          <t>,000000000</t>
        </is>
      </c>
      <c r="V229" t="inlineStr">
        <is>
          <t>,000000000</t>
        </is>
      </c>
      <c r="W229" t="inlineStr">
        <is>
          <t>,000000000</t>
        </is>
      </c>
      <c r="X229" t="inlineStr">
        <is>
          <t>,000000000</t>
        </is>
      </c>
      <c r="Y229" t="inlineStr">
        <is>
          <t>,000000000</t>
        </is>
      </c>
      <c r="Z229" t="inlineStr">
        <is>
          <t>,000000000</t>
        </is>
      </c>
      <c r="AA229" t="inlineStr">
        <is>
          <t>,000000000</t>
        </is>
      </c>
      <c r="AB229" t="inlineStr">
        <is>
          <t>1</t>
        </is>
      </c>
      <c r="AC229" t="inlineStr">
        <is>
          <t>0</t>
        </is>
      </c>
      <c r="AD229" s="3">
        <f>UPPER(C3)</f>
        <v/>
      </c>
      <c r="AE229" s="3">
        <f>VLOOKUP(E3,'[1]Nómina Agentes'!$C:$D,3,0)</f>
        <v/>
      </c>
      <c r="AF229" s="5">
        <f>F3</f>
        <v/>
      </c>
      <c r="AG229" s="5">
        <f>H3</f>
        <v/>
      </c>
    </row>
    <row r="230">
      <c r="A230" s="1" t="inlineStr">
        <is>
          <t>9/10/2024</t>
        </is>
      </c>
      <c r="B230" t="inlineStr">
        <is>
          <t>924</t>
        </is>
      </c>
      <c r="C230" t="inlineStr">
        <is>
          <t>S2S No Premium</t>
        </is>
      </c>
      <c r="D230" t="inlineStr">
        <is>
          <t>N2m_Gutierrez, Brisa</t>
        </is>
      </c>
      <c r="E230" t="inlineStr">
        <is>
          <t>606481</t>
        </is>
      </c>
      <c r="F230" s="2" t="inlineStr">
        <is>
          <t>10:00</t>
        </is>
      </c>
      <c r="G230" t="inlineStr">
        <is>
          <t>-</t>
        </is>
      </c>
      <c r="H230" s="2" t="inlineStr">
        <is>
          <t>10:30</t>
        </is>
      </c>
      <c r="I230" t="inlineStr">
        <is>
          <t>857,000000000</t>
        </is>
      </c>
      <c r="J230" t="inlineStr">
        <is>
          <t>,000000000</t>
        </is>
      </c>
      <c r="K230" t="inlineStr">
        <is>
          <t>,000000000</t>
        </is>
      </c>
      <c r="L230" t="inlineStr">
        <is>
          <t>13,000000000</t>
        </is>
      </c>
      <c r="M230" t="inlineStr">
        <is>
          <t>,000000000</t>
        </is>
      </c>
      <c r="N230" t="inlineStr">
        <is>
          <t>,000000000</t>
        </is>
      </c>
      <c r="O230" t="inlineStr">
        <is>
          <t>,000000000</t>
        </is>
      </c>
      <c r="P230" t="inlineStr">
        <is>
          <t>1,000000000</t>
        </is>
      </c>
      <c r="Q230" t="inlineStr">
        <is>
          <t>,000000000</t>
        </is>
      </c>
      <c r="R230" t="inlineStr">
        <is>
          <t>,000000000</t>
        </is>
      </c>
      <c r="S230" t="inlineStr">
        <is>
          <t>,000000000</t>
        </is>
      </c>
      <c r="T230" t="inlineStr">
        <is>
          <t>,000000000</t>
        </is>
      </c>
      <c r="U230" t="inlineStr">
        <is>
          <t>,000000000</t>
        </is>
      </c>
      <c r="V230" t="inlineStr">
        <is>
          <t>,000000000</t>
        </is>
      </c>
      <c r="W230" t="inlineStr">
        <is>
          <t>,000000000</t>
        </is>
      </c>
      <c r="X230" t="inlineStr">
        <is>
          <t>,000000000</t>
        </is>
      </c>
      <c r="Y230" t="inlineStr">
        <is>
          <t>,000000000</t>
        </is>
      </c>
      <c r="Z230" t="inlineStr">
        <is>
          <t>,000000000</t>
        </is>
      </c>
      <c r="AA230" t="inlineStr">
        <is>
          <t>,000000000</t>
        </is>
      </c>
      <c r="AB230" t="inlineStr">
        <is>
          <t>2</t>
        </is>
      </c>
      <c r="AC230" t="inlineStr">
        <is>
          <t>1</t>
        </is>
      </c>
      <c r="AD230" s="3">
        <f>UPPER(C3)</f>
        <v/>
      </c>
      <c r="AE230" s="3">
        <f>VLOOKUP(E3,'[1]Nómina Agentes'!$C:$D,3,0)</f>
        <v/>
      </c>
      <c r="AF230" s="5">
        <f>F3</f>
        <v/>
      </c>
      <c r="AG230" s="5">
        <f>H3</f>
        <v/>
      </c>
    </row>
    <row r="231">
      <c r="A231" s="1" t="inlineStr">
        <is>
          <t>9/10/2024</t>
        </is>
      </c>
      <c r="B231" t="inlineStr">
        <is>
          <t>924</t>
        </is>
      </c>
      <c r="C231" t="inlineStr">
        <is>
          <t>S2S No Premium</t>
        </is>
      </c>
      <c r="D231" t="inlineStr">
        <is>
          <t>N2m_Gutierrez, Brisa</t>
        </is>
      </c>
      <c r="E231" t="inlineStr">
        <is>
          <t>606481</t>
        </is>
      </c>
      <c r="F231" s="2" t="inlineStr">
        <is>
          <t>09:00</t>
        </is>
      </c>
      <c r="G231" t="inlineStr">
        <is>
          <t>-</t>
        </is>
      </c>
      <c r="H231" s="2" t="inlineStr">
        <is>
          <t>09:30</t>
        </is>
      </c>
      <c r="I231" t="inlineStr">
        <is>
          <t>947,000000000</t>
        </is>
      </c>
      <c r="J231" t="inlineStr">
        <is>
          <t>,000000000</t>
        </is>
      </c>
      <c r="K231" t="inlineStr">
        <is>
          <t>,000000000</t>
        </is>
      </c>
      <c r="L231" t="inlineStr">
        <is>
          <t>21,000000000</t>
        </is>
      </c>
      <c r="M231" t="inlineStr">
        <is>
          <t>,000000000</t>
        </is>
      </c>
      <c r="N231" t="inlineStr">
        <is>
          <t>,000000000</t>
        </is>
      </c>
      <c r="O231" t="inlineStr">
        <is>
          <t>,000000000</t>
        </is>
      </c>
      <c r="P231" t="inlineStr">
        <is>
          <t>5,000000000</t>
        </is>
      </c>
      <c r="Q231" t="inlineStr">
        <is>
          <t>,000000000</t>
        </is>
      </c>
      <c r="R231" t="inlineStr">
        <is>
          <t>,000000000</t>
        </is>
      </c>
      <c r="S231" t="inlineStr">
        <is>
          <t>,000000000</t>
        </is>
      </c>
      <c r="T231" t="inlineStr">
        <is>
          <t>,000000000</t>
        </is>
      </c>
      <c r="U231" t="inlineStr">
        <is>
          <t>,000000000</t>
        </is>
      </c>
      <c r="V231" t="inlineStr">
        <is>
          <t>,000000000</t>
        </is>
      </c>
      <c r="W231" t="inlineStr">
        <is>
          <t>,000000000</t>
        </is>
      </c>
      <c r="X231" t="inlineStr">
        <is>
          <t>,000000000</t>
        </is>
      </c>
      <c r="Y231" t="inlineStr">
        <is>
          <t>,000000000</t>
        </is>
      </c>
      <c r="Z231" t="inlineStr">
        <is>
          <t>,000000000</t>
        </is>
      </c>
      <c r="AA231" t="inlineStr">
        <is>
          <t>,000000000</t>
        </is>
      </c>
      <c r="AB231" t="inlineStr">
        <is>
          <t>4</t>
        </is>
      </c>
      <c r="AC231" t="inlineStr">
        <is>
          <t>3</t>
        </is>
      </c>
      <c r="AD231" s="3">
        <f>UPPER(C3)</f>
        <v/>
      </c>
      <c r="AE231" s="3">
        <f>VLOOKUP(E3,'[1]Nómina Agentes'!$C:$D,3,0)</f>
        <v/>
      </c>
      <c r="AF231" s="5">
        <f>F3</f>
        <v/>
      </c>
      <c r="AG231" s="5">
        <f>H3</f>
        <v/>
      </c>
    </row>
    <row r="232">
      <c r="A232" s="1" t="inlineStr">
        <is>
          <t>9/10/2024</t>
        </is>
      </c>
      <c r="B232" t="inlineStr">
        <is>
          <t>924</t>
        </is>
      </c>
      <c r="C232" t="inlineStr">
        <is>
          <t>S2S No Premium</t>
        </is>
      </c>
      <c r="D232" t="inlineStr">
        <is>
          <t>N2m_Gutierrez, Brisa</t>
        </is>
      </c>
      <c r="E232" t="inlineStr">
        <is>
          <t>606481</t>
        </is>
      </c>
      <c r="F232" s="2" t="inlineStr">
        <is>
          <t>10:30</t>
        </is>
      </c>
      <c r="G232" t="inlineStr">
        <is>
          <t>-</t>
        </is>
      </c>
      <c r="H232" s="2" t="inlineStr">
        <is>
          <t>11:00</t>
        </is>
      </c>
      <c r="I232" t="inlineStr">
        <is>
          <t>962,000000000</t>
        </is>
      </c>
      <c r="J232" t="inlineStr">
        <is>
          <t>105,000000000</t>
        </is>
      </c>
      <c r="K232" t="inlineStr">
        <is>
          <t>,000000000</t>
        </is>
      </c>
      <c r="L232" t="inlineStr">
        <is>
          <t>20,000000000</t>
        </is>
      </c>
      <c r="M232" t="inlineStr">
        <is>
          <t>,000000000</t>
        </is>
      </c>
      <c r="N232" t="inlineStr">
        <is>
          <t>,000000000</t>
        </is>
      </c>
      <c r="O232" t="inlineStr">
        <is>
          <t>,000000000</t>
        </is>
      </c>
      <c r="P232" t="inlineStr">
        <is>
          <t>3,000000000</t>
        </is>
      </c>
      <c r="Q232" t="inlineStr">
        <is>
          <t>,000000000</t>
        </is>
      </c>
      <c r="R232" t="inlineStr">
        <is>
          <t>,000000000</t>
        </is>
      </c>
      <c r="S232" t="inlineStr">
        <is>
          <t>,000000000</t>
        </is>
      </c>
      <c r="T232" t="inlineStr">
        <is>
          <t>,000000000</t>
        </is>
      </c>
      <c r="U232" t="inlineStr">
        <is>
          <t>,000000000</t>
        </is>
      </c>
      <c r="V232" t="inlineStr">
        <is>
          <t>,000000000</t>
        </is>
      </c>
      <c r="W232" t="inlineStr">
        <is>
          <t>,000000000</t>
        </is>
      </c>
      <c r="X232" t="inlineStr">
        <is>
          <t>,000000000</t>
        </is>
      </c>
      <c r="Y232" t="inlineStr">
        <is>
          <t>,000000000</t>
        </is>
      </c>
      <c r="Z232" t="inlineStr">
        <is>
          <t>,000000000</t>
        </is>
      </c>
      <c r="AA232" t="inlineStr">
        <is>
          <t>,000000000</t>
        </is>
      </c>
      <c r="AB232" t="inlineStr">
        <is>
          <t>4</t>
        </is>
      </c>
      <c r="AC232" t="inlineStr">
        <is>
          <t>3</t>
        </is>
      </c>
      <c r="AD232" s="3">
        <f>UPPER(C3)</f>
        <v/>
      </c>
      <c r="AE232" s="3">
        <f>VLOOKUP(E3,'[1]Nómina Agentes'!$C:$D,3,0)</f>
        <v/>
      </c>
      <c r="AF232" s="5">
        <f>F3</f>
        <v/>
      </c>
      <c r="AG232" s="5">
        <f>H3</f>
        <v/>
      </c>
    </row>
    <row r="233">
      <c r="A233" s="1" t="inlineStr">
        <is>
          <t>9/10/2024</t>
        </is>
      </c>
      <c r="B233" t="inlineStr">
        <is>
          <t>924</t>
        </is>
      </c>
      <c r="C233" t="inlineStr">
        <is>
          <t>S2S No Premium</t>
        </is>
      </c>
      <c r="D233" t="inlineStr">
        <is>
          <t>N2m_Giavino, Alan</t>
        </is>
      </c>
      <c r="E233" t="inlineStr">
        <is>
          <t>606488</t>
        </is>
      </c>
      <c r="F233" s="2" t="inlineStr">
        <is>
          <t>10:30</t>
        </is>
      </c>
      <c r="G233" t="inlineStr">
        <is>
          <t>-</t>
        </is>
      </c>
      <c r="H233" s="2" t="inlineStr">
        <is>
          <t>11:00</t>
        </is>
      </c>
      <c r="I233" t="inlineStr">
        <is>
          <t>,000000000</t>
        </is>
      </c>
      <c r="J233" t="inlineStr">
        <is>
          <t>,000000000</t>
        </is>
      </c>
      <c r="K233" t="inlineStr">
        <is>
          <t>,000000000</t>
        </is>
      </c>
      <c r="L233" t="inlineStr">
        <is>
          <t>,000000000</t>
        </is>
      </c>
      <c r="M233" t="inlineStr">
        <is>
          <t>,000000000</t>
        </is>
      </c>
      <c r="N233" t="inlineStr">
        <is>
          <t>,000000000</t>
        </is>
      </c>
      <c r="O233" t="inlineStr">
        <is>
          <t>,000000000</t>
        </is>
      </c>
      <c r="P233" t="inlineStr">
        <is>
          <t>2,000000000</t>
        </is>
      </c>
      <c r="Q233" t="inlineStr">
        <is>
          <t>,000000000</t>
        </is>
      </c>
      <c r="R233" t="inlineStr">
        <is>
          <t>,000000000</t>
        </is>
      </c>
      <c r="S233" t="inlineStr">
        <is>
          <t>,000000000</t>
        </is>
      </c>
      <c r="T233" t="inlineStr">
        <is>
          <t>,000000000</t>
        </is>
      </c>
      <c r="U233" t="inlineStr">
        <is>
          <t>,000000000</t>
        </is>
      </c>
      <c r="V233" t="inlineStr">
        <is>
          <t>,000000000</t>
        </is>
      </c>
      <c r="W233" t="inlineStr">
        <is>
          <t>,000000000</t>
        </is>
      </c>
      <c r="X233" t="inlineStr">
        <is>
          <t>,000000000</t>
        </is>
      </c>
      <c r="Y233" t="inlineStr">
        <is>
          <t>,000000000</t>
        </is>
      </c>
      <c r="Z233" t="inlineStr">
        <is>
          <t>,000000000</t>
        </is>
      </c>
      <c r="AA233" t="inlineStr">
        <is>
          <t>,000000000</t>
        </is>
      </c>
      <c r="AB233" t="inlineStr">
        <is>
          <t>2</t>
        </is>
      </c>
      <c r="AC233" t="inlineStr">
        <is>
          <t>2</t>
        </is>
      </c>
      <c r="AD233" s="3">
        <f>UPPER(C3)</f>
        <v/>
      </c>
      <c r="AE233" s="3">
        <f>VLOOKUP(E3,'[1]Nómina Agentes'!$C:$D,3,0)</f>
        <v/>
      </c>
      <c r="AF233" s="5">
        <f>F3</f>
        <v/>
      </c>
      <c r="AG233" s="5">
        <f>H3</f>
        <v/>
      </c>
    </row>
    <row r="234">
      <c r="A234" s="1" t="inlineStr">
        <is>
          <t>9/10/2024</t>
        </is>
      </c>
      <c r="B234" t="inlineStr">
        <is>
          <t>924</t>
        </is>
      </c>
      <c r="C234" t="inlineStr">
        <is>
          <t>S2S No Premium</t>
        </is>
      </c>
      <c r="D234" t="inlineStr">
        <is>
          <t>N2m_Giavino, Alan</t>
        </is>
      </c>
      <c r="E234" t="inlineStr">
        <is>
          <t>606488</t>
        </is>
      </c>
      <c r="F234" s="2" t="inlineStr">
        <is>
          <t>08:30</t>
        </is>
      </c>
      <c r="G234" t="inlineStr">
        <is>
          <t>-</t>
        </is>
      </c>
      <c r="H234" s="2" t="inlineStr">
        <is>
          <t>09:00</t>
        </is>
      </c>
      <c r="I234" t="inlineStr">
        <is>
          <t>,000000000</t>
        </is>
      </c>
      <c r="J234" t="inlineStr">
        <is>
          <t>,000000000</t>
        </is>
      </c>
      <c r="K234" t="inlineStr">
        <is>
          <t>,000000000</t>
        </is>
      </c>
      <c r="L234" t="inlineStr">
        <is>
          <t>,000000000</t>
        </is>
      </c>
      <c r="M234" t="inlineStr">
        <is>
          <t>,000000000</t>
        </is>
      </c>
      <c r="N234" t="inlineStr">
        <is>
          <t>,000000000</t>
        </is>
      </c>
      <c r="O234" t="inlineStr">
        <is>
          <t>,000000000</t>
        </is>
      </c>
      <c r="P234" t="inlineStr">
        <is>
          <t>,000000000</t>
        </is>
      </c>
      <c r="Q234" t="inlineStr">
        <is>
          <t>,000000000</t>
        </is>
      </c>
      <c r="R234" t="inlineStr">
        <is>
          <t>,000000000</t>
        </is>
      </c>
      <c r="S234" t="inlineStr">
        <is>
          <t>,000000000</t>
        </is>
      </c>
      <c r="T234" t="inlineStr">
        <is>
          <t>,000000000</t>
        </is>
      </c>
      <c r="U234" t="inlineStr">
        <is>
          <t>,000000000</t>
        </is>
      </c>
      <c r="V234" t="inlineStr">
        <is>
          <t>,000000000</t>
        </is>
      </c>
      <c r="W234" t="inlineStr">
        <is>
          <t>,000000000</t>
        </is>
      </c>
      <c r="X234" t="inlineStr">
        <is>
          <t>,000000000</t>
        </is>
      </c>
      <c r="Y234" t="inlineStr">
        <is>
          <t>,000000000</t>
        </is>
      </c>
      <c r="Z234" t="inlineStr">
        <is>
          <t>,000000000</t>
        </is>
      </c>
      <c r="AA234" t="inlineStr">
        <is>
          <t>,000000000</t>
        </is>
      </c>
      <c r="AB234" t="inlineStr">
        <is>
          <t>0</t>
        </is>
      </c>
      <c r="AC234" t="inlineStr">
        <is>
          <t>0</t>
        </is>
      </c>
      <c r="AD234" s="3">
        <f>UPPER(C3)</f>
        <v/>
      </c>
      <c r="AE234" s="3">
        <f>VLOOKUP(E3,'[1]Nómina Agentes'!$C:$D,3,0)</f>
        <v/>
      </c>
      <c r="AF234" s="5">
        <f>F3</f>
        <v/>
      </c>
      <c r="AG234" s="5">
        <f>H3</f>
        <v/>
      </c>
    </row>
    <row r="235">
      <c r="A235" s="1" t="inlineStr">
        <is>
          <t>9/10/2024</t>
        </is>
      </c>
      <c r="B235" t="inlineStr">
        <is>
          <t>924</t>
        </is>
      </c>
      <c r="C235" t="inlineStr">
        <is>
          <t>S2S No Premium</t>
        </is>
      </c>
      <c r="D235" t="inlineStr">
        <is>
          <t>N2m_Giavino, Alan</t>
        </is>
      </c>
      <c r="E235" t="inlineStr">
        <is>
          <t>606488</t>
        </is>
      </c>
      <c r="F235" s="2" t="inlineStr">
        <is>
          <t>10:00</t>
        </is>
      </c>
      <c r="G235" t="inlineStr">
        <is>
          <t>-</t>
        </is>
      </c>
      <c r="H235" s="2" t="inlineStr">
        <is>
          <t>10:30</t>
        </is>
      </c>
      <c r="I235" t="inlineStr">
        <is>
          <t>398,000000000</t>
        </is>
      </c>
      <c r="J235" t="inlineStr">
        <is>
          <t>,000000000</t>
        </is>
      </c>
      <c r="K235" t="inlineStr">
        <is>
          <t>,000000000</t>
        </is>
      </c>
      <c r="L235" t="inlineStr">
        <is>
          <t>24,000000000</t>
        </is>
      </c>
      <c r="M235" t="inlineStr">
        <is>
          <t>,000000000</t>
        </is>
      </c>
      <c r="N235" t="inlineStr">
        <is>
          <t>,000000000</t>
        </is>
      </c>
      <c r="O235" t="inlineStr">
        <is>
          <t>,000000000</t>
        </is>
      </c>
      <c r="P235" t="inlineStr">
        <is>
          <t>6,000000000</t>
        </is>
      </c>
      <c r="Q235" t="inlineStr">
        <is>
          <t>6,000000000</t>
        </is>
      </c>
      <c r="R235" t="inlineStr">
        <is>
          <t>,000000000</t>
        </is>
      </c>
      <c r="S235" t="inlineStr">
        <is>
          <t>,000000000</t>
        </is>
      </c>
      <c r="T235" t="inlineStr">
        <is>
          <t>,000000000</t>
        </is>
      </c>
      <c r="U235" t="inlineStr">
        <is>
          <t>,000000000</t>
        </is>
      </c>
      <c r="V235" t="inlineStr">
        <is>
          <t>,000000000</t>
        </is>
      </c>
      <c r="W235" t="inlineStr">
        <is>
          <t>,000000000</t>
        </is>
      </c>
      <c r="X235" t="inlineStr">
        <is>
          <t>,000000000</t>
        </is>
      </c>
      <c r="Y235" t="inlineStr">
        <is>
          <t>,000000000</t>
        </is>
      </c>
      <c r="Z235" t="inlineStr">
        <is>
          <t>,000000000</t>
        </is>
      </c>
      <c r="AA235" t="inlineStr">
        <is>
          <t>,000000000</t>
        </is>
      </c>
      <c r="AB235" t="inlineStr">
        <is>
          <t>7</t>
        </is>
      </c>
      <c r="AC235" t="inlineStr">
        <is>
          <t>6</t>
        </is>
      </c>
      <c r="AD235" s="3">
        <f>UPPER(C3)</f>
        <v/>
      </c>
      <c r="AE235" s="3">
        <f>VLOOKUP(E3,'[1]Nómina Agentes'!$C:$D,3,0)</f>
        <v/>
      </c>
      <c r="AF235" s="5">
        <f>F3</f>
        <v/>
      </c>
      <c r="AG235" s="5">
        <f>H3</f>
        <v/>
      </c>
    </row>
    <row r="236">
      <c r="A236" s="1" t="inlineStr">
        <is>
          <t>9/10/2024</t>
        </is>
      </c>
      <c r="B236" t="inlineStr">
        <is>
          <t>924</t>
        </is>
      </c>
      <c r="C236" t="inlineStr">
        <is>
          <t>S2S No Premium</t>
        </is>
      </c>
      <c r="D236" t="inlineStr">
        <is>
          <t>N2m_Giavino, Alan</t>
        </is>
      </c>
      <c r="E236" t="inlineStr">
        <is>
          <t>606488</t>
        </is>
      </c>
      <c r="F236" s="2" t="inlineStr">
        <is>
          <t>09:30</t>
        </is>
      </c>
      <c r="G236" t="inlineStr">
        <is>
          <t>-</t>
        </is>
      </c>
      <c r="H236" s="2" t="inlineStr">
        <is>
          <t>10:00</t>
        </is>
      </c>
      <c r="I236" t="inlineStr">
        <is>
          <t>760,000000000</t>
        </is>
      </c>
      <c r="J236" t="inlineStr">
        <is>
          <t>148,000000000</t>
        </is>
      </c>
      <c r="K236" t="inlineStr">
        <is>
          <t>,000000000</t>
        </is>
      </c>
      <c r="L236" t="inlineStr">
        <is>
          <t>37,000000000</t>
        </is>
      </c>
      <c r="M236" t="inlineStr">
        <is>
          <t>,000000000</t>
        </is>
      </c>
      <c r="N236" t="inlineStr">
        <is>
          <t>,000000000</t>
        </is>
      </c>
      <c r="O236" t="inlineStr">
        <is>
          <t>,000000000</t>
        </is>
      </c>
      <c r="P236" t="inlineStr">
        <is>
          <t>7,000000000</t>
        </is>
      </c>
      <c r="Q236" t="inlineStr">
        <is>
          <t>6,000000000</t>
        </is>
      </c>
      <c r="R236" t="inlineStr">
        <is>
          <t>,000000000</t>
        </is>
      </c>
      <c r="S236" t="inlineStr">
        <is>
          <t>,000000000</t>
        </is>
      </c>
      <c r="T236" t="inlineStr">
        <is>
          <t>,000000000</t>
        </is>
      </c>
      <c r="U236" t="inlineStr">
        <is>
          <t>,000000000</t>
        </is>
      </c>
      <c r="V236" t="inlineStr">
        <is>
          <t>,000000000</t>
        </is>
      </c>
      <c r="W236" t="inlineStr">
        <is>
          <t>,000000000</t>
        </is>
      </c>
      <c r="X236" t="inlineStr">
        <is>
          <t>,000000000</t>
        </is>
      </c>
      <c r="Y236" t="inlineStr">
        <is>
          <t>,000000000</t>
        </is>
      </c>
      <c r="Z236" t="inlineStr">
        <is>
          <t>,000000000</t>
        </is>
      </c>
      <c r="AA236" t="inlineStr">
        <is>
          <t>,000000000</t>
        </is>
      </c>
      <c r="AB236" t="inlineStr">
        <is>
          <t>7</t>
        </is>
      </c>
      <c r="AC236" t="inlineStr">
        <is>
          <t>6</t>
        </is>
      </c>
      <c r="AD236" s="3">
        <f>UPPER(C3)</f>
        <v/>
      </c>
      <c r="AE236" s="3">
        <f>VLOOKUP(E3,'[1]Nómina Agentes'!$C:$D,3,0)</f>
        <v/>
      </c>
      <c r="AF236" s="5">
        <f>F3</f>
        <v/>
      </c>
      <c r="AG236" s="5">
        <f>H3</f>
        <v/>
      </c>
    </row>
    <row r="237">
      <c r="A237" s="1" t="inlineStr">
        <is>
          <t>9/10/2024</t>
        </is>
      </c>
      <c r="B237" t="inlineStr">
        <is>
          <t>924</t>
        </is>
      </c>
      <c r="C237" t="inlineStr">
        <is>
          <t>S2S No Premium</t>
        </is>
      </c>
      <c r="D237" t="inlineStr">
        <is>
          <t>N2m_Giavino, Alan</t>
        </is>
      </c>
      <c r="E237" t="inlineStr">
        <is>
          <t>606488</t>
        </is>
      </c>
      <c r="F237" s="2" t="inlineStr">
        <is>
          <t>09:00</t>
        </is>
      </c>
      <c r="G237" t="inlineStr">
        <is>
          <t>-</t>
        </is>
      </c>
      <c r="H237" s="2" t="inlineStr">
        <is>
          <t>09:30</t>
        </is>
      </c>
      <c r="I237" t="inlineStr">
        <is>
          <t>1061,000000000</t>
        </is>
      </c>
      <c r="J237" t="inlineStr">
        <is>
          <t>,000000000</t>
        </is>
      </c>
      <c r="K237" t="inlineStr">
        <is>
          <t>,000000000</t>
        </is>
      </c>
      <c r="L237" t="inlineStr">
        <is>
          <t>20,000000000</t>
        </is>
      </c>
      <c r="M237" t="inlineStr">
        <is>
          <t>,000000000</t>
        </is>
      </c>
      <c r="N237" t="inlineStr">
        <is>
          <t>,000000000</t>
        </is>
      </c>
      <c r="O237" t="inlineStr">
        <is>
          <t>,000000000</t>
        </is>
      </c>
      <c r="P237" t="inlineStr">
        <is>
          <t>3,000000000</t>
        </is>
      </c>
      <c r="Q237" t="inlineStr">
        <is>
          <t>,000000000</t>
        </is>
      </c>
      <c r="R237" t="inlineStr">
        <is>
          <t>,000000000</t>
        </is>
      </c>
      <c r="S237" t="inlineStr">
        <is>
          <t>,000000000</t>
        </is>
      </c>
      <c r="T237" t="inlineStr">
        <is>
          <t>,000000000</t>
        </is>
      </c>
      <c r="U237" t="inlineStr">
        <is>
          <t>,000000000</t>
        </is>
      </c>
      <c r="V237" t="inlineStr">
        <is>
          <t>,000000000</t>
        </is>
      </c>
      <c r="W237" t="inlineStr">
        <is>
          <t>,000000000</t>
        </is>
      </c>
      <c r="X237" t="inlineStr">
        <is>
          <t>,000000000</t>
        </is>
      </c>
      <c r="Y237" t="inlineStr">
        <is>
          <t>,000000000</t>
        </is>
      </c>
      <c r="Z237" t="inlineStr">
        <is>
          <t>,000000000</t>
        </is>
      </c>
      <c r="AA237" t="inlineStr">
        <is>
          <t>,000000000</t>
        </is>
      </c>
      <c r="AB237" t="inlineStr">
        <is>
          <t>3</t>
        </is>
      </c>
      <c r="AC237" t="inlineStr">
        <is>
          <t>3</t>
        </is>
      </c>
      <c r="AD237" s="3">
        <f>UPPER(C3)</f>
        <v/>
      </c>
      <c r="AE237" s="3">
        <f>VLOOKUP(E3,'[1]Nómina Agentes'!$C:$D,3,0)</f>
        <v/>
      </c>
      <c r="AF237" s="5">
        <f>F3</f>
        <v/>
      </c>
      <c r="AG237" s="5">
        <f>H3</f>
        <v/>
      </c>
    </row>
    <row r="238">
      <c r="A238" s="1" t="inlineStr">
        <is>
          <t>9/10/2024</t>
        </is>
      </c>
      <c r="B238" t="inlineStr">
        <is>
          <t>925</t>
        </is>
      </c>
      <c r="C238" t="inlineStr">
        <is>
          <t>S2S Premium</t>
        </is>
      </c>
      <c r="D238" t="inlineStr">
        <is>
          <t>Pm_Sertorio Damaris</t>
        </is>
      </c>
      <c r="E238" t="inlineStr">
        <is>
          <t>606495</t>
        </is>
      </c>
      <c r="F238" s="2" t="inlineStr">
        <is>
          <t>08:30</t>
        </is>
      </c>
      <c r="G238" t="inlineStr">
        <is>
          <t>-</t>
        </is>
      </c>
      <c r="H238" s="2" t="inlineStr">
        <is>
          <t>09:00</t>
        </is>
      </c>
      <c r="I238" t="inlineStr">
        <is>
          <t>109,000000000</t>
        </is>
      </c>
      <c r="J238" t="inlineStr">
        <is>
          <t>,000000000</t>
        </is>
      </c>
      <c r="K238" t="inlineStr">
        <is>
          <t>,000000000</t>
        </is>
      </c>
      <c r="L238" t="inlineStr">
        <is>
          <t>7,000000000</t>
        </is>
      </c>
      <c r="M238" t="inlineStr">
        <is>
          <t>,000000000</t>
        </is>
      </c>
      <c r="N238" t="inlineStr">
        <is>
          <t>,000000000</t>
        </is>
      </c>
      <c r="O238" t="inlineStr">
        <is>
          <t>,000000000</t>
        </is>
      </c>
      <c r="P238" t="inlineStr">
        <is>
          <t>,000000000</t>
        </is>
      </c>
      <c r="Q238" t="inlineStr">
        <is>
          <t>26,000000000</t>
        </is>
      </c>
      <c r="R238" t="inlineStr">
        <is>
          <t>,000000000</t>
        </is>
      </c>
      <c r="S238" t="inlineStr">
        <is>
          <t>,000000000</t>
        </is>
      </c>
      <c r="T238" t="inlineStr">
        <is>
          <t>,000000000</t>
        </is>
      </c>
      <c r="U238" t="inlineStr">
        <is>
          <t>,000000000</t>
        </is>
      </c>
      <c r="V238" t="inlineStr">
        <is>
          <t>,000000000</t>
        </is>
      </c>
      <c r="W238" t="inlineStr">
        <is>
          <t>,000000000</t>
        </is>
      </c>
      <c r="X238" t="inlineStr">
        <is>
          <t>,000000000</t>
        </is>
      </c>
      <c r="Y238" t="inlineStr">
        <is>
          <t>,000000000</t>
        </is>
      </c>
      <c r="Z238" t="inlineStr">
        <is>
          <t>,000000000</t>
        </is>
      </c>
      <c r="AA238" t="inlineStr">
        <is>
          <t>,000000000</t>
        </is>
      </c>
      <c r="AB238" t="inlineStr">
        <is>
          <t>0</t>
        </is>
      </c>
      <c r="AC238" t="inlineStr">
        <is>
          <t>0</t>
        </is>
      </c>
      <c r="AD238" s="3">
        <f>UPPER(C3)</f>
        <v/>
      </c>
      <c r="AE238" s="3">
        <f>VLOOKUP(E3,'[1]Nómina Agentes'!$C:$D,3,0)</f>
        <v/>
      </c>
      <c r="AF238" s="5">
        <f>F3</f>
        <v/>
      </c>
      <c r="AG238" s="5">
        <f>H3</f>
        <v/>
      </c>
    </row>
    <row r="239">
      <c r="A239" s="1" t="inlineStr">
        <is>
          <t>9/10/2024</t>
        </is>
      </c>
      <c r="B239" t="inlineStr">
        <is>
          <t>925</t>
        </is>
      </c>
      <c r="C239" t="inlineStr">
        <is>
          <t>S2S Premium</t>
        </is>
      </c>
      <c r="D239" t="inlineStr">
        <is>
          <t>Pm_Sertorio Damaris</t>
        </is>
      </c>
      <c r="E239" t="inlineStr">
        <is>
          <t>606495</t>
        </is>
      </c>
      <c r="F239" s="2" t="inlineStr">
        <is>
          <t>10:30</t>
        </is>
      </c>
      <c r="G239" t="inlineStr">
        <is>
          <t>-</t>
        </is>
      </c>
      <c r="H239" s="2" t="inlineStr">
        <is>
          <t>11:00</t>
        </is>
      </c>
      <c r="I239" t="inlineStr">
        <is>
          <t>143,000000000</t>
        </is>
      </c>
      <c r="J239" t="inlineStr">
        <is>
          <t>,000000000</t>
        </is>
      </c>
      <c r="K239" t="inlineStr">
        <is>
          <t>,000000000</t>
        </is>
      </c>
      <c r="L239" t="inlineStr">
        <is>
          <t>,000000000</t>
        </is>
      </c>
      <c r="M239" t="inlineStr">
        <is>
          <t>,000000000</t>
        </is>
      </c>
      <c r="N239" t="inlineStr">
        <is>
          <t>,000000000</t>
        </is>
      </c>
      <c r="O239" t="inlineStr">
        <is>
          <t>,000000000</t>
        </is>
      </c>
      <c r="P239" t="inlineStr">
        <is>
          <t>1,000000000</t>
        </is>
      </c>
      <c r="Q239" t="inlineStr">
        <is>
          <t>,000000000</t>
        </is>
      </c>
      <c r="R239" t="inlineStr">
        <is>
          <t>,000000000</t>
        </is>
      </c>
      <c r="S239" t="inlineStr">
        <is>
          <t>,000000000</t>
        </is>
      </c>
      <c r="T239" t="inlineStr">
        <is>
          <t>,000000000</t>
        </is>
      </c>
      <c r="U239" t="inlineStr">
        <is>
          <t>,000000000</t>
        </is>
      </c>
      <c r="V239" t="inlineStr">
        <is>
          <t>,000000000</t>
        </is>
      </c>
      <c r="W239" t="inlineStr">
        <is>
          <t>,000000000</t>
        </is>
      </c>
      <c r="X239" t="inlineStr">
        <is>
          <t>,000000000</t>
        </is>
      </c>
      <c r="Y239" t="inlineStr">
        <is>
          <t>,000000000</t>
        </is>
      </c>
      <c r="Z239" t="inlineStr">
        <is>
          <t>,000000000</t>
        </is>
      </c>
      <c r="AA239" t="inlineStr">
        <is>
          <t>,000000000</t>
        </is>
      </c>
      <c r="AB239" t="inlineStr">
        <is>
          <t>1</t>
        </is>
      </c>
      <c r="AC239" t="inlineStr">
        <is>
          <t>1</t>
        </is>
      </c>
      <c r="AD239" s="3">
        <f>UPPER(C3)</f>
        <v/>
      </c>
      <c r="AE239" s="3">
        <f>VLOOKUP(E3,'[1]Nómina Agentes'!$C:$D,3,0)</f>
        <v/>
      </c>
      <c r="AF239" s="5">
        <f>F3</f>
        <v/>
      </c>
      <c r="AG239" s="5">
        <f>H3</f>
        <v/>
      </c>
    </row>
    <row r="240">
      <c r="A240" s="1" t="inlineStr">
        <is>
          <t>9/10/2024</t>
        </is>
      </c>
      <c r="B240" t="inlineStr">
        <is>
          <t>925</t>
        </is>
      </c>
      <c r="C240" t="inlineStr">
        <is>
          <t>S2S Premium</t>
        </is>
      </c>
      <c r="D240" t="inlineStr">
        <is>
          <t>Pm_Sertorio Damaris</t>
        </is>
      </c>
      <c r="E240" t="inlineStr">
        <is>
          <t>606495</t>
        </is>
      </c>
      <c r="F240" s="2" t="inlineStr">
        <is>
          <t>09:00</t>
        </is>
      </c>
      <c r="G240" t="inlineStr">
        <is>
          <t>-</t>
        </is>
      </c>
      <c r="H240" s="2" t="inlineStr">
        <is>
          <t>09:30</t>
        </is>
      </c>
      <c r="I240" t="inlineStr">
        <is>
          <t>660,000000000</t>
        </is>
      </c>
      <c r="J240" t="inlineStr">
        <is>
          <t>,000000000</t>
        </is>
      </c>
      <c r="K240" t="inlineStr">
        <is>
          <t>,000000000</t>
        </is>
      </c>
      <c r="L240" t="inlineStr">
        <is>
          <t>12,000000000</t>
        </is>
      </c>
      <c r="M240" t="inlineStr">
        <is>
          <t>,000000000</t>
        </is>
      </c>
      <c r="N240" t="inlineStr">
        <is>
          <t>,000000000</t>
        </is>
      </c>
      <c r="O240" t="inlineStr">
        <is>
          <t>,000000000</t>
        </is>
      </c>
      <c r="P240" t="inlineStr">
        <is>
          <t>73,000000000</t>
        </is>
      </c>
      <c r="Q240" t="inlineStr">
        <is>
          <t>27,000000000</t>
        </is>
      </c>
      <c r="R240" t="inlineStr">
        <is>
          <t>,000000000</t>
        </is>
      </c>
      <c r="S240" t="inlineStr">
        <is>
          <t>,000000000</t>
        </is>
      </c>
      <c r="T240" t="inlineStr">
        <is>
          <t>,000000000</t>
        </is>
      </c>
      <c r="U240" t="inlineStr">
        <is>
          <t>,000000000</t>
        </is>
      </c>
      <c r="V240" t="inlineStr">
        <is>
          <t>,000000000</t>
        </is>
      </c>
      <c r="W240" t="inlineStr">
        <is>
          <t>,000000000</t>
        </is>
      </c>
      <c r="X240" t="inlineStr">
        <is>
          <t>,000000000</t>
        </is>
      </c>
      <c r="Y240" t="inlineStr">
        <is>
          <t>,000000000</t>
        </is>
      </c>
      <c r="Z240" t="inlineStr">
        <is>
          <t>,000000000</t>
        </is>
      </c>
      <c r="AA240" t="inlineStr">
        <is>
          <t>,000000000</t>
        </is>
      </c>
      <c r="AB240" t="inlineStr">
        <is>
          <t>3</t>
        </is>
      </c>
      <c r="AC240" t="inlineStr">
        <is>
          <t>3</t>
        </is>
      </c>
      <c r="AD240" s="3">
        <f>UPPER(C3)</f>
        <v/>
      </c>
      <c r="AE240" s="3">
        <f>VLOOKUP(E3,'[1]Nómina Agentes'!$C:$D,3,0)</f>
        <v/>
      </c>
      <c r="AF240" s="5">
        <f>F3</f>
        <v/>
      </c>
      <c r="AG240" s="5">
        <f>H3</f>
        <v/>
      </c>
    </row>
    <row r="241">
      <c r="A241" s="1" t="inlineStr">
        <is>
          <t>9/10/2024</t>
        </is>
      </c>
      <c r="B241" t="inlineStr">
        <is>
          <t>925</t>
        </is>
      </c>
      <c r="C241" t="inlineStr">
        <is>
          <t>S2S Premium</t>
        </is>
      </c>
      <c r="D241" t="inlineStr">
        <is>
          <t>Pm_Sertorio Damaris</t>
        </is>
      </c>
      <c r="E241" t="inlineStr">
        <is>
          <t>606495</t>
        </is>
      </c>
      <c r="F241" s="2" t="inlineStr">
        <is>
          <t>10:00</t>
        </is>
      </c>
      <c r="G241" t="inlineStr">
        <is>
          <t>-</t>
        </is>
      </c>
      <c r="H241" s="2" t="inlineStr">
        <is>
          <t>10:30</t>
        </is>
      </c>
      <c r="I241" t="inlineStr">
        <is>
          <t>1052,000000000</t>
        </is>
      </c>
      <c r="J241" t="inlineStr">
        <is>
          <t>,000000000</t>
        </is>
      </c>
      <c r="K241" t="inlineStr">
        <is>
          <t>,000000000</t>
        </is>
      </c>
      <c r="L241" t="inlineStr">
        <is>
          <t>16,000000000</t>
        </is>
      </c>
      <c r="M241" t="inlineStr">
        <is>
          <t>,000000000</t>
        </is>
      </c>
      <c r="N241" t="inlineStr">
        <is>
          <t>,000000000</t>
        </is>
      </c>
      <c r="O241" t="inlineStr">
        <is>
          <t>,000000000</t>
        </is>
      </c>
      <c r="P241" t="inlineStr">
        <is>
          <t>22,000000000</t>
        </is>
      </c>
      <c r="Q241" t="inlineStr">
        <is>
          <t>,000000000</t>
        </is>
      </c>
      <c r="R241" t="inlineStr">
        <is>
          <t>,000000000</t>
        </is>
      </c>
      <c r="S241" t="inlineStr">
        <is>
          <t>,000000000</t>
        </is>
      </c>
      <c r="T241" t="inlineStr">
        <is>
          <t>,000000000</t>
        </is>
      </c>
      <c r="U241" t="inlineStr">
        <is>
          <t>,000000000</t>
        </is>
      </c>
      <c r="V241" t="inlineStr">
        <is>
          <t>,000000000</t>
        </is>
      </c>
      <c r="W241" t="inlineStr">
        <is>
          <t>,000000000</t>
        </is>
      </c>
      <c r="X241" t="inlineStr">
        <is>
          <t>,000000000</t>
        </is>
      </c>
      <c r="Y241" t="inlineStr">
        <is>
          <t>,000000000</t>
        </is>
      </c>
      <c r="Z241" t="inlineStr">
        <is>
          <t>,000000000</t>
        </is>
      </c>
      <c r="AA241" t="inlineStr">
        <is>
          <t>,000000000</t>
        </is>
      </c>
      <c r="AB241" t="inlineStr">
        <is>
          <t>4</t>
        </is>
      </c>
      <c r="AC241" t="inlineStr">
        <is>
          <t>4</t>
        </is>
      </c>
      <c r="AD241" s="3">
        <f>UPPER(C3)</f>
        <v/>
      </c>
      <c r="AE241" s="3">
        <f>VLOOKUP(E3,'[1]Nómina Agentes'!$C:$D,3,0)</f>
        <v/>
      </c>
      <c r="AF241" s="5">
        <f>F3</f>
        <v/>
      </c>
      <c r="AG241" s="5">
        <f>H3</f>
        <v/>
      </c>
    </row>
    <row r="242">
      <c r="A242" s="1" t="inlineStr">
        <is>
          <t>9/10/2024</t>
        </is>
      </c>
      <c r="B242" t="inlineStr">
        <is>
          <t>925</t>
        </is>
      </c>
      <c r="C242" t="inlineStr">
        <is>
          <t>S2S Premium</t>
        </is>
      </c>
      <c r="D242" t="inlineStr">
        <is>
          <t>Pm_Sertorio Damaris</t>
        </is>
      </c>
      <c r="E242" t="inlineStr">
        <is>
          <t>606495</t>
        </is>
      </c>
      <c r="F242" s="2" t="inlineStr">
        <is>
          <t>09:30</t>
        </is>
      </c>
      <c r="G242" t="inlineStr">
        <is>
          <t>-</t>
        </is>
      </c>
      <c r="H242" s="2" t="inlineStr">
        <is>
          <t>10:00</t>
        </is>
      </c>
      <c r="I242" t="inlineStr">
        <is>
          <t>1082,000000000</t>
        </is>
      </c>
      <c r="J242" t="inlineStr">
        <is>
          <t>,000000000</t>
        </is>
      </c>
      <c r="K242" t="inlineStr">
        <is>
          <t>,000000000</t>
        </is>
      </c>
      <c r="L242" t="inlineStr">
        <is>
          <t>27,000000000</t>
        </is>
      </c>
      <c r="M242" t="inlineStr">
        <is>
          <t>,000000000</t>
        </is>
      </c>
      <c r="N242" t="inlineStr">
        <is>
          <t>,000000000</t>
        </is>
      </c>
      <c r="O242" t="inlineStr">
        <is>
          <t>,000000000</t>
        </is>
      </c>
      <c r="P242" t="inlineStr">
        <is>
          <t>6,000000000</t>
        </is>
      </c>
      <c r="Q242" t="inlineStr">
        <is>
          <t>,000000000</t>
        </is>
      </c>
      <c r="R242" t="inlineStr">
        <is>
          <t>,000000000</t>
        </is>
      </c>
      <c r="S242" t="inlineStr">
        <is>
          <t>,000000000</t>
        </is>
      </c>
      <c r="T242" t="inlineStr">
        <is>
          <t>,000000000</t>
        </is>
      </c>
      <c r="U242" t="inlineStr">
        <is>
          <t>,000000000</t>
        </is>
      </c>
      <c r="V242" t="inlineStr">
        <is>
          <t>,000000000</t>
        </is>
      </c>
      <c r="W242" t="inlineStr">
        <is>
          <t>,000000000</t>
        </is>
      </c>
      <c r="X242" t="inlineStr">
        <is>
          <t>,000000000</t>
        </is>
      </c>
      <c r="Y242" t="inlineStr">
        <is>
          <t>,000000000</t>
        </is>
      </c>
      <c r="Z242" t="inlineStr">
        <is>
          <t>,000000000</t>
        </is>
      </c>
      <c r="AA242" t="inlineStr">
        <is>
          <t>,000000000</t>
        </is>
      </c>
      <c r="AB242" t="inlineStr">
        <is>
          <t>6</t>
        </is>
      </c>
      <c r="AC242" t="inlineStr">
        <is>
          <t>6</t>
        </is>
      </c>
      <c r="AD242" s="3">
        <f>UPPER(C3)</f>
        <v/>
      </c>
      <c r="AE242" s="3">
        <f>VLOOKUP(E3,'[1]Nómina Agentes'!$C:$D,3,0)</f>
        <v/>
      </c>
      <c r="AF242" s="5">
        <f>F3</f>
        <v/>
      </c>
      <c r="AG242" s="5">
        <f>H3</f>
        <v/>
      </c>
    </row>
    <row r="243">
      <c r="A243" s="1" t="inlineStr">
        <is>
          <t>9/10/2024</t>
        </is>
      </c>
      <c r="B243" t="inlineStr">
        <is>
          <t>925</t>
        </is>
      </c>
      <c r="C243" t="inlineStr">
        <is>
          <t>S2S Premium</t>
        </is>
      </c>
      <c r="D243" t="inlineStr">
        <is>
          <t>Pm_Sánchez, Adrian</t>
        </is>
      </c>
      <c r="E243" t="inlineStr">
        <is>
          <t>606498</t>
        </is>
      </c>
      <c r="F243" s="2" t="inlineStr">
        <is>
          <t>08:30</t>
        </is>
      </c>
      <c r="G243" t="inlineStr">
        <is>
          <t>-</t>
        </is>
      </c>
      <c r="H243" s="2" t="inlineStr">
        <is>
          <t>09:00</t>
        </is>
      </c>
      <c r="I243" t="inlineStr">
        <is>
          <t>,000000000</t>
        </is>
      </c>
      <c r="J243" t="inlineStr">
        <is>
          <t>,000000000</t>
        </is>
      </c>
      <c r="K243" t="inlineStr">
        <is>
          <t>,000000000</t>
        </is>
      </c>
      <c r="L243" t="inlineStr">
        <is>
          <t>,000000000</t>
        </is>
      </c>
      <c r="M243" t="inlineStr">
        <is>
          <t>,000000000</t>
        </is>
      </c>
      <c r="N243" t="inlineStr">
        <is>
          <t>,000000000</t>
        </is>
      </c>
      <c r="O243" t="inlineStr">
        <is>
          <t>,000000000</t>
        </is>
      </c>
      <c r="P243" t="inlineStr">
        <is>
          <t>,000000000</t>
        </is>
      </c>
      <c r="Q243" t="inlineStr">
        <is>
          <t>,000000000</t>
        </is>
      </c>
      <c r="R243" t="inlineStr">
        <is>
          <t>,000000000</t>
        </is>
      </c>
      <c r="S243" t="inlineStr">
        <is>
          <t>,000000000</t>
        </is>
      </c>
      <c r="T243" t="inlineStr">
        <is>
          <t>,000000000</t>
        </is>
      </c>
      <c r="U243" t="inlineStr">
        <is>
          <t>,000000000</t>
        </is>
      </c>
      <c r="V243" t="inlineStr">
        <is>
          <t>,000000000</t>
        </is>
      </c>
      <c r="W243" t="inlineStr">
        <is>
          <t>,000000000</t>
        </is>
      </c>
      <c r="X243" t="inlineStr">
        <is>
          <t>,000000000</t>
        </is>
      </c>
      <c r="Y243" t="inlineStr">
        <is>
          <t>,000000000</t>
        </is>
      </c>
      <c r="Z243" t="inlineStr">
        <is>
          <t>,000000000</t>
        </is>
      </c>
      <c r="AA243" t="inlineStr">
        <is>
          <t>,000000000</t>
        </is>
      </c>
      <c r="AB243" t="inlineStr">
        <is>
          <t>0</t>
        </is>
      </c>
      <c r="AC243" t="inlineStr">
        <is>
          <t>0</t>
        </is>
      </c>
      <c r="AD243" s="3">
        <f>UPPER(C3)</f>
        <v/>
      </c>
      <c r="AE243" s="3">
        <f>VLOOKUP(E3,'[1]Nómina Agentes'!$C:$D,3,0)</f>
        <v/>
      </c>
      <c r="AF243" s="5">
        <f>F3</f>
        <v/>
      </c>
      <c r="AG243" s="5">
        <f>H3</f>
        <v/>
      </c>
    </row>
    <row r="244">
      <c r="A244" s="1" t="inlineStr">
        <is>
          <t>9/10/2024</t>
        </is>
      </c>
      <c r="B244" t="inlineStr">
        <is>
          <t>925</t>
        </is>
      </c>
      <c r="C244" t="inlineStr">
        <is>
          <t>S2S Premium</t>
        </is>
      </c>
      <c r="D244" t="inlineStr">
        <is>
          <t>Pm_Sánchez, Adrian</t>
        </is>
      </c>
      <c r="E244" t="inlineStr">
        <is>
          <t>606498</t>
        </is>
      </c>
      <c r="F244" s="2" t="inlineStr">
        <is>
          <t>09:00</t>
        </is>
      </c>
      <c r="G244" t="inlineStr">
        <is>
          <t>-</t>
        </is>
      </c>
      <c r="H244" s="2" t="inlineStr">
        <is>
          <t>09:30</t>
        </is>
      </c>
      <c r="I244" t="inlineStr">
        <is>
          <t>760,000000000</t>
        </is>
      </c>
      <c r="J244" t="inlineStr">
        <is>
          <t>,000000000</t>
        </is>
      </c>
      <c r="K244" t="inlineStr">
        <is>
          <t>,000000000</t>
        </is>
      </c>
      <c r="L244" t="inlineStr">
        <is>
          <t>43,000000000</t>
        </is>
      </c>
      <c r="M244" t="inlineStr">
        <is>
          <t>,000000000</t>
        </is>
      </c>
      <c r="N244" t="inlineStr">
        <is>
          <t>,000000000</t>
        </is>
      </c>
      <c r="O244" t="inlineStr">
        <is>
          <t>,000000000</t>
        </is>
      </c>
      <c r="P244" t="inlineStr">
        <is>
          <t>1,000000000</t>
        </is>
      </c>
      <c r="Q244" t="inlineStr">
        <is>
          <t>,000000000</t>
        </is>
      </c>
      <c r="R244" t="inlineStr">
        <is>
          <t>,000000000</t>
        </is>
      </c>
      <c r="S244" t="inlineStr">
        <is>
          <t>,000000000</t>
        </is>
      </c>
      <c r="T244" t="inlineStr">
        <is>
          <t>,000000000</t>
        </is>
      </c>
      <c r="U244" t="inlineStr">
        <is>
          <t>,000000000</t>
        </is>
      </c>
      <c r="V244" t="inlineStr">
        <is>
          <t>,000000000</t>
        </is>
      </c>
      <c r="W244" t="inlineStr">
        <is>
          <t>,000000000</t>
        </is>
      </c>
      <c r="X244" t="inlineStr">
        <is>
          <t>,000000000</t>
        </is>
      </c>
      <c r="Y244" t="inlineStr">
        <is>
          <t>,000000000</t>
        </is>
      </c>
      <c r="Z244" t="inlineStr">
        <is>
          <t>,000000000</t>
        </is>
      </c>
      <c r="AA244" t="inlineStr">
        <is>
          <t>,000000000</t>
        </is>
      </c>
      <c r="AB244" t="inlineStr">
        <is>
          <t>1</t>
        </is>
      </c>
      <c r="AC244" t="inlineStr">
        <is>
          <t>1</t>
        </is>
      </c>
      <c r="AD244" s="3">
        <f>UPPER(C3)</f>
        <v/>
      </c>
      <c r="AE244" s="3">
        <f>VLOOKUP(E3,'[1]Nómina Agentes'!$C:$D,3,0)</f>
        <v/>
      </c>
      <c r="AF244" s="5">
        <f>F3</f>
        <v/>
      </c>
      <c r="AG244" s="5">
        <f>H3</f>
        <v/>
      </c>
    </row>
    <row r="245">
      <c r="A245" s="1" t="inlineStr">
        <is>
          <t>9/10/2024</t>
        </is>
      </c>
      <c r="B245" t="inlineStr">
        <is>
          <t>925</t>
        </is>
      </c>
      <c r="C245" t="inlineStr">
        <is>
          <t>S2S Premium</t>
        </is>
      </c>
      <c r="D245" t="inlineStr">
        <is>
          <t>Pm_Sánchez, Adrian</t>
        </is>
      </c>
      <c r="E245" t="inlineStr">
        <is>
          <t>606498</t>
        </is>
      </c>
      <c r="F245" s="2" t="inlineStr">
        <is>
          <t>10:00</t>
        </is>
      </c>
      <c r="G245" t="inlineStr">
        <is>
          <t>-</t>
        </is>
      </c>
      <c r="H245" s="2" t="inlineStr">
        <is>
          <t>10:30</t>
        </is>
      </c>
      <c r="I245" t="inlineStr">
        <is>
          <t>950,000000000</t>
        </is>
      </c>
      <c r="J245" t="inlineStr">
        <is>
          <t>,000000000</t>
        </is>
      </c>
      <c r="K245" t="inlineStr">
        <is>
          <t>,000000000</t>
        </is>
      </c>
      <c r="L245" t="inlineStr">
        <is>
          <t>12,000000000</t>
        </is>
      </c>
      <c r="M245" t="inlineStr">
        <is>
          <t>,000000000</t>
        </is>
      </c>
      <c r="N245" t="inlineStr">
        <is>
          <t>,000000000</t>
        </is>
      </c>
      <c r="O245" t="inlineStr">
        <is>
          <t>,000000000</t>
        </is>
      </c>
      <c r="P245" t="inlineStr">
        <is>
          <t>545,000000000</t>
        </is>
      </c>
      <c r="Q245" t="inlineStr">
        <is>
          <t>,000000000</t>
        </is>
      </c>
      <c r="R245" t="inlineStr">
        <is>
          <t>,000000000</t>
        </is>
      </c>
      <c r="S245" t="inlineStr">
        <is>
          <t>,000000000</t>
        </is>
      </c>
      <c r="T245" t="inlineStr">
        <is>
          <t>,000000000</t>
        </is>
      </c>
      <c r="U245" t="inlineStr">
        <is>
          <t>,000000000</t>
        </is>
      </c>
      <c r="V245" t="inlineStr">
        <is>
          <t>,000000000</t>
        </is>
      </c>
      <c r="W245" t="inlineStr">
        <is>
          <t>,000000000</t>
        </is>
      </c>
      <c r="X245" t="inlineStr">
        <is>
          <t>,000000000</t>
        </is>
      </c>
      <c r="Y245" t="inlineStr">
        <is>
          <t>,000000000</t>
        </is>
      </c>
      <c r="Z245" t="inlineStr">
        <is>
          <t>,000000000</t>
        </is>
      </c>
      <c r="AA245" t="inlineStr">
        <is>
          <t>,000000000</t>
        </is>
      </c>
      <c r="AB245" t="inlineStr">
        <is>
          <t>4</t>
        </is>
      </c>
      <c r="AC245" t="inlineStr">
        <is>
          <t>3</t>
        </is>
      </c>
      <c r="AD245" s="3">
        <f>UPPER(C3)</f>
        <v/>
      </c>
      <c r="AE245" s="3">
        <f>VLOOKUP(E3,'[1]Nómina Agentes'!$C:$D,3,0)</f>
        <v/>
      </c>
      <c r="AF245" s="5">
        <f>F3</f>
        <v/>
      </c>
      <c r="AG245" s="5">
        <f>H3</f>
        <v/>
      </c>
    </row>
    <row r="246">
      <c r="A246" s="1" t="inlineStr">
        <is>
          <t>9/10/2024</t>
        </is>
      </c>
      <c r="B246" t="inlineStr">
        <is>
          <t>925</t>
        </is>
      </c>
      <c r="C246" t="inlineStr">
        <is>
          <t>S2S Premium</t>
        </is>
      </c>
      <c r="D246" t="inlineStr">
        <is>
          <t>Pm_Sánchez, Adrian</t>
        </is>
      </c>
      <c r="E246" t="inlineStr">
        <is>
          <t>606498</t>
        </is>
      </c>
      <c r="F246" s="2" t="inlineStr">
        <is>
          <t>09:30</t>
        </is>
      </c>
      <c r="G246" t="inlineStr">
        <is>
          <t>-</t>
        </is>
      </c>
      <c r="H246" s="2" t="inlineStr">
        <is>
          <t>10:00</t>
        </is>
      </c>
      <c r="I246" t="inlineStr">
        <is>
          <t>960,000000000</t>
        </is>
      </c>
      <c r="J246" t="inlineStr">
        <is>
          <t>,000000000</t>
        </is>
      </c>
      <c r="K246" t="inlineStr">
        <is>
          <t>,000000000</t>
        </is>
      </c>
      <c r="L246" t="inlineStr">
        <is>
          <t>12,000000000</t>
        </is>
      </c>
      <c r="M246" t="inlineStr">
        <is>
          <t>,000000000</t>
        </is>
      </c>
      <c r="N246" t="inlineStr">
        <is>
          <t>,000000000</t>
        </is>
      </c>
      <c r="O246" t="inlineStr">
        <is>
          <t>,000000000</t>
        </is>
      </c>
      <c r="P246" t="inlineStr">
        <is>
          <t>3,000000000</t>
        </is>
      </c>
      <c r="Q246" t="inlineStr">
        <is>
          <t>,000000000</t>
        </is>
      </c>
      <c r="R246" t="inlineStr">
        <is>
          <t>,000000000</t>
        </is>
      </c>
      <c r="S246" t="inlineStr">
        <is>
          <t>,000000000</t>
        </is>
      </c>
      <c r="T246" t="inlineStr">
        <is>
          <t>,000000000</t>
        </is>
      </c>
      <c r="U246" t="inlineStr">
        <is>
          <t>,000000000</t>
        </is>
      </c>
      <c r="V246" t="inlineStr">
        <is>
          <t>,000000000</t>
        </is>
      </c>
      <c r="W246" t="inlineStr">
        <is>
          <t>,000000000</t>
        </is>
      </c>
      <c r="X246" t="inlineStr">
        <is>
          <t>,000000000</t>
        </is>
      </c>
      <c r="Y246" t="inlineStr">
        <is>
          <t>,000000000</t>
        </is>
      </c>
      <c r="Z246" t="inlineStr">
        <is>
          <t>,000000000</t>
        </is>
      </c>
      <c r="AA246" t="inlineStr">
        <is>
          <t>,000000000</t>
        </is>
      </c>
      <c r="AB246" t="inlineStr">
        <is>
          <t>3</t>
        </is>
      </c>
      <c r="AC246" t="inlineStr">
        <is>
          <t>3</t>
        </is>
      </c>
      <c r="AD246" s="3">
        <f>UPPER(C3)</f>
        <v/>
      </c>
      <c r="AE246" s="3">
        <f>VLOOKUP(E3,'[1]Nómina Agentes'!$C:$D,3,0)</f>
        <v/>
      </c>
      <c r="AF246" s="5">
        <f>F3</f>
        <v/>
      </c>
      <c r="AG246" s="5">
        <f>H3</f>
        <v/>
      </c>
    </row>
    <row r="247">
      <c r="A247" s="1" t="inlineStr">
        <is>
          <t>9/10/2024</t>
        </is>
      </c>
      <c r="B247" t="inlineStr">
        <is>
          <t>925</t>
        </is>
      </c>
      <c r="C247" t="inlineStr">
        <is>
          <t>S2S Premium</t>
        </is>
      </c>
      <c r="D247" t="inlineStr">
        <is>
          <t>Pm_Sánchez, Adrian</t>
        </is>
      </c>
      <c r="E247" t="inlineStr">
        <is>
          <t>606498</t>
        </is>
      </c>
      <c r="F247" s="2" t="inlineStr">
        <is>
          <t>10:30</t>
        </is>
      </c>
      <c r="G247" t="inlineStr">
        <is>
          <t>-</t>
        </is>
      </c>
      <c r="H247" s="2" t="inlineStr">
        <is>
          <t>11:00</t>
        </is>
      </c>
      <c r="I247" t="inlineStr">
        <is>
          <t>1192,000000000</t>
        </is>
      </c>
      <c r="J247" t="inlineStr">
        <is>
          <t>,000000000</t>
        </is>
      </c>
      <c r="K247" t="inlineStr">
        <is>
          <t>,000000000</t>
        </is>
      </c>
      <c r="L247" t="inlineStr">
        <is>
          <t>20,000000000</t>
        </is>
      </c>
      <c r="M247" t="inlineStr">
        <is>
          <t>,000000000</t>
        </is>
      </c>
      <c r="N247" t="inlineStr">
        <is>
          <t>,000000000</t>
        </is>
      </c>
      <c r="O247" t="inlineStr">
        <is>
          <t>,000000000</t>
        </is>
      </c>
      <c r="P247" t="inlineStr">
        <is>
          <t>69,000000000</t>
        </is>
      </c>
      <c r="Q247" t="inlineStr">
        <is>
          <t>235,000000000</t>
        </is>
      </c>
      <c r="R247" t="inlineStr">
        <is>
          <t>,000000000</t>
        </is>
      </c>
      <c r="S247" t="inlineStr">
        <is>
          <t>,000000000</t>
        </is>
      </c>
      <c r="T247" t="inlineStr">
        <is>
          <t>,000000000</t>
        </is>
      </c>
      <c r="U247" t="inlineStr">
        <is>
          <t>,000000000</t>
        </is>
      </c>
      <c r="V247" t="inlineStr">
        <is>
          <t>,000000000</t>
        </is>
      </c>
      <c r="W247" t="inlineStr">
        <is>
          <t>,000000000</t>
        </is>
      </c>
      <c r="X247" t="inlineStr">
        <is>
          <t>,000000000</t>
        </is>
      </c>
      <c r="Y247" t="inlineStr">
        <is>
          <t>,000000000</t>
        </is>
      </c>
      <c r="Z247" t="inlineStr">
        <is>
          <t>,000000000</t>
        </is>
      </c>
      <c r="AA247" t="inlineStr">
        <is>
          <t>,000000000</t>
        </is>
      </c>
      <c r="AB247" t="inlineStr">
        <is>
          <t>4</t>
        </is>
      </c>
      <c r="AC247" t="inlineStr">
        <is>
          <t>4</t>
        </is>
      </c>
      <c r="AD247" s="3">
        <f>UPPER(C3)</f>
        <v/>
      </c>
      <c r="AE247" s="3">
        <f>VLOOKUP(E3,'[1]Nómina Agentes'!$C:$D,3,0)</f>
        <v/>
      </c>
      <c r="AF247" s="5">
        <f>F3</f>
        <v/>
      </c>
      <c r="AG247" s="5">
        <f>H3</f>
        <v/>
      </c>
    </row>
    <row r="248">
      <c r="A248" s="1" t="inlineStr">
        <is>
          <t>9/10/2024</t>
        </is>
      </c>
      <c r="B248" t="inlineStr">
        <is>
          <t>924</t>
        </is>
      </c>
      <c r="C248" t="inlineStr">
        <is>
          <t>S2S No Premium</t>
        </is>
      </c>
      <c r="D248" t="inlineStr">
        <is>
          <t>N2m_Toffoletti Evely</t>
        </is>
      </c>
      <c r="E248" t="inlineStr">
        <is>
          <t>606501</t>
        </is>
      </c>
      <c r="F248" s="2" t="inlineStr">
        <is>
          <t>08:30</t>
        </is>
      </c>
      <c r="G248" t="inlineStr">
        <is>
          <t>-</t>
        </is>
      </c>
      <c r="H248" s="2" t="inlineStr">
        <is>
          <t>09:00</t>
        </is>
      </c>
      <c r="I248" t="inlineStr">
        <is>
          <t>,000000000</t>
        </is>
      </c>
      <c r="J248" t="inlineStr">
        <is>
          <t>,000000000</t>
        </is>
      </c>
      <c r="K248" t="inlineStr">
        <is>
          <t>,000000000</t>
        </is>
      </c>
      <c r="L248" t="inlineStr">
        <is>
          <t>,000000000</t>
        </is>
      </c>
      <c r="M248" t="inlineStr">
        <is>
          <t>,000000000</t>
        </is>
      </c>
      <c r="N248" t="inlineStr">
        <is>
          <t>,000000000</t>
        </is>
      </c>
      <c r="O248" t="inlineStr">
        <is>
          <t>,000000000</t>
        </is>
      </c>
      <c r="P248" t="inlineStr">
        <is>
          <t>,000000000</t>
        </is>
      </c>
      <c r="Q248" t="inlineStr">
        <is>
          <t>,000000000</t>
        </is>
      </c>
      <c r="R248" t="inlineStr">
        <is>
          <t>,000000000</t>
        </is>
      </c>
      <c r="S248" t="inlineStr">
        <is>
          <t>,000000000</t>
        </is>
      </c>
      <c r="T248" t="inlineStr">
        <is>
          <t>,000000000</t>
        </is>
      </c>
      <c r="U248" t="inlineStr">
        <is>
          <t>,000000000</t>
        </is>
      </c>
      <c r="V248" t="inlineStr">
        <is>
          <t>,000000000</t>
        </is>
      </c>
      <c r="W248" t="inlineStr">
        <is>
          <t>,000000000</t>
        </is>
      </c>
      <c r="X248" t="inlineStr">
        <is>
          <t>,000000000</t>
        </is>
      </c>
      <c r="Y248" t="inlineStr">
        <is>
          <t>,000000000</t>
        </is>
      </c>
      <c r="Z248" t="inlineStr">
        <is>
          <t>,000000000</t>
        </is>
      </c>
      <c r="AA248" t="inlineStr">
        <is>
          <t>,000000000</t>
        </is>
      </c>
      <c r="AB248" t="inlineStr">
        <is>
          <t>0</t>
        </is>
      </c>
      <c r="AC248" t="inlineStr">
        <is>
          <t>0</t>
        </is>
      </c>
      <c r="AD248" s="3">
        <f>UPPER(C3)</f>
        <v/>
      </c>
      <c r="AE248" s="3">
        <f>VLOOKUP(E3,'[1]Nómina Agentes'!$C:$D,3,0)</f>
        <v/>
      </c>
      <c r="AF248" s="5">
        <f>F3</f>
        <v/>
      </c>
      <c r="AG248" s="5">
        <f>H3</f>
        <v/>
      </c>
    </row>
    <row r="249">
      <c r="A249" s="1" t="inlineStr">
        <is>
          <t>9/10/2024</t>
        </is>
      </c>
      <c r="B249" t="inlineStr">
        <is>
          <t>924</t>
        </is>
      </c>
      <c r="C249" t="inlineStr">
        <is>
          <t>S2S No Premium</t>
        </is>
      </c>
      <c r="D249" t="inlineStr">
        <is>
          <t>N2m_Toffoletti Evely</t>
        </is>
      </c>
      <c r="E249" t="inlineStr">
        <is>
          <t>606501</t>
        </is>
      </c>
      <c r="F249" s="2" t="inlineStr">
        <is>
          <t>10:30</t>
        </is>
      </c>
      <c r="G249" t="inlineStr">
        <is>
          <t>-</t>
        </is>
      </c>
      <c r="H249" s="2" t="inlineStr">
        <is>
          <t>11:00</t>
        </is>
      </c>
      <c r="I249" t="inlineStr">
        <is>
          <t>99,000000000</t>
        </is>
      </c>
      <c r="J249" t="inlineStr">
        <is>
          <t>18,000000000</t>
        </is>
      </c>
      <c r="K249" t="inlineStr">
        <is>
          <t>,000000000</t>
        </is>
      </c>
      <c r="L249" t="inlineStr">
        <is>
          <t>,000000000</t>
        </is>
      </c>
      <c r="M249" t="inlineStr">
        <is>
          <t>,000000000</t>
        </is>
      </c>
      <c r="N249" t="inlineStr">
        <is>
          <t>,000000000</t>
        </is>
      </c>
      <c r="O249" t="inlineStr">
        <is>
          <t>,000000000</t>
        </is>
      </c>
      <c r="P249" t="inlineStr">
        <is>
          <t>1,000000000</t>
        </is>
      </c>
      <c r="Q249" t="inlineStr">
        <is>
          <t>,000000000</t>
        </is>
      </c>
      <c r="R249" t="inlineStr">
        <is>
          <t>,000000000</t>
        </is>
      </c>
      <c r="S249" t="inlineStr">
        <is>
          <t>,000000000</t>
        </is>
      </c>
      <c r="T249" t="inlineStr">
        <is>
          <t>,000000000</t>
        </is>
      </c>
      <c r="U249" t="inlineStr">
        <is>
          <t>,000000000</t>
        </is>
      </c>
      <c r="V249" t="inlineStr">
        <is>
          <t>,000000000</t>
        </is>
      </c>
      <c r="W249" t="inlineStr">
        <is>
          <t>,000000000</t>
        </is>
      </c>
      <c r="X249" t="inlineStr">
        <is>
          <t>,000000000</t>
        </is>
      </c>
      <c r="Y249" t="inlineStr">
        <is>
          <t>,000000000</t>
        </is>
      </c>
      <c r="Z249" t="inlineStr">
        <is>
          <t>,000000000</t>
        </is>
      </c>
      <c r="AA249" t="inlineStr">
        <is>
          <t>,000000000</t>
        </is>
      </c>
      <c r="AB249" t="inlineStr">
        <is>
          <t>1</t>
        </is>
      </c>
      <c r="AC249" t="inlineStr">
        <is>
          <t>1</t>
        </is>
      </c>
      <c r="AD249" s="3">
        <f>UPPER(C3)</f>
        <v/>
      </c>
      <c r="AE249" s="3">
        <f>VLOOKUP(E3,'[1]Nómina Agentes'!$C:$D,3,0)</f>
        <v/>
      </c>
      <c r="AF249" s="5">
        <f>F3</f>
        <v/>
      </c>
      <c r="AG249" s="5">
        <f>H3</f>
        <v/>
      </c>
    </row>
    <row r="250">
      <c r="A250" s="1" t="inlineStr">
        <is>
          <t>9/10/2024</t>
        </is>
      </c>
      <c r="B250" t="inlineStr">
        <is>
          <t>924</t>
        </is>
      </c>
      <c r="C250" t="inlineStr">
        <is>
          <t>S2S No Premium</t>
        </is>
      </c>
      <c r="D250" t="inlineStr">
        <is>
          <t>N2m_Toffoletti Evely</t>
        </is>
      </c>
      <c r="E250" t="inlineStr">
        <is>
          <t>606501</t>
        </is>
      </c>
      <c r="F250" s="2" t="inlineStr">
        <is>
          <t>09:00</t>
        </is>
      </c>
      <c r="G250" t="inlineStr">
        <is>
          <t>-</t>
        </is>
      </c>
      <c r="H250" s="2" t="inlineStr">
        <is>
          <t>09:30</t>
        </is>
      </c>
      <c r="I250" t="inlineStr">
        <is>
          <t>821,000000000</t>
        </is>
      </c>
      <c r="J250" t="inlineStr">
        <is>
          <t>,000000000</t>
        </is>
      </c>
      <c r="K250" t="inlineStr">
        <is>
          <t>,000000000</t>
        </is>
      </c>
      <c r="L250" t="inlineStr">
        <is>
          <t>20,000000000</t>
        </is>
      </c>
      <c r="M250" t="inlineStr">
        <is>
          <t>,000000000</t>
        </is>
      </c>
      <c r="N250" t="inlineStr">
        <is>
          <t>,000000000</t>
        </is>
      </c>
      <c r="O250" t="inlineStr">
        <is>
          <t>,000000000</t>
        </is>
      </c>
      <c r="P250" t="inlineStr">
        <is>
          <t>2,000000000</t>
        </is>
      </c>
      <c r="Q250" t="inlineStr">
        <is>
          <t>1,000000000</t>
        </is>
      </c>
      <c r="R250" t="inlineStr">
        <is>
          <t>,000000000</t>
        </is>
      </c>
      <c r="S250" t="inlineStr">
        <is>
          <t>,000000000</t>
        </is>
      </c>
      <c r="T250" t="inlineStr">
        <is>
          <t>,000000000</t>
        </is>
      </c>
      <c r="U250" t="inlineStr">
        <is>
          <t>,000000000</t>
        </is>
      </c>
      <c r="V250" t="inlineStr">
        <is>
          <t>,000000000</t>
        </is>
      </c>
      <c r="W250" t="inlineStr">
        <is>
          <t>,000000000</t>
        </is>
      </c>
      <c r="X250" t="inlineStr">
        <is>
          <t>,000000000</t>
        </is>
      </c>
      <c r="Y250" t="inlineStr">
        <is>
          <t>,000000000</t>
        </is>
      </c>
      <c r="Z250" t="inlineStr">
        <is>
          <t>,000000000</t>
        </is>
      </c>
      <c r="AA250" t="inlineStr">
        <is>
          <t>,000000000</t>
        </is>
      </c>
      <c r="AB250" t="inlineStr">
        <is>
          <t>2</t>
        </is>
      </c>
      <c r="AC250" t="inlineStr">
        <is>
          <t>2</t>
        </is>
      </c>
      <c r="AD250" s="3">
        <f>UPPER(C3)</f>
        <v/>
      </c>
      <c r="AE250" s="3">
        <f>VLOOKUP(E3,'[1]Nómina Agentes'!$C:$D,3,0)</f>
        <v/>
      </c>
      <c r="AF250" s="5">
        <f>F3</f>
        <v/>
      </c>
      <c r="AG250" s="5">
        <f>H3</f>
        <v/>
      </c>
    </row>
    <row r="251">
      <c r="A251" s="1" t="inlineStr">
        <is>
          <t>9/10/2024</t>
        </is>
      </c>
      <c r="B251" t="inlineStr">
        <is>
          <t>924</t>
        </is>
      </c>
      <c r="C251" t="inlineStr">
        <is>
          <t>S2S No Premium</t>
        </is>
      </c>
      <c r="D251" t="inlineStr">
        <is>
          <t>N2m_Toffoletti Evely</t>
        </is>
      </c>
      <c r="E251" t="inlineStr">
        <is>
          <t>606501</t>
        </is>
      </c>
      <c r="F251" s="2" t="inlineStr">
        <is>
          <t>10:00</t>
        </is>
      </c>
      <c r="G251" t="inlineStr">
        <is>
          <t>-</t>
        </is>
      </c>
      <c r="H251" s="2" t="inlineStr">
        <is>
          <t>10:30</t>
        </is>
      </c>
      <c r="I251" t="inlineStr">
        <is>
          <t>891,000000000</t>
        </is>
      </c>
      <c r="J251" t="inlineStr">
        <is>
          <t>,000000000</t>
        </is>
      </c>
      <c r="K251" t="inlineStr">
        <is>
          <t>,000000000</t>
        </is>
      </c>
      <c r="L251" t="inlineStr">
        <is>
          <t>16,000000000</t>
        </is>
      </c>
      <c r="M251" t="inlineStr">
        <is>
          <t>,000000000</t>
        </is>
      </c>
      <c r="N251" t="inlineStr">
        <is>
          <t>,000000000</t>
        </is>
      </c>
      <c r="O251" t="inlineStr">
        <is>
          <t>,000000000</t>
        </is>
      </c>
      <c r="P251" t="inlineStr">
        <is>
          <t>76,000000000</t>
        </is>
      </c>
      <c r="Q251" t="inlineStr">
        <is>
          <t>,000000000</t>
        </is>
      </c>
      <c r="R251" t="inlineStr">
        <is>
          <t>,000000000</t>
        </is>
      </c>
      <c r="S251" t="inlineStr">
        <is>
          <t>,000000000</t>
        </is>
      </c>
      <c r="T251" t="inlineStr">
        <is>
          <t>,000000000</t>
        </is>
      </c>
      <c r="U251" t="inlineStr">
        <is>
          <t>,000000000</t>
        </is>
      </c>
      <c r="V251" t="inlineStr">
        <is>
          <t>,000000000</t>
        </is>
      </c>
      <c r="W251" t="inlineStr">
        <is>
          <t>,000000000</t>
        </is>
      </c>
      <c r="X251" t="inlineStr">
        <is>
          <t>,000000000</t>
        </is>
      </c>
      <c r="Y251" t="inlineStr">
        <is>
          <t>,000000000</t>
        </is>
      </c>
      <c r="Z251" t="inlineStr">
        <is>
          <t>,000000000</t>
        </is>
      </c>
      <c r="AA251" t="inlineStr">
        <is>
          <t>,000000000</t>
        </is>
      </c>
      <c r="AB251" t="inlineStr">
        <is>
          <t>4</t>
        </is>
      </c>
      <c r="AC251" t="inlineStr">
        <is>
          <t>3</t>
        </is>
      </c>
      <c r="AD251" s="3">
        <f>UPPER(C3)</f>
        <v/>
      </c>
      <c r="AE251" s="3">
        <f>VLOOKUP(E3,'[1]Nómina Agentes'!$C:$D,3,0)</f>
        <v/>
      </c>
      <c r="AF251" s="5">
        <f>F3</f>
        <v/>
      </c>
      <c r="AG251" s="5">
        <f>H3</f>
        <v/>
      </c>
    </row>
    <row r="252">
      <c r="A252" s="1" t="inlineStr">
        <is>
          <t>9/10/2024</t>
        </is>
      </c>
      <c r="B252" t="inlineStr">
        <is>
          <t>924</t>
        </is>
      </c>
      <c r="C252" t="inlineStr">
        <is>
          <t>S2S No Premium</t>
        </is>
      </c>
      <c r="D252" t="inlineStr">
        <is>
          <t>N2m_Toffoletti Evely</t>
        </is>
      </c>
      <c r="E252" t="inlineStr">
        <is>
          <t>606501</t>
        </is>
      </c>
      <c r="F252" s="2" t="inlineStr">
        <is>
          <t>09:30</t>
        </is>
      </c>
      <c r="G252" t="inlineStr">
        <is>
          <t>-</t>
        </is>
      </c>
      <c r="H252" s="2" t="inlineStr">
        <is>
          <t>10:00</t>
        </is>
      </c>
      <c r="I252" t="inlineStr">
        <is>
          <t>1166,000000000</t>
        </is>
      </c>
      <c r="J252" t="inlineStr">
        <is>
          <t>,000000000</t>
        </is>
      </c>
      <c r="K252" t="inlineStr">
        <is>
          <t>,000000000</t>
        </is>
      </c>
      <c r="L252" t="inlineStr">
        <is>
          <t>20,000000000</t>
        </is>
      </c>
      <c r="M252" t="inlineStr">
        <is>
          <t>,000000000</t>
        </is>
      </c>
      <c r="N252" t="inlineStr">
        <is>
          <t>,000000000</t>
        </is>
      </c>
      <c r="O252" t="inlineStr">
        <is>
          <t>,000000000</t>
        </is>
      </c>
      <c r="P252" t="inlineStr">
        <is>
          <t>216,000000000</t>
        </is>
      </c>
      <c r="Q252" t="inlineStr">
        <is>
          <t>,000000000</t>
        </is>
      </c>
      <c r="R252" t="inlineStr">
        <is>
          <t>,000000000</t>
        </is>
      </c>
      <c r="S252" t="inlineStr">
        <is>
          <t>,000000000</t>
        </is>
      </c>
      <c r="T252" t="inlineStr">
        <is>
          <t>,000000000</t>
        </is>
      </c>
      <c r="U252" t="inlineStr">
        <is>
          <t>,000000000</t>
        </is>
      </c>
      <c r="V252" t="inlineStr">
        <is>
          <t>,000000000</t>
        </is>
      </c>
      <c r="W252" t="inlineStr">
        <is>
          <t>,000000000</t>
        </is>
      </c>
      <c r="X252" t="inlineStr">
        <is>
          <t>,000000000</t>
        </is>
      </c>
      <c r="Y252" t="inlineStr">
        <is>
          <t>,000000000</t>
        </is>
      </c>
      <c r="Z252" t="inlineStr">
        <is>
          <t>,000000000</t>
        </is>
      </c>
      <c r="AA252" t="inlineStr">
        <is>
          <t>,000000000</t>
        </is>
      </c>
      <c r="AB252" t="inlineStr">
        <is>
          <t>6</t>
        </is>
      </c>
      <c r="AC252" t="inlineStr">
        <is>
          <t>6</t>
        </is>
      </c>
      <c r="AD252" s="3">
        <f>UPPER(C3)</f>
        <v/>
      </c>
      <c r="AE252" s="3">
        <f>VLOOKUP(E3,'[1]Nómina Agentes'!$C:$D,3,0)</f>
        <v/>
      </c>
      <c r="AF252" s="5">
        <f>F3</f>
        <v/>
      </c>
      <c r="AG252" s="5">
        <f>H3</f>
        <v/>
      </c>
    </row>
    <row r="253">
      <c r="A253" s="1" t="inlineStr">
        <is>
          <t>9/10/2024</t>
        </is>
      </c>
      <c r="B253" t="inlineStr">
        <is>
          <t>924</t>
        </is>
      </c>
      <c r="C253" t="inlineStr">
        <is>
          <t>S2S No Premium</t>
        </is>
      </c>
      <c r="D253" t="inlineStr">
        <is>
          <t>N2m_Rolon Nancy</t>
        </is>
      </c>
      <c r="E253" t="inlineStr">
        <is>
          <t>606550</t>
        </is>
      </c>
      <c r="F253" s="2" t="inlineStr">
        <is>
          <t>08:30</t>
        </is>
      </c>
      <c r="G253" t="inlineStr">
        <is>
          <t>-</t>
        </is>
      </c>
      <c r="H253" s="2" t="inlineStr">
        <is>
          <t>09:00</t>
        </is>
      </c>
      <c r="I253" t="inlineStr">
        <is>
          <t>,000000000</t>
        </is>
      </c>
      <c r="J253" t="inlineStr">
        <is>
          <t>,000000000</t>
        </is>
      </c>
      <c r="K253" t="inlineStr">
        <is>
          <t>,000000000</t>
        </is>
      </c>
      <c r="L253" t="inlineStr">
        <is>
          <t>,000000000</t>
        </is>
      </c>
      <c r="M253" t="inlineStr">
        <is>
          <t>,000000000</t>
        </is>
      </c>
      <c r="N253" t="inlineStr">
        <is>
          <t>,000000000</t>
        </is>
      </c>
      <c r="O253" t="inlineStr">
        <is>
          <t>,000000000</t>
        </is>
      </c>
      <c r="P253" t="inlineStr">
        <is>
          <t>,000000000</t>
        </is>
      </c>
      <c r="Q253" t="inlineStr">
        <is>
          <t>,000000000</t>
        </is>
      </c>
      <c r="R253" t="inlineStr">
        <is>
          <t>,000000000</t>
        </is>
      </c>
      <c r="S253" t="inlineStr">
        <is>
          <t>,000000000</t>
        </is>
      </c>
      <c r="T253" t="inlineStr">
        <is>
          <t>,000000000</t>
        </is>
      </c>
      <c r="U253" t="inlineStr">
        <is>
          <t>,000000000</t>
        </is>
      </c>
      <c r="V253" t="inlineStr">
        <is>
          <t>,000000000</t>
        </is>
      </c>
      <c r="W253" t="inlineStr">
        <is>
          <t>,000000000</t>
        </is>
      </c>
      <c r="X253" t="inlineStr">
        <is>
          <t>,000000000</t>
        </is>
      </c>
      <c r="Y253" t="inlineStr">
        <is>
          <t>,000000000</t>
        </is>
      </c>
      <c r="Z253" t="inlineStr">
        <is>
          <t>,000000000</t>
        </is>
      </c>
      <c r="AA253" t="inlineStr">
        <is>
          <t>,000000000</t>
        </is>
      </c>
      <c r="AB253" t="inlineStr">
        <is>
          <t>0</t>
        </is>
      </c>
      <c r="AC253" t="inlineStr">
        <is>
          <t>0</t>
        </is>
      </c>
      <c r="AD253" s="3">
        <f>UPPER(C3)</f>
        <v/>
      </c>
      <c r="AE253" s="3">
        <f>VLOOKUP(E3,'[1]Nómina Agentes'!$C:$D,3,0)</f>
        <v/>
      </c>
      <c r="AF253" s="5">
        <f>F3</f>
        <v/>
      </c>
      <c r="AG253" s="5">
        <f>H3</f>
        <v/>
      </c>
    </row>
    <row r="254">
      <c r="A254" s="1" t="inlineStr">
        <is>
          <t>9/10/2024</t>
        </is>
      </c>
      <c r="B254" t="inlineStr">
        <is>
          <t>924</t>
        </is>
      </c>
      <c r="C254" t="inlineStr">
        <is>
          <t>S2S No Premium</t>
        </is>
      </c>
      <c r="D254" t="inlineStr">
        <is>
          <t>N2m_Rolon Nancy</t>
        </is>
      </c>
      <c r="E254" t="inlineStr">
        <is>
          <t>606550</t>
        </is>
      </c>
      <c r="F254" s="2" t="inlineStr">
        <is>
          <t>09:00</t>
        </is>
      </c>
      <c r="G254" t="inlineStr">
        <is>
          <t>-</t>
        </is>
      </c>
      <c r="H254" s="2" t="inlineStr">
        <is>
          <t>09:30</t>
        </is>
      </c>
      <c r="I254" t="inlineStr">
        <is>
          <t>881,000000000</t>
        </is>
      </c>
      <c r="J254" t="inlineStr">
        <is>
          <t>,000000000</t>
        </is>
      </c>
      <c r="K254" t="inlineStr">
        <is>
          <t>,000000000</t>
        </is>
      </c>
      <c r="L254" t="inlineStr">
        <is>
          <t>16,000000000</t>
        </is>
      </c>
      <c r="M254" t="inlineStr">
        <is>
          <t>,000000000</t>
        </is>
      </c>
      <c r="N254" t="inlineStr">
        <is>
          <t>,000000000</t>
        </is>
      </c>
      <c r="O254" t="inlineStr">
        <is>
          <t>,000000000</t>
        </is>
      </c>
      <c r="P254" t="inlineStr">
        <is>
          <t>112,000000000</t>
        </is>
      </c>
      <c r="Q254" t="inlineStr">
        <is>
          <t>80,000000000</t>
        </is>
      </c>
      <c r="R254" t="inlineStr">
        <is>
          <t>,000000000</t>
        </is>
      </c>
      <c r="S254" t="inlineStr">
        <is>
          <t>,000000000</t>
        </is>
      </c>
      <c r="T254" t="inlineStr">
        <is>
          <t>,000000000</t>
        </is>
      </c>
      <c r="U254" t="inlineStr">
        <is>
          <t>,000000000</t>
        </is>
      </c>
      <c r="V254" t="inlineStr">
        <is>
          <t>,000000000</t>
        </is>
      </c>
      <c r="W254" t="inlineStr">
        <is>
          <t>,000000000</t>
        </is>
      </c>
      <c r="X254" t="inlineStr">
        <is>
          <t>,000000000</t>
        </is>
      </c>
      <c r="Y254" t="inlineStr">
        <is>
          <t>,000000000</t>
        </is>
      </c>
      <c r="Z254" t="inlineStr">
        <is>
          <t>,000000000</t>
        </is>
      </c>
      <c r="AA254" t="inlineStr">
        <is>
          <t>,000000000</t>
        </is>
      </c>
      <c r="AB254" t="inlineStr">
        <is>
          <t>3</t>
        </is>
      </c>
      <c r="AC254" t="inlineStr">
        <is>
          <t>3</t>
        </is>
      </c>
      <c r="AD254" s="3">
        <f>UPPER(C3)</f>
        <v/>
      </c>
      <c r="AE254" s="3">
        <f>VLOOKUP(E3,'[1]Nómina Agentes'!$C:$D,3,0)</f>
        <v/>
      </c>
      <c r="AF254" s="5">
        <f>F3</f>
        <v/>
      </c>
      <c r="AG254" s="5">
        <f>H3</f>
        <v/>
      </c>
    </row>
    <row r="255">
      <c r="A255" s="1" t="inlineStr">
        <is>
          <t>9/10/2024</t>
        </is>
      </c>
      <c r="B255" t="inlineStr">
        <is>
          <t>924</t>
        </is>
      </c>
      <c r="C255" t="inlineStr">
        <is>
          <t>S2S No Premium</t>
        </is>
      </c>
      <c r="D255" t="inlineStr">
        <is>
          <t>N2m_Rolon Nancy</t>
        </is>
      </c>
      <c r="E255" t="inlineStr">
        <is>
          <t>606550</t>
        </is>
      </c>
      <c r="F255" s="2" t="inlineStr">
        <is>
          <t>10:00</t>
        </is>
      </c>
      <c r="G255" t="inlineStr">
        <is>
          <t>-</t>
        </is>
      </c>
      <c r="H255" s="2" t="inlineStr">
        <is>
          <t>10:30</t>
        </is>
      </c>
      <c r="I255" t="inlineStr">
        <is>
          <t>1036,000000000</t>
        </is>
      </c>
      <c r="J255" t="inlineStr">
        <is>
          <t>,000000000</t>
        </is>
      </c>
      <c r="K255" t="inlineStr">
        <is>
          <t>,000000000</t>
        </is>
      </c>
      <c r="L255" t="inlineStr">
        <is>
          <t>12,000000000</t>
        </is>
      </c>
      <c r="M255" t="inlineStr">
        <is>
          <t>,000000000</t>
        </is>
      </c>
      <c r="N255" t="inlineStr">
        <is>
          <t>,000000000</t>
        </is>
      </c>
      <c r="O255" t="inlineStr">
        <is>
          <t>,000000000</t>
        </is>
      </c>
      <c r="P255" t="inlineStr">
        <is>
          <t>2,000000000</t>
        </is>
      </c>
      <c r="Q255" t="inlineStr">
        <is>
          <t>,000000000</t>
        </is>
      </c>
      <c r="R255" t="inlineStr">
        <is>
          <t>,000000000</t>
        </is>
      </c>
      <c r="S255" t="inlineStr">
        <is>
          <t>,000000000</t>
        </is>
      </c>
      <c r="T255" t="inlineStr">
        <is>
          <t>,000000000</t>
        </is>
      </c>
      <c r="U255" t="inlineStr">
        <is>
          <t>,000000000</t>
        </is>
      </c>
      <c r="V255" t="inlineStr">
        <is>
          <t>,000000000</t>
        </is>
      </c>
      <c r="W255" t="inlineStr">
        <is>
          <t>,000000000</t>
        </is>
      </c>
      <c r="X255" t="inlineStr">
        <is>
          <t>,000000000</t>
        </is>
      </c>
      <c r="Y255" t="inlineStr">
        <is>
          <t>,000000000</t>
        </is>
      </c>
      <c r="Z255" t="inlineStr">
        <is>
          <t>,000000000</t>
        </is>
      </c>
      <c r="AA255" t="inlineStr">
        <is>
          <t>,000000000</t>
        </is>
      </c>
      <c r="AB255" t="inlineStr">
        <is>
          <t>3</t>
        </is>
      </c>
      <c r="AC255" t="inlineStr">
        <is>
          <t>3</t>
        </is>
      </c>
      <c r="AD255" s="3">
        <f>UPPER(C3)</f>
        <v/>
      </c>
      <c r="AE255" s="3">
        <f>VLOOKUP(E3,'[1]Nómina Agentes'!$C:$D,3,0)</f>
        <v/>
      </c>
      <c r="AF255" s="5">
        <f>F3</f>
        <v/>
      </c>
      <c r="AG255" s="5">
        <f>H3</f>
        <v/>
      </c>
    </row>
    <row r="256">
      <c r="A256" s="1" t="inlineStr">
        <is>
          <t>9/10/2024</t>
        </is>
      </c>
      <c r="B256" t="inlineStr">
        <is>
          <t>924</t>
        </is>
      </c>
      <c r="C256" t="inlineStr">
        <is>
          <t>S2S No Premium</t>
        </is>
      </c>
      <c r="D256" t="inlineStr">
        <is>
          <t>N2m_Rolon Nancy</t>
        </is>
      </c>
      <c r="E256" t="inlineStr">
        <is>
          <t>606550</t>
        </is>
      </c>
      <c r="F256" s="2" t="inlineStr">
        <is>
          <t>09:30</t>
        </is>
      </c>
      <c r="G256" t="inlineStr">
        <is>
          <t>-</t>
        </is>
      </c>
      <c r="H256" s="2" t="inlineStr">
        <is>
          <t>10:00</t>
        </is>
      </c>
      <c r="I256" t="inlineStr">
        <is>
          <t>1364,000000000</t>
        </is>
      </c>
      <c r="J256" t="inlineStr">
        <is>
          <t>,000000000</t>
        </is>
      </c>
      <c r="K256" t="inlineStr">
        <is>
          <t>,000000000</t>
        </is>
      </c>
      <c r="L256" t="inlineStr">
        <is>
          <t>16,000000000</t>
        </is>
      </c>
      <c r="M256" t="inlineStr">
        <is>
          <t>,000000000</t>
        </is>
      </c>
      <c r="N256" t="inlineStr">
        <is>
          <t>,000000000</t>
        </is>
      </c>
      <c r="O256" t="inlineStr">
        <is>
          <t>,000000000</t>
        </is>
      </c>
      <c r="P256" t="inlineStr">
        <is>
          <t>3,000000000</t>
        </is>
      </c>
      <c r="Q256" t="inlineStr">
        <is>
          <t>,000000000</t>
        </is>
      </c>
      <c r="R256" t="inlineStr">
        <is>
          <t>,000000000</t>
        </is>
      </c>
      <c r="S256" t="inlineStr">
        <is>
          <t>,000000000</t>
        </is>
      </c>
      <c r="T256" t="inlineStr">
        <is>
          <t>,000000000</t>
        </is>
      </c>
      <c r="U256" t="inlineStr">
        <is>
          <t>,000000000</t>
        </is>
      </c>
      <c r="V256" t="inlineStr">
        <is>
          <t>,000000000</t>
        </is>
      </c>
      <c r="W256" t="inlineStr">
        <is>
          <t>,000000000</t>
        </is>
      </c>
      <c r="X256" t="inlineStr">
        <is>
          <t>,000000000</t>
        </is>
      </c>
      <c r="Y256" t="inlineStr">
        <is>
          <t>,000000000</t>
        </is>
      </c>
      <c r="Z256" t="inlineStr">
        <is>
          <t>,000000000</t>
        </is>
      </c>
      <c r="AA256" t="inlineStr">
        <is>
          <t>,000000000</t>
        </is>
      </c>
      <c r="AB256" t="inlineStr">
        <is>
          <t>4</t>
        </is>
      </c>
      <c r="AC256" t="inlineStr">
        <is>
          <t>4</t>
        </is>
      </c>
      <c r="AD256" s="3">
        <f>UPPER(C3)</f>
        <v/>
      </c>
      <c r="AE256" s="3">
        <f>VLOOKUP(E3,'[1]Nómina Agentes'!$C:$D,3,0)</f>
        <v/>
      </c>
      <c r="AF256" s="5">
        <f>F3</f>
        <v/>
      </c>
      <c r="AG256" s="5">
        <f>H3</f>
        <v/>
      </c>
    </row>
    <row r="257">
      <c r="A257" s="1" t="inlineStr">
        <is>
          <t>9/10/2024</t>
        </is>
      </c>
      <c r="B257" t="inlineStr">
        <is>
          <t>924</t>
        </is>
      </c>
      <c r="C257" t="inlineStr">
        <is>
          <t>S2S No Premium</t>
        </is>
      </c>
      <c r="D257" t="inlineStr">
        <is>
          <t>N2m_Rolon Nancy</t>
        </is>
      </c>
      <c r="E257" t="inlineStr">
        <is>
          <t>606550</t>
        </is>
      </c>
      <c r="F257" s="2" t="inlineStr">
        <is>
          <t>10:30</t>
        </is>
      </c>
      <c r="G257" t="inlineStr">
        <is>
          <t>-</t>
        </is>
      </c>
      <c r="H257" s="2" t="inlineStr">
        <is>
          <t>11:00</t>
        </is>
      </c>
      <c r="I257" t="inlineStr">
        <is>
          <t>1485,000000000</t>
        </is>
      </c>
      <c r="J257" t="inlineStr">
        <is>
          <t>,000000000</t>
        </is>
      </c>
      <c r="K257" t="inlineStr">
        <is>
          <t>,000000000</t>
        </is>
      </c>
      <c r="L257" t="inlineStr">
        <is>
          <t>12,000000000</t>
        </is>
      </c>
      <c r="M257" t="inlineStr">
        <is>
          <t>,000000000</t>
        </is>
      </c>
      <c r="N257" t="inlineStr">
        <is>
          <t>,000000000</t>
        </is>
      </c>
      <c r="O257" t="inlineStr">
        <is>
          <t>,000000000</t>
        </is>
      </c>
      <c r="P257" t="inlineStr">
        <is>
          <t>63,000000000</t>
        </is>
      </c>
      <c r="Q257" t="inlineStr">
        <is>
          <t>,000000000</t>
        </is>
      </c>
      <c r="R257" t="inlineStr">
        <is>
          <t>,000000000</t>
        </is>
      </c>
      <c r="S257" t="inlineStr">
        <is>
          <t>,000000000</t>
        </is>
      </c>
      <c r="T257" t="inlineStr">
        <is>
          <t>,000000000</t>
        </is>
      </c>
      <c r="U257" t="inlineStr">
        <is>
          <t>,000000000</t>
        </is>
      </c>
      <c r="V257" t="inlineStr">
        <is>
          <t>,000000000</t>
        </is>
      </c>
      <c r="W257" t="inlineStr">
        <is>
          <t>,000000000</t>
        </is>
      </c>
      <c r="X257" t="inlineStr">
        <is>
          <t>,000000000</t>
        </is>
      </c>
      <c r="Y257" t="inlineStr">
        <is>
          <t>,000000000</t>
        </is>
      </c>
      <c r="Z257" t="inlineStr">
        <is>
          <t>,000000000</t>
        </is>
      </c>
      <c r="AA257" t="inlineStr">
        <is>
          <t>,000000000</t>
        </is>
      </c>
      <c r="AB257" t="inlineStr">
        <is>
          <t>3</t>
        </is>
      </c>
      <c r="AC257" t="inlineStr">
        <is>
          <t>2</t>
        </is>
      </c>
      <c r="AD257" s="3">
        <f>UPPER(C3)</f>
        <v/>
      </c>
      <c r="AE257" s="3">
        <f>VLOOKUP(E3,'[1]Nómina Agentes'!$C:$D,3,0)</f>
        <v/>
      </c>
      <c r="AF257" s="5">
        <f>F3</f>
        <v/>
      </c>
      <c r="AG257" s="5">
        <f>H3</f>
        <v/>
      </c>
    </row>
    <row r="258">
      <c r="A258" s="1" t="inlineStr">
        <is>
          <t>9/10/2024</t>
        </is>
      </c>
      <c r="B258" t="inlineStr">
        <is>
          <t>924</t>
        </is>
      </c>
      <c r="C258" t="inlineStr">
        <is>
          <t>S2S No Premium</t>
        </is>
      </c>
      <c r="D258" t="inlineStr">
        <is>
          <t>N2m_Riquelme Lu</t>
        </is>
      </c>
      <c r="E258" t="inlineStr">
        <is>
          <t>606577</t>
        </is>
      </c>
      <c r="F258" s="2" t="inlineStr">
        <is>
          <t>11:00</t>
        </is>
      </c>
      <c r="G258" t="inlineStr">
        <is>
          <t>-</t>
        </is>
      </c>
      <c r="H258" s="2" t="inlineStr">
        <is>
          <t>11:30</t>
        </is>
      </c>
      <c r="I258" t="inlineStr">
        <is>
          <t>,000000000</t>
        </is>
      </c>
      <c r="J258" t="inlineStr">
        <is>
          <t>61,000000000</t>
        </is>
      </c>
      <c r="K258" t="inlineStr">
        <is>
          <t>,000000000</t>
        </is>
      </c>
      <c r="L258" t="inlineStr">
        <is>
          <t>,000000000</t>
        </is>
      </c>
      <c r="M258" t="inlineStr">
        <is>
          <t>,000000000</t>
        </is>
      </c>
      <c r="N258" t="inlineStr">
        <is>
          <t>,000000000</t>
        </is>
      </c>
      <c r="O258" t="inlineStr">
        <is>
          <t>,000000000</t>
        </is>
      </c>
      <c r="P258" t="inlineStr">
        <is>
          <t>20,000000000</t>
        </is>
      </c>
      <c r="Q258" t="inlineStr">
        <is>
          <t>,000000000</t>
        </is>
      </c>
      <c r="R258" t="inlineStr">
        <is>
          <t>,000000000</t>
        </is>
      </c>
      <c r="S258" t="inlineStr">
        <is>
          <t>,000000000</t>
        </is>
      </c>
      <c r="T258" t="inlineStr">
        <is>
          <t>,000000000</t>
        </is>
      </c>
      <c r="U258" t="inlineStr">
        <is>
          <t>,000000000</t>
        </is>
      </c>
      <c r="V258" t="inlineStr">
        <is>
          <t>,000000000</t>
        </is>
      </c>
      <c r="W258" t="inlineStr">
        <is>
          <t>,000000000</t>
        </is>
      </c>
      <c r="X258" t="inlineStr">
        <is>
          <t>,000000000</t>
        </is>
      </c>
      <c r="Y258" t="inlineStr">
        <is>
          <t>,000000000</t>
        </is>
      </c>
      <c r="Z258" t="inlineStr">
        <is>
          <t>,000000000</t>
        </is>
      </c>
      <c r="AA258" t="inlineStr">
        <is>
          <t>,000000000</t>
        </is>
      </c>
      <c r="AB258" t="inlineStr">
        <is>
          <t>1</t>
        </is>
      </c>
      <c r="AC258" t="inlineStr">
        <is>
          <t>1</t>
        </is>
      </c>
      <c r="AD258" s="3">
        <f>UPPER(C3)</f>
        <v/>
      </c>
      <c r="AE258" s="3">
        <f>VLOOKUP(E3,'[1]Nómina Agentes'!$C:$D,3,0)</f>
        <v/>
      </c>
      <c r="AF258" s="5">
        <f>F3</f>
        <v/>
      </c>
      <c r="AG258" s="5">
        <f>H3</f>
        <v/>
      </c>
    </row>
    <row r="259">
      <c r="A259" s="1" t="inlineStr">
        <is>
          <t>9/10/2024</t>
        </is>
      </c>
      <c r="B259" t="inlineStr">
        <is>
          <t>924</t>
        </is>
      </c>
      <c r="C259" t="inlineStr">
        <is>
          <t>S2S No Premium</t>
        </is>
      </c>
      <c r="D259" t="inlineStr">
        <is>
          <t>N2m_Riquelme Lu</t>
        </is>
      </c>
      <c r="E259" t="inlineStr">
        <is>
          <t>606577</t>
        </is>
      </c>
      <c r="F259" s="2" t="inlineStr">
        <is>
          <t>10:00</t>
        </is>
      </c>
      <c r="G259" t="inlineStr">
        <is>
          <t>-</t>
        </is>
      </c>
      <c r="H259" s="2" t="inlineStr">
        <is>
          <t>10:30</t>
        </is>
      </c>
      <c r="I259" t="inlineStr">
        <is>
          <t>715,000000000</t>
        </is>
      </c>
      <c r="J259" t="inlineStr">
        <is>
          <t>149,000000000</t>
        </is>
      </c>
      <c r="K259" t="inlineStr">
        <is>
          <t>,000000000</t>
        </is>
      </c>
      <c r="L259" t="inlineStr">
        <is>
          <t>17,000000000</t>
        </is>
      </c>
      <c r="M259" t="inlineStr">
        <is>
          <t>,000000000</t>
        </is>
      </c>
      <c r="N259" t="inlineStr">
        <is>
          <t>,000000000</t>
        </is>
      </c>
      <c r="O259" t="inlineStr">
        <is>
          <t>,000000000</t>
        </is>
      </c>
      <c r="P259" t="inlineStr">
        <is>
          <t>2,000000000</t>
        </is>
      </c>
      <c r="Q259" t="inlineStr">
        <is>
          <t>,000000000</t>
        </is>
      </c>
      <c r="R259" t="inlineStr">
        <is>
          <t>,000000000</t>
        </is>
      </c>
      <c r="S259" t="inlineStr">
        <is>
          <t>,000000000</t>
        </is>
      </c>
      <c r="T259" t="inlineStr">
        <is>
          <t>,000000000</t>
        </is>
      </c>
      <c r="U259" t="inlineStr">
        <is>
          <t>,000000000</t>
        </is>
      </c>
      <c r="V259" t="inlineStr">
        <is>
          <t>,000000000</t>
        </is>
      </c>
      <c r="W259" t="inlineStr">
        <is>
          <t>,000000000</t>
        </is>
      </c>
      <c r="X259" t="inlineStr">
        <is>
          <t>,000000000</t>
        </is>
      </c>
      <c r="Y259" t="inlineStr">
        <is>
          <t>,000000000</t>
        </is>
      </c>
      <c r="Z259" t="inlineStr">
        <is>
          <t>,000000000</t>
        </is>
      </c>
      <c r="AA259" t="inlineStr">
        <is>
          <t>,000000000</t>
        </is>
      </c>
      <c r="AB259" t="inlineStr">
        <is>
          <t>2</t>
        </is>
      </c>
      <c r="AC259" t="inlineStr">
        <is>
          <t>2</t>
        </is>
      </c>
      <c r="AD259" s="3">
        <f>UPPER(C3)</f>
        <v/>
      </c>
      <c r="AE259" s="3">
        <f>VLOOKUP(E3,'[1]Nómina Agentes'!$C:$D,3,0)</f>
        <v/>
      </c>
      <c r="AF259" s="5">
        <f>F3</f>
        <v/>
      </c>
      <c r="AG259" s="5">
        <f>H3</f>
        <v/>
      </c>
    </row>
    <row r="260">
      <c r="A260" s="1" t="inlineStr">
        <is>
          <t>9/10/2024</t>
        </is>
      </c>
      <c r="B260" t="inlineStr">
        <is>
          <t>924</t>
        </is>
      </c>
      <c r="C260" t="inlineStr">
        <is>
          <t>S2S No Premium</t>
        </is>
      </c>
      <c r="D260" t="inlineStr">
        <is>
          <t>N2m_Riquelme Lu</t>
        </is>
      </c>
      <c r="E260" t="inlineStr">
        <is>
          <t>606577</t>
        </is>
      </c>
      <c r="F260" s="2" t="inlineStr">
        <is>
          <t>10:30</t>
        </is>
      </c>
      <c r="G260" t="inlineStr">
        <is>
          <t>-</t>
        </is>
      </c>
      <c r="H260" s="2" t="inlineStr">
        <is>
          <t>11:00</t>
        </is>
      </c>
      <c r="I260" t="inlineStr">
        <is>
          <t>1162,000000000</t>
        </is>
      </c>
      <c r="J260" t="inlineStr">
        <is>
          <t>394,000000000</t>
        </is>
      </c>
      <c r="K260" t="inlineStr">
        <is>
          <t>,000000000</t>
        </is>
      </c>
      <c r="L260" t="inlineStr">
        <is>
          <t>16,000000000</t>
        </is>
      </c>
      <c r="M260" t="inlineStr">
        <is>
          <t>,000000000</t>
        </is>
      </c>
      <c r="N260" t="inlineStr">
        <is>
          <t>,000000000</t>
        </is>
      </c>
      <c r="O260" t="inlineStr">
        <is>
          <t>,000000000</t>
        </is>
      </c>
      <c r="P260" t="inlineStr">
        <is>
          <t>3,000000000</t>
        </is>
      </c>
      <c r="Q260" t="inlineStr">
        <is>
          <t>,000000000</t>
        </is>
      </c>
      <c r="R260" t="inlineStr">
        <is>
          <t>,000000000</t>
        </is>
      </c>
      <c r="S260" t="inlineStr">
        <is>
          <t>,000000000</t>
        </is>
      </c>
      <c r="T260" t="inlineStr">
        <is>
          <t>,000000000</t>
        </is>
      </c>
      <c r="U260" t="inlineStr">
        <is>
          <t>,000000000</t>
        </is>
      </c>
      <c r="V260" t="inlineStr">
        <is>
          <t>,000000000</t>
        </is>
      </c>
      <c r="W260" t="inlineStr">
        <is>
          <t>,000000000</t>
        </is>
      </c>
      <c r="X260" t="inlineStr">
        <is>
          <t>,000000000</t>
        </is>
      </c>
      <c r="Y260" t="inlineStr">
        <is>
          <t>,000000000</t>
        </is>
      </c>
      <c r="Z260" t="inlineStr">
        <is>
          <t>,000000000</t>
        </is>
      </c>
      <c r="AA260" t="inlineStr">
        <is>
          <t>,000000000</t>
        </is>
      </c>
      <c r="AB260" t="inlineStr">
        <is>
          <t>4</t>
        </is>
      </c>
      <c r="AC260" t="inlineStr">
        <is>
          <t>3</t>
        </is>
      </c>
      <c r="AD260" s="3">
        <f>UPPER(C3)</f>
        <v/>
      </c>
      <c r="AE260" s="3">
        <f>VLOOKUP(E3,'[1]Nómina Agentes'!$C:$D,3,0)</f>
        <v/>
      </c>
      <c r="AF260" s="5">
        <f>F3</f>
        <v/>
      </c>
      <c r="AG260" s="5">
        <f>H3</f>
        <v/>
      </c>
    </row>
    <row r="261">
      <c r="A261" s="1" t="inlineStr">
        <is>
          <t>9/10/2024</t>
        </is>
      </c>
      <c r="B261" t="inlineStr">
        <is>
          <t>924</t>
        </is>
      </c>
      <c r="C261" t="inlineStr">
        <is>
          <t>S2S No Premium</t>
        </is>
      </c>
      <c r="D261" t="inlineStr">
        <is>
          <t>N2m_Andrzeyevski Ca</t>
        </is>
      </c>
      <c r="E261" t="inlineStr">
        <is>
          <t>606649</t>
        </is>
      </c>
      <c r="F261" s="2" t="inlineStr">
        <is>
          <t>09:30</t>
        </is>
      </c>
      <c r="G261" t="inlineStr">
        <is>
          <t>-</t>
        </is>
      </c>
      <c r="H261" s="2" t="inlineStr">
        <is>
          <t>10:00</t>
        </is>
      </c>
      <c r="I261" t="inlineStr">
        <is>
          <t>92,000000000</t>
        </is>
      </c>
      <c r="J261" t="inlineStr">
        <is>
          <t>,000000000</t>
        </is>
      </c>
      <c r="K261" t="inlineStr">
        <is>
          <t>,000000000</t>
        </is>
      </c>
      <c r="L261" t="inlineStr">
        <is>
          <t>5,000000000</t>
        </is>
      </c>
      <c r="M261" t="inlineStr">
        <is>
          <t>,000000000</t>
        </is>
      </c>
      <c r="N261" t="inlineStr">
        <is>
          <t>,000000000</t>
        </is>
      </c>
      <c r="O261" t="inlineStr">
        <is>
          <t>,000000000</t>
        </is>
      </c>
      <c r="P261" t="inlineStr">
        <is>
          <t>,000000000</t>
        </is>
      </c>
      <c r="Q261" t="inlineStr">
        <is>
          <t>,000000000</t>
        </is>
      </c>
      <c r="R261" t="inlineStr">
        <is>
          <t>,000000000</t>
        </is>
      </c>
      <c r="S261" t="inlineStr">
        <is>
          <t>,000000000</t>
        </is>
      </c>
      <c r="T261" t="inlineStr">
        <is>
          <t>,000000000</t>
        </is>
      </c>
      <c r="U261" t="inlineStr">
        <is>
          <t>,000000000</t>
        </is>
      </c>
      <c r="V261" t="inlineStr">
        <is>
          <t>,000000000</t>
        </is>
      </c>
      <c r="W261" t="inlineStr">
        <is>
          <t>,000000000</t>
        </is>
      </c>
      <c r="X261" t="inlineStr">
        <is>
          <t>,000000000</t>
        </is>
      </c>
      <c r="Y261" t="inlineStr">
        <is>
          <t>,000000000</t>
        </is>
      </c>
      <c r="Z261" t="inlineStr">
        <is>
          <t>,000000000</t>
        </is>
      </c>
      <c r="AA261" t="inlineStr">
        <is>
          <t>,000000000</t>
        </is>
      </c>
      <c r="AB261" t="inlineStr">
        <is>
          <t>0</t>
        </is>
      </c>
      <c r="AC261" t="inlineStr">
        <is>
          <t>0</t>
        </is>
      </c>
      <c r="AD261" s="3">
        <f>UPPER(C3)</f>
        <v/>
      </c>
      <c r="AE261" s="3">
        <f>VLOOKUP(E3,'[1]Nómina Agentes'!$C:$D,3,0)</f>
        <v/>
      </c>
      <c r="AF261" s="5">
        <f>F3</f>
        <v/>
      </c>
      <c r="AG261" s="5">
        <f>H3</f>
        <v/>
      </c>
    </row>
    <row r="262">
      <c r="A262" s="1" t="inlineStr">
        <is>
          <t>9/10/2024</t>
        </is>
      </c>
      <c r="B262" t="inlineStr">
        <is>
          <t>924</t>
        </is>
      </c>
      <c r="C262" t="inlineStr">
        <is>
          <t>S2S No Premium</t>
        </is>
      </c>
      <c r="D262" t="inlineStr">
        <is>
          <t>N2m_Andrzeyevski Ca</t>
        </is>
      </c>
      <c r="E262" t="inlineStr">
        <is>
          <t>606649</t>
        </is>
      </c>
      <c r="F262" s="2" t="inlineStr">
        <is>
          <t>10:00</t>
        </is>
      </c>
      <c r="G262" t="inlineStr">
        <is>
          <t>-</t>
        </is>
      </c>
      <c r="H262" s="2" t="inlineStr">
        <is>
          <t>10:30</t>
        </is>
      </c>
      <c r="I262" t="inlineStr">
        <is>
          <t>1084,000000000</t>
        </is>
      </c>
      <c r="J262" t="inlineStr">
        <is>
          <t>,000000000</t>
        </is>
      </c>
      <c r="K262" t="inlineStr">
        <is>
          <t>,000000000</t>
        </is>
      </c>
      <c r="L262" t="inlineStr">
        <is>
          <t>12,000000000</t>
        </is>
      </c>
      <c r="M262" t="inlineStr">
        <is>
          <t>,000000000</t>
        </is>
      </c>
      <c r="N262" t="inlineStr">
        <is>
          <t>,000000000</t>
        </is>
      </c>
      <c r="O262" t="inlineStr">
        <is>
          <t>,000000000</t>
        </is>
      </c>
      <c r="P262" t="inlineStr">
        <is>
          <t>18,000000000</t>
        </is>
      </c>
      <c r="Q262" t="inlineStr">
        <is>
          <t>,000000000</t>
        </is>
      </c>
      <c r="R262" t="inlineStr">
        <is>
          <t>,000000000</t>
        </is>
      </c>
      <c r="S262" t="inlineStr">
        <is>
          <t>,000000000</t>
        </is>
      </c>
      <c r="T262" t="inlineStr">
        <is>
          <t>,000000000</t>
        </is>
      </c>
      <c r="U262" t="inlineStr">
        <is>
          <t>,000000000</t>
        </is>
      </c>
      <c r="V262" t="inlineStr">
        <is>
          <t>,000000000</t>
        </is>
      </c>
      <c r="W262" t="inlineStr">
        <is>
          <t>,000000000</t>
        </is>
      </c>
      <c r="X262" t="inlineStr">
        <is>
          <t>,000000000</t>
        </is>
      </c>
      <c r="Y262" t="inlineStr">
        <is>
          <t>,000000000</t>
        </is>
      </c>
      <c r="Z262" t="inlineStr">
        <is>
          <t>,000000000</t>
        </is>
      </c>
      <c r="AA262" t="inlineStr">
        <is>
          <t>,000000000</t>
        </is>
      </c>
      <c r="AB262" t="inlineStr">
        <is>
          <t>3</t>
        </is>
      </c>
      <c r="AC262" t="inlineStr">
        <is>
          <t>1</t>
        </is>
      </c>
      <c r="AD262" s="3">
        <f>UPPER(C3)</f>
        <v/>
      </c>
      <c r="AE262" s="3">
        <f>VLOOKUP(E3,'[1]Nómina Agentes'!$C:$D,3,0)</f>
        <v/>
      </c>
      <c r="AF262" s="5">
        <f>F3</f>
        <v/>
      </c>
      <c r="AG262" s="5">
        <f>H3</f>
        <v/>
      </c>
    </row>
    <row r="263">
      <c r="A263" s="1" t="inlineStr">
        <is>
          <t>9/10/2024</t>
        </is>
      </c>
      <c r="B263" t="inlineStr">
        <is>
          <t>924</t>
        </is>
      </c>
      <c r="C263" t="inlineStr">
        <is>
          <t>S2S No Premium</t>
        </is>
      </c>
      <c r="D263" t="inlineStr">
        <is>
          <t>N2m_Andrzeyevski Ca</t>
        </is>
      </c>
      <c r="E263" t="inlineStr">
        <is>
          <t>606649</t>
        </is>
      </c>
      <c r="F263" s="2" t="inlineStr">
        <is>
          <t>10:30</t>
        </is>
      </c>
      <c r="G263" t="inlineStr">
        <is>
          <t>-</t>
        </is>
      </c>
      <c r="H263" s="2" t="inlineStr">
        <is>
          <t>11:00</t>
        </is>
      </c>
      <c r="I263" t="inlineStr">
        <is>
          <t>1404,000000000</t>
        </is>
      </c>
      <c r="J263" t="inlineStr">
        <is>
          <t>,000000000</t>
        </is>
      </c>
      <c r="K263" t="inlineStr">
        <is>
          <t>,000000000</t>
        </is>
      </c>
      <c r="L263" t="inlineStr">
        <is>
          <t>20,000000000</t>
        </is>
      </c>
      <c r="M263" t="inlineStr">
        <is>
          <t>,000000000</t>
        </is>
      </c>
      <c r="N263" t="inlineStr">
        <is>
          <t>,000000000</t>
        </is>
      </c>
      <c r="O263" t="inlineStr">
        <is>
          <t>,000000000</t>
        </is>
      </c>
      <c r="P263" t="inlineStr">
        <is>
          <t>5,000000000</t>
        </is>
      </c>
      <c r="Q263" t="inlineStr">
        <is>
          <t>,000000000</t>
        </is>
      </c>
      <c r="R263" t="inlineStr">
        <is>
          <t>,000000000</t>
        </is>
      </c>
      <c r="S263" t="inlineStr">
        <is>
          <t>,000000000</t>
        </is>
      </c>
      <c r="T263" t="inlineStr">
        <is>
          <t>,000000000</t>
        </is>
      </c>
      <c r="U263" t="inlineStr">
        <is>
          <t>,000000000</t>
        </is>
      </c>
      <c r="V263" t="inlineStr">
        <is>
          <t>,000000000</t>
        </is>
      </c>
      <c r="W263" t="inlineStr">
        <is>
          <t>,000000000</t>
        </is>
      </c>
      <c r="X263" t="inlineStr">
        <is>
          <t>,000000000</t>
        </is>
      </c>
      <c r="Y263" t="inlineStr">
        <is>
          <t>,000000000</t>
        </is>
      </c>
      <c r="Z263" t="inlineStr">
        <is>
          <t>,000000000</t>
        </is>
      </c>
      <c r="AA263" t="inlineStr">
        <is>
          <t>,000000000</t>
        </is>
      </c>
      <c r="AB263" t="inlineStr">
        <is>
          <t>5</t>
        </is>
      </c>
      <c r="AC263" t="inlineStr">
        <is>
          <t>4</t>
        </is>
      </c>
      <c r="AD263" s="3">
        <f>UPPER(C3)</f>
        <v/>
      </c>
      <c r="AE263" s="3">
        <f>VLOOKUP(E3,'[1]Nómina Agentes'!$C:$D,3,0)</f>
        <v/>
      </c>
      <c r="AF263" s="5">
        <f>F3</f>
        <v/>
      </c>
      <c r="AG263" s="5">
        <f>H3</f>
        <v/>
      </c>
    </row>
    <row r="264">
      <c r="A264" s="1" t="inlineStr">
        <is>
          <t>9/10/2024</t>
        </is>
      </c>
      <c r="B264" t="inlineStr">
        <is>
          <t>925</t>
        </is>
      </c>
      <c r="C264" t="inlineStr">
        <is>
          <t>S2S Premium</t>
        </is>
      </c>
      <c r="D264" t="inlineStr">
        <is>
          <t>PCC_Zalazar Brian</t>
        </is>
      </c>
      <c r="E264" t="inlineStr">
        <is>
          <t>609727</t>
        </is>
      </c>
      <c r="F264" s="2" t="inlineStr">
        <is>
          <t>08:30</t>
        </is>
      </c>
      <c r="G264" t="inlineStr">
        <is>
          <t>-</t>
        </is>
      </c>
      <c r="H264" s="2" t="inlineStr">
        <is>
          <t>09:00</t>
        </is>
      </c>
      <c r="I264" t="inlineStr">
        <is>
          <t>,000000000</t>
        </is>
      </c>
      <c r="J264" t="inlineStr">
        <is>
          <t>,000000000</t>
        </is>
      </c>
      <c r="K264" t="inlineStr">
        <is>
          <t>,000000000</t>
        </is>
      </c>
      <c r="L264" t="inlineStr">
        <is>
          <t>,000000000</t>
        </is>
      </c>
      <c r="M264" t="inlineStr">
        <is>
          <t>,000000000</t>
        </is>
      </c>
      <c r="N264" t="inlineStr">
        <is>
          <t>,000000000</t>
        </is>
      </c>
      <c r="O264" t="inlineStr">
        <is>
          <t>,000000000</t>
        </is>
      </c>
      <c r="P264" t="inlineStr">
        <is>
          <t>,000000000</t>
        </is>
      </c>
      <c r="Q264" t="inlineStr">
        <is>
          <t>,000000000</t>
        </is>
      </c>
      <c r="R264" t="inlineStr">
        <is>
          <t>,000000000</t>
        </is>
      </c>
      <c r="S264" t="inlineStr">
        <is>
          <t>,000000000</t>
        </is>
      </c>
      <c r="T264" t="inlineStr">
        <is>
          <t>,000000000</t>
        </is>
      </c>
      <c r="U264" t="inlineStr">
        <is>
          <t>,000000000</t>
        </is>
      </c>
      <c r="V264" t="inlineStr">
        <is>
          <t>,000000000</t>
        </is>
      </c>
      <c r="W264" t="inlineStr">
        <is>
          <t>,000000000</t>
        </is>
      </c>
      <c r="X264" t="inlineStr">
        <is>
          <t>,000000000</t>
        </is>
      </c>
      <c r="Y264" t="inlineStr">
        <is>
          <t>,000000000</t>
        </is>
      </c>
      <c r="Z264" t="inlineStr">
        <is>
          <t>,000000000</t>
        </is>
      </c>
      <c r="AA264" t="inlineStr">
        <is>
          <t>,000000000</t>
        </is>
      </c>
      <c r="AB264" t="inlineStr">
        <is>
          <t>0</t>
        </is>
      </c>
      <c r="AC264" t="inlineStr">
        <is>
          <t>0</t>
        </is>
      </c>
      <c r="AD264" s="3">
        <f>UPPER(C3)</f>
        <v/>
      </c>
      <c r="AE264" s="3">
        <f>VLOOKUP(E3,'[1]Nómina Agentes'!$C:$D,3,0)</f>
        <v/>
      </c>
      <c r="AF264" s="5">
        <f>F3</f>
        <v/>
      </c>
      <c r="AG264" s="5">
        <f>H3</f>
        <v/>
      </c>
    </row>
    <row r="265">
      <c r="A265" s="1" t="inlineStr">
        <is>
          <t>9/10/2024</t>
        </is>
      </c>
      <c r="B265" t="inlineStr">
        <is>
          <t>925</t>
        </is>
      </c>
      <c r="C265" t="inlineStr">
        <is>
          <t>S2S Premium</t>
        </is>
      </c>
      <c r="D265" t="inlineStr">
        <is>
          <t>PCC_Zalazar Brian</t>
        </is>
      </c>
      <c r="E265" t="inlineStr">
        <is>
          <t>609727</t>
        </is>
      </c>
      <c r="F265" s="2" t="inlineStr">
        <is>
          <t>10:00</t>
        </is>
      </c>
      <c r="G265" t="inlineStr">
        <is>
          <t>-</t>
        </is>
      </c>
      <c r="H265" s="2" t="inlineStr">
        <is>
          <t>10:30</t>
        </is>
      </c>
      <c r="I265" t="inlineStr">
        <is>
          <t>774,000000000</t>
        </is>
      </c>
      <c r="J265" t="inlineStr">
        <is>
          <t>,000000000</t>
        </is>
      </c>
      <c r="K265" t="inlineStr">
        <is>
          <t>,000000000</t>
        </is>
      </c>
      <c r="L265" t="inlineStr">
        <is>
          <t>14,000000000</t>
        </is>
      </c>
      <c r="M265" t="inlineStr">
        <is>
          <t>,000000000</t>
        </is>
      </c>
      <c r="N265" t="inlineStr">
        <is>
          <t>,000000000</t>
        </is>
      </c>
      <c r="O265" t="inlineStr">
        <is>
          <t>,000000000</t>
        </is>
      </c>
      <c r="P265" t="inlineStr">
        <is>
          <t>2,000000000</t>
        </is>
      </c>
      <c r="Q265" t="inlineStr">
        <is>
          <t>,000000000</t>
        </is>
      </c>
      <c r="R265" t="inlineStr">
        <is>
          <t>,000000000</t>
        </is>
      </c>
      <c r="S265" t="inlineStr">
        <is>
          <t>,000000000</t>
        </is>
      </c>
      <c r="T265" t="inlineStr">
        <is>
          <t>,000000000</t>
        </is>
      </c>
      <c r="U265" t="inlineStr">
        <is>
          <t>,000000000</t>
        </is>
      </c>
      <c r="V265" t="inlineStr">
        <is>
          <t>,000000000</t>
        </is>
      </c>
      <c r="W265" t="inlineStr">
        <is>
          <t>,000000000</t>
        </is>
      </c>
      <c r="X265" t="inlineStr">
        <is>
          <t>,000000000</t>
        </is>
      </c>
      <c r="Y265" t="inlineStr">
        <is>
          <t>,000000000</t>
        </is>
      </c>
      <c r="Z265" t="inlineStr">
        <is>
          <t>,000000000</t>
        </is>
      </c>
      <c r="AA265" t="inlineStr">
        <is>
          <t>,000000000</t>
        </is>
      </c>
      <c r="AB265" t="inlineStr">
        <is>
          <t>2</t>
        </is>
      </c>
      <c r="AC265" t="inlineStr">
        <is>
          <t>2</t>
        </is>
      </c>
      <c r="AD265" s="3">
        <f>UPPER(C3)</f>
        <v/>
      </c>
      <c r="AE265" s="3">
        <f>VLOOKUP(E3,'[1]Nómina Agentes'!$C:$D,3,0)</f>
        <v/>
      </c>
      <c r="AF265" s="5">
        <f>F3</f>
        <v/>
      </c>
      <c r="AG265" s="5">
        <f>H3</f>
        <v/>
      </c>
    </row>
    <row r="266">
      <c r="A266" s="1" t="inlineStr">
        <is>
          <t>9/10/2024</t>
        </is>
      </c>
      <c r="B266" t="inlineStr">
        <is>
          <t>925</t>
        </is>
      </c>
      <c r="C266" t="inlineStr">
        <is>
          <t>S2S Premium</t>
        </is>
      </c>
      <c r="D266" t="inlineStr">
        <is>
          <t>PCC_Zalazar Brian</t>
        </is>
      </c>
      <c r="E266" t="inlineStr">
        <is>
          <t>609727</t>
        </is>
      </c>
      <c r="F266" s="2" t="inlineStr">
        <is>
          <t>09:30</t>
        </is>
      </c>
      <c r="G266" t="inlineStr">
        <is>
          <t>-</t>
        </is>
      </c>
      <c r="H266" s="2" t="inlineStr">
        <is>
          <t>10:00</t>
        </is>
      </c>
      <c r="I266" t="inlineStr">
        <is>
          <t>803,000000000</t>
        </is>
      </c>
      <c r="J266" t="inlineStr">
        <is>
          <t>207,000000000</t>
        </is>
      </c>
      <c r="K266" t="inlineStr">
        <is>
          <t>,000000000</t>
        </is>
      </c>
      <c r="L266" t="inlineStr">
        <is>
          <t>8,000000000</t>
        </is>
      </c>
      <c r="M266" t="inlineStr">
        <is>
          <t>,000000000</t>
        </is>
      </c>
      <c r="N266" t="inlineStr">
        <is>
          <t>,000000000</t>
        </is>
      </c>
      <c r="O266" t="inlineStr">
        <is>
          <t>,000000000</t>
        </is>
      </c>
      <c r="P266" t="inlineStr">
        <is>
          <t>2,000000000</t>
        </is>
      </c>
      <c r="Q266" t="inlineStr">
        <is>
          <t>,000000000</t>
        </is>
      </c>
      <c r="R266" t="inlineStr">
        <is>
          <t>,000000000</t>
        </is>
      </c>
      <c r="S266" t="inlineStr">
        <is>
          <t>,000000000</t>
        </is>
      </c>
      <c r="T266" t="inlineStr">
        <is>
          <t>,000000000</t>
        </is>
      </c>
      <c r="U266" t="inlineStr">
        <is>
          <t>,000000000</t>
        </is>
      </c>
      <c r="V266" t="inlineStr">
        <is>
          <t>,000000000</t>
        </is>
      </c>
      <c r="W266" t="inlineStr">
        <is>
          <t>,000000000</t>
        </is>
      </c>
      <c r="X266" t="inlineStr">
        <is>
          <t>,000000000</t>
        </is>
      </c>
      <c r="Y266" t="inlineStr">
        <is>
          <t>,000000000</t>
        </is>
      </c>
      <c r="Z266" t="inlineStr">
        <is>
          <t>,000000000</t>
        </is>
      </c>
      <c r="AA266" t="inlineStr">
        <is>
          <t>,000000000</t>
        </is>
      </c>
      <c r="AB266" t="inlineStr">
        <is>
          <t>2</t>
        </is>
      </c>
      <c r="AC266" t="inlineStr">
        <is>
          <t>2</t>
        </is>
      </c>
      <c r="AD266" s="3">
        <f>UPPER(C3)</f>
        <v/>
      </c>
      <c r="AE266" s="3">
        <f>VLOOKUP(E3,'[1]Nómina Agentes'!$C:$D,3,0)</f>
        <v/>
      </c>
      <c r="AF266" s="5">
        <f>F3</f>
        <v/>
      </c>
      <c r="AG266" s="5">
        <f>H3</f>
        <v/>
      </c>
    </row>
    <row r="267">
      <c r="A267" s="1" t="inlineStr">
        <is>
          <t>9/10/2024</t>
        </is>
      </c>
      <c r="B267" t="inlineStr">
        <is>
          <t>925</t>
        </is>
      </c>
      <c r="C267" t="inlineStr">
        <is>
          <t>S2S Premium</t>
        </is>
      </c>
      <c r="D267" t="inlineStr">
        <is>
          <t>PCC_Zalazar Brian</t>
        </is>
      </c>
      <c r="E267" t="inlineStr">
        <is>
          <t>609727</t>
        </is>
      </c>
      <c r="F267" s="2" t="inlineStr">
        <is>
          <t>09:00</t>
        </is>
      </c>
      <c r="G267" t="inlineStr">
        <is>
          <t>-</t>
        </is>
      </c>
      <c r="H267" s="2" t="inlineStr">
        <is>
          <t>09:30</t>
        </is>
      </c>
      <c r="I267" t="inlineStr">
        <is>
          <t>830,000000000</t>
        </is>
      </c>
      <c r="J267" t="inlineStr">
        <is>
          <t>,000000000</t>
        </is>
      </c>
      <c r="K267" t="inlineStr">
        <is>
          <t>,000000000</t>
        </is>
      </c>
      <c r="L267" t="inlineStr">
        <is>
          <t>11,000000000</t>
        </is>
      </c>
      <c r="M267" t="inlineStr">
        <is>
          <t>,000000000</t>
        </is>
      </c>
      <c r="N267" t="inlineStr">
        <is>
          <t>,000000000</t>
        </is>
      </c>
      <c r="O267" t="inlineStr">
        <is>
          <t>,000000000</t>
        </is>
      </c>
      <c r="P267" t="inlineStr">
        <is>
          <t>147,000000000</t>
        </is>
      </c>
      <c r="Q267" t="inlineStr">
        <is>
          <t>,000000000</t>
        </is>
      </c>
      <c r="R267" t="inlineStr">
        <is>
          <t>,000000000</t>
        </is>
      </c>
      <c r="S267" t="inlineStr">
        <is>
          <t>,000000000</t>
        </is>
      </c>
      <c r="T267" t="inlineStr">
        <is>
          <t>,000000000</t>
        </is>
      </c>
      <c r="U267" t="inlineStr">
        <is>
          <t>,000000000</t>
        </is>
      </c>
      <c r="V267" t="inlineStr">
        <is>
          <t>,000000000</t>
        </is>
      </c>
      <c r="W267" t="inlineStr">
        <is>
          <t>,000000000</t>
        </is>
      </c>
      <c r="X267" t="inlineStr">
        <is>
          <t>,000000000</t>
        </is>
      </c>
      <c r="Y267" t="inlineStr">
        <is>
          <t>,000000000</t>
        </is>
      </c>
      <c r="Z267" t="inlineStr">
        <is>
          <t>,000000000</t>
        </is>
      </c>
      <c r="AA267" t="inlineStr">
        <is>
          <t>,000000000</t>
        </is>
      </c>
      <c r="AB267" t="inlineStr">
        <is>
          <t>2</t>
        </is>
      </c>
      <c r="AC267" t="inlineStr">
        <is>
          <t>2</t>
        </is>
      </c>
      <c r="AD267" s="3">
        <f>UPPER(C3)</f>
        <v/>
      </c>
      <c r="AE267" s="3">
        <f>VLOOKUP(E3,'[1]Nómina Agentes'!$C:$D,3,0)</f>
        <v/>
      </c>
      <c r="AF267" s="5">
        <f>F3</f>
        <v/>
      </c>
      <c r="AG267" s="5">
        <f>H3</f>
        <v/>
      </c>
    </row>
    <row r="268">
      <c r="A268" s="1" t="inlineStr">
        <is>
          <t>9/10/2024</t>
        </is>
      </c>
      <c r="B268" t="inlineStr">
        <is>
          <t>925</t>
        </is>
      </c>
      <c r="C268" t="inlineStr">
        <is>
          <t>S2S Premium</t>
        </is>
      </c>
      <c r="D268" t="inlineStr">
        <is>
          <t>PCC_Zalazar Brian</t>
        </is>
      </c>
      <c r="E268" t="inlineStr">
        <is>
          <t>609727</t>
        </is>
      </c>
      <c r="F268" s="2" t="inlineStr">
        <is>
          <t>10:30</t>
        </is>
      </c>
      <c r="G268" t="inlineStr">
        <is>
          <t>-</t>
        </is>
      </c>
      <c r="H268" s="2" t="inlineStr">
        <is>
          <t>11:00</t>
        </is>
      </c>
      <c r="I268" t="inlineStr">
        <is>
          <t>997,000000000</t>
        </is>
      </c>
      <c r="J268" t="inlineStr">
        <is>
          <t>,000000000</t>
        </is>
      </c>
      <c r="K268" t="inlineStr">
        <is>
          <t>,000000000</t>
        </is>
      </c>
      <c r="L268" t="inlineStr">
        <is>
          <t>9,000000000</t>
        </is>
      </c>
      <c r="M268" t="inlineStr">
        <is>
          <t>,000000000</t>
        </is>
      </c>
      <c r="N268" t="inlineStr">
        <is>
          <t>,000000000</t>
        </is>
      </c>
      <c r="O268" t="inlineStr">
        <is>
          <t>,000000000</t>
        </is>
      </c>
      <c r="P268" t="inlineStr">
        <is>
          <t>2,000000000</t>
        </is>
      </c>
      <c r="Q268" t="inlineStr">
        <is>
          <t>,000000000</t>
        </is>
      </c>
      <c r="R268" t="inlineStr">
        <is>
          <t>,000000000</t>
        </is>
      </c>
      <c r="S268" t="inlineStr">
        <is>
          <t>,000000000</t>
        </is>
      </c>
      <c r="T268" t="inlineStr">
        <is>
          <t>,000000000</t>
        </is>
      </c>
      <c r="U268" t="inlineStr">
        <is>
          <t>,000000000</t>
        </is>
      </c>
      <c r="V268" t="inlineStr">
        <is>
          <t>,000000000</t>
        </is>
      </c>
      <c r="W268" t="inlineStr">
        <is>
          <t>,000000000</t>
        </is>
      </c>
      <c r="X268" t="inlineStr">
        <is>
          <t>,000000000</t>
        </is>
      </c>
      <c r="Y268" t="inlineStr">
        <is>
          <t>,000000000</t>
        </is>
      </c>
      <c r="Z268" t="inlineStr">
        <is>
          <t>,000000000</t>
        </is>
      </c>
      <c r="AA268" t="inlineStr">
        <is>
          <t>,000000000</t>
        </is>
      </c>
      <c r="AB268" t="inlineStr">
        <is>
          <t>3</t>
        </is>
      </c>
      <c r="AC268" t="inlineStr">
        <is>
          <t>3</t>
        </is>
      </c>
      <c r="AD268" s="3">
        <f>UPPER(C3)</f>
        <v/>
      </c>
      <c r="AE268" s="3">
        <f>VLOOKUP(E3,'[1]Nómina Agentes'!$C:$D,3,0)</f>
        <v/>
      </c>
      <c r="AF268" s="5">
        <f>F3</f>
        <v/>
      </c>
      <c r="AG268" s="5">
        <f>H3</f>
        <v/>
      </c>
    </row>
    <row r="269">
      <c r="A269" s="1" t="inlineStr">
        <is>
          <t>9/10/2024</t>
        </is>
      </c>
      <c r="B269" t="inlineStr">
        <is>
          <t>925</t>
        </is>
      </c>
      <c r="C269" t="inlineStr">
        <is>
          <t>S2S Premium</t>
        </is>
      </c>
      <c r="D269" t="inlineStr">
        <is>
          <t>P_Cardoso, Ludmila</t>
        </is>
      </c>
      <c r="E269" t="inlineStr">
        <is>
          <t>609919</t>
        </is>
      </c>
      <c r="F269" s="2" t="inlineStr">
        <is>
          <t>07:30</t>
        </is>
      </c>
      <c r="G269" t="inlineStr">
        <is>
          <t>-</t>
        </is>
      </c>
      <c r="H269" s="2" t="inlineStr">
        <is>
          <t>08:00</t>
        </is>
      </c>
      <c r="I269" t="inlineStr">
        <is>
          <t>,000000000</t>
        </is>
      </c>
      <c r="J269" t="inlineStr">
        <is>
          <t>,000000000</t>
        </is>
      </c>
      <c r="K269" t="inlineStr">
        <is>
          <t>,000000000</t>
        </is>
      </c>
      <c r="L269" t="inlineStr">
        <is>
          <t>,000000000</t>
        </is>
      </c>
      <c r="M269" t="inlineStr">
        <is>
          <t>,000000000</t>
        </is>
      </c>
      <c r="N269" t="inlineStr">
        <is>
          <t>,000000000</t>
        </is>
      </c>
      <c r="O269" t="inlineStr">
        <is>
          <t>,000000000</t>
        </is>
      </c>
      <c r="P269" t="inlineStr">
        <is>
          <t>,000000000</t>
        </is>
      </c>
      <c r="Q269" t="inlineStr">
        <is>
          <t>,000000000</t>
        </is>
      </c>
      <c r="R269" t="inlineStr">
        <is>
          <t>,000000000</t>
        </is>
      </c>
      <c r="S269" t="inlineStr">
        <is>
          <t>,000000000</t>
        </is>
      </c>
      <c r="T269" t="inlineStr">
        <is>
          <t>,000000000</t>
        </is>
      </c>
      <c r="U269" t="inlineStr">
        <is>
          <t>,000000000</t>
        </is>
      </c>
      <c r="V269" t="inlineStr">
        <is>
          <t>,000000000</t>
        </is>
      </c>
      <c r="W269" t="inlineStr">
        <is>
          <t>,000000000</t>
        </is>
      </c>
      <c r="X269" t="inlineStr">
        <is>
          <t>,000000000</t>
        </is>
      </c>
      <c r="Y269" t="inlineStr">
        <is>
          <t>,000000000</t>
        </is>
      </c>
      <c r="Z269" t="inlineStr">
        <is>
          <t>,000000000</t>
        </is>
      </c>
      <c r="AA269" t="inlineStr">
        <is>
          <t>,000000000</t>
        </is>
      </c>
      <c r="AB269" t="inlineStr">
        <is>
          <t>0</t>
        </is>
      </c>
      <c r="AC269" t="inlineStr">
        <is>
          <t>0</t>
        </is>
      </c>
      <c r="AD269" s="3">
        <f>UPPER(C3)</f>
        <v/>
      </c>
      <c r="AE269" s="3">
        <f>VLOOKUP(E3,'[1]Nómina Agentes'!$C:$D,3,0)</f>
        <v/>
      </c>
      <c r="AF269" s="5">
        <f>F3</f>
        <v/>
      </c>
      <c r="AG269" s="5">
        <f>H3</f>
        <v/>
      </c>
    </row>
    <row r="270">
      <c r="A270" s="1" t="inlineStr">
        <is>
          <t>9/10/2024</t>
        </is>
      </c>
      <c r="B270" t="inlineStr">
        <is>
          <t>925</t>
        </is>
      </c>
      <c r="C270" t="inlineStr">
        <is>
          <t>S2S Premium</t>
        </is>
      </c>
      <c r="D270" t="inlineStr">
        <is>
          <t>P_Cardoso, Ludmila</t>
        </is>
      </c>
      <c r="E270" t="inlineStr">
        <is>
          <t>609919</t>
        </is>
      </c>
      <c r="F270" s="2" t="inlineStr">
        <is>
          <t>10:30</t>
        </is>
      </c>
      <c r="G270" t="inlineStr">
        <is>
          <t>-</t>
        </is>
      </c>
      <c r="H270" s="2" t="inlineStr">
        <is>
          <t>11:00</t>
        </is>
      </c>
      <c r="I270" t="inlineStr">
        <is>
          <t>137,000000000</t>
        </is>
      </c>
      <c r="J270" t="inlineStr">
        <is>
          <t>10,000000000</t>
        </is>
      </c>
      <c r="K270" t="inlineStr">
        <is>
          <t>,000000000</t>
        </is>
      </c>
      <c r="L270" t="inlineStr">
        <is>
          <t>4,000000000</t>
        </is>
      </c>
      <c r="M270" t="inlineStr">
        <is>
          <t>,000000000</t>
        </is>
      </c>
      <c r="N270" t="inlineStr">
        <is>
          <t>,000000000</t>
        </is>
      </c>
      <c r="O270" t="inlineStr">
        <is>
          <t>,000000000</t>
        </is>
      </c>
      <c r="P270" t="inlineStr">
        <is>
          <t>,000000000</t>
        </is>
      </c>
      <c r="Q270" t="inlineStr">
        <is>
          <t>,000000000</t>
        </is>
      </c>
      <c r="R270" t="inlineStr">
        <is>
          <t>,000000000</t>
        </is>
      </c>
      <c r="S270" t="inlineStr">
        <is>
          <t>,000000000</t>
        </is>
      </c>
      <c r="T270" t="inlineStr">
        <is>
          <t>,000000000</t>
        </is>
      </c>
      <c r="U270" t="inlineStr">
        <is>
          <t>,000000000</t>
        </is>
      </c>
      <c r="V270" t="inlineStr">
        <is>
          <t>,000000000</t>
        </is>
      </c>
      <c r="W270" t="inlineStr">
        <is>
          <t>,000000000</t>
        </is>
      </c>
      <c r="X270" t="inlineStr">
        <is>
          <t>,000000000</t>
        </is>
      </c>
      <c r="Y270" t="inlineStr">
        <is>
          <t>,000000000</t>
        </is>
      </c>
      <c r="Z270" t="inlineStr">
        <is>
          <t>,000000000</t>
        </is>
      </c>
      <c r="AA270" t="inlineStr">
        <is>
          <t>,000000000</t>
        </is>
      </c>
      <c r="AB270" t="inlineStr">
        <is>
          <t>1</t>
        </is>
      </c>
      <c r="AC270" t="inlineStr">
        <is>
          <t>0</t>
        </is>
      </c>
      <c r="AD270" s="3">
        <f>UPPER(C3)</f>
        <v/>
      </c>
      <c r="AE270" s="3">
        <f>VLOOKUP(E3,'[1]Nómina Agentes'!$C:$D,3,0)</f>
        <v/>
      </c>
      <c r="AF270" s="5">
        <f>F3</f>
        <v/>
      </c>
      <c r="AG270" s="5">
        <f>H3</f>
        <v/>
      </c>
    </row>
    <row r="271">
      <c r="A271" s="1" t="inlineStr">
        <is>
          <t>9/10/2024</t>
        </is>
      </c>
      <c r="B271" t="inlineStr">
        <is>
          <t>925</t>
        </is>
      </c>
      <c r="C271" t="inlineStr">
        <is>
          <t>S2S Premium</t>
        </is>
      </c>
      <c r="D271" t="inlineStr">
        <is>
          <t>P_Cardoso, Ludmila</t>
        </is>
      </c>
      <c r="E271" t="inlineStr">
        <is>
          <t>609919</t>
        </is>
      </c>
      <c r="F271" s="2" t="inlineStr">
        <is>
          <t>08:00</t>
        </is>
      </c>
      <c r="G271" t="inlineStr">
        <is>
          <t>-</t>
        </is>
      </c>
      <c r="H271" s="2" t="inlineStr">
        <is>
          <t>08:30</t>
        </is>
      </c>
      <c r="I271" t="inlineStr">
        <is>
          <t>638,000000000</t>
        </is>
      </c>
      <c r="J271" t="inlineStr">
        <is>
          <t>,000000000</t>
        </is>
      </c>
      <c r="K271" t="inlineStr">
        <is>
          <t>,000000000</t>
        </is>
      </c>
      <c r="L271" t="inlineStr">
        <is>
          <t>15,000000000</t>
        </is>
      </c>
      <c r="M271" t="inlineStr">
        <is>
          <t>,000000000</t>
        </is>
      </c>
      <c r="N271" t="inlineStr">
        <is>
          <t>,000000000</t>
        </is>
      </c>
      <c r="O271" t="inlineStr">
        <is>
          <t>,000000000</t>
        </is>
      </c>
      <c r="P271" t="inlineStr">
        <is>
          <t>92,000000000</t>
        </is>
      </c>
      <c r="Q271" t="inlineStr">
        <is>
          <t>,000000000</t>
        </is>
      </c>
      <c r="R271" t="inlineStr">
        <is>
          <t>,000000000</t>
        </is>
      </c>
      <c r="S271" t="inlineStr">
        <is>
          <t>,000000000</t>
        </is>
      </c>
      <c r="T271" t="inlineStr">
        <is>
          <t>,000000000</t>
        </is>
      </c>
      <c r="U271" t="inlineStr">
        <is>
          <t>,000000000</t>
        </is>
      </c>
      <c r="V271" t="inlineStr">
        <is>
          <t>,000000000</t>
        </is>
      </c>
      <c r="W271" t="inlineStr">
        <is>
          <t>,000000000</t>
        </is>
      </c>
      <c r="X271" t="inlineStr">
        <is>
          <t>,000000000</t>
        </is>
      </c>
      <c r="Y271" t="inlineStr">
        <is>
          <t>,000000000</t>
        </is>
      </c>
      <c r="Z271" t="inlineStr">
        <is>
          <t>,000000000</t>
        </is>
      </c>
      <c r="AA271" t="inlineStr">
        <is>
          <t>,000000000</t>
        </is>
      </c>
      <c r="AB271" t="inlineStr">
        <is>
          <t>2</t>
        </is>
      </c>
      <c r="AC271" t="inlineStr">
        <is>
          <t>1</t>
        </is>
      </c>
      <c r="AD271" s="3">
        <f>UPPER(C3)</f>
        <v/>
      </c>
      <c r="AE271" s="3">
        <f>VLOOKUP(E3,'[1]Nómina Agentes'!$C:$D,3,0)</f>
        <v/>
      </c>
      <c r="AF271" s="5">
        <f>F3</f>
        <v/>
      </c>
      <c r="AG271" s="5">
        <f>H3</f>
        <v/>
      </c>
    </row>
    <row r="272">
      <c r="A272" s="1" t="inlineStr">
        <is>
          <t>9/10/2024</t>
        </is>
      </c>
      <c r="B272" t="inlineStr">
        <is>
          <t>925</t>
        </is>
      </c>
      <c r="C272" t="inlineStr">
        <is>
          <t>S2S Premium</t>
        </is>
      </c>
      <c r="D272" t="inlineStr">
        <is>
          <t>P_Cardoso, Ludmila</t>
        </is>
      </c>
      <c r="E272" t="inlineStr">
        <is>
          <t>609919</t>
        </is>
      </c>
      <c r="F272" s="2" t="inlineStr">
        <is>
          <t>09:00</t>
        </is>
      </c>
      <c r="G272" t="inlineStr">
        <is>
          <t>-</t>
        </is>
      </c>
      <c r="H272" s="2" t="inlineStr">
        <is>
          <t>09:30</t>
        </is>
      </c>
      <c r="I272" t="inlineStr">
        <is>
          <t>817,000000000</t>
        </is>
      </c>
      <c r="J272" t="inlineStr">
        <is>
          <t>,000000000</t>
        </is>
      </c>
      <c r="K272" t="inlineStr">
        <is>
          <t>,000000000</t>
        </is>
      </c>
      <c r="L272" t="inlineStr">
        <is>
          <t>12,000000000</t>
        </is>
      </c>
      <c r="M272" t="inlineStr">
        <is>
          <t>,000000000</t>
        </is>
      </c>
      <c r="N272" t="inlineStr">
        <is>
          <t>,000000000</t>
        </is>
      </c>
      <c r="O272" t="inlineStr">
        <is>
          <t>,000000000</t>
        </is>
      </c>
      <c r="P272" t="inlineStr">
        <is>
          <t>,000000000</t>
        </is>
      </c>
      <c r="Q272" t="inlineStr">
        <is>
          <t>,000000000</t>
        </is>
      </c>
      <c r="R272" t="inlineStr">
        <is>
          <t>,000000000</t>
        </is>
      </c>
      <c r="S272" t="inlineStr">
        <is>
          <t>,000000000</t>
        </is>
      </c>
      <c r="T272" t="inlineStr">
        <is>
          <t>,000000000</t>
        </is>
      </c>
      <c r="U272" t="inlineStr">
        <is>
          <t>,000000000</t>
        </is>
      </c>
      <c r="V272" t="inlineStr">
        <is>
          <t>,000000000</t>
        </is>
      </c>
      <c r="W272" t="inlineStr">
        <is>
          <t>,000000000</t>
        </is>
      </c>
      <c r="X272" t="inlineStr">
        <is>
          <t>,000000000</t>
        </is>
      </c>
      <c r="Y272" t="inlineStr">
        <is>
          <t>,000000000</t>
        </is>
      </c>
      <c r="Z272" t="inlineStr">
        <is>
          <t>,000000000</t>
        </is>
      </c>
      <c r="AA272" t="inlineStr">
        <is>
          <t>,000000000</t>
        </is>
      </c>
      <c r="AB272" t="inlineStr">
        <is>
          <t>2</t>
        </is>
      </c>
      <c r="AC272" t="inlineStr">
        <is>
          <t>0</t>
        </is>
      </c>
      <c r="AD272" s="3">
        <f>UPPER(C3)</f>
        <v/>
      </c>
      <c r="AE272" s="3">
        <f>VLOOKUP(E3,'[1]Nómina Agentes'!$C:$D,3,0)</f>
        <v/>
      </c>
      <c r="AF272" s="5">
        <f>F3</f>
        <v/>
      </c>
      <c r="AG272" s="5">
        <f>H3</f>
        <v/>
      </c>
    </row>
    <row r="273">
      <c r="A273" s="1" t="inlineStr">
        <is>
          <t>9/10/2024</t>
        </is>
      </c>
      <c r="B273" t="inlineStr">
        <is>
          <t>925</t>
        </is>
      </c>
      <c r="C273" t="inlineStr">
        <is>
          <t>S2S Premium</t>
        </is>
      </c>
      <c r="D273" t="inlineStr">
        <is>
          <t>P_Cardoso, Ludmila</t>
        </is>
      </c>
      <c r="E273" t="inlineStr">
        <is>
          <t>609919</t>
        </is>
      </c>
      <c r="F273" s="2" t="inlineStr">
        <is>
          <t>10:00</t>
        </is>
      </c>
      <c r="G273" t="inlineStr">
        <is>
          <t>-</t>
        </is>
      </c>
      <c r="H273" s="2" t="inlineStr">
        <is>
          <t>10:30</t>
        </is>
      </c>
      <c r="I273" t="inlineStr">
        <is>
          <t>933,000000000</t>
        </is>
      </c>
      <c r="J273" t="inlineStr">
        <is>
          <t>,000000000</t>
        </is>
      </c>
      <c r="K273" t="inlineStr">
        <is>
          <t>,000000000</t>
        </is>
      </c>
      <c r="L273" t="inlineStr">
        <is>
          <t>16,000000000</t>
        </is>
      </c>
      <c r="M273" t="inlineStr">
        <is>
          <t>,000000000</t>
        </is>
      </c>
      <c r="N273" t="inlineStr">
        <is>
          <t>,000000000</t>
        </is>
      </c>
      <c r="O273" t="inlineStr">
        <is>
          <t>,000000000</t>
        </is>
      </c>
      <c r="P273" t="inlineStr">
        <is>
          <t>4,000000000</t>
        </is>
      </c>
      <c r="Q273" t="inlineStr">
        <is>
          <t>,000000000</t>
        </is>
      </c>
      <c r="R273" t="inlineStr">
        <is>
          <t>,000000000</t>
        </is>
      </c>
      <c r="S273" t="inlineStr">
        <is>
          <t>,000000000</t>
        </is>
      </c>
      <c r="T273" t="inlineStr">
        <is>
          <t>,000000000</t>
        </is>
      </c>
      <c r="U273" t="inlineStr">
        <is>
          <t>,000000000</t>
        </is>
      </c>
      <c r="V273" t="inlineStr">
        <is>
          <t>,000000000</t>
        </is>
      </c>
      <c r="W273" t="inlineStr">
        <is>
          <t>,000000000</t>
        </is>
      </c>
      <c r="X273" t="inlineStr">
        <is>
          <t>,000000000</t>
        </is>
      </c>
      <c r="Y273" t="inlineStr">
        <is>
          <t>,000000000</t>
        </is>
      </c>
      <c r="Z273" t="inlineStr">
        <is>
          <t>,000000000</t>
        </is>
      </c>
      <c r="AA273" t="inlineStr">
        <is>
          <t>,000000000</t>
        </is>
      </c>
      <c r="AB273" t="inlineStr">
        <is>
          <t>4</t>
        </is>
      </c>
      <c r="AC273" t="inlineStr">
        <is>
          <t>3</t>
        </is>
      </c>
      <c r="AD273" s="3">
        <f>UPPER(C3)</f>
        <v/>
      </c>
      <c r="AE273" s="3">
        <f>VLOOKUP(E3,'[1]Nómina Agentes'!$C:$D,3,0)</f>
        <v/>
      </c>
      <c r="AF273" s="5">
        <f>F3</f>
        <v/>
      </c>
      <c r="AG273" s="5">
        <f>H3</f>
        <v/>
      </c>
    </row>
    <row r="274">
      <c r="A274" s="1" t="inlineStr">
        <is>
          <t>9/10/2024</t>
        </is>
      </c>
      <c r="B274" t="inlineStr">
        <is>
          <t>925</t>
        </is>
      </c>
      <c r="C274" t="inlineStr">
        <is>
          <t>S2S Premium</t>
        </is>
      </c>
      <c r="D274" t="inlineStr">
        <is>
          <t>P_Cardoso, Ludmila</t>
        </is>
      </c>
      <c r="E274" t="inlineStr">
        <is>
          <t>609919</t>
        </is>
      </c>
      <c r="F274" s="2" t="inlineStr">
        <is>
          <t>08:30</t>
        </is>
      </c>
      <c r="G274" t="inlineStr">
        <is>
          <t>-</t>
        </is>
      </c>
      <c r="H274" s="2" t="inlineStr">
        <is>
          <t>09:00</t>
        </is>
      </c>
      <c r="I274" t="inlineStr">
        <is>
          <t>959,000000000</t>
        </is>
      </c>
      <c r="J274" t="inlineStr">
        <is>
          <t>175,000000000</t>
        </is>
      </c>
      <c r="K274" t="inlineStr">
        <is>
          <t>,000000000</t>
        </is>
      </c>
      <c r="L274" t="inlineStr">
        <is>
          <t>19,000000000</t>
        </is>
      </c>
      <c r="M274" t="inlineStr">
        <is>
          <t>,000000000</t>
        </is>
      </c>
      <c r="N274" t="inlineStr">
        <is>
          <t>,000000000</t>
        </is>
      </c>
      <c r="O274" t="inlineStr">
        <is>
          <t>,000000000</t>
        </is>
      </c>
      <c r="P274" t="inlineStr">
        <is>
          <t>153,000000000</t>
        </is>
      </c>
      <c r="Q274" t="inlineStr">
        <is>
          <t>,000000000</t>
        </is>
      </c>
      <c r="R274" t="inlineStr">
        <is>
          <t>,000000000</t>
        </is>
      </c>
      <c r="S274" t="inlineStr">
        <is>
          <t>,000000000</t>
        </is>
      </c>
      <c r="T274" t="inlineStr">
        <is>
          <t>,000000000</t>
        </is>
      </c>
      <c r="U274" t="inlineStr">
        <is>
          <t>,000000000</t>
        </is>
      </c>
      <c r="V274" t="inlineStr">
        <is>
          <t>,000000000</t>
        </is>
      </c>
      <c r="W274" t="inlineStr">
        <is>
          <t>,000000000</t>
        </is>
      </c>
      <c r="X274" t="inlineStr">
        <is>
          <t>,000000000</t>
        </is>
      </c>
      <c r="Y274" t="inlineStr">
        <is>
          <t>,000000000</t>
        </is>
      </c>
      <c r="Z274" t="inlineStr">
        <is>
          <t>,000000000</t>
        </is>
      </c>
      <c r="AA274" t="inlineStr">
        <is>
          <t>,000000000</t>
        </is>
      </c>
      <c r="AB274" t="inlineStr">
        <is>
          <t>6</t>
        </is>
      </c>
      <c r="AC274" t="inlineStr">
        <is>
          <t>5</t>
        </is>
      </c>
      <c r="AD274" s="3">
        <f>UPPER(C3)</f>
        <v/>
      </c>
      <c r="AE274" s="3">
        <f>VLOOKUP(E3,'[1]Nómina Agentes'!$C:$D,3,0)</f>
        <v/>
      </c>
      <c r="AF274" s="5">
        <f>F3</f>
        <v/>
      </c>
      <c r="AG274" s="5">
        <f>H3</f>
        <v/>
      </c>
    </row>
    <row r="275">
      <c r="A275" s="1" t="inlineStr">
        <is>
          <t>9/10/2024</t>
        </is>
      </c>
      <c r="B275" t="inlineStr">
        <is>
          <t>925</t>
        </is>
      </c>
      <c r="C275" t="inlineStr">
        <is>
          <t>S2S Premium</t>
        </is>
      </c>
      <c r="D275" t="inlineStr">
        <is>
          <t>P_Cardoso, Ludmila</t>
        </is>
      </c>
      <c r="E275" t="inlineStr">
        <is>
          <t>609919</t>
        </is>
      </c>
      <c r="F275" s="2" t="inlineStr">
        <is>
          <t>09:30</t>
        </is>
      </c>
      <c r="G275" t="inlineStr">
        <is>
          <t>-</t>
        </is>
      </c>
      <c r="H275" s="2" t="inlineStr">
        <is>
          <t>10:00</t>
        </is>
      </c>
      <c r="I275" t="inlineStr">
        <is>
          <t>1104,000000000</t>
        </is>
      </c>
      <c r="J275" t="inlineStr">
        <is>
          <t>25,000000000</t>
        </is>
      </c>
      <c r="K275" t="inlineStr">
        <is>
          <t>,000000000</t>
        </is>
      </c>
      <c r="L275" t="inlineStr">
        <is>
          <t>16,000000000</t>
        </is>
      </c>
      <c r="M275" t="inlineStr">
        <is>
          <t>,000000000</t>
        </is>
      </c>
      <c r="N275" t="inlineStr">
        <is>
          <t>,000000000</t>
        </is>
      </c>
      <c r="O275" t="inlineStr">
        <is>
          <t>,000000000</t>
        </is>
      </c>
      <c r="P275" t="inlineStr">
        <is>
          <t>4,000000000</t>
        </is>
      </c>
      <c r="Q275" t="inlineStr">
        <is>
          <t>1,000000000</t>
        </is>
      </c>
      <c r="R275" t="inlineStr">
        <is>
          <t>,000000000</t>
        </is>
      </c>
      <c r="S275" t="inlineStr">
        <is>
          <t>,000000000</t>
        </is>
      </c>
      <c r="T275" t="inlineStr">
        <is>
          <t>,000000000</t>
        </is>
      </c>
      <c r="U275" t="inlineStr">
        <is>
          <t>,000000000</t>
        </is>
      </c>
      <c r="V275" t="inlineStr">
        <is>
          <t>,000000000</t>
        </is>
      </c>
      <c r="W275" t="inlineStr">
        <is>
          <t>,000000000</t>
        </is>
      </c>
      <c r="X275" t="inlineStr">
        <is>
          <t>,000000000</t>
        </is>
      </c>
      <c r="Y275" t="inlineStr">
        <is>
          <t>,000000000</t>
        </is>
      </c>
      <c r="Z275" t="inlineStr">
        <is>
          <t>,000000000</t>
        </is>
      </c>
      <c r="AA275" t="inlineStr">
        <is>
          <t>,000000000</t>
        </is>
      </c>
      <c r="AB275" t="inlineStr">
        <is>
          <t>5</t>
        </is>
      </c>
      <c r="AC275" t="inlineStr">
        <is>
          <t>4</t>
        </is>
      </c>
      <c r="AD275" s="3">
        <f>UPPER(C3)</f>
        <v/>
      </c>
      <c r="AE275" s="3">
        <f>VLOOKUP(E3,'[1]Nómina Agentes'!$C:$D,3,0)</f>
        <v/>
      </c>
      <c r="AF275" s="5">
        <f>F3</f>
        <v/>
      </c>
      <c r="AG275" s="5">
        <f>H3</f>
        <v/>
      </c>
    </row>
    <row r="276">
      <c r="A276" s="1" t="inlineStr">
        <is>
          <t>9/10/2024</t>
        </is>
      </c>
      <c r="B276" t="inlineStr">
        <is>
          <t>924</t>
        </is>
      </c>
      <c r="C276" t="inlineStr">
        <is>
          <t>S2S No Premium</t>
        </is>
      </c>
      <c r="D276" t="inlineStr">
        <is>
          <t>N1_Carmona Jaquelin</t>
        </is>
      </c>
      <c r="E276" t="inlineStr">
        <is>
          <t>616102</t>
        </is>
      </c>
      <c r="F276" s="2" t="inlineStr">
        <is>
          <t>09:00</t>
        </is>
      </c>
      <c r="G276" t="inlineStr">
        <is>
          <t>-</t>
        </is>
      </c>
      <c r="H276" s="2" t="inlineStr">
        <is>
          <t>09:30</t>
        </is>
      </c>
      <c r="I276" t="inlineStr">
        <is>
          <t>609,000000000</t>
        </is>
      </c>
      <c r="J276" t="inlineStr">
        <is>
          <t>,000000000</t>
        </is>
      </c>
      <c r="K276" t="inlineStr">
        <is>
          <t>,000000000</t>
        </is>
      </c>
      <c r="L276" t="inlineStr">
        <is>
          <t>19,000000000</t>
        </is>
      </c>
      <c r="M276" t="inlineStr">
        <is>
          <t>,000000000</t>
        </is>
      </c>
      <c r="N276" t="inlineStr">
        <is>
          <t>,000000000</t>
        </is>
      </c>
      <c r="O276" t="inlineStr">
        <is>
          <t>,000000000</t>
        </is>
      </c>
      <c r="P276" t="inlineStr">
        <is>
          <t>1,000000000</t>
        </is>
      </c>
      <c r="Q276" t="inlineStr">
        <is>
          <t>,000000000</t>
        </is>
      </c>
      <c r="R276" t="inlineStr">
        <is>
          <t>,000000000</t>
        </is>
      </c>
      <c r="S276" t="inlineStr">
        <is>
          <t>,000000000</t>
        </is>
      </c>
      <c r="T276" t="inlineStr">
        <is>
          <t>,000000000</t>
        </is>
      </c>
      <c r="U276" t="inlineStr">
        <is>
          <t>,000000000</t>
        </is>
      </c>
      <c r="V276" t="inlineStr">
        <is>
          <t>,000000000</t>
        </is>
      </c>
      <c r="W276" t="inlineStr">
        <is>
          <t>,000000000</t>
        </is>
      </c>
      <c r="X276" t="inlineStr">
        <is>
          <t>,000000000</t>
        </is>
      </c>
      <c r="Y276" t="inlineStr">
        <is>
          <t>,000000000</t>
        </is>
      </c>
      <c r="Z276" t="inlineStr">
        <is>
          <t>,000000000</t>
        </is>
      </c>
      <c r="AA276" t="inlineStr">
        <is>
          <t>,000000000</t>
        </is>
      </c>
      <c r="AB276" t="inlineStr">
        <is>
          <t>4</t>
        </is>
      </c>
      <c r="AC276" t="inlineStr">
        <is>
          <t>4</t>
        </is>
      </c>
      <c r="AD276" s="3">
        <f>UPPER(C3)</f>
        <v/>
      </c>
      <c r="AE276" s="3">
        <f>VLOOKUP(E3,'[1]Nómina Agentes'!$C:$D,3,0)</f>
        <v/>
      </c>
      <c r="AF276" s="5">
        <f>F3</f>
        <v/>
      </c>
      <c r="AG276" s="5">
        <f>H3</f>
        <v/>
      </c>
    </row>
    <row r="277">
      <c r="A277" s="1" t="inlineStr">
        <is>
          <t>9/10/2024</t>
        </is>
      </c>
      <c r="B277" t="inlineStr">
        <is>
          <t>924</t>
        </is>
      </c>
      <c r="C277" t="inlineStr">
        <is>
          <t>S2S No Premium</t>
        </is>
      </c>
      <c r="D277" t="inlineStr">
        <is>
          <t>N1_Carmona Jaquelin</t>
        </is>
      </c>
      <c r="E277" t="inlineStr">
        <is>
          <t>616102</t>
        </is>
      </c>
      <c r="F277" s="2" t="inlineStr">
        <is>
          <t>10:00</t>
        </is>
      </c>
      <c r="G277" t="inlineStr">
        <is>
          <t>-</t>
        </is>
      </c>
      <c r="H277" s="2" t="inlineStr">
        <is>
          <t>10:30</t>
        </is>
      </c>
      <c r="I277" t="inlineStr">
        <is>
          <t>820,000000000</t>
        </is>
      </c>
      <c r="J277" t="inlineStr">
        <is>
          <t>,000000000</t>
        </is>
      </c>
      <c r="K277" t="inlineStr">
        <is>
          <t>,000000000</t>
        </is>
      </c>
      <c r="L277" t="inlineStr">
        <is>
          <t>12,000000000</t>
        </is>
      </c>
      <c r="M277" t="inlineStr">
        <is>
          <t>,000000000</t>
        </is>
      </c>
      <c r="N277" t="inlineStr">
        <is>
          <t>,000000000</t>
        </is>
      </c>
      <c r="O277" t="inlineStr">
        <is>
          <t>,000000000</t>
        </is>
      </c>
      <c r="P277" t="inlineStr">
        <is>
          <t>,000000000</t>
        </is>
      </c>
      <c r="Q277" t="inlineStr">
        <is>
          <t>,000000000</t>
        </is>
      </c>
      <c r="R277" t="inlineStr">
        <is>
          <t>,000000000</t>
        </is>
      </c>
      <c r="S277" t="inlineStr">
        <is>
          <t>,000000000</t>
        </is>
      </c>
      <c r="T277" t="inlineStr">
        <is>
          <t>,000000000</t>
        </is>
      </c>
      <c r="U277" t="inlineStr">
        <is>
          <t>,000000000</t>
        </is>
      </c>
      <c r="V277" t="inlineStr">
        <is>
          <t>,000000000</t>
        </is>
      </c>
      <c r="W277" t="inlineStr">
        <is>
          <t>,000000000</t>
        </is>
      </c>
      <c r="X277" t="inlineStr">
        <is>
          <t>,000000000</t>
        </is>
      </c>
      <c r="Y277" t="inlineStr">
        <is>
          <t>,000000000</t>
        </is>
      </c>
      <c r="Z277" t="inlineStr">
        <is>
          <t>,000000000</t>
        </is>
      </c>
      <c r="AA277" t="inlineStr">
        <is>
          <t>,000000000</t>
        </is>
      </c>
      <c r="AB277" t="inlineStr">
        <is>
          <t>2</t>
        </is>
      </c>
      <c r="AC277" t="inlineStr">
        <is>
          <t>1</t>
        </is>
      </c>
      <c r="AD277" s="3">
        <f>UPPER(C3)</f>
        <v/>
      </c>
      <c r="AE277" s="3">
        <f>VLOOKUP(E3,'[1]Nómina Agentes'!$C:$D,3,0)</f>
        <v/>
      </c>
      <c r="AF277" s="5">
        <f>F3</f>
        <v/>
      </c>
      <c r="AG277" s="5">
        <f>H3</f>
        <v/>
      </c>
    </row>
    <row r="278">
      <c r="A278" s="1" t="inlineStr">
        <is>
          <t>9/10/2024</t>
        </is>
      </c>
      <c r="B278" t="inlineStr">
        <is>
          <t>924</t>
        </is>
      </c>
      <c r="C278" t="inlineStr">
        <is>
          <t>S2S No Premium</t>
        </is>
      </c>
      <c r="D278" t="inlineStr">
        <is>
          <t>N1_Carmona Jaquelin</t>
        </is>
      </c>
      <c r="E278" t="inlineStr">
        <is>
          <t>616102</t>
        </is>
      </c>
      <c r="F278" s="2" t="inlineStr">
        <is>
          <t>09:30</t>
        </is>
      </c>
      <c r="G278" t="inlineStr">
        <is>
          <t>-</t>
        </is>
      </c>
      <c r="H278" s="2" t="inlineStr">
        <is>
          <t>10:00</t>
        </is>
      </c>
      <c r="I278" t="inlineStr">
        <is>
          <t>1250,000000000</t>
        </is>
      </c>
      <c r="J278" t="inlineStr">
        <is>
          <t>,000000000</t>
        </is>
      </c>
      <c r="K278" t="inlineStr">
        <is>
          <t>,000000000</t>
        </is>
      </c>
      <c r="L278" t="inlineStr">
        <is>
          <t>12,000000000</t>
        </is>
      </c>
      <c r="M278" t="inlineStr">
        <is>
          <t>,000000000</t>
        </is>
      </c>
      <c r="N278" t="inlineStr">
        <is>
          <t>,000000000</t>
        </is>
      </c>
      <c r="O278" t="inlineStr">
        <is>
          <t>,000000000</t>
        </is>
      </c>
      <c r="P278" t="inlineStr">
        <is>
          <t>168,000000000</t>
        </is>
      </c>
      <c r="Q278" t="inlineStr">
        <is>
          <t>145,000000000</t>
        </is>
      </c>
      <c r="R278" t="inlineStr">
        <is>
          <t>,000000000</t>
        </is>
      </c>
      <c r="S278" t="inlineStr">
        <is>
          <t>,000000000</t>
        </is>
      </c>
      <c r="T278" t="inlineStr">
        <is>
          <t>,000000000</t>
        </is>
      </c>
      <c r="U278" t="inlineStr">
        <is>
          <t>,000000000</t>
        </is>
      </c>
      <c r="V278" t="inlineStr">
        <is>
          <t>,000000000</t>
        </is>
      </c>
      <c r="W278" t="inlineStr">
        <is>
          <t>,000000000</t>
        </is>
      </c>
      <c r="X278" t="inlineStr">
        <is>
          <t>,000000000</t>
        </is>
      </c>
      <c r="Y278" t="inlineStr">
        <is>
          <t>,000000000</t>
        </is>
      </c>
      <c r="Z278" t="inlineStr">
        <is>
          <t>,000000000</t>
        </is>
      </c>
      <c r="AA278" t="inlineStr">
        <is>
          <t>,000000000</t>
        </is>
      </c>
      <c r="AB278" t="inlineStr">
        <is>
          <t>4</t>
        </is>
      </c>
      <c r="AC278" t="inlineStr">
        <is>
          <t>4</t>
        </is>
      </c>
      <c r="AD278" s="3">
        <f>UPPER(C3)</f>
        <v/>
      </c>
      <c r="AE278" s="3">
        <f>VLOOKUP(E3,'[1]Nómina Agentes'!$C:$D,3,0)</f>
        <v/>
      </c>
      <c r="AF278" s="5">
        <f>F3</f>
        <v/>
      </c>
      <c r="AG278" s="5">
        <f>H3</f>
        <v/>
      </c>
    </row>
    <row r="279">
      <c r="A279" s="1" t="inlineStr">
        <is>
          <t>9/10/2024</t>
        </is>
      </c>
      <c r="B279" t="inlineStr">
        <is>
          <t>924</t>
        </is>
      </c>
      <c r="C279" t="inlineStr">
        <is>
          <t>S2S No Premium</t>
        </is>
      </c>
      <c r="D279" t="inlineStr">
        <is>
          <t>N1_Carmona Jaquelin</t>
        </is>
      </c>
      <c r="E279" t="inlineStr">
        <is>
          <t>616102</t>
        </is>
      </c>
      <c r="F279" s="2" t="inlineStr">
        <is>
          <t>10:30</t>
        </is>
      </c>
      <c r="G279" t="inlineStr">
        <is>
          <t>-</t>
        </is>
      </c>
      <c r="H279" s="2" t="inlineStr">
        <is>
          <t>11:00</t>
        </is>
      </c>
      <c r="I279" t="inlineStr">
        <is>
          <t>1442,000000000</t>
        </is>
      </c>
      <c r="J279" t="inlineStr">
        <is>
          <t>,000000000</t>
        </is>
      </c>
      <c r="K279" t="inlineStr">
        <is>
          <t>,000000000</t>
        </is>
      </c>
      <c r="L279" t="inlineStr">
        <is>
          <t>28,000000000</t>
        </is>
      </c>
      <c r="M279" t="inlineStr">
        <is>
          <t>,000000000</t>
        </is>
      </c>
      <c r="N279" t="inlineStr">
        <is>
          <t>,000000000</t>
        </is>
      </c>
      <c r="O279" t="inlineStr">
        <is>
          <t>,000000000</t>
        </is>
      </c>
      <c r="P279" t="inlineStr">
        <is>
          <t>41,000000000</t>
        </is>
      </c>
      <c r="Q279" t="inlineStr">
        <is>
          <t>,000000000</t>
        </is>
      </c>
      <c r="R279" t="inlineStr">
        <is>
          <t>,000000000</t>
        </is>
      </c>
      <c r="S279" t="inlineStr">
        <is>
          <t>,000000000</t>
        </is>
      </c>
      <c r="T279" t="inlineStr">
        <is>
          <t>,000000000</t>
        </is>
      </c>
      <c r="U279" t="inlineStr">
        <is>
          <t>,000000000</t>
        </is>
      </c>
      <c r="V279" t="inlineStr">
        <is>
          <t>,000000000</t>
        </is>
      </c>
      <c r="W279" t="inlineStr">
        <is>
          <t>,000000000</t>
        </is>
      </c>
      <c r="X279" t="inlineStr">
        <is>
          <t>,000000000</t>
        </is>
      </c>
      <c r="Y279" t="inlineStr">
        <is>
          <t>,000000000</t>
        </is>
      </c>
      <c r="Z279" t="inlineStr">
        <is>
          <t>,000000000</t>
        </is>
      </c>
      <c r="AA279" t="inlineStr">
        <is>
          <t>,000000000</t>
        </is>
      </c>
      <c r="AB279" t="inlineStr">
        <is>
          <t>7</t>
        </is>
      </c>
      <c r="AC279" t="inlineStr">
        <is>
          <t>7</t>
        </is>
      </c>
      <c r="AD279" s="3">
        <f>UPPER(C3)</f>
        <v/>
      </c>
      <c r="AE279" s="3">
        <f>VLOOKUP(E3,'[1]Nómina Agentes'!$C:$D,3,0)</f>
        <v/>
      </c>
      <c r="AF279" s="5">
        <f>F3</f>
        <v/>
      </c>
      <c r="AG279" s="5">
        <f>H3</f>
        <v/>
      </c>
    </row>
    <row r="280">
      <c r="A280" s="1" t="inlineStr">
        <is>
          <t>9/10/2024</t>
        </is>
      </c>
      <c r="B280" t="inlineStr">
        <is>
          <t>924</t>
        </is>
      </c>
      <c r="C280" t="inlineStr">
        <is>
          <t>S2S No Premium</t>
        </is>
      </c>
      <c r="D280" t="inlineStr">
        <is>
          <t>N1_Aguilar Abigail</t>
        </is>
      </c>
      <c r="E280" t="inlineStr">
        <is>
          <t>616199</t>
        </is>
      </c>
      <c r="F280" s="2" t="inlineStr">
        <is>
          <t>10:00</t>
        </is>
      </c>
      <c r="G280" t="inlineStr">
        <is>
          <t>-</t>
        </is>
      </c>
      <c r="H280" s="2" t="inlineStr">
        <is>
          <t>10:30</t>
        </is>
      </c>
      <c r="I280" t="inlineStr">
        <is>
          <t>715,000000000</t>
        </is>
      </c>
      <c r="J280" t="inlineStr">
        <is>
          <t>,000000000</t>
        </is>
      </c>
      <c r="K280" t="inlineStr">
        <is>
          <t>,000000000</t>
        </is>
      </c>
      <c r="L280" t="inlineStr">
        <is>
          <t>12,000000000</t>
        </is>
      </c>
      <c r="M280" t="inlineStr">
        <is>
          <t>,000000000</t>
        </is>
      </c>
      <c r="N280" t="inlineStr">
        <is>
          <t>,000000000</t>
        </is>
      </c>
      <c r="O280" t="inlineStr">
        <is>
          <t>,000000000</t>
        </is>
      </c>
      <c r="P280" t="inlineStr">
        <is>
          <t>58,000000000</t>
        </is>
      </c>
      <c r="Q280" t="inlineStr">
        <is>
          <t>,000000000</t>
        </is>
      </c>
      <c r="R280" t="inlineStr">
        <is>
          <t>,000000000</t>
        </is>
      </c>
      <c r="S280" t="inlineStr">
        <is>
          <t>,000000000</t>
        </is>
      </c>
      <c r="T280" t="inlineStr">
        <is>
          <t>,000000000</t>
        </is>
      </c>
      <c r="U280" t="inlineStr">
        <is>
          <t>,000000000</t>
        </is>
      </c>
      <c r="V280" t="inlineStr">
        <is>
          <t>,000000000</t>
        </is>
      </c>
      <c r="W280" t="inlineStr">
        <is>
          <t>,000000000</t>
        </is>
      </c>
      <c r="X280" t="inlineStr">
        <is>
          <t>,000000000</t>
        </is>
      </c>
      <c r="Y280" t="inlineStr">
        <is>
          <t>,000000000</t>
        </is>
      </c>
      <c r="Z280" t="inlineStr">
        <is>
          <t>,000000000</t>
        </is>
      </c>
      <c r="AA280" t="inlineStr">
        <is>
          <t>,000000000</t>
        </is>
      </c>
      <c r="AB280" t="inlineStr">
        <is>
          <t>2</t>
        </is>
      </c>
      <c r="AC280" t="inlineStr">
        <is>
          <t>2</t>
        </is>
      </c>
      <c r="AD280" s="3">
        <f>UPPER(C3)</f>
        <v/>
      </c>
      <c r="AE280" s="3">
        <f>VLOOKUP(E3,'[1]Nómina Agentes'!$C:$D,3,0)</f>
        <v/>
      </c>
      <c r="AF280" s="5">
        <f>F3</f>
        <v/>
      </c>
      <c r="AG280" s="5">
        <f>H3</f>
        <v/>
      </c>
    </row>
    <row r="281">
      <c r="A281" s="1" t="inlineStr">
        <is>
          <t>9/10/2024</t>
        </is>
      </c>
      <c r="B281" t="inlineStr">
        <is>
          <t>924</t>
        </is>
      </c>
      <c r="C281" t="inlineStr">
        <is>
          <t>S2S No Premium</t>
        </is>
      </c>
      <c r="D281" t="inlineStr">
        <is>
          <t>N1_Aguilar Abigail</t>
        </is>
      </c>
      <c r="E281" t="inlineStr">
        <is>
          <t>616199</t>
        </is>
      </c>
      <c r="F281" s="2" t="inlineStr">
        <is>
          <t>10:30</t>
        </is>
      </c>
      <c r="G281" t="inlineStr">
        <is>
          <t>-</t>
        </is>
      </c>
      <c r="H281" s="2" t="inlineStr">
        <is>
          <t>11:00</t>
        </is>
      </c>
      <c r="I281" t="inlineStr">
        <is>
          <t>1279,000000000</t>
        </is>
      </c>
      <c r="J281" t="inlineStr">
        <is>
          <t>16,000000000</t>
        </is>
      </c>
      <c r="K281" t="inlineStr">
        <is>
          <t>,000000000</t>
        </is>
      </c>
      <c r="L281" t="inlineStr">
        <is>
          <t>12,000000000</t>
        </is>
      </c>
      <c r="M281" t="inlineStr">
        <is>
          <t>,000000000</t>
        </is>
      </c>
      <c r="N281" t="inlineStr">
        <is>
          <t>,000000000</t>
        </is>
      </c>
      <c r="O281" t="inlineStr">
        <is>
          <t>,000000000</t>
        </is>
      </c>
      <c r="P281" t="inlineStr">
        <is>
          <t>349,000000000</t>
        </is>
      </c>
      <c r="Q281" t="inlineStr">
        <is>
          <t>,000000000</t>
        </is>
      </c>
      <c r="R281" t="inlineStr">
        <is>
          <t>,000000000</t>
        </is>
      </c>
      <c r="S281" t="inlineStr">
        <is>
          <t>,000000000</t>
        </is>
      </c>
      <c r="T281" t="inlineStr">
        <is>
          <t>,000000000</t>
        </is>
      </c>
      <c r="U281" t="inlineStr">
        <is>
          <t>,000000000</t>
        </is>
      </c>
      <c r="V281" t="inlineStr">
        <is>
          <t>,000000000</t>
        </is>
      </c>
      <c r="W281" t="inlineStr">
        <is>
          <t>,000000000</t>
        </is>
      </c>
      <c r="X281" t="inlineStr">
        <is>
          <t>,000000000</t>
        </is>
      </c>
      <c r="Y281" t="inlineStr">
        <is>
          <t>,000000000</t>
        </is>
      </c>
      <c r="Z281" t="inlineStr">
        <is>
          <t>,000000000</t>
        </is>
      </c>
      <c r="AA281" t="inlineStr">
        <is>
          <t>,000000000</t>
        </is>
      </c>
      <c r="AB281" t="inlineStr">
        <is>
          <t>3</t>
        </is>
      </c>
      <c r="AC281" t="inlineStr">
        <is>
          <t>3</t>
        </is>
      </c>
      <c r="AD281" s="3">
        <f>UPPER(C3)</f>
        <v/>
      </c>
      <c r="AE281" s="3">
        <f>VLOOKUP(E3,'[1]Nómina Agentes'!$C:$D,3,0)</f>
        <v/>
      </c>
      <c r="AF281" s="5">
        <f>F3</f>
        <v/>
      </c>
      <c r="AG281" s="5">
        <f>H3</f>
        <v/>
      </c>
    </row>
    <row r="282">
      <c r="A282" s="1" t="inlineStr">
        <is>
          <t>9/10/2024</t>
        </is>
      </c>
      <c r="B282" t="inlineStr">
        <is>
          <t>924</t>
        </is>
      </c>
      <c r="C282" t="inlineStr">
        <is>
          <t>S2S No Premium</t>
        </is>
      </c>
      <c r="D282" t="inlineStr">
        <is>
          <t>*N1_Gomez Gisela</t>
        </is>
      </c>
      <c r="E282" t="inlineStr">
        <is>
          <t>616221</t>
        </is>
      </c>
      <c r="F282" s="2" t="inlineStr">
        <is>
          <t>09:00</t>
        </is>
      </c>
      <c r="G282" t="inlineStr">
        <is>
          <t>-</t>
        </is>
      </c>
      <c r="H282" s="2" t="inlineStr">
        <is>
          <t>09:30</t>
        </is>
      </c>
      <c r="I282" t="inlineStr">
        <is>
          <t>819,000000000</t>
        </is>
      </c>
      <c r="J282" t="inlineStr">
        <is>
          <t>,000000000</t>
        </is>
      </c>
      <c r="K282" t="inlineStr">
        <is>
          <t>,000000000</t>
        </is>
      </c>
      <c r="L282" t="inlineStr">
        <is>
          <t>14,000000000</t>
        </is>
      </c>
      <c r="M282" t="inlineStr">
        <is>
          <t>,000000000</t>
        </is>
      </c>
      <c r="N282" t="inlineStr">
        <is>
          <t>,000000000</t>
        </is>
      </c>
      <c r="O282" t="inlineStr">
        <is>
          <t>,000000000</t>
        </is>
      </c>
      <c r="P282" t="inlineStr">
        <is>
          <t>198,000000000</t>
        </is>
      </c>
      <c r="Q282" t="inlineStr">
        <is>
          <t>,000000000</t>
        </is>
      </c>
      <c r="R282" t="inlineStr">
        <is>
          <t>,000000000</t>
        </is>
      </c>
      <c r="S282" t="inlineStr">
        <is>
          <t>,000000000</t>
        </is>
      </c>
      <c r="T282" t="inlineStr">
        <is>
          <t>,000000000</t>
        </is>
      </c>
      <c r="U282" t="inlineStr">
        <is>
          <t>,000000000</t>
        </is>
      </c>
      <c r="V282" t="inlineStr">
        <is>
          <t>,000000000</t>
        </is>
      </c>
      <c r="W282" t="inlineStr">
        <is>
          <t>,000000000</t>
        </is>
      </c>
      <c r="X282" t="inlineStr">
        <is>
          <t>,000000000</t>
        </is>
      </c>
      <c r="Y282" t="inlineStr">
        <is>
          <t>,000000000</t>
        </is>
      </c>
      <c r="Z282" t="inlineStr">
        <is>
          <t>,000000000</t>
        </is>
      </c>
      <c r="AA282" t="inlineStr">
        <is>
          <t>,000000000</t>
        </is>
      </c>
      <c r="AB282" t="inlineStr">
        <is>
          <t>1</t>
        </is>
      </c>
      <c r="AC282" t="inlineStr">
        <is>
          <t>1</t>
        </is>
      </c>
      <c r="AD282" s="3">
        <f>UPPER(C3)</f>
        <v/>
      </c>
      <c r="AE282" s="3">
        <f>VLOOKUP(E3,'[1]Nómina Agentes'!$C:$D,3,0)</f>
        <v/>
      </c>
      <c r="AF282" s="5">
        <f>F3</f>
        <v/>
      </c>
      <c r="AG282" s="5">
        <f>H3</f>
        <v/>
      </c>
    </row>
    <row r="283">
      <c r="A283" s="1" t="inlineStr">
        <is>
          <t>9/10/2024</t>
        </is>
      </c>
      <c r="B283" t="inlineStr">
        <is>
          <t>924</t>
        </is>
      </c>
      <c r="C283" t="inlineStr">
        <is>
          <t>S2S No Premium</t>
        </is>
      </c>
      <c r="D283" t="inlineStr">
        <is>
          <t>*N1_Gomez Gisela</t>
        </is>
      </c>
      <c r="E283" t="inlineStr">
        <is>
          <t>616221</t>
        </is>
      </c>
      <c r="F283" s="2" t="inlineStr">
        <is>
          <t>10:00</t>
        </is>
      </c>
      <c r="G283" t="inlineStr">
        <is>
          <t>-</t>
        </is>
      </c>
      <c r="H283" s="2" t="inlineStr">
        <is>
          <t>10:30</t>
        </is>
      </c>
      <c r="I283" t="inlineStr">
        <is>
          <t>972,000000000</t>
        </is>
      </c>
      <c r="J283" t="inlineStr">
        <is>
          <t>,000000000</t>
        </is>
      </c>
      <c r="K283" t="inlineStr">
        <is>
          <t>,000000000</t>
        </is>
      </c>
      <c r="L283" t="inlineStr">
        <is>
          <t>12,000000000</t>
        </is>
      </c>
      <c r="M283" t="inlineStr">
        <is>
          <t>,000000000</t>
        </is>
      </c>
      <c r="N283" t="inlineStr">
        <is>
          <t>,000000000</t>
        </is>
      </c>
      <c r="O283" t="inlineStr">
        <is>
          <t>,000000000</t>
        </is>
      </c>
      <c r="P283" t="inlineStr">
        <is>
          <t>2,000000000</t>
        </is>
      </c>
      <c r="Q283" t="inlineStr">
        <is>
          <t>2,000000000</t>
        </is>
      </c>
      <c r="R283" t="inlineStr">
        <is>
          <t>,000000000</t>
        </is>
      </c>
      <c r="S283" t="inlineStr">
        <is>
          <t>,000000000</t>
        </is>
      </c>
      <c r="T283" t="inlineStr">
        <is>
          <t>,000000000</t>
        </is>
      </c>
      <c r="U283" t="inlineStr">
        <is>
          <t>,000000000</t>
        </is>
      </c>
      <c r="V283" t="inlineStr">
        <is>
          <t>,000000000</t>
        </is>
      </c>
      <c r="W283" t="inlineStr">
        <is>
          <t>,000000000</t>
        </is>
      </c>
      <c r="X283" t="inlineStr">
        <is>
          <t>,000000000</t>
        </is>
      </c>
      <c r="Y283" t="inlineStr">
        <is>
          <t>,000000000</t>
        </is>
      </c>
      <c r="Z283" t="inlineStr">
        <is>
          <t>,000000000</t>
        </is>
      </c>
      <c r="AA283" t="inlineStr">
        <is>
          <t>,000000000</t>
        </is>
      </c>
      <c r="AB283" t="inlineStr">
        <is>
          <t>4</t>
        </is>
      </c>
      <c r="AC283" t="inlineStr">
        <is>
          <t>4</t>
        </is>
      </c>
      <c r="AD283" s="3">
        <f>UPPER(C3)</f>
        <v/>
      </c>
      <c r="AE283" s="3">
        <f>VLOOKUP(E3,'[1]Nómina Agentes'!$C:$D,3,0)</f>
        <v/>
      </c>
      <c r="AF283" s="5">
        <f>F3</f>
        <v/>
      </c>
      <c r="AG283" s="5">
        <f>H3</f>
        <v/>
      </c>
    </row>
    <row r="284">
      <c r="A284" s="1" t="inlineStr">
        <is>
          <t>9/10/2024</t>
        </is>
      </c>
      <c r="B284" t="inlineStr">
        <is>
          <t>924</t>
        </is>
      </c>
      <c r="C284" t="inlineStr">
        <is>
          <t>S2S No Premium</t>
        </is>
      </c>
      <c r="D284" t="inlineStr">
        <is>
          <t>*N1_Gomez Gisela</t>
        </is>
      </c>
      <c r="E284" t="inlineStr">
        <is>
          <t>616221</t>
        </is>
      </c>
      <c r="F284" s="2" t="inlineStr">
        <is>
          <t>10:30</t>
        </is>
      </c>
      <c r="G284" t="inlineStr">
        <is>
          <t>-</t>
        </is>
      </c>
      <c r="H284" s="2" t="inlineStr">
        <is>
          <t>11:00</t>
        </is>
      </c>
      <c r="I284" t="inlineStr">
        <is>
          <t>1382,000000000</t>
        </is>
      </c>
      <c r="J284" t="inlineStr">
        <is>
          <t>,000000000</t>
        </is>
      </c>
      <c r="K284" t="inlineStr">
        <is>
          <t>,000000000</t>
        </is>
      </c>
      <c r="L284" t="inlineStr">
        <is>
          <t>24,000000000</t>
        </is>
      </c>
      <c r="M284" t="inlineStr">
        <is>
          <t>,000000000</t>
        </is>
      </c>
      <c r="N284" t="inlineStr">
        <is>
          <t>,000000000</t>
        </is>
      </c>
      <c r="O284" t="inlineStr">
        <is>
          <t>,000000000</t>
        </is>
      </c>
      <c r="P284" t="inlineStr">
        <is>
          <t>,000000000</t>
        </is>
      </c>
      <c r="Q284" t="inlineStr">
        <is>
          <t>,000000000</t>
        </is>
      </c>
      <c r="R284" t="inlineStr">
        <is>
          <t>,000000000</t>
        </is>
      </c>
      <c r="S284" t="inlineStr">
        <is>
          <t>,000000000</t>
        </is>
      </c>
      <c r="T284" t="inlineStr">
        <is>
          <t>,000000000</t>
        </is>
      </c>
      <c r="U284" t="inlineStr">
        <is>
          <t>,000000000</t>
        </is>
      </c>
      <c r="V284" t="inlineStr">
        <is>
          <t>,000000000</t>
        </is>
      </c>
      <c r="W284" t="inlineStr">
        <is>
          <t>,000000000</t>
        </is>
      </c>
      <c r="X284" t="inlineStr">
        <is>
          <t>,000000000</t>
        </is>
      </c>
      <c r="Y284" t="inlineStr">
        <is>
          <t>,000000000</t>
        </is>
      </c>
      <c r="Z284" t="inlineStr">
        <is>
          <t>,000000000</t>
        </is>
      </c>
      <c r="AA284" t="inlineStr">
        <is>
          <t>,000000000</t>
        </is>
      </c>
      <c r="AB284" t="inlineStr">
        <is>
          <t>5</t>
        </is>
      </c>
      <c r="AC284" t="inlineStr">
        <is>
          <t>4</t>
        </is>
      </c>
      <c r="AD284" s="3">
        <f>UPPER(C3)</f>
        <v/>
      </c>
      <c r="AE284" s="3">
        <f>VLOOKUP(E3,'[1]Nómina Agentes'!$C:$D,3,0)</f>
        <v/>
      </c>
      <c r="AF284" s="5">
        <f>F3</f>
        <v/>
      </c>
      <c r="AG284" s="5">
        <f>H3</f>
        <v/>
      </c>
    </row>
    <row r="285">
      <c r="A285" s="1" t="inlineStr">
        <is>
          <t>9/10/2024</t>
        </is>
      </c>
      <c r="B285" t="inlineStr">
        <is>
          <t>924</t>
        </is>
      </c>
      <c r="C285" t="inlineStr">
        <is>
          <t>S2S No Premium</t>
        </is>
      </c>
      <c r="D285" t="inlineStr">
        <is>
          <t>*N1_Gomez Gisela</t>
        </is>
      </c>
      <c r="E285" t="inlineStr">
        <is>
          <t>616221</t>
        </is>
      </c>
      <c r="F285" s="2" t="inlineStr">
        <is>
          <t>09:30</t>
        </is>
      </c>
      <c r="G285" t="inlineStr">
        <is>
          <t>-</t>
        </is>
      </c>
      <c r="H285" s="2" t="inlineStr">
        <is>
          <t>10:00</t>
        </is>
      </c>
      <c r="I285" t="inlineStr">
        <is>
          <t>1386,000000000</t>
        </is>
      </c>
      <c r="J285" t="inlineStr">
        <is>
          <t>,000000000</t>
        </is>
      </c>
      <c r="K285" t="inlineStr">
        <is>
          <t>,000000000</t>
        </is>
      </c>
      <c r="L285" t="inlineStr">
        <is>
          <t>16,000000000</t>
        </is>
      </c>
      <c r="M285" t="inlineStr">
        <is>
          <t>,000000000</t>
        </is>
      </c>
      <c r="N285" t="inlineStr">
        <is>
          <t>,000000000</t>
        </is>
      </c>
      <c r="O285" t="inlineStr">
        <is>
          <t>,000000000</t>
        </is>
      </c>
      <c r="P285" t="inlineStr">
        <is>
          <t>3,000000000</t>
        </is>
      </c>
      <c r="Q285" t="inlineStr">
        <is>
          <t>3,000000000</t>
        </is>
      </c>
      <c r="R285" t="inlineStr">
        <is>
          <t>,000000000</t>
        </is>
      </c>
      <c r="S285" t="inlineStr">
        <is>
          <t>,000000000</t>
        </is>
      </c>
      <c r="T285" t="inlineStr">
        <is>
          <t>,000000000</t>
        </is>
      </c>
      <c r="U285" t="inlineStr">
        <is>
          <t>,000000000</t>
        </is>
      </c>
      <c r="V285" t="inlineStr">
        <is>
          <t>,000000000</t>
        </is>
      </c>
      <c r="W285" t="inlineStr">
        <is>
          <t>,000000000</t>
        </is>
      </c>
      <c r="X285" t="inlineStr">
        <is>
          <t>,000000000</t>
        </is>
      </c>
      <c r="Y285" t="inlineStr">
        <is>
          <t>,000000000</t>
        </is>
      </c>
      <c r="Z285" t="inlineStr">
        <is>
          <t>,000000000</t>
        </is>
      </c>
      <c r="AA285" t="inlineStr">
        <is>
          <t>,000000000</t>
        </is>
      </c>
      <c r="AB285" t="inlineStr">
        <is>
          <t>4</t>
        </is>
      </c>
      <c r="AC285" t="inlineStr">
        <is>
          <t>4</t>
        </is>
      </c>
      <c r="AD285" s="3">
        <f>UPPER(C3)</f>
        <v/>
      </c>
      <c r="AE285" s="3">
        <f>VLOOKUP(E3,'[1]Nómina Agentes'!$C:$D,3,0)</f>
        <v/>
      </c>
      <c r="AF285" s="5">
        <f>F3</f>
        <v/>
      </c>
      <c r="AG285" s="5">
        <f>H3</f>
        <v/>
      </c>
    </row>
    <row r="286">
      <c r="A286" s="1" t="inlineStr">
        <is>
          <t>9/10/2024</t>
        </is>
      </c>
      <c r="B286" t="inlineStr">
        <is>
          <t>925</t>
        </is>
      </c>
      <c r="C286" t="inlineStr">
        <is>
          <t>S2S Premium</t>
        </is>
      </c>
      <c r="D286" t="inlineStr">
        <is>
          <t>P_Duran Oriana</t>
        </is>
      </c>
      <c r="E286" t="inlineStr">
        <is>
          <t>616238</t>
        </is>
      </c>
      <c r="F286" s="2" t="inlineStr">
        <is>
          <t>10:00</t>
        </is>
      </c>
      <c r="G286" t="inlineStr">
        <is>
          <t>-</t>
        </is>
      </c>
      <c r="H286" s="2" t="inlineStr">
        <is>
          <t>10:30</t>
        </is>
      </c>
      <c r="I286" t="inlineStr">
        <is>
          <t>913,000000000</t>
        </is>
      </c>
      <c r="J286" t="inlineStr">
        <is>
          <t>,000000000</t>
        </is>
      </c>
      <c r="K286" t="inlineStr">
        <is>
          <t>,000000000</t>
        </is>
      </c>
      <c r="L286" t="inlineStr">
        <is>
          <t>12,000000000</t>
        </is>
      </c>
      <c r="M286" t="inlineStr">
        <is>
          <t>,000000000</t>
        </is>
      </c>
      <c r="N286" t="inlineStr">
        <is>
          <t>,000000000</t>
        </is>
      </c>
      <c r="O286" t="inlineStr">
        <is>
          <t>,000000000</t>
        </is>
      </c>
      <c r="P286" t="inlineStr">
        <is>
          <t>360,000000000</t>
        </is>
      </c>
      <c r="Q286" t="inlineStr">
        <is>
          <t>1,000000000</t>
        </is>
      </c>
      <c r="R286" t="inlineStr">
        <is>
          <t>,000000000</t>
        </is>
      </c>
      <c r="S286" t="inlineStr">
        <is>
          <t>,000000000</t>
        </is>
      </c>
      <c r="T286" t="inlineStr">
        <is>
          <t>,000000000</t>
        </is>
      </c>
      <c r="U286" t="inlineStr">
        <is>
          <t>,000000000</t>
        </is>
      </c>
      <c r="V286" t="inlineStr">
        <is>
          <t>,000000000</t>
        </is>
      </c>
      <c r="W286" t="inlineStr">
        <is>
          <t>,000000000</t>
        </is>
      </c>
      <c r="X286" t="inlineStr">
        <is>
          <t>,000000000</t>
        </is>
      </c>
      <c r="Y286" t="inlineStr">
        <is>
          <t>,000000000</t>
        </is>
      </c>
      <c r="Z286" t="inlineStr">
        <is>
          <t>,000000000</t>
        </is>
      </c>
      <c r="AA286" t="inlineStr">
        <is>
          <t>,000000000</t>
        </is>
      </c>
      <c r="AB286" t="inlineStr">
        <is>
          <t>2</t>
        </is>
      </c>
      <c r="AC286" t="inlineStr">
        <is>
          <t>2</t>
        </is>
      </c>
      <c r="AD286" s="3">
        <f>UPPER(C3)</f>
        <v/>
      </c>
      <c r="AE286" s="3">
        <f>VLOOKUP(E3,'[1]Nómina Agentes'!$C:$D,3,0)</f>
        <v/>
      </c>
      <c r="AF286" s="5">
        <f>F3</f>
        <v/>
      </c>
      <c r="AG286" s="5">
        <f>H3</f>
        <v/>
      </c>
    </row>
    <row r="287">
      <c r="A287" s="1" t="inlineStr">
        <is>
          <t>9/10/2024</t>
        </is>
      </c>
      <c r="B287" t="inlineStr">
        <is>
          <t>925</t>
        </is>
      </c>
      <c r="C287" t="inlineStr">
        <is>
          <t>S2S Premium</t>
        </is>
      </c>
      <c r="D287" t="inlineStr">
        <is>
          <t>P_Duran Oriana</t>
        </is>
      </c>
      <c r="E287" t="inlineStr">
        <is>
          <t>616238</t>
        </is>
      </c>
      <c r="F287" s="2" t="inlineStr">
        <is>
          <t>09:00</t>
        </is>
      </c>
      <c r="G287" t="inlineStr">
        <is>
          <t>-</t>
        </is>
      </c>
      <c r="H287" s="2" t="inlineStr">
        <is>
          <t>09:30</t>
        </is>
      </c>
      <c r="I287" t="inlineStr">
        <is>
          <t>934,000000000</t>
        </is>
      </c>
      <c r="J287" t="inlineStr">
        <is>
          <t>,000000000</t>
        </is>
      </c>
      <c r="K287" t="inlineStr">
        <is>
          <t>,000000000</t>
        </is>
      </c>
      <c r="L287" t="inlineStr">
        <is>
          <t>12,000000000</t>
        </is>
      </c>
      <c r="M287" t="inlineStr">
        <is>
          <t>,000000000</t>
        </is>
      </c>
      <c r="N287" t="inlineStr">
        <is>
          <t>,000000000</t>
        </is>
      </c>
      <c r="O287" t="inlineStr">
        <is>
          <t>,000000000</t>
        </is>
      </c>
      <c r="P287" t="inlineStr">
        <is>
          <t>1,000000000</t>
        </is>
      </c>
      <c r="Q287" t="inlineStr">
        <is>
          <t>16,000000000</t>
        </is>
      </c>
      <c r="R287" t="inlineStr">
        <is>
          <t>,000000000</t>
        </is>
      </c>
      <c r="S287" t="inlineStr">
        <is>
          <t>,000000000</t>
        </is>
      </c>
      <c r="T287" t="inlineStr">
        <is>
          <t>,000000000</t>
        </is>
      </c>
      <c r="U287" t="inlineStr">
        <is>
          <t>,000000000</t>
        </is>
      </c>
      <c r="V287" t="inlineStr">
        <is>
          <t>,000000000</t>
        </is>
      </c>
      <c r="W287" t="inlineStr">
        <is>
          <t>,000000000</t>
        </is>
      </c>
      <c r="X287" t="inlineStr">
        <is>
          <t>,000000000</t>
        </is>
      </c>
      <c r="Y287" t="inlineStr">
        <is>
          <t>,000000000</t>
        </is>
      </c>
      <c r="Z287" t="inlineStr">
        <is>
          <t>,000000000</t>
        </is>
      </c>
      <c r="AA287" t="inlineStr">
        <is>
          <t>,000000000</t>
        </is>
      </c>
      <c r="AB287" t="inlineStr">
        <is>
          <t>3</t>
        </is>
      </c>
      <c r="AC287" t="inlineStr">
        <is>
          <t>2</t>
        </is>
      </c>
      <c r="AD287" s="3">
        <f>UPPER(C3)</f>
        <v/>
      </c>
      <c r="AE287" s="3">
        <f>VLOOKUP(E3,'[1]Nómina Agentes'!$C:$D,3,0)</f>
        <v/>
      </c>
      <c r="AF287" s="5">
        <f>F3</f>
        <v/>
      </c>
      <c r="AG287" s="5">
        <f>H3</f>
        <v/>
      </c>
    </row>
    <row r="288">
      <c r="A288" s="1" t="inlineStr">
        <is>
          <t>9/10/2024</t>
        </is>
      </c>
      <c r="B288" t="inlineStr">
        <is>
          <t>925</t>
        </is>
      </c>
      <c r="C288" t="inlineStr">
        <is>
          <t>S2S Premium</t>
        </is>
      </c>
      <c r="D288" t="inlineStr">
        <is>
          <t>P_Duran Oriana</t>
        </is>
      </c>
      <c r="E288" t="inlineStr">
        <is>
          <t>616238</t>
        </is>
      </c>
      <c r="F288" s="2" t="inlineStr">
        <is>
          <t>09:30</t>
        </is>
      </c>
      <c r="G288" t="inlineStr">
        <is>
          <t>-</t>
        </is>
      </c>
      <c r="H288" s="2" t="inlineStr">
        <is>
          <t>10:00</t>
        </is>
      </c>
      <c r="I288" t="inlineStr">
        <is>
          <t>991,000000000</t>
        </is>
      </c>
      <c r="J288" t="inlineStr">
        <is>
          <t>,000000000</t>
        </is>
      </c>
      <c r="K288" t="inlineStr">
        <is>
          <t>,000000000</t>
        </is>
      </c>
      <c r="L288" t="inlineStr">
        <is>
          <t>16,000000000</t>
        </is>
      </c>
      <c r="M288" t="inlineStr">
        <is>
          <t>,000000000</t>
        </is>
      </c>
      <c r="N288" t="inlineStr">
        <is>
          <t>,000000000</t>
        </is>
      </c>
      <c r="O288" t="inlineStr">
        <is>
          <t>,000000000</t>
        </is>
      </c>
      <c r="P288" t="inlineStr">
        <is>
          <t>465,000000000</t>
        </is>
      </c>
      <c r="Q288" t="inlineStr">
        <is>
          <t>173,000000000</t>
        </is>
      </c>
      <c r="R288" t="inlineStr">
        <is>
          <t>,000000000</t>
        </is>
      </c>
      <c r="S288" t="inlineStr">
        <is>
          <t>,000000000</t>
        </is>
      </c>
      <c r="T288" t="inlineStr">
        <is>
          <t>,000000000</t>
        </is>
      </c>
      <c r="U288" t="inlineStr">
        <is>
          <t>,000000000</t>
        </is>
      </c>
      <c r="V288" t="inlineStr">
        <is>
          <t>,000000000</t>
        </is>
      </c>
      <c r="W288" t="inlineStr">
        <is>
          <t>,000000000</t>
        </is>
      </c>
      <c r="X288" t="inlineStr">
        <is>
          <t>,000000000</t>
        </is>
      </c>
      <c r="Y288" t="inlineStr">
        <is>
          <t>,000000000</t>
        </is>
      </c>
      <c r="Z288" t="inlineStr">
        <is>
          <t>,000000000</t>
        </is>
      </c>
      <c r="AA288" t="inlineStr">
        <is>
          <t>,000000000</t>
        </is>
      </c>
      <c r="AB288" t="inlineStr">
        <is>
          <t>4</t>
        </is>
      </c>
      <c r="AC288" t="inlineStr">
        <is>
          <t>2</t>
        </is>
      </c>
      <c r="AD288" s="3">
        <f>UPPER(C3)</f>
        <v/>
      </c>
      <c r="AE288" s="3">
        <f>VLOOKUP(E3,'[1]Nómina Agentes'!$C:$D,3,0)</f>
        <v/>
      </c>
      <c r="AF288" s="5">
        <f>F3</f>
        <v/>
      </c>
      <c r="AG288" s="5">
        <f>H3</f>
        <v/>
      </c>
    </row>
    <row r="289">
      <c r="A289" s="1" t="inlineStr">
        <is>
          <t>9/10/2024</t>
        </is>
      </c>
      <c r="B289" t="inlineStr">
        <is>
          <t>925</t>
        </is>
      </c>
      <c r="C289" t="inlineStr">
        <is>
          <t>S2S Premium</t>
        </is>
      </c>
      <c r="D289" t="inlineStr">
        <is>
          <t>P_Duran Oriana</t>
        </is>
      </c>
      <c r="E289" t="inlineStr">
        <is>
          <t>616238</t>
        </is>
      </c>
      <c r="F289" s="2" t="inlineStr">
        <is>
          <t>10:30</t>
        </is>
      </c>
      <c r="G289" t="inlineStr">
        <is>
          <t>-</t>
        </is>
      </c>
      <c r="H289" s="2" t="inlineStr">
        <is>
          <t>11:00</t>
        </is>
      </c>
      <c r="I289" t="inlineStr">
        <is>
          <t>1416,000000000</t>
        </is>
      </c>
      <c r="J289" t="inlineStr">
        <is>
          <t>,000000000</t>
        </is>
      </c>
      <c r="K289" t="inlineStr">
        <is>
          <t>,000000000</t>
        </is>
      </c>
      <c r="L289" t="inlineStr">
        <is>
          <t>24,000000000</t>
        </is>
      </c>
      <c r="M289" t="inlineStr">
        <is>
          <t>,000000000</t>
        </is>
      </c>
      <c r="N289" t="inlineStr">
        <is>
          <t>,000000000</t>
        </is>
      </c>
      <c r="O289" t="inlineStr">
        <is>
          <t>,000000000</t>
        </is>
      </c>
      <c r="P289" t="inlineStr">
        <is>
          <t>,000000000</t>
        </is>
      </c>
      <c r="Q289" t="inlineStr">
        <is>
          <t>,000000000</t>
        </is>
      </c>
      <c r="R289" t="inlineStr">
        <is>
          <t>,000000000</t>
        </is>
      </c>
      <c r="S289" t="inlineStr">
        <is>
          <t>,000000000</t>
        </is>
      </c>
      <c r="T289" t="inlineStr">
        <is>
          <t>,000000000</t>
        </is>
      </c>
      <c r="U289" t="inlineStr">
        <is>
          <t>,000000000</t>
        </is>
      </c>
      <c r="V289" t="inlineStr">
        <is>
          <t>,000000000</t>
        </is>
      </c>
      <c r="W289" t="inlineStr">
        <is>
          <t>,000000000</t>
        </is>
      </c>
      <c r="X289" t="inlineStr">
        <is>
          <t>,000000000</t>
        </is>
      </c>
      <c r="Y289" t="inlineStr">
        <is>
          <t>,000000000</t>
        </is>
      </c>
      <c r="Z289" t="inlineStr">
        <is>
          <t>,000000000</t>
        </is>
      </c>
      <c r="AA289" t="inlineStr">
        <is>
          <t>,000000000</t>
        </is>
      </c>
      <c r="AB289" t="inlineStr">
        <is>
          <t>5</t>
        </is>
      </c>
      <c r="AC289" t="inlineStr">
        <is>
          <t>5</t>
        </is>
      </c>
      <c r="AD289" s="3">
        <f>UPPER(C3)</f>
        <v/>
      </c>
      <c r="AE289" s="3">
        <f>VLOOKUP(E3,'[1]Nómina Agentes'!$C:$D,3,0)</f>
        <v/>
      </c>
      <c r="AF289" s="5">
        <f>F3</f>
        <v/>
      </c>
      <c r="AG289" s="5">
        <f>H3</f>
        <v/>
      </c>
    </row>
    <row r="290">
      <c r="A290" s="1" t="inlineStr">
        <is>
          <t>9/10/2024</t>
        </is>
      </c>
      <c r="B290" t="inlineStr">
        <is>
          <t>924</t>
        </is>
      </c>
      <c r="C290" t="inlineStr">
        <is>
          <t>S2S No Premium</t>
        </is>
      </c>
      <c r="D290" t="inlineStr">
        <is>
          <t>N2e_Frias Miguel Ang</t>
        </is>
      </c>
      <c r="E290" t="inlineStr">
        <is>
          <t>616261</t>
        </is>
      </c>
      <c r="F290" s="2" t="inlineStr">
        <is>
          <t>08:30</t>
        </is>
      </c>
      <c r="G290" t="inlineStr">
        <is>
          <t>-</t>
        </is>
      </c>
      <c r="H290" s="2" t="inlineStr">
        <is>
          <t>09:00</t>
        </is>
      </c>
      <c r="I290" t="inlineStr">
        <is>
          <t>,000000000</t>
        </is>
      </c>
      <c r="J290" t="inlineStr">
        <is>
          <t>,000000000</t>
        </is>
      </c>
      <c r="K290" t="inlineStr">
        <is>
          <t>,000000000</t>
        </is>
      </c>
      <c r="L290" t="inlineStr">
        <is>
          <t>,000000000</t>
        </is>
      </c>
      <c r="M290" t="inlineStr">
        <is>
          <t>,000000000</t>
        </is>
      </c>
      <c r="N290" t="inlineStr">
        <is>
          <t>,000000000</t>
        </is>
      </c>
      <c r="O290" t="inlineStr">
        <is>
          <t>,000000000</t>
        </is>
      </c>
      <c r="P290" t="inlineStr">
        <is>
          <t>,000000000</t>
        </is>
      </c>
      <c r="Q290" t="inlineStr">
        <is>
          <t>,000000000</t>
        </is>
      </c>
      <c r="R290" t="inlineStr">
        <is>
          <t>,000000000</t>
        </is>
      </c>
      <c r="S290" t="inlineStr">
        <is>
          <t>,000000000</t>
        </is>
      </c>
      <c r="T290" t="inlineStr">
        <is>
          <t>,000000000</t>
        </is>
      </c>
      <c r="U290" t="inlineStr">
        <is>
          <t>,000000000</t>
        </is>
      </c>
      <c r="V290" t="inlineStr">
        <is>
          <t>,000000000</t>
        </is>
      </c>
      <c r="W290" t="inlineStr">
        <is>
          <t>,000000000</t>
        </is>
      </c>
      <c r="X290" t="inlineStr">
        <is>
          <t>,000000000</t>
        </is>
      </c>
      <c r="Y290" t="inlineStr">
        <is>
          <t>,000000000</t>
        </is>
      </c>
      <c r="Z290" t="inlineStr">
        <is>
          <t>,000000000</t>
        </is>
      </c>
      <c r="AA290" t="inlineStr">
        <is>
          <t>,000000000</t>
        </is>
      </c>
      <c r="AB290" t="inlineStr">
        <is>
          <t>0</t>
        </is>
      </c>
      <c r="AC290" t="inlineStr">
        <is>
          <t>0</t>
        </is>
      </c>
      <c r="AD290" s="3">
        <f>UPPER(C3)</f>
        <v/>
      </c>
      <c r="AE290" s="3">
        <f>VLOOKUP(E3,'[1]Nómina Agentes'!$C:$D,3,0)</f>
        <v/>
      </c>
      <c r="AF290" s="5">
        <f>F3</f>
        <v/>
      </c>
      <c r="AG290" s="5">
        <f>H3</f>
        <v/>
      </c>
    </row>
    <row r="291">
      <c r="A291" s="1" t="inlineStr">
        <is>
          <t>9/10/2024</t>
        </is>
      </c>
      <c r="B291" t="inlineStr">
        <is>
          <t>924</t>
        </is>
      </c>
      <c r="C291" t="inlineStr">
        <is>
          <t>S2S No Premium</t>
        </is>
      </c>
      <c r="D291" t="inlineStr">
        <is>
          <t>N2e_Frias Miguel Ang</t>
        </is>
      </c>
      <c r="E291" t="inlineStr">
        <is>
          <t>616261</t>
        </is>
      </c>
      <c r="F291" s="2" t="inlineStr">
        <is>
          <t>09:00</t>
        </is>
      </c>
      <c r="G291" t="inlineStr">
        <is>
          <t>-</t>
        </is>
      </c>
      <c r="H291" s="2" t="inlineStr">
        <is>
          <t>09:30</t>
        </is>
      </c>
      <c r="I291" t="inlineStr">
        <is>
          <t>1047,000000000</t>
        </is>
      </c>
      <c r="J291" t="inlineStr">
        <is>
          <t>,000000000</t>
        </is>
      </c>
      <c r="K291" t="inlineStr">
        <is>
          <t>,000000000</t>
        </is>
      </c>
      <c r="L291" t="inlineStr">
        <is>
          <t>11,000000000</t>
        </is>
      </c>
      <c r="M291" t="inlineStr">
        <is>
          <t>,000000000</t>
        </is>
      </c>
      <c r="N291" t="inlineStr">
        <is>
          <t>,000000000</t>
        </is>
      </c>
      <c r="O291" t="inlineStr">
        <is>
          <t>,000000000</t>
        </is>
      </c>
      <c r="P291" t="inlineStr">
        <is>
          <t>1,000000000</t>
        </is>
      </c>
      <c r="Q291" t="inlineStr">
        <is>
          <t>,000000000</t>
        </is>
      </c>
      <c r="R291" t="inlineStr">
        <is>
          <t>,000000000</t>
        </is>
      </c>
      <c r="S291" t="inlineStr">
        <is>
          <t>,000000000</t>
        </is>
      </c>
      <c r="T291" t="inlineStr">
        <is>
          <t>,000000000</t>
        </is>
      </c>
      <c r="U291" t="inlineStr">
        <is>
          <t>,000000000</t>
        </is>
      </c>
      <c r="V291" t="inlineStr">
        <is>
          <t>,000000000</t>
        </is>
      </c>
      <c r="W291" t="inlineStr">
        <is>
          <t>,000000000</t>
        </is>
      </c>
      <c r="X291" t="inlineStr">
        <is>
          <t>,000000000</t>
        </is>
      </c>
      <c r="Y291" t="inlineStr">
        <is>
          <t>,000000000</t>
        </is>
      </c>
      <c r="Z291" t="inlineStr">
        <is>
          <t>,000000000</t>
        </is>
      </c>
      <c r="AA291" t="inlineStr">
        <is>
          <t>,000000000</t>
        </is>
      </c>
      <c r="AB291" t="inlineStr">
        <is>
          <t>2</t>
        </is>
      </c>
      <c r="AC291" t="inlineStr">
        <is>
          <t>2</t>
        </is>
      </c>
      <c r="AD291" s="3">
        <f>UPPER(C3)</f>
        <v/>
      </c>
      <c r="AE291" s="3">
        <f>VLOOKUP(E3,'[1]Nómina Agentes'!$C:$D,3,0)</f>
        <v/>
      </c>
      <c r="AF291" s="5">
        <f>F3</f>
        <v/>
      </c>
      <c r="AG291" s="5">
        <f>H3</f>
        <v/>
      </c>
    </row>
    <row r="292">
      <c r="A292" s="1" t="inlineStr">
        <is>
          <t>9/10/2024</t>
        </is>
      </c>
      <c r="B292" t="inlineStr">
        <is>
          <t>924</t>
        </is>
      </c>
      <c r="C292" t="inlineStr">
        <is>
          <t>S2S No Premium</t>
        </is>
      </c>
      <c r="D292" t="inlineStr">
        <is>
          <t>N2e_Frias Miguel Ang</t>
        </is>
      </c>
      <c r="E292" t="inlineStr">
        <is>
          <t>616261</t>
        </is>
      </c>
      <c r="F292" s="2" t="inlineStr">
        <is>
          <t>10:00</t>
        </is>
      </c>
      <c r="G292" t="inlineStr">
        <is>
          <t>-</t>
        </is>
      </c>
      <c r="H292" s="2" t="inlineStr">
        <is>
          <t>10:30</t>
        </is>
      </c>
      <c r="I292" t="inlineStr">
        <is>
          <t>1088,000000000</t>
        </is>
      </c>
      <c r="J292" t="inlineStr">
        <is>
          <t>,000000000</t>
        </is>
      </c>
      <c r="K292" t="inlineStr">
        <is>
          <t>,000000000</t>
        </is>
      </c>
      <c r="L292" t="inlineStr">
        <is>
          <t>12,000000000</t>
        </is>
      </c>
      <c r="M292" t="inlineStr">
        <is>
          <t>,000000000</t>
        </is>
      </c>
      <c r="N292" t="inlineStr">
        <is>
          <t>,000000000</t>
        </is>
      </c>
      <c r="O292" t="inlineStr">
        <is>
          <t>,000000000</t>
        </is>
      </c>
      <c r="P292" t="inlineStr">
        <is>
          <t>1,000000000</t>
        </is>
      </c>
      <c r="Q292" t="inlineStr">
        <is>
          <t>1,000000000</t>
        </is>
      </c>
      <c r="R292" t="inlineStr">
        <is>
          <t>,000000000</t>
        </is>
      </c>
      <c r="S292" t="inlineStr">
        <is>
          <t>,000000000</t>
        </is>
      </c>
      <c r="T292" t="inlineStr">
        <is>
          <t>,000000000</t>
        </is>
      </c>
      <c r="U292" t="inlineStr">
        <is>
          <t>,000000000</t>
        </is>
      </c>
      <c r="V292" t="inlineStr">
        <is>
          <t>,000000000</t>
        </is>
      </c>
      <c r="W292" t="inlineStr">
        <is>
          <t>,000000000</t>
        </is>
      </c>
      <c r="X292" t="inlineStr">
        <is>
          <t>,000000000</t>
        </is>
      </c>
      <c r="Y292" t="inlineStr">
        <is>
          <t>,000000000</t>
        </is>
      </c>
      <c r="Z292" t="inlineStr">
        <is>
          <t>,000000000</t>
        </is>
      </c>
      <c r="AA292" t="inlineStr">
        <is>
          <t>,000000000</t>
        </is>
      </c>
      <c r="AB292" t="inlineStr">
        <is>
          <t>3</t>
        </is>
      </c>
      <c r="AC292" t="inlineStr">
        <is>
          <t>3</t>
        </is>
      </c>
      <c r="AD292" s="3">
        <f>UPPER(C3)</f>
        <v/>
      </c>
      <c r="AE292" s="3">
        <f>VLOOKUP(E3,'[1]Nómina Agentes'!$C:$D,3,0)</f>
        <v/>
      </c>
      <c r="AF292" s="5">
        <f>F3</f>
        <v/>
      </c>
      <c r="AG292" s="5">
        <f>H3</f>
        <v/>
      </c>
    </row>
    <row r="293">
      <c r="A293" s="1" t="inlineStr">
        <is>
          <t>9/10/2024</t>
        </is>
      </c>
      <c r="B293" t="inlineStr">
        <is>
          <t>924</t>
        </is>
      </c>
      <c r="C293" t="inlineStr">
        <is>
          <t>S2S No Premium</t>
        </is>
      </c>
      <c r="D293" t="inlineStr">
        <is>
          <t>N2e_Frias Miguel Ang</t>
        </is>
      </c>
      <c r="E293" t="inlineStr">
        <is>
          <t>616261</t>
        </is>
      </c>
      <c r="F293" s="2" t="inlineStr">
        <is>
          <t>09:30</t>
        </is>
      </c>
      <c r="G293" t="inlineStr">
        <is>
          <t>-</t>
        </is>
      </c>
      <c r="H293" s="2" t="inlineStr">
        <is>
          <t>10:00</t>
        </is>
      </c>
      <c r="I293" t="inlineStr">
        <is>
          <t>1131,000000000</t>
        </is>
      </c>
      <c r="J293" t="inlineStr">
        <is>
          <t>,000000000</t>
        </is>
      </c>
      <c r="K293" t="inlineStr">
        <is>
          <t>,000000000</t>
        </is>
      </c>
      <c r="L293" t="inlineStr">
        <is>
          <t>16,000000000</t>
        </is>
      </c>
      <c r="M293" t="inlineStr">
        <is>
          <t>,000000000</t>
        </is>
      </c>
      <c r="N293" t="inlineStr">
        <is>
          <t>,000000000</t>
        </is>
      </c>
      <c r="O293" t="inlineStr">
        <is>
          <t>,000000000</t>
        </is>
      </c>
      <c r="P293" t="inlineStr">
        <is>
          <t>164,000000000</t>
        </is>
      </c>
      <c r="Q293" t="inlineStr">
        <is>
          <t>162,000000000</t>
        </is>
      </c>
      <c r="R293" t="inlineStr">
        <is>
          <t>,000000000</t>
        </is>
      </c>
      <c r="S293" t="inlineStr">
        <is>
          <t>,000000000</t>
        </is>
      </c>
      <c r="T293" t="inlineStr">
        <is>
          <t>,000000000</t>
        </is>
      </c>
      <c r="U293" t="inlineStr">
        <is>
          <t>,000000000</t>
        </is>
      </c>
      <c r="V293" t="inlineStr">
        <is>
          <t>,000000000</t>
        </is>
      </c>
      <c r="W293" t="inlineStr">
        <is>
          <t>,000000000</t>
        </is>
      </c>
      <c r="X293" t="inlineStr">
        <is>
          <t>,000000000</t>
        </is>
      </c>
      <c r="Y293" t="inlineStr">
        <is>
          <t>,000000000</t>
        </is>
      </c>
      <c r="Z293" t="inlineStr">
        <is>
          <t>,000000000</t>
        </is>
      </c>
      <c r="AA293" t="inlineStr">
        <is>
          <t>,000000000</t>
        </is>
      </c>
      <c r="AB293" t="inlineStr">
        <is>
          <t>4</t>
        </is>
      </c>
      <c r="AC293" t="inlineStr">
        <is>
          <t>4</t>
        </is>
      </c>
      <c r="AD293" s="3">
        <f>UPPER(C3)</f>
        <v/>
      </c>
      <c r="AE293" s="3">
        <f>VLOOKUP(E3,'[1]Nómina Agentes'!$C:$D,3,0)</f>
        <v/>
      </c>
      <c r="AF293" s="5">
        <f>F3</f>
        <v/>
      </c>
      <c r="AG293" s="5">
        <f>H3</f>
        <v/>
      </c>
    </row>
    <row r="294">
      <c r="A294" s="1" t="inlineStr">
        <is>
          <t>9/10/2024</t>
        </is>
      </c>
      <c r="B294" t="inlineStr">
        <is>
          <t>924</t>
        </is>
      </c>
      <c r="C294" t="inlineStr">
        <is>
          <t>S2S No Premium</t>
        </is>
      </c>
      <c r="D294" t="inlineStr">
        <is>
          <t>N2e_Frias Miguel Ang</t>
        </is>
      </c>
      <c r="E294" t="inlineStr">
        <is>
          <t>616261</t>
        </is>
      </c>
      <c r="F294" s="2" t="inlineStr">
        <is>
          <t>10:30</t>
        </is>
      </c>
      <c r="G294" t="inlineStr">
        <is>
          <t>-</t>
        </is>
      </c>
      <c r="H294" s="2" t="inlineStr">
        <is>
          <t>11:00</t>
        </is>
      </c>
      <c r="I294" t="inlineStr">
        <is>
          <t>1562,000000000</t>
        </is>
      </c>
      <c r="J294" t="inlineStr">
        <is>
          <t>,000000000</t>
        </is>
      </c>
      <c r="K294" t="inlineStr">
        <is>
          <t>,000000000</t>
        </is>
      </c>
      <c r="L294" t="inlineStr">
        <is>
          <t>11,000000000</t>
        </is>
      </c>
      <c r="M294" t="inlineStr">
        <is>
          <t>,000000000</t>
        </is>
      </c>
      <c r="N294" t="inlineStr">
        <is>
          <t>,000000000</t>
        </is>
      </c>
      <c r="O294" t="inlineStr">
        <is>
          <t>,000000000</t>
        </is>
      </c>
      <c r="P294" t="inlineStr">
        <is>
          <t>165,000000000</t>
        </is>
      </c>
      <c r="Q294" t="inlineStr">
        <is>
          <t>140,000000000</t>
        </is>
      </c>
      <c r="R294" t="inlineStr">
        <is>
          <t>,000000000</t>
        </is>
      </c>
      <c r="S294" t="inlineStr">
        <is>
          <t>,000000000</t>
        </is>
      </c>
      <c r="T294" t="inlineStr">
        <is>
          <t>,000000000</t>
        </is>
      </c>
      <c r="U294" t="inlineStr">
        <is>
          <t>,000000000</t>
        </is>
      </c>
      <c r="V294" t="inlineStr">
        <is>
          <t>,000000000</t>
        </is>
      </c>
      <c r="W294" t="inlineStr">
        <is>
          <t>,000000000</t>
        </is>
      </c>
      <c r="X294" t="inlineStr">
        <is>
          <t>,000000000</t>
        </is>
      </c>
      <c r="Y294" t="inlineStr">
        <is>
          <t>,000000000</t>
        </is>
      </c>
      <c r="Z294" t="inlineStr">
        <is>
          <t>,000000000</t>
        </is>
      </c>
      <c r="AA294" t="inlineStr">
        <is>
          <t>,000000000</t>
        </is>
      </c>
      <c r="AB294" t="inlineStr">
        <is>
          <t>3</t>
        </is>
      </c>
      <c r="AC294" t="inlineStr">
        <is>
          <t>3</t>
        </is>
      </c>
      <c r="AD294" s="3">
        <f>UPPER(C3)</f>
        <v/>
      </c>
      <c r="AE294" s="3">
        <f>VLOOKUP(E3,'[1]Nómina Agentes'!$C:$D,3,0)</f>
        <v/>
      </c>
      <c r="AF294" s="5">
        <f>F3</f>
        <v/>
      </c>
      <c r="AG294" s="5">
        <f>H3</f>
        <v/>
      </c>
    </row>
    <row r="295">
      <c r="A295" s="1" t="inlineStr">
        <is>
          <t>9/10/2024</t>
        </is>
      </c>
      <c r="B295" t="inlineStr">
        <is>
          <t>924</t>
        </is>
      </c>
      <c r="C295" t="inlineStr">
        <is>
          <t>S2S No Premium</t>
        </is>
      </c>
      <c r="D295" t="inlineStr">
        <is>
          <t>N2e _Avalle Cyntia</t>
        </is>
      </c>
      <c r="E295" t="inlineStr">
        <is>
          <t>616370</t>
        </is>
      </c>
      <c r="F295" s="2" t="inlineStr">
        <is>
          <t>10:00</t>
        </is>
      </c>
      <c r="G295" t="inlineStr">
        <is>
          <t>-</t>
        </is>
      </c>
      <c r="H295" s="2" t="inlineStr">
        <is>
          <t>10:30</t>
        </is>
      </c>
      <c r="I295" t="inlineStr">
        <is>
          <t>817,000000000</t>
        </is>
      </c>
      <c r="J295" t="inlineStr">
        <is>
          <t>,000000000</t>
        </is>
      </c>
      <c r="K295" t="inlineStr">
        <is>
          <t>,000000000</t>
        </is>
      </c>
      <c r="L295" t="inlineStr">
        <is>
          <t>12,000000000</t>
        </is>
      </c>
      <c r="M295" t="inlineStr">
        <is>
          <t>,000000000</t>
        </is>
      </c>
      <c r="N295" t="inlineStr">
        <is>
          <t>,000000000</t>
        </is>
      </c>
      <c r="O295" t="inlineStr">
        <is>
          <t>,000000000</t>
        </is>
      </c>
      <c r="P295" t="inlineStr">
        <is>
          <t>1,000000000</t>
        </is>
      </c>
      <c r="Q295" t="inlineStr">
        <is>
          <t>,000000000</t>
        </is>
      </c>
      <c r="R295" t="inlineStr">
        <is>
          <t>,000000000</t>
        </is>
      </c>
      <c r="S295" t="inlineStr">
        <is>
          <t>,000000000</t>
        </is>
      </c>
      <c r="T295" t="inlineStr">
        <is>
          <t>,000000000</t>
        </is>
      </c>
      <c r="U295" t="inlineStr">
        <is>
          <t>,000000000</t>
        </is>
      </c>
      <c r="V295" t="inlineStr">
        <is>
          <t>,000000000</t>
        </is>
      </c>
      <c r="W295" t="inlineStr">
        <is>
          <t>,000000000</t>
        </is>
      </c>
      <c r="X295" t="inlineStr">
        <is>
          <t>,000000000</t>
        </is>
      </c>
      <c r="Y295" t="inlineStr">
        <is>
          <t>,000000000</t>
        </is>
      </c>
      <c r="Z295" t="inlineStr">
        <is>
          <t>,000000000</t>
        </is>
      </c>
      <c r="AA295" t="inlineStr">
        <is>
          <t>,000000000</t>
        </is>
      </c>
      <c r="AB295" t="inlineStr">
        <is>
          <t>3</t>
        </is>
      </c>
      <c r="AC295" t="inlineStr">
        <is>
          <t>2</t>
        </is>
      </c>
      <c r="AD295" s="3">
        <f>UPPER(C3)</f>
        <v/>
      </c>
      <c r="AE295" s="3">
        <f>VLOOKUP(E3,'[1]Nómina Agentes'!$C:$D,3,0)</f>
        <v/>
      </c>
      <c r="AF295" s="5">
        <f>F3</f>
        <v/>
      </c>
      <c r="AG295" s="5">
        <f>H3</f>
        <v/>
      </c>
    </row>
    <row r="296">
      <c r="A296" s="1" t="inlineStr">
        <is>
          <t>9/10/2024</t>
        </is>
      </c>
      <c r="B296" t="inlineStr">
        <is>
          <t>924</t>
        </is>
      </c>
      <c r="C296" t="inlineStr">
        <is>
          <t>S2S No Premium</t>
        </is>
      </c>
      <c r="D296" t="inlineStr">
        <is>
          <t>N2e _Avalle Cyntia</t>
        </is>
      </c>
      <c r="E296" t="inlineStr">
        <is>
          <t>616370</t>
        </is>
      </c>
      <c r="F296" s="2" t="inlineStr">
        <is>
          <t>09:00</t>
        </is>
      </c>
      <c r="G296" t="inlineStr">
        <is>
          <t>-</t>
        </is>
      </c>
      <c r="H296" s="2" t="inlineStr">
        <is>
          <t>09:30</t>
        </is>
      </c>
      <c r="I296" t="inlineStr">
        <is>
          <t>865,000000000</t>
        </is>
      </c>
      <c r="J296" t="inlineStr">
        <is>
          <t>,000000000</t>
        </is>
      </c>
      <c r="K296" t="inlineStr">
        <is>
          <t>,000000000</t>
        </is>
      </c>
      <c r="L296" t="inlineStr">
        <is>
          <t>18,000000000</t>
        </is>
      </c>
      <c r="M296" t="inlineStr">
        <is>
          <t>,000000000</t>
        </is>
      </c>
      <c r="N296" t="inlineStr">
        <is>
          <t>,000000000</t>
        </is>
      </c>
      <c r="O296" t="inlineStr">
        <is>
          <t>,000000000</t>
        </is>
      </c>
      <c r="P296" t="inlineStr">
        <is>
          <t>,000000000</t>
        </is>
      </c>
      <c r="Q296" t="inlineStr">
        <is>
          <t>,000000000</t>
        </is>
      </c>
      <c r="R296" t="inlineStr">
        <is>
          <t>,000000000</t>
        </is>
      </c>
      <c r="S296" t="inlineStr">
        <is>
          <t>,000000000</t>
        </is>
      </c>
      <c r="T296" t="inlineStr">
        <is>
          <t>,000000000</t>
        </is>
      </c>
      <c r="U296" t="inlineStr">
        <is>
          <t>,000000000</t>
        </is>
      </c>
      <c r="V296" t="inlineStr">
        <is>
          <t>,000000000</t>
        </is>
      </c>
      <c r="W296" t="inlineStr">
        <is>
          <t>,000000000</t>
        </is>
      </c>
      <c r="X296" t="inlineStr">
        <is>
          <t>,000000000</t>
        </is>
      </c>
      <c r="Y296" t="inlineStr">
        <is>
          <t>,000000000</t>
        </is>
      </c>
      <c r="Z296" t="inlineStr">
        <is>
          <t>,000000000</t>
        </is>
      </c>
      <c r="AA296" t="inlineStr">
        <is>
          <t>,000000000</t>
        </is>
      </c>
      <c r="AB296" t="inlineStr">
        <is>
          <t>4</t>
        </is>
      </c>
      <c r="AC296" t="inlineStr">
        <is>
          <t>4</t>
        </is>
      </c>
      <c r="AD296" s="3">
        <f>UPPER(C3)</f>
        <v/>
      </c>
      <c r="AE296" s="3">
        <f>VLOOKUP(E3,'[1]Nómina Agentes'!$C:$D,3,0)</f>
        <v/>
      </c>
      <c r="AF296" s="5">
        <f>F3</f>
        <v/>
      </c>
      <c r="AG296" s="5">
        <f>H3</f>
        <v/>
      </c>
    </row>
    <row r="297">
      <c r="A297" s="1" t="inlineStr">
        <is>
          <t>9/10/2024</t>
        </is>
      </c>
      <c r="B297" t="inlineStr">
        <is>
          <t>924</t>
        </is>
      </c>
      <c r="C297" t="inlineStr">
        <is>
          <t>S2S No Premium</t>
        </is>
      </c>
      <c r="D297" t="inlineStr">
        <is>
          <t>N2e _Avalle Cyntia</t>
        </is>
      </c>
      <c r="E297" t="inlineStr">
        <is>
          <t>616370</t>
        </is>
      </c>
      <c r="F297" s="2" t="inlineStr">
        <is>
          <t>10:30</t>
        </is>
      </c>
      <c r="G297" t="inlineStr">
        <is>
          <t>-</t>
        </is>
      </c>
      <c r="H297" s="2" t="inlineStr">
        <is>
          <t>11:00</t>
        </is>
      </c>
      <c r="I297" t="inlineStr">
        <is>
          <t>1336,000000000</t>
        </is>
      </c>
      <c r="J297" t="inlineStr">
        <is>
          <t>,000000000</t>
        </is>
      </c>
      <c r="K297" t="inlineStr">
        <is>
          <t>,000000000</t>
        </is>
      </c>
      <c r="L297" t="inlineStr">
        <is>
          <t>16,000000000</t>
        </is>
      </c>
      <c r="M297" t="inlineStr">
        <is>
          <t>,000000000</t>
        </is>
      </c>
      <c r="N297" t="inlineStr">
        <is>
          <t>,000000000</t>
        </is>
      </c>
      <c r="O297" t="inlineStr">
        <is>
          <t>,000000000</t>
        </is>
      </c>
      <c r="P297" t="inlineStr">
        <is>
          <t>295,000000000</t>
        </is>
      </c>
      <c r="Q297" t="inlineStr">
        <is>
          <t>107,000000000</t>
        </is>
      </c>
      <c r="R297" t="inlineStr">
        <is>
          <t>,000000000</t>
        </is>
      </c>
      <c r="S297" t="inlineStr">
        <is>
          <t>,000000000</t>
        </is>
      </c>
      <c r="T297" t="inlineStr">
        <is>
          <t>,000000000</t>
        </is>
      </c>
      <c r="U297" t="inlineStr">
        <is>
          <t>,000000000</t>
        </is>
      </c>
      <c r="V297" t="inlineStr">
        <is>
          <t>,000000000</t>
        </is>
      </c>
      <c r="W297" t="inlineStr">
        <is>
          <t>,000000000</t>
        </is>
      </c>
      <c r="X297" t="inlineStr">
        <is>
          <t>,000000000</t>
        </is>
      </c>
      <c r="Y297" t="inlineStr">
        <is>
          <t>,000000000</t>
        </is>
      </c>
      <c r="Z297" t="inlineStr">
        <is>
          <t>,000000000</t>
        </is>
      </c>
      <c r="AA297" t="inlineStr">
        <is>
          <t>,000000000</t>
        </is>
      </c>
      <c r="AB297" t="inlineStr">
        <is>
          <t>4</t>
        </is>
      </c>
      <c r="AC297" t="inlineStr">
        <is>
          <t>3</t>
        </is>
      </c>
      <c r="AD297" s="3">
        <f>UPPER(C3)</f>
        <v/>
      </c>
      <c r="AE297" s="3">
        <f>VLOOKUP(E3,'[1]Nómina Agentes'!$C:$D,3,0)</f>
        <v/>
      </c>
      <c r="AF297" s="5">
        <f>F3</f>
        <v/>
      </c>
      <c r="AG297" s="5">
        <f>H3</f>
        <v/>
      </c>
    </row>
    <row r="298">
      <c r="A298" s="1" t="inlineStr">
        <is>
          <t>9/10/2024</t>
        </is>
      </c>
      <c r="B298" t="inlineStr">
        <is>
          <t>924</t>
        </is>
      </c>
      <c r="C298" t="inlineStr">
        <is>
          <t>S2S No Premium</t>
        </is>
      </c>
      <c r="D298" t="inlineStr">
        <is>
          <t>N2e _Avalle Cyntia</t>
        </is>
      </c>
      <c r="E298" t="inlineStr">
        <is>
          <t>616370</t>
        </is>
      </c>
      <c r="F298" s="2" t="inlineStr">
        <is>
          <t>09:30</t>
        </is>
      </c>
      <c r="G298" t="inlineStr">
        <is>
          <t>-</t>
        </is>
      </c>
      <c r="H298" s="2" t="inlineStr">
        <is>
          <t>10:00</t>
        </is>
      </c>
      <c r="I298" t="inlineStr">
        <is>
          <t>1412,000000000</t>
        </is>
      </c>
      <c r="J298" t="inlineStr">
        <is>
          <t>,000000000</t>
        </is>
      </c>
      <c r="K298" t="inlineStr">
        <is>
          <t>,000000000</t>
        </is>
      </c>
      <c r="L298" t="inlineStr">
        <is>
          <t>22,000000000</t>
        </is>
      </c>
      <c r="M298" t="inlineStr">
        <is>
          <t>,000000000</t>
        </is>
      </c>
      <c r="N298" t="inlineStr">
        <is>
          <t>,000000000</t>
        </is>
      </c>
      <c r="O298" t="inlineStr">
        <is>
          <t>,000000000</t>
        </is>
      </c>
      <c r="P298" t="inlineStr">
        <is>
          <t>1,000000000</t>
        </is>
      </c>
      <c r="Q298" t="inlineStr">
        <is>
          <t>1,000000000</t>
        </is>
      </c>
      <c r="R298" t="inlineStr">
        <is>
          <t>,000000000</t>
        </is>
      </c>
      <c r="S298" t="inlineStr">
        <is>
          <t>,000000000</t>
        </is>
      </c>
      <c r="T298" t="inlineStr">
        <is>
          <t>,000000000</t>
        </is>
      </c>
      <c r="U298" t="inlineStr">
        <is>
          <t>,000000000</t>
        </is>
      </c>
      <c r="V298" t="inlineStr">
        <is>
          <t>,000000000</t>
        </is>
      </c>
      <c r="W298" t="inlineStr">
        <is>
          <t>,000000000</t>
        </is>
      </c>
      <c r="X298" t="inlineStr">
        <is>
          <t>,000000000</t>
        </is>
      </c>
      <c r="Y298" t="inlineStr">
        <is>
          <t>,000000000</t>
        </is>
      </c>
      <c r="Z298" t="inlineStr">
        <is>
          <t>,000000000</t>
        </is>
      </c>
      <c r="AA298" t="inlineStr">
        <is>
          <t>,000000000</t>
        </is>
      </c>
      <c r="AB298" t="inlineStr">
        <is>
          <t>4</t>
        </is>
      </c>
      <c r="AC298" t="inlineStr">
        <is>
          <t>4</t>
        </is>
      </c>
      <c r="AD298" s="3">
        <f>UPPER(C3)</f>
        <v/>
      </c>
      <c r="AE298" s="3">
        <f>VLOOKUP(E3,'[1]Nómina Agentes'!$C:$D,3,0)</f>
        <v/>
      </c>
      <c r="AF298" s="5">
        <f>F3</f>
        <v/>
      </c>
      <c r="AG298" s="5">
        <f>H3</f>
        <v/>
      </c>
    </row>
    <row r="299">
      <c r="A299" s="1" t="inlineStr">
        <is>
          <t>9/10/2024</t>
        </is>
      </c>
      <c r="B299" t="inlineStr">
        <is>
          <t>924</t>
        </is>
      </c>
      <c r="C299" t="inlineStr">
        <is>
          <t>S2S No Premium</t>
        </is>
      </c>
      <c r="D299" t="inlineStr">
        <is>
          <t>N1_Ponce Marcela</t>
        </is>
      </c>
      <c r="E299" t="inlineStr">
        <is>
          <t>616413</t>
        </is>
      </c>
      <c r="F299" s="2" t="inlineStr">
        <is>
          <t>10:30</t>
        </is>
      </c>
      <c r="G299" t="inlineStr">
        <is>
          <t>-</t>
        </is>
      </c>
      <c r="H299" s="2" t="inlineStr">
        <is>
          <t>11:00</t>
        </is>
      </c>
      <c r="I299" t="inlineStr">
        <is>
          <t>571,000000000</t>
        </is>
      </c>
      <c r="J299" t="inlineStr">
        <is>
          <t>,000000000</t>
        </is>
      </c>
      <c r="K299" t="inlineStr">
        <is>
          <t>,000000000</t>
        </is>
      </c>
      <c r="L299" t="inlineStr">
        <is>
          <t>12,000000000</t>
        </is>
      </c>
      <c r="M299" t="inlineStr">
        <is>
          <t>,000000000</t>
        </is>
      </c>
      <c r="N299" t="inlineStr">
        <is>
          <t>,000000000</t>
        </is>
      </c>
      <c r="O299" t="inlineStr">
        <is>
          <t>,000000000</t>
        </is>
      </c>
      <c r="P299" t="inlineStr">
        <is>
          <t>373,000000000</t>
        </is>
      </c>
      <c r="Q299" t="inlineStr">
        <is>
          <t>360,000000000</t>
        </is>
      </c>
      <c r="R299" t="inlineStr">
        <is>
          <t>,000000000</t>
        </is>
      </c>
      <c r="S299" t="inlineStr">
        <is>
          <t>,000000000</t>
        </is>
      </c>
      <c r="T299" t="inlineStr">
        <is>
          <t>,000000000</t>
        </is>
      </c>
      <c r="U299" t="inlineStr">
        <is>
          <t>,000000000</t>
        </is>
      </c>
      <c r="V299" t="inlineStr">
        <is>
          <t>,000000000</t>
        </is>
      </c>
      <c r="W299" t="inlineStr">
        <is>
          <t>,000000000</t>
        </is>
      </c>
      <c r="X299" t="inlineStr">
        <is>
          <t>,000000000</t>
        </is>
      </c>
      <c r="Y299" t="inlineStr">
        <is>
          <t>,000000000</t>
        </is>
      </c>
      <c r="Z299" t="inlineStr">
        <is>
          <t>,000000000</t>
        </is>
      </c>
      <c r="AA299" t="inlineStr">
        <is>
          <t>,000000000</t>
        </is>
      </c>
      <c r="AB299" t="inlineStr">
        <is>
          <t>4</t>
        </is>
      </c>
      <c r="AC299" t="inlineStr">
        <is>
          <t>3</t>
        </is>
      </c>
      <c r="AD299" s="3">
        <f>UPPER(C3)</f>
        <v/>
      </c>
      <c r="AE299" s="3">
        <f>VLOOKUP(E3,'[1]Nómina Agentes'!$C:$D,3,0)</f>
        <v/>
      </c>
      <c r="AF299" s="5">
        <f>F3</f>
        <v/>
      </c>
      <c r="AG299" s="5">
        <f>H3</f>
        <v/>
      </c>
    </row>
    <row r="300">
      <c r="A300" s="1" t="inlineStr">
        <is>
          <t>9/10/2024</t>
        </is>
      </c>
      <c r="B300" t="inlineStr">
        <is>
          <t>924</t>
        </is>
      </c>
      <c r="C300" t="inlineStr">
        <is>
          <t>S2S No Premium</t>
        </is>
      </c>
      <c r="D300" t="inlineStr">
        <is>
          <t>N1_Ponce Marcela</t>
        </is>
      </c>
      <c r="E300" t="inlineStr">
        <is>
          <t>616413</t>
        </is>
      </c>
      <c r="F300" s="2" t="inlineStr">
        <is>
          <t>09:00</t>
        </is>
      </c>
      <c r="G300" t="inlineStr">
        <is>
          <t>-</t>
        </is>
      </c>
      <c r="H300" s="2" t="inlineStr">
        <is>
          <t>09:30</t>
        </is>
      </c>
      <c r="I300" t="inlineStr">
        <is>
          <t>1001,000000000</t>
        </is>
      </c>
      <c r="J300" t="inlineStr">
        <is>
          <t>,000000000</t>
        </is>
      </c>
      <c r="K300" t="inlineStr">
        <is>
          <t>,000000000</t>
        </is>
      </c>
      <c r="L300" t="inlineStr">
        <is>
          <t>8,000000000</t>
        </is>
      </c>
      <c r="M300" t="inlineStr">
        <is>
          <t>,000000000</t>
        </is>
      </c>
      <c r="N300" t="inlineStr">
        <is>
          <t>,000000000</t>
        </is>
      </c>
      <c r="O300" t="inlineStr">
        <is>
          <t>,000000000</t>
        </is>
      </c>
      <c r="P300" t="inlineStr">
        <is>
          <t>1,000000000</t>
        </is>
      </c>
      <c r="Q300" t="inlineStr">
        <is>
          <t>1,000000000</t>
        </is>
      </c>
      <c r="R300" t="inlineStr">
        <is>
          <t>,000000000</t>
        </is>
      </c>
      <c r="S300" t="inlineStr">
        <is>
          <t>,000000000</t>
        </is>
      </c>
      <c r="T300" t="inlineStr">
        <is>
          <t>,000000000</t>
        </is>
      </c>
      <c r="U300" t="inlineStr">
        <is>
          <t>,000000000</t>
        </is>
      </c>
      <c r="V300" t="inlineStr">
        <is>
          <t>,000000000</t>
        </is>
      </c>
      <c r="W300" t="inlineStr">
        <is>
          <t>,000000000</t>
        </is>
      </c>
      <c r="X300" t="inlineStr">
        <is>
          <t>,000000000</t>
        </is>
      </c>
      <c r="Y300" t="inlineStr">
        <is>
          <t>,000000000</t>
        </is>
      </c>
      <c r="Z300" t="inlineStr">
        <is>
          <t>,000000000</t>
        </is>
      </c>
      <c r="AA300" t="inlineStr">
        <is>
          <t>,000000000</t>
        </is>
      </c>
      <c r="AB300" t="inlineStr">
        <is>
          <t>2</t>
        </is>
      </c>
      <c r="AC300" t="inlineStr">
        <is>
          <t>2</t>
        </is>
      </c>
      <c r="AD300" s="3">
        <f>UPPER(C3)</f>
        <v/>
      </c>
      <c r="AE300" s="3">
        <f>VLOOKUP(E3,'[1]Nómina Agentes'!$C:$D,3,0)</f>
        <v/>
      </c>
      <c r="AF300" s="5">
        <f>F3</f>
        <v/>
      </c>
      <c r="AG300" s="5">
        <f>H3</f>
        <v/>
      </c>
    </row>
    <row r="301">
      <c r="A301" s="1" t="inlineStr">
        <is>
          <t>9/10/2024</t>
        </is>
      </c>
      <c r="B301" t="inlineStr">
        <is>
          <t>924</t>
        </is>
      </c>
      <c r="C301" t="inlineStr">
        <is>
          <t>S2S No Premium</t>
        </is>
      </c>
      <c r="D301" t="inlineStr">
        <is>
          <t>N1_Ponce Marcela</t>
        </is>
      </c>
      <c r="E301" t="inlineStr">
        <is>
          <t>616413</t>
        </is>
      </c>
      <c r="F301" s="2" t="inlineStr">
        <is>
          <t>10:00</t>
        </is>
      </c>
      <c r="G301" t="inlineStr">
        <is>
          <t>-</t>
        </is>
      </c>
      <c r="H301" s="2" t="inlineStr">
        <is>
          <t>10:30</t>
        </is>
      </c>
      <c r="I301" t="inlineStr">
        <is>
          <t>1036,000000000</t>
        </is>
      </c>
      <c r="J301" t="inlineStr">
        <is>
          <t>,000000000</t>
        </is>
      </c>
      <c r="K301" t="inlineStr">
        <is>
          <t>,000000000</t>
        </is>
      </c>
      <c r="L301" t="inlineStr">
        <is>
          <t>12,000000000</t>
        </is>
      </c>
      <c r="M301" t="inlineStr">
        <is>
          <t>,000000000</t>
        </is>
      </c>
      <c r="N301" t="inlineStr">
        <is>
          <t>,000000000</t>
        </is>
      </c>
      <c r="O301" t="inlineStr">
        <is>
          <t>,000000000</t>
        </is>
      </c>
      <c r="P301" t="inlineStr">
        <is>
          <t>,000000000</t>
        </is>
      </c>
      <c r="Q301" t="inlineStr">
        <is>
          <t>,000000000</t>
        </is>
      </c>
      <c r="R301" t="inlineStr">
        <is>
          <t>,000000000</t>
        </is>
      </c>
      <c r="S301" t="inlineStr">
        <is>
          <t>,000000000</t>
        </is>
      </c>
      <c r="T301" t="inlineStr">
        <is>
          <t>,000000000</t>
        </is>
      </c>
      <c r="U301" t="inlineStr">
        <is>
          <t>,000000000</t>
        </is>
      </c>
      <c r="V301" t="inlineStr">
        <is>
          <t>,000000000</t>
        </is>
      </c>
      <c r="W301" t="inlineStr">
        <is>
          <t>,000000000</t>
        </is>
      </c>
      <c r="X301" t="inlineStr">
        <is>
          <t>,000000000</t>
        </is>
      </c>
      <c r="Y301" t="inlineStr">
        <is>
          <t>,000000000</t>
        </is>
      </c>
      <c r="Z301" t="inlineStr">
        <is>
          <t>,000000000</t>
        </is>
      </c>
      <c r="AA301" t="inlineStr">
        <is>
          <t>,000000000</t>
        </is>
      </c>
      <c r="AB301" t="inlineStr">
        <is>
          <t>3</t>
        </is>
      </c>
      <c r="AC301" t="inlineStr">
        <is>
          <t>3</t>
        </is>
      </c>
      <c r="AD301" s="3">
        <f>UPPER(C3)</f>
        <v/>
      </c>
      <c r="AE301" s="3">
        <f>VLOOKUP(E3,'[1]Nómina Agentes'!$C:$D,3,0)</f>
        <v/>
      </c>
      <c r="AF301" s="5">
        <f>F3</f>
        <v/>
      </c>
      <c r="AG301" s="5">
        <f>H3</f>
        <v/>
      </c>
    </row>
    <row r="302">
      <c r="A302" s="1" t="inlineStr">
        <is>
          <t>9/10/2024</t>
        </is>
      </c>
      <c r="B302" t="inlineStr">
        <is>
          <t>924</t>
        </is>
      </c>
      <c r="C302" t="inlineStr">
        <is>
          <t>S2S No Premium</t>
        </is>
      </c>
      <c r="D302" t="inlineStr">
        <is>
          <t>N1_Ponce Marcela</t>
        </is>
      </c>
      <c r="E302" t="inlineStr">
        <is>
          <t>616413</t>
        </is>
      </c>
      <c r="F302" s="2" t="inlineStr">
        <is>
          <t>09:30</t>
        </is>
      </c>
      <c r="G302" t="inlineStr">
        <is>
          <t>-</t>
        </is>
      </c>
      <c r="H302" s="2" t="inlineStr">
        <is>
          <t>10:00</t>
        </is>
      </c>
      <c r="I302" t="inlineStr">
        <is>
          <t>1251,000000000</t>
        </is>
      </c>
      <c r="J302" t="inlineStr">
        <is>
          <t>,000000000</t>
        </is>
      </c>
      <c r="K302" t="inlineStr">
        <is>
          <t>,000000000</t>
        </is>
      </c>
      <c r="L302" t="inlineStr">
        <is>
          <t>11,000000000</t>
        </is>
      </c>
      <c r="M302" t="inlineStr">
        <is>
          <t>,000000000</t>
        </is>
      </c>
      <c r="N302" t="inlineStr">
        <is>
          <t>,000000000</t>
        </is>
      </c>
      <c r="O302" t="inlineStr">
        <is>
          <t>,000000000</t>
        </is>
      </c>
      <c r="P302" t="inlineStr">
        <is>
          <t>1,000000000</t>
        </is>
      </c>
      <c r="Q302" t="inlineStr">
        <is>
          <t>,000000000</t>
        </is>
      </c>
      <c r="R302" t="inlineStr">
        <is>
          <t>,000000000</t>
        </is>
      </c>
      <c r="S302" t="inlineStr">
        <is>
          <t>,000000000</t>
        </is>
      </c>
      <c r="T302" t="inlineStr">
        <is>
          <t>,000000000</t>
        </is>
      </c>
      <c r="U302" t="inlineStr">
        <is>
          <t>,000000000</t>
        </is>
      </c>
      <c r="V302" t="inlineStr">
        <is>
          <t>,000000000</t>
        </is>
      </c>
      <c r="W302" t="inlineStr">
        <is>
          <t>,000000000</t>
        </is>
      </c>
      <c r="X302" t="inlineStr">
        <is>
          <t>,000000000</t>
        </is>
      </c>
      <c r="Y302" t="inlineStr">
        <is>
          <t>,000000000</t>
        </is>
      </c>
      <c r="Z302" t="inlineStr">
        <is>
          <t>,000000000</t>
        </is>
      </c>
      <c r="AA302" t="inlineStr">
        <is>
          <t>,000000000</t>
        </is>
      </c>
      <c r="AB302" t="inlineStr">
        <is>
          <t>2</t>
        </is>
      </c>
      <c r="AC302" t="inlineStr">
        <is>
          <t>1</t>
        </is>
      </c>
      <c r="AD302" s="3">
        <f>UPPER(C3)</f>
        <v/>
      </c>
      <c r="AE302" s="3">
        <f>VLOOKUP(E3,'[1]Nómina Agentes'!$C:$D,3,0)</f>
        <v/>
      </c>
      <c r="AF302" s="5">
        <f>F3</f>
        <v/>
      </c>
      <c r="AG302" s="5">
        <f>H3</f>
        <v/>
      </c>
    </row>
    <row r="303">
      <c r="A303" s="1" t="inlineStr">
        <is>
          <t>9/10/2024</t>
        </is>
      </c>
      <c r="B303" t="inlineStr">
        <is>
          <t>924</t>
        </is>
      </c>
      <c r="C303" t="inlineStr">
        <is>
          <t>S2S No Premium</t>
        </is>
      </c>
      <c r="D303" t="inlineStr">
        <is>
          <t>N1_Talavera Raquel</t>
        </is>
      </c>
      <c r="E303" t="inlineStr">
        <is>
          <t>616414</t>
        </is>
      </c>
      <c r="F303" s="2" t="inlineStr">
        <is>
          <t>10:00</t>
        </is>
      </c>
      <c r="G303" t="inlineStr">
        <is>
          <t>-</t>
        </is>
      </c>
      <c r="H303" s="2" t="inlineStr">
        <is>
          <t>10:30</t>
        </is>
      </c>
      <c r="I303" t="inlineStr">
        <is>
          <t>918,000000000</t>
        </is>
      </c>
      <c r="J303" t="inlineStr">
        <is>
          <t>,000000000</t>
        </is>
      </c>
      <c r="K303" t="inlineStr">
        <is>
          <t>,000000000</t>
        </is>
      </c>
      <c r="L303" t="inlineStr">
        <is>
          <t>12,000000000</t>
        </is>
      </c>
      <c r="M303" t="inlineStr">
        <is>
          <t>,000000000</t>
        </is>
      </c>
      <c r="N303" t="inlineStr">
        <is>
          <t>,000000000</t>
        </is>
      </c>
      <c r="O303" t="inlineStr">
        <is>
          <t>,000000000</t>
        </is>
      </c>
      <c r="P303" t="inlineStr">
        <is>
          <t>,000000000</t>
        </is>
      </c>
      <c r="Q303" t="inlineStr">
        <is>
          <t>,000000000</t>
        </is>
      </c>
      <c r="R303" t="inlineStr">
        <is>
          <t>,000000000</t>
        </is>
      </c>
      <c r="S303" t="inlineStr">
        <is>
          <t>,000000000</t>
        </is>
      </c>
      <c r="T303" t="inlineStr">
        <is>
          <t>,000000000</t>
        </is>
      </c>
      <c r="U303" t="inlineStr">
        <is>
          <t>,000000000</t>
        </is>
      </c>
      <c r="V303" t="inlineStr">
        <is>
          <t>,000000000</t>
        </is>
      </c>
      <c r="W303" t="inlineStr">
        <is>
          <t>,000000000</t>
        </is>
      </c>
      <c r="X303" t="inlineStr">
        <is>
          <t>,000000000</t>
        </is>
      </c>
      <c r="Y303" t="inlineStr">
        <is>
          <t>,000000000</t>
        </is>
      </c>
      <c r="Z303" t="inlineStr">
        <is>
          <t>,000000000</t>
        </is>
      </c>
      <c r="AA303" t="inlineStr">
        <is>
          <t>,000000000</t>
        </is>
      </c>
      <c r="AB303" t="inlineStr">
        <is>
          <t>4</t>
        </is>
      </c>
      <c r="AC303" t="inlineStr">
        <is>
          <t>3</t>
        </is>
      </c>
      <c r="AD303" s="3">
        <f>UPPER(C3)</f>
        <v/>
      </c>
      <c r="AE303" s="3">
        <f>VLOOKUP(E3,'[1]Nómina Agentes'!$C:$D,3,0)</f>
        <v/>
      </c>
      <c r="AF303" s="5">
        <f>F3</f>
        <v/>
      </c>
      <c r="AG303" s="5">
        <f>H3</f>
        <v/>
      </c>
    </row>
    <row r="304">
      <c r="A304" s="1" t="inlineStr">
        <is>
          <t>9/10/2024</t>
        </is>
      </c>
      <c r="B304" t="inlineStr">
        <is>
          <t>924</t>
        </is>
      </c>
      <c r="C304" t="inlineStr">
        <is>
          <t>S2S No Premium</t>
        </is>
      </c>
      <c r="D304" t="inlineStr">
        <is>
          <t>N1_Talavera Raquel</t>
        </is>
      </c>
      <c r="E304" t="inlineStr">
        <is>
          <t>616414</t>
        </is>
      </c>
      <c r="F304" s="2" t="inlineStr">
        <is>
          <t>09:00</t>
        </is>
      </c>
      <c r="G304" t="inlineStr">
        <is>
          <t>-</t>
        </is>
      </c>
      <c r="H304" s="2" t="inlineStr">
        <is>
          <t>09:30</t>
        </is>
      </c>
      <c r="I304" t="inlineStr">
        <is>
          <t>975,000000000</t>
        </is>
      </c>
      <c r="J304" t="inlineStr">
        <is>
          <t>,000000000</t>
        </is>
      </c>
      <c r="K304" t="inlineStr">
        <is>
          <t>,000000000</t>
        </is>
      </c>
      <c r="L304" t="inlineStr">
        <is>
          <t>13,000000000</t>
        </is>
      </c>
      <c r="M304" t="inlineStr">
        <is>
          <t>,000000000</t>
        </is>
      </c>
      <c r="N304" t="inlineStr">
        <is>
          <t>,000000000</t>
        </is>
      </c>
      <c r="O304" t="inlineStr">
        <is>
          <t>,000000000</t>
        </is>
      </c>
      <c r="P304" t="inlineStr">
        <is>
          <t>,000000000</t>
        </is>
      </c>
      <c r="Q304" t="inlineStr">
        <is>
          <t>,000000000</t>
        </is>
      </c>
      <c r="R304" t="inlineStr">
        <is>
          <t>,000000000</t>
        </is>
      </c>
      <c r="S304" t="inlineStr">
        <is>
          <t>,000000000</t>
        </is>
      </c>
      <c r="T304" t="inlineStr">
        <is>
          <t>,000000000</t>
        </is>
      </c>
      <c r="U304" t="inlineStr">
        <is>
          <t>,000000000</t>
        </is>
      </c>
      <c r="V304" t="inlineStr">
        <is>
          <t>,000000000</t>
        </is>
      </c>
      <c r="W304" t="inlineStr">
        <is>
          <t>,000000000</t>
        </is>
      </c>
      <c r="X304" t="inlineStr">
        <is>
          <t>,000000000</t>
        </is>
      </c>
      <c r="Y304" t="inlineStr">
        <is>
          <t>,000000000</t>
        </is>
      </c>
      <c r="Z304" t="inlineStr">
        <is>
          <t>,000000000</t>
        </is>
      </c>
      <c r="AA304" t="inlineStr">
        <is>
          <t>,000000000</t>
        </is>
      </c>
      <c r="AB304" t="inlineStr">
        <is>
          <t>3</t>
        </is>
      </c>
      <c r="AC304" t="inlineStr">
        <is>
          <t>3</t>
        </is>
      </c>
      <c r="AD304" s="3">
        <f>UPPER(C3)</f>
        <v/>
      </c>
      <c r="AE304" s="3">
        <f>VLOOKUP(E3,'[1]Nómina Agentes'!$C:$D,3,0)</f>
        <v/>
      </c>
      <c r="AF304" s="5">
        <f>F3</f>
        <v/>
      </c>
      <c r="AG304" s="5">
        <f>H3</f>
        <v/>
      </c>
    </row>
    <row r="305">
      <c r="A305" s="1" t="inlineStr">
        <is>
          <t>9/10/2024</t>
        </is>
      </c>
      <c r="B305" t="inlineStr">
        <is>
          <t>924</t>
        </is>
      </c>
      <c r="C305" t="inlineStr">
        <is>
          <t>S2S No Premium</t>
        </is>
      </c>
      <c r="D305" t="inlineStr">
        <is>
          <t>N1_Talavera Raquel</t>
        </is>
      </c>
      <c r="E305" t="inlineStr">
        <is>
          <t>616414</t>
        </is>
      </c>
      <c r="F305" s="2" t="inlineStr">
        <is>
          <t>10:30</t>
        </is>
      </c>
      <c r="G305" t="inlineStr">
        <is>
          <t>-</t>
        </is>
      </c>
      <c r="H305" s="2" t="inlineStr">
        <is>
          <t>11:00</t>
        </is>
      </c>
      <c r="I305" t="inlineStr">
        <is>
          <t>1392,000000000</t>
        </is>
      </c>
      <c r="J305" t="inlineStr">
        <is>
          <t>,000000000</t>
        </is>
      </c>
      <c r="K305" t="inlineStr">
        <is>
          <t>,000000000</t>
        </is>
      </c>
      <c r="L305" t="inlineStr">
        <is>
          <t>21,000000000</t>
        </is>
      </c>
      <c r="M305" t="inlineStr">
        <is>
          <t>,000000000</t>
        </is>
      </c>
      <c r="N305" t="inlineStr">
        <is>
          <t>,000000000</t>
        </is>
      </c>
      <c r="O305" t="inlineStr">
        <is>
          <t>,000000000</t>
        </is>
      </c>
      <c r="P305" t="inlineStr">
        <is>
          <t>3,000000000</t>
        </is>
      </c>
      <c r="Q305" t="inlineStr">
        <is>
          <t>2,000000000</t>
        </is>
      </c>
      <c r="R305" t="inlineStr">
        <is>
          <t>,000000000</t>
        </is>
      </c>
      <c r="S305" t="inlineStr">
        <is>
          <t>,000000000</t>
        </is>
      </c>
      <c r="T305" t="inlineStr">
        <is>
          <t>,000000000</t>
        </is>
      </c>
      <c r="U305" t="inlineStr">
        <is>
          <t>,000000000</t>
        </is>
      </c>
      <c r="V305" t="inlineStr">
        <is>
          <t>,000000000</t>
        </is>
      </c>
      <c r="W305" t="inlineStr">
        <is>
          <t>,000000000</t>
        </is>
      </c>
      <c r="X305" t="inlineStr">
        <is>
          <t>,000000000</t>
        </is>
      </c>
      <c r="Y305" t="inlineStr">
        <is>
          <t>,000000000</t>
        </is>
      </c>
      <c r="Z305" t="inlineStr">
        <is>
          <t>,000000000</t>
        </is>
      </c>
      <c r="AA305" t="inlineStr">
        <is>
          <t>,000000000</t>
        </is>
      </c>
      <c r="AB305" t="inlineStr">
        <is>
          <t>4</t>
        </is>
      </c>
      <c r="AC305" t="inlineStr">
        <is>
          <t>4</t>
        </is>
      </c>
      <c r="AD305" s="3">
        <f>UPPER(C3)</f>
        <v/>
      </c>
      <c r="AE305" s="3">
        <f>VLOOKUP(E3,'[1]Nómina Agentes'!$C:$D,3,0)</f>
        <v/>
      </c>
      <c r="AF305" s="5">
        <f>F3</f>
        <v/>
      </c>
      <c r="AG305" s="5">
        <f>H3</f>
        <v/>
      </c>
    </row>
    <row r="306">
      <c r="A306" s="1" t="inlineStr">
        <is>
          <t>9/10/2024</t>
        </is>
      </c>
      <c r="B306" t="inlineStr">
        <is>
          <t>924</t>
        </is>
      </c>
      <c r="C306" t="inlineStr">
        <is>
          <t>S2S No Premium</t>
        </is>
      </c>
      <c r="D306" t="inlineStr">
        <is>
          <t>N1_Talavera Raquel</t>
        </is>
      </c>
      <c r="E306" t="inlineStr">
        <is>
          <t>616414</t>
        </is>
      </c>
      <c r="F306" s="2" t="inlineStr">
        <is>
          <t>09:30</t>
        </is>
      </c>
      <c r="G306" t="inlineStr">
        <is>
          <t>-</t>
        </is>
      </c>
      <c r="H306" s="2" t="inlineStr">
        <is>
          <t>10:00</t>
        </is>
      </c>
      <c r="I306" t="inlineStr">
        <is>
          <t>1433,000000000</t>
        </is>
      </c>
      <c r="J306" t="inlineStr">
        <is>
          <t>,000000000</t>
        </is>
      </c>
      <c r="K306" t="inlineStr">
        <is>
          <t>,000000000</t>
        </is>
      </c>
      <c r="L306" t="inlineStr">
        <is>
          <t>11,000000000</t>
        </is>
      </c>
      <c r="M306" t="inlineStr">
        <is>
          <t>,000000000</t>
        </is>
      </c>
      <c r="N306" t="inlineStr">
        <is>
          <t>,000000000</t>
        </is>
      </c>
      <c r="O306" t="inlineStr">
        <is>
          <t>,000000000</t>
        </is>
      </c>
      <c r="P306" t="inlineStr">
        <is>
          <t>132,000000000</t>
        </is>
      </c>
      <c r="Q306" t="inlineStr">
        <is>
          <t>,000000000</t>
        </is>
      </c>
      <c r="R306" t="inlineStr">
        <is>
          <t>,000000000</t>
        </is>
      </c>
      <c r="S306" t="inlineStr">
        <is>
          <t>,000000000</t>
        </is>
      </c>
      <c r="T306" t="inlineStr">
        <is>
          <t>,000000000</t>
        </is>
      </c>
      <c r="U306" t="inlineStr">
        <is>
          <t>,000000000</t>
        </is>
      </c>
      <c r="V306" t="inlineStr">
        <is>
          <t>,000000000</t>
        </is>
      </c>
      <c r="W306" t="inlineStr">
        <is>
          <t>,000000000</t>
        </is>
      </c>
      <c r="X306" t="inlineStr">
        <is>
          <t>,000000000</t>
        </is>
      </c>
      <c r="Y306" t="inlineStr">
        <is>
          <t>,000000000</t>
        </is>
      </c>
      <c r="Z306" t="inlineStr">
        <is>
          <t>,000000000</t>
        </is>
      </c>
      <c r="AA306" t="inlineStr">
        <is>
          <t>,000000000</t>
        </is>
      </c>
      <c r="AB306" t="inlineStr">
        <is>
          <t>2</t>
        </is>
      </c>
      <c r="AC306" t="inlineStr">
        <is>
          <t>1</t>
        </is>
      </c>
      <c r="AD306" s="3">
        <f>UPPER(C3)</f>
        <v/>
      </c>
      <c r="AE306" s="3">
        <f>VLOOKUP(E3,'[1]Nómina Agentes'!$C:$D,3,0)</f>
        <v/>
      </c>
      <c r="AF306" s="5">
        <f>F3</f>
        <v/>
      </c>
      <c r="AG306" s="5">
        <f>H3</f>
        <v/>
      </c>
    </row>
    <row r="307">
      <c r="A307" s="1" t="inlineStr">
        <is>
          <t>9/10/2024</t>
        </is>
      </c>
      <c r="B307" t="inlineStr">
        <is>
          <t>924</t>
        </is>
      </c>
      <c r="C307" t="inlineStr">
        <is>
          <t>S2S No Premium</t>
        </is>
      </c>
      <c r="D307" t="inlineStr">
        <is>
          <t>N1_Di Benedetto Yam</t>
        </is>
      </c>
      <c r="E307" t="inlineStr">
        <is>
          <t>616433</t>
        </is>
      </c>
      <c r="F307" s="2" t="inlineStr">
        <is>
          <t>08:30</t>
        </is>
      </c>
      <c r="G307" t="inlineStr">
        <is>
          <t>-</t>
        </is>
      </c>
      <c r="H307" s="2" t="inlineStr">
        <is>
          <t>09:00</t>
        </is>
      </c>
      <c r="I307" t="inlineStr">
        <is>
          <t>,000000000</t>
        </is>
      </c>
      <c r="J307" t="inlineStr">
        <is>
          <t>,000000000</t>
        </is>
      </c>
      <c r="K307" t="inlineStr">
        <is>
          <t>,000000000</t>
        </is>
      </c>
      <c r="L307" t="inlineStr">
        <is>
          <t>,000000000</t>
        </is>
      </c>
      <c r="M307" t="inlineStr">
        <is>
          <t>,000000000</t>
        </is>
      </c>
      <c r="N307" t="inlineStr">
        <is>
          <t>,000000000</t>
        </is>
      </c>
      <c r="O307" t="inlineStr">
        <is>
          <t>,000000000</t>
        </is>
      </c>
      <c r="P307" t="inlineStr">
        <is>
          <t>,000000000</t>
        </is>
      </c>
      <c r="Q307" t="inlineStr">
        <is>
          <t>,000000000</t>
        </is>
      </c>
      <c r="R307" t="inlineStr">
        <is>
          <t>,000000000</t>
        </is>
      </c>
      <c r="S307" t="inlineStr">
        <is>
          <t>,000000000</t>
        </is>
      </c>
      <c r="T307" t="inlineStr">
        <is>
          <t>,000000000</t>
        </is>
      </c>
      <c r="U307" t="inlineStr">
        <is>
          <t>,000000000</t>
        </is>
      </c>
      <c r="V307" t="inlineStr">
        <is>
          <t>,000000000</t>
        </is>
      </c>
      <c r="W307" t="inlineStr">
        <is>
          <t>,000000000</t>
        </is>
      </c>
      <c r="X307" t="inlineStr">
        <is>
          <t>,000000000</t>
        </is>
      </c>
      <c r="Y307" t="inlineStr">
        <is>
          <t>,000000000</t>
        </is>
      </c>
      <c r="Z307" t="inlineStr">
        <is>
          <t>,000000000</t>
        </is>
      </c>
      <c r="AA307" t="inlineStr">
        <is>
          <t>,000000000</t>
        </is>
      </c>
      <c r="AB307" t="inlineStr">
        <is>
          <t>0</t>
        </is>
      </c>
      <c r="AC307" t="inlineStr">
        <is>
          <t>0</t>
        </is>
      </c>
      <c r="AD307" s="3">
        <f>UPPER(C3)</f>
        <v/>
      </c>
      <c r="AE307" s="3">
        <f>VLOOKUP(E3,'[1]Nómina Agentes'!$C:$D,3,0)</f>
        <v/>
      </c>
      <c r="AF307" s="5">
        <f>F3</f>
        <v/>
      </c>
      <c r="AG307" s="5">
        <f>H3</f>
        <v/>
      </c>
    </row>
    <row r="308">
      <c r="A308" s="1" t="inlineStr">
        <is>
          <t>9/10/2024</t>
        </is>
      </c>
      <c r="B308" t="inlineStr">
        <is>
          <t>924</t>
        </is>
      </c>
      <c r="C308" t="inlineStr">
        <is>
          <t>S2S No Premium</t>
        </is>
      </c>
      <c r="D308" t="inlineStr">
        <is>
          <t>N1_Di Benedetto Yam</t>
        </is>
      </c>
      <c r="E308" t="inlineStr">
        <is>
          <t>616433</t>
        </is>
      </c>
      <c r="F308" s="2" t="inlineStr">
        <is>
          <t>09:00</t>
        </is>
      </c>
      <c r="G308" t="inlineStr">
        <is>
          <t>-</t>
        </is>
      </c>
      <c r="H308" s="2" t="inlineStr">
        <is>
          <t>09:30</t>
        </is>
      </c>
      <c r="I308" t="inlineStr">
        <is>
          <t>770,000000000</t>
        </is>
      </c>
      <c r="J308" t="inlineStr">
        <is>
          <t>,000000000</t>
        </is>
      </c>
      <c r="K308" t="inlineStr">
        <is>
          <t>,000000000</t>
        </is>
      </c>
      <c r="L308" t="inlineStr">
        <is>
          <t>12,000000000</t>
        </is>
      </c>
      <c r="M308" t="inlineStr">
        <is>
          <t>,000000000</t>
        </is>
      </c>
      <c r="N308" t="inlineStr">
        <is>
          <t>,000000000</t>
        </is>
      </c>
      <c r="O308" t="inlineStr">
        <is>
          <t>,000000000</t>
        </is>
      </c>
      <c r="P308" t="inlineStr">
        <is>
          <t>408,000000000</t>
        </is>
      </c>
      <c r="Q308" t="inlineStr">
        <is>
          <t>333,000000000</t>
        </is>
      </c>
      <c r="R308" t="inlineStr">
        <is>
          <t>,000000000</t>
        </is>
      </c>
      <c r="S308" t="inlineStr">
        <is>
          <t>,000000000</t>
        </is>
      </c>
      <c r="T308" t="inlineStr">
        <is>
          <t>,000000000</t>
        </is>
      </c>
      <c r="U308" t="inlineStr">
        <is>
          <t>,000000000</t>
        </is>
      </c>
      <c r="V308" t="inlineStr">
        <is>
          <t>,000000000</t>
        </is>
      </c>
      <c r="W308" t="inlineStr">
        <is>
          <t>,000000000</t>
        </is>
      </c>
      <c r="X308" t="inlineStr">
        <is>
          <t>,000000000</t>
        </is>
      </c>
      <c r="Y308" t="inlineStr">
        <is>
          <t>,000000000</t>
        </is>
      </c>
      <c r="Z308" t="inlineStr">
        <is>
          <t>,000000000</t>
        </is>
      </c>
      <c r="AA308" t="inlineStr">
        <is>
          <t>,000000000</t>
        </is>
      </c>
      <c r="AB308" t="inlineStr">
        <is>
          <t>3</t>
        </is>
      </c>
      <c r="AC308" t="inlineStr">
        <is>
          <t>3</t>
        </is>
      </c>
      <c r="AD308" s="3">
        <f>UPPER(C3)</f>
        <v/>
      </c>
      <c r="AE308" s="3">
        <f>VLOOKUP(E3,'[1]Nómina Agentes'!$C:$D,3,0)</f>
        <v/>
      </c>
      <c r="AF308" s="5">
        <f>F3</f>
        <v/>
      </c>
      <c r="AG308" s="5">
        <f>H3</f>
        <v/>
      </c>
    </row>
    <row r="309">
      <c r="A309" s="1" t="inlineStr">
        <is>
          <t>9/10/2024</t>
        </is>
      </c>
      <c r="B309" t="inlineStr">
        <is>
          <t>924</t>
        </is>
      </c>
      <c r="C309" t="inlineStr">
        <is>
          <t>S2S No Premium</t>
        </is>
      </c>
      <c r="D309" t="inlineStr">
        <is>
          <t>N1_Di Benedetto Yam</t>
        </is>
      </c>
      <c r="E309" t="inlineStr">
        <is>
          <t>616433</t>
        </is>
      </c>
      <c r="F309" s="2" t="inlineStr">
        <is>
          <t>10:00</t>
        </is>
      </c>
      <c r="G309" t="inlineStr">
        <is>
          <t>-</t>
        </is>
      </c>
      <c r="H309" s="2" t="inlineStr">
        <is>
          <t>10:30</t>
        </is>
      </c>
      <c r="I309" t="inlineStr">
        <is>
          <t>822,000000000</t>
        </is>
      </c>
      <c r="J309" t="inlineStr">
        <is>
          <t>,000000000</t>
        </is>
      </c>
      <c r="K309" t="inlineStr">
        <is>
          <t>,000000000</t>
        </is>
      </c>
      <c r="L309" t="inlineStr">
        <is>
          <t>12,000000000</t>
        </is>
      </c>
      <c r="M309" t="inlineStr">
        <is>
          <t>,000000000</t>
        </is>
      </c>
      <c r="N309" t="inlineStr">
        <is>
          <t>,000000000</t>
        </is>
      </c>
      <c r="O309" t="inlineStr">
        <is>
          <t>,000000000</t>
        </is>
      </c>
      <c r="P309" t="inlineStr">
        <is>
          <t>,000000000</t>
        </is>
      </c>
      <c r="Q309" t="inlineStr">
        <is>
          <t>,000000000</t>
        </is>
      </c>
      <c r="R309" t="inlineStr">
        <is>
          <t>,000000000</t>
        </is>
      </c>
      <c r="S309" t="inlineStr">
        <is>
          <t>,000000000</t>
        </is>
      </c>
      <c r="T309" t="inlineStr">
        <is>
          <t>,000000000</t>
        </is>
      </c>
      <c r="U309" t="inlineStr">
        <is>
          <t>,000000000</t>
        </is>
      </c>
      <c r="V309" t="inlineStr">
        <is>
          <t>,000000000</t>
        </is>
      </c>
      <c r="W309" t="inlineStr">
        <is>
          <t>,000000000</t>
        </is>
      </c>
      <c r="X309" t="inlineStr">
        <is>
          <t>,000000000</t>
        </is>
      </c>
      <c r="Y309" t="inlineStr">
        <is>
          <t>,000000000</t>
        </is>
      </c>
      <c r="Z309" t="inlineStr">
        <is>
          <t>,000000000</t>
        </is>
      </c>
      <c r="AA309" t="inlineStr">
        <is>
          <t>,000000000</t>
        </is>
      </c>
      <c r="AB309" t="inlineStr">
        <is>
          <t>4</t>
        </is>
      </c>
      <c r="AC309" t="inlineStr">
        <is>
          <t>4</t>
        </is>
      </c>
      <c r="AD309" s="3">
        <f>UPPER(C3)</f>
        <v/>
      </c>
      <c r="AE309" s="3">
        <f>VLOOKUP(E3,'[1]Nómina Agentes'!$C:$D,3,0)</f>
        <v/>
      </c>
      <c r="AF309" s="5">
        <f>F3</f>
        <v/>
      </c>
      <c r="AG309" s="5">
        <f>H3</f>
        <v/>
      </c>
    </row>
    <row r="310">
      <c r="A310" s="1" t="inlineStr">
        <is>
          <t>9/10/2024</t>
        </is>
      </c>
      <c r="B310" t="inlineStr">
        <is>
          <t>924</t>
        </is>
      </c>
      <c r="C310" t="inlineStr">
        <is>
          <t>S2S No Premium</t>
        </is>
      </c>
      <c r="D310" t="inlineStr">
        <is>
          <t>N1_Di Benedetto Yam</t>
        </is>
      </c>
      <c r="E310" t="inlineStr">
        <is>
          <t>616433</t>
        </is>
      </c>
      <c r="F310" s="2" t="inlineStr">
        <is>
          <t>10:30</t>
        </is>
      </c>
      <c r="G310" t="inlineStr">
        <is>
          <t>-</t>
        </is>
      </c>
      <c r="H310" s="2" t="inlineStr">
        <is>
          <t>11:00</t>
        </is>
      </c>
      <c r="I310" t="inlineStr">
        <is>
          <t>1323,000000000</t>
        </is>
      </c>
      <c r="J310" t="inlineStr">
        <is>
          <t>,000000000</t>
        </is>
      </c>
      <c r="K310" t="inlineStr">
        <is>
          <t>,000000000</t>
        </is>
      </c>
      <c r="L310" t="inlineStr">
        <is>
          <t>11,000000000</t>
        </is>
      </c>
      <c r="M310" t="inlineStr">
        <is>
          <t>,000000000</t>
        </is>
      </c>
      <c r="N310" t="inlineStr">
        <is>
          <t>,000000000</t>
        </is>
      </c>
      <c r="O310" t="inlineStr">
        <is>
          <t>,000000000</t>
        </is>
      </c>
      <c r="P310" t="inlineStr">
        <is>
          <t>104,000000000</t>
        </is>
      </c>
      <c r="Q310" t="inlineStr">
        <is>
          <t>,000000000</t>
        </is>
      </c>
      <c r="R310" t="inlineStr">
        <is>
          <t>,000000000</t>
        </is>
      </c>
      <c r="S310" t="inlineStr">
        <is>
          <t>,000000000</t>
        </is>
      </c>
      <c r="T310" t="inlineStr">
        <is>
          <t>,000000000</t>
        </is>
      </c>
      <c r="U310" t="inlineStr">
        <is>
          <t>,000000000</t>
        </is>
      </c>
      <c r="V310" t="inlineStr">
        <is>
          <t>,000000000</t>
        </is>
      </c>
      <c r="W310" t="inlineStr">
        <is>
          <t>,000000000</t>
        </is>
      </c>
      <c r="X310" t="inlineStr">
        <is>
          <t>,000000000</t>
        </is>
      </c>
      <c r="Y310" t="inlineStr">
        <is>
          <t>,000000000</t>
        </is>
      </c>
      <c r="Z310" t="inlineStr">
        <is>
          <t>,000000000</t>
        </is>
      </c>
      <c r="AA310" t="inlineStr">
        <is>
          <t>,000000000</t>
        </is>
      </c>
      <c r="AB310" t="inlineStr">
        <is>
          <t>2</t>
        </is>
      </c>
      <c r="AC310" t="inlineStr">
        <is>
          <t>2</t>
        </is>
      </c>
      <c r="AD310" s="3">
        <f>UPPER(C3)</f>
        <v/>
      </c>
      <c r="AE310" s="3">
        <f>VLOOKUP(E3,'[1]Nómina Agentes'!$C:$D,3,0)</f>
        <v/>
      </c>
      <c r="AF310" s="5">
        <f>F3</f>
        <v/>
      </c>
      <c r="AG310" s="5">
        <f>H3</f>
        <v/>
      </c>
    </row>
    <row r="311">
      <c r="A311" s="1" t="inlineStr">
        <is>
          <t>9/10/2024</t>
        </is>
      </c>
      <c r="B311" t="inlineStr">
        <is>
          <t>924</t>
        </is>
      </c>
      <c r="C311" t="inlineStr">
        <is>
          <t>S2S No Premium</t>
        </is>
      </c>
      <c r="D311" t="inlineStr">
        <is>
          <t>N1_Di Benedetto Yam</t>
        </is>
      </c>
      <c r="E311" t="inlineStr">
        <is>
          <t>616433</t>
        </is>
      </c>
      <c r="F311" s="2" t="inlineStr">
        <is>
          <t>09:30</t>
        </is>
      </c>
      <c r="G311" t="inlineStr">
        <is>
          <t>-</t>
        </is>
      </c>
      <c r="H311" s="2" t="inlineStr">
        <is>
          <t>10:00</t>
        </is>
      </c>
      <c r="I311" t="inlineStr">
        <is>
          <t>1422,000000000</t>
        </is>
      </c>
      <c r="J311" t="inlineStr">
        <is>
          <t>,000000000</t>
        </is>
      </c>
      <c r="K311" t="inlineStr">
        <is>
          <t>,000000000</t>
        </is>
      </c>
      <c r="L311" t="inlineStr">
        <is>
          <t>12,000000000</t>
        </is>
      </c>
      <c r="M311" t="inlineStr">
        <is>
          <t>,000000000</t>
        </is>
      </c>
      <c r="N311" t="inlineStr">
        <is>
          <t>,000000000</t>
        </is>
      </c>
      <c r="O311" t="inlineStr">
        <is>
          <t>,000000000</t>
        </is>
      </c>
      <c r="P311" t="inlineStr">
        <is>
          <t>,000000000</t>
        </is>
      </c>
      <c r="Q311" t="inlineStr">
        <is>
          <t>,000000000</t>
        </is>
      </c>
      <c r="R311" t="inlineStr">
        <is>
          <t>,000000000</t>
        </is>
      </c>
      <c r="S311" t="inlineStr">
        <is>
          <t>,000000000</t>
        </is>
      </c>
      <c r="T311" t="inlineStr">
        <is>
          <t>,000000000</t>
        </is>
      </c>
      <c r="U311" t="inlineStr">
        <is>
          <t>,000000000</t>
        </is>
      </c>
      <c r="V311" t="inlineStr">
        <is>
          <t>,000000000</t>
        </is>
      </c>
      <c r="W311" t="inlineStr">
        <is>
          <t>,000000000</t>
        </is>
      </c>
      <c r="X311" t="inlineStr">
        <is>
          <t>,000000000</t>
        </is>
      </c>
      <c r="Y311" t="inlineStr">
        <is>
          <t>,000000000</t>
        </is>
      </c>
      <c r="Z311" t="inlineStr">
        <is>
          <t>,000000000</t>
        </is>
      </c>
      <c r="AA311" t="inlineStr">
        <is>
          <t>,000000000</t>
        </is>
      </c>
      <c r="AB311" t="inlineStr">
        <is>
          <t>2</t>
        </is>
      </c>
      <c r="AC311" t="inlineStr">
        <is>
          <t>2</t>
        </is>
      </c>
      <c r="AD311" s="3">
        <f>UPPER(C3)</f>
        <v/>
      </c>
      <c r="AE311" s="3">
        <f>VLOOKUP(E3,'[1]Nómina Agentes'!$C:$D,3,0)</f>
        <v/>
      </c>
      <c r="AF311" s="5">
        <f>F3</f>
        <v/>
      </c>
      <c r="AG311" s="5">
        <f>H3</f>
        <v/>
      </c>
    </row>
    <row r="312">
      <c r="A312" s="1" t="inlineStr">
        <is>
          <t>9/10/2024</t>
        </is>
      </c>
      <c r="B312" t="inlineStr">
        <is>
          <t>924</t>
        </is>
      </c>
      <c r="C312" t="inlineStr">
        <is>
          <t>S2S No Premium</t>
        </is>
      </c>
      <c r="D312" t="inlineStr">
        <is>
          <t>N1r_Cerdan Lucia Bel</t>
        </is>
      </c>
      <c r="E312" t="inlineStr">
        <is>
          <t>616457</t>
        </is>
      </c>
      <c r="F312" s="2" t="inlineStr">
        <is>
          <t>09:00</t>
        </is>
      </c>
      <c r="G312" t="inlineStr">
        <is>
          <t>-</t>
        </is>
      </c>
      <c r="H312" s="2" t="inlineStr">
        <is>
          <t>09:30</t>
        </is>
      </c>
      <c r="I312" t="inlineStr">
        <is>
          <t>904,000000000</t>
        </is>
      </c>
      <c r="J312" t="inlineStr">
        <is>
          <t>4,000000000</t>
        </is>
      </c>
      <c r="K312" t="inlineStr">
        <is>
          <t>,000000000</t>
        </is>
      </c>
      <c r="L312" t="inlineStr">
        <is>
          <t>11,000000000</t>
        </is>
      </c>
      <c r="M312" t="inlineStr">
        <is>
          <t>,000000000</t>
        </is>
      </c>
      <c r="N312" t="inlineStr">
        <is>
          <t>,000000000</t>
        </is>
      </c>
      <c r="O312" t="inlineStr">
        <is>
          <t>,000000000</t>
        </is>
      </c>
      <c r="P312" t="inlineStr">
        <is>
          <t>78,000000000</t>
        </is>
      </c>
      <c r="Q312" t="inlineStr">
        <is>
          <t>,000000000</t>
        </is>
      </c>
      <c r="R312" t="inlineStr">
        <is>
          <t>,000000000</t>
        </is>
      </c>
      <c r="S312" t="inlineStr">
        <is>
          <t>,000000000</t>
        </is>
      </c>
      <c r="T312" t="inlineStr">
        <is>
          <t>,000000000</t>
        </is>
      </c>
      <c r="U312" t="inlineStr">
        <is>
          <t>,000000000</t>
        </is>
      </c>
      <c r="V312" t="inlineStr">
        <is>
          <t>,000000000</t>
        </is>
      </c>
      <c r="W312" t="inlineStr">
        <is>
          <t>,000000000</t>
        </is>
      </c>
      <c r="X312" t="inlineStr">
        <is>
          <t>,000000000</t>
        </is>
      </c>
      <c r="Y312" t="inlineStr">
        <is>
          <t>,000000000</t>
        </is>
      </c>
      <c r="Z312" t="inlineStr">
        <is>
          <t>,000000000</t>
        </is>
      </c>
      <c r="AA312" t="inlineStr">
        <is>
          <t>,000000000</t>
        </is>
      </c>
      <c r="AB312" t="inlineStr">
        <is>
          <t>2</t>
        </is>
      </c>
      <c r="AC312" t="inlineStr">
        <is>
          <t>2</t>
        </is>
      </c>
      <c r="AD312" s="3">
        <f>UPPER(C3)</f>
        <v/>
      </c>
      <c r="AE312" s="3">
        <f>VLOOKUP(E3,'[1]Nómina Agentes'!$C:$D,3,0)</f>
        <v/>
      </c>
      <c r="AF312" s="5">
        <f>F3</f>
        <v/>
      </c>
      <c r="AG312" s="5">
        <f>H3</f>
        <v/>
      </c>
    </row>
    <row r="313">
      <c r="A313" s="1" t="inlineStr">
        <is>
          <t>9/10/2024</t>
        </is>
      </c>
      <c r="B313" t="inlineStr">
        <is>
          <t>924</t>
        </is>
      </c>
      <c r="C313" t="inlineStr">
        <is>
          <t>S2S No Premium</t>
        </is>
      </c>
      <c r="D313" t="inlineStr">
        <is>
          <t>N1r_Cerdan Lucia Bel</t>
        </is>
      </c>
      <c r="E313" t="inlineStr">
        <is>
          <t>616457</t>
        </is>
      </c>
      <c r="F313" s="2" t="inlineStr">
        <is>
          <t>10:00</t>
        </is>
      </c>
      <c r="G313" t="inlineStr">
        <is>
          <t>-</t>
        </is>
      </c>
      <c r="H313" s="2" t="inlineStr">
        <is>
          <t>10:30</t>
        </is>
      </c>
      <c r="I313" t="inlineStr">
        <is>
          <t>1035,000000000</t>
        </is>
      </c>
      <c r="J313" t="inlineStr">
        <is>
          <t>,000000000</t>
        </is>
      </c>
      <c r="K313" t="inlineStr">
        <is>
          <t>,000000000</t>
        </is>
      </c>
      <c r="L313" t="inlineStr">
        <is>
          <t>12,000000000</t>
        </is>
      </c>
      <c r="M313" t="inlineStr">
        <is>
          <t>,000000000</t>
        </is>
      </c>
      <c r="N313" t="inlineStr">
        <is>
          <t>,000000000</t>
        </is>
      </c>
      <c r="O313" t="inlineStr">
        <is>
          <t>,000000000</t>
        </is>
      </c>
      <c r="P313" t="inlineStr">
        <is>
          <t>120,000000000</t>
        </is>
      </c>
      <c r="Q313" t="inlineStr">
        <is>
          <t>110,000000000</t>
        </is>
      </c>
      <c r="R313" t="inlineStr">
        <is>
          <t>,000000000</t>
        </is>
      </c>
      <c r="S313" t="inlineStr">
        <is>
          <t>,000000000</t>
        </is>
      </c>
      <c r="T313" t="inlineStr">
        <is>
          <t>,000000000</t>
        </is>
      </c>
      <c r="U313" t="inlineStr">
        <is>
          <t>,000000000</t>
        </is>
      </c>
      <c r="V313" t="inlineStr">
        <is>
          <t>,000000000</t>
        </is>
      </c>
      <c r="W313" t="inlineStr">
        <is>
          <t>,000000000</t>
        </is>
      </c>
      <c r="X313" t="inlineStr">
        <is>
          <t>,000000000</t>
        </is>
      </c>
      <c r="Y313" t="inlineStr">
        <is>
          <t>,000000000</t>
        </is>
      </c>
      <c r="Z313" t="inlineStr">
        <is>
          <t>,000000000</t>
        </is>
      </c>
      <c r="AA313" t="inlineStr">
        <is>
          <t>,000000000</t>
        </is>
      </c>
      <c r="AB313" t="inlineStr">
        <is>
          <t>3</t>
        </is>
      </c>
      <c r="AC313" t="inlineStr">
        <is>
          <t>3</t>
        </is>
      </c>
      <c r="AD313" s="3">
        <f>UPPER(C3)</f>
        <v/>
      </c>
      <c r="AE313" s="3">
        <f>VLOOKUP(E3,'[1]Nómina Agentes'!$C:$D,3,0)</f>
        <v/>
      </c>
      <c r="AF313" s="5">
        <f>F3</f>
        <v/>
      </c>
      <c r="AG313" s="5">
        <f>H3</f>
        <v/>
      </c>
    </row>
    <row r="314">
      <c r="A314" s="1" t="inlineStr">
        <is>
          <t>9/10/2024</t>
        </is>
      </c>
      <c r="B314" t="inlineStr">
        <is>
          <t>924</t>
        </is>
      </c>
      <c r="C314" t="inlineStr">
        <is>
          <t>S2S No Premium</t>
        </is>
      </c>
      <c r="D314" t="inlineStr">
        <is>
          <t>N1r_Cerdan Lucia Bel</t>
        </is>
      </c>
      <c r="E314" t="inlineStr">
        <is>
          <t>616457</t>
        </is>
      </c>
      <c r="F314" s="2" t="inlineStr">
        <is>
          <t>09:30</t>
        </is>
      </c>
      <c r="G314" t="inlineStr">
        <is>
          <t>-</t>
        </is>
      </c>
      <c r="H314" s="2" t="inlineStr">
        <is>
          <t>10:00</t>
        </is>
      </c>
      <c r="I314" t="inlineStr">
        <is>
          <t>1146,000000000</t>
        </is>
      </c>
      <c r="J314" t="inlineStr">
        <is>
          <t>,000000000</t>
        </is>
      </c>
      <c r="K314" t="inlineStr">
        <is>
          <t>,000000000</t>
        </is>
      </c>
      <c r="L314" t="inlineStr">
        <is>
          <t>18,000000000</t>
        </is>
      </c>
      <c r="M314" t="inlineStr">
        <is>
          <t>,000000000</t>
        </is>
      </c>
      <c r="N314" t="inlineStr">
        <is>
          <t>,000000000</t>
        </is>
      </c>
      <c r="O314" t="inlineStr">
        <is>
          <t>,000000000</t>
        </is>
      </c>
      <c r="P314" t="inlineStr">
        <is>
          <t>1,000000000</t>
        </is>
      </c>
      <c r="Q314" t="inlineStr">
        <is>
          <t>1,000000000</t>
        </is>
      </c>
      <c r="R314" t="inlineStr">
        <is>
          <t>,000000000</t>
        </is>
      </c>
      <c r="S314" t="inlineStr">
        <is>
          <t>,000000000</t>
        </is>
      </c>
      <c r="T314" t="inlineStr">
        <is>
          <t>,000000000</t>
        </is>
      </c>
      <c r="U314" t="inlineStr">
        <is>
          <t>,000000000</t>
        </is>
      </c>
      <c r="V314" t="inlineStr">
        <is>
          <t>,000000000</t>
        </is>
      </c>
      <c r="W314" t="inlineStr">
        <is>
          <t>,000000000</t>
        </is>
      </c>
      <c r="X314" t="inlineStr">
        <is>
          <t>,000000000</t>
        </is>
      </c>
      <c r="Y314" t="inlineStr">
        <is>
          <t>,000000000</t>
        </is>
      </c>
      <c r="Z314" t="inlineStr">
        <is>
          <t>,000000000</t>
        </is>
      </c>
      <c r="AA314" t="inlineStr">
        <is>
          <t>,000000000</t>
        </is>
      </c>
      <c r="AB314" t="inlineStr">
        <is>
          <t>6</t>
        </is>
      </c>
      <c r="AC314" t="inlineStr">
        <is>
          <t>4</t>
        </is>
      </c>
      <c r="AD314" s="3">
        <f>UPPER(C3)</f>
        <v/>
      </c>
      <c r="AE314" s="3">
        <f>VLOOKUP(E3,'[1]Nómina Agentes'!$C:$D,3,0)</f>
        <v/>
      </c>
      <c r="AF314" s="5">
        <f>F3</f>
        <v/>
      </c>
      <c r="AG314" s="5">
        <f>H3</f>
        <v/>
      </c>
    </row>
    <row r="315">
      <c r="A315" s="1" t="inlineStr">
        <is>
          <t>9/10/2024</t>
        </is>
      </c>
      <c r="B315" t="inlineStr">
        <is>
          <t>924</t>
        </is>
      </c>
      <c r="C315" t="inlineStr">
        <is>
          <t>S2S No Premium</t>
        </is>
      </c>
      <c r="D315" t="inlineStr">
        <is>
          <t>N1r_Cerdan Lucia Bel</t>
        </is>
      </c>
      <c r="E315" t="inlineStr">
        <is>
          <t>616457</t>
        </is>
      </c>
      <c r="F315" s="2" t="inlineStr">
        <is>
          <t>10:30</t>
        </is>
      </c>
      <c r="G315" t="inlineStr">
        <is>
          <t>-</t>
        </is>
      </c>
      <c r="H315" s="2" t="inlineStr">
        <is>
          <t>11:00</t>
        </is>
      </c>
      <c r="I315" t="inlineStr">
        <is>
          <t>1268,000000000</t>
        </is>
      </c>
      <c r="J315" t="inlineStr">
        <is>
          <t>2,000000000</t>
        </is>
      </c>
      <c r="K315" t="inlineStr">
        <is>
          <t>,000000000</t>
        </is>
      </c>
      <c r="L315" t="inlineStr">
        <is>
          <t>21,000000000</t>
        </is>
      </c>
      <c r="M315" t="inlineStr">
        <is>
          <t>,000000000</t>
        </is>
      </c>
      <c r="N315" t="inlineStr">
        <is>
          <t>,000000000</t>
        </is>
      </c>
      <c r="O315" t="inlineStr">
        <is>
          <t>,000000000</t>
        </is>
      </c>
      <c r="P315" t="inlineStr">
        <is>
          <t>68,000000000</t>
        </is>
      </c>
      <c r="Q315" t="inlineStr">
        <is>
          <t>,000000000</t>
        </is>
      </c>
      <c r="R315" t="inlineStr">
        <is>
          <t>,000000000</t>
        </is>
      </c>
      <c r="S315" t="inlineStr">
        <is>
          <t>,000000000</t>
        </is>
      </c>
      <c r="T315" t="inlineStr">
        <is>
          <t>,000000000</t>
        </is>
      </c>
      <c r="U315" t="inlineStr">
        <is>
          <t>,000000000</t>
        </is>
      </c>
      <c r="V315" t="inlineStr">
        <is>
          <t>,000000000</t>
        </is>
      </c>
      <c r="W315" t="inlineStr">
        <is>
          <t>,000000000</t>
        </is>
      </c>
      <c r="X315" t="inlineStr">
        <is>
          <t>,000000000</t>
        </is>
      </c>
      <c r="Y315" t="inlineStr">
        <is>
          <t>,000000000</t>
        </is>
      </c>
      <c r="Z315" t="inlineStr">
        <is>
          <t>,000000000</t>
        </is>
      </c>
      <c r="AA315" t="inlineStr">
        <is>
          <t>,000000000</t>
        </is>
      </c>
      <c r="AB315" t="inlineStr">
        <is>
          <t>5</t>
        </is>
      </c>
      <c r="AC315" t="inlineStr">
        <is>
          <t>5</t>
        </is>
      </c>
      <c r="AD315" s="3">
        <f>UPPER(C3)</f>
        <v/>
      </c>
      <c r="AE315" s="3">
        <f>VLOOKUP(E3,'[1]Nómina Agentes'!$C:$D,3,0)</f>
        <v/>
      </c>
      <c r="AF315" s="5">
        <f>F3</f>
        <v/>
      </c>
      <c r="AG315" s="5">
        <f>H3</f>
        <v/>
      </c>
    </row>
    <row r="316">
      <c r="A316" s="1" t="inlineStr">
        <is>
          <t>9/10/2024</t>
        </is>
      </c>
      <c r="B316" t="inlineStr">
        <is>
          <t>924</t>
        </is>
      </c>
      <c r="C316" t="inlineStr">
        <is>
          <t>S2S No Premium</t>
        </is>
      </c>
      <c r="D316" t="inlineStr">
        <is>
          <t>N2e_ Ojeda Liliana</t>
        </is>
      </c>
      <c r="E316" t="inlineStr">
        <is>
          <t>616481</t>
        </is>
      </c>
      <c r="F316" s="2" t="inlineStr">
        <is>
          <t>09:00</t>
        </is>
      </c>
      <c r="G316" t="inlineStr">
        <is>
          <t>-</t>
        </is>
      </c>
      <c r="H316" s="2" t="inlineStr">
        <is>
          <t>09:30</t>
        </is>
      </c>
      <c r="I316" t="inlineStr">
        <is>
          <t>804,000000000</t>
        </is>
      </c>
      <c r="J316" t="inlineStr">
        <is>
          <t>5,000000000</t>
        </is>
      </c>
      <c r="K316" t="inlineStr">
        <is>
          <t>,000000000</t>
        </is>
      </c>
      <c r="L316" t="inlineStr">
        <is>
          <t>23,000000000</t>
        </is>
      </c>
      <c r="M316" t="inlineStr">
        <is>
          <t>,000000000</t>
        </is>
      </c>
      <c r="N316" t="inlineStr">
        <is>
          <t>,000000000</t>
        </is>
      </c>
      <c r="O316" t="inlineStr">
        <is>
          <t>,000000000</t>
        </is>
      </c>
      <c r="P316" t="inlineStr">
        <is>
          <t>236,000000000</t>
        </is>
      </c>
      <c r="Q316" t="inlineStr">
        <is>
          <t>,000000000</t>
        </is>
      </c>
      <c r="R316" t="inlineStr">
        <is>
          <t>,000000000</t>
        </is>
      </c>
      <c r="S316" t="inlineStr">
        <is>
          <t>,000000000</t>
        </is>
      </c>
      <c r="T316" t="inlineStr">
        <is>
          <t>,000000000</t>
        </is>
      </c>
      <c r="U316" t="inlineStr">
        <is>
          <t>,000000000</t>
        </is>
      </c>
      <c r="V316" t="inlineStr">
        <is>
          <t>,000000000</t>
        </is>
      </c>
      <c r="W316" t="inlineStr">
        <is>
          <t>,000000000</t>
        </is>
      </c>
      <c r="X316" t="inlineStr">
        <is>
          <t>,000000000</t>
        </is>
      </c>
      <c r="Y316" t="inlineStr">
        <is>
          <t>,000000000</t>
        </is>
      </c>
      <c r="Z316" t="inlineStr">
        <is>
          <t>,000000000</t>
        </is>
      </c>
      <c r="AA316" t="inlineStr">
        <is>
          <t>,000000000</t>
        </is>
      </c>
      <c r="AB316" t="inlineStr">
        <is>
          <t>2</t>
        </is>
      </c>
      <c r="AC316" t="inlineStr">
        <is>
          <t>1</t>
        </is>
      </c>
      <c r="AD316" s="3">
        <f>UPPER(C3)</f>
        <v/>
      </c>
      <c r="AE316" s="3">
        <f>VLOOKUP(E3,'[1]Nómina Agentes'!$C:$D,3,0)</f>
        <v/>
      </c>
      <c r="AF316" s="5">
        <f>F3</f>
        <v/>
      </c>
      <c r="AG316" s="5">
        <f>H3</f>
        <v/>
      </c>
    </row>
    <row r="317">
      <c r="A317" s="1" t="inlineStr">
        <is>
          <t>9/10/2024</t>
        </is>
      </c>
      <c r="B317" t="inlineStr">
        <is>
          <t>924</t>
        </is>
      </c>
      <c r="C317" t="inlineStr">
        <is>
          <t>S2S No Premium</t>
        </is>
      </c>
      <c r="D317" t="inlineStr">
        <is>
          <t>N2e_ Ojeda Liliana</t>
        </is>
      </c>
      <c r="E317" t="inlineStr">
        <is>
          <t>616481</t>
        </is>
      </c>
      <c r="F317" s="2" t="inlineStr">
        <is>
          <t>10:00</t>
        </is>
      </c>
      <c r="G317" t="inlineStr">
        <is>
          <t>-</t>
        </is>
      </c>
      <c r="H317" s="2" t="inlineStr">
        <is>
          <t>10:30</t>
        </is>
      </c>
      <c r="I317" t="inlineStr">
        <is>
          <t>997,000000000</t>
        </is>
      </c>
      <c r="J317" t="inlineStr">
        <is>
          <t>,000000000</t>
        </is>
      </c>
      <c r="K317" t="inlineStr">
        <is>
          <t>,000000000</t>
        </is>
      </c>
      <c r="L317" t="inlineStr">
        <is>
          <t>12,000000000</t>
        </is>
      </c>
      <c r="M317" t="inlineStr">
        <is>
          <t>,000000000</t>
        </is>
      </c>
      <c r="N317" t="inlineStr">
        <is>
          <t>,000000000</t>
        </is>
      </c>
      <c r="O317" t="inlineStr">
        <is>
          <t>,000000000</t>
        </is>
      </c>
      <c r="P317" t="inlineStr">
        <is>
          <t>94,000000000</t>
        </is>
      </c>
      <c r="Q317" t="inlineStr">
        <is>
          <t>,000000000</t>
        </is>
      </c>
      <c r="R317" t="inlineStr">
        <is>
          <t>,000000000</t>
        </is>
      </c>
      <c r="S317" t="inlineStr">
        <is>
          <t>,000000000</t>
        </is>
      </c>
      <c r="T317" t="inlineStr">
        <is>
          <t>,000000000</t>
        </is>
      </c>
      <c r="U317" t="inlineStr">
        <is>
          <t>,000000000</t>
        </is>
      </c>
      <c r="V317" t="inlineStr">
        <is>
          <t>,000000000</t>
        </is>
      </c>
      <c r="W317" t="inlineStr">
        <is>
          <t>,000000000</t>
        </is>
      </c>
      <c r="X317" t="inlineStr">
        <is>
          <t>,000000000</t>
        </is>
      </c>
      <c r="Y317" t="inlineStr">
        <is>
          <t>,000000000</t>
        </is>
      </c>
      <c r="Z317" t="inlineStr">
        <is>
          <t>,000000000</t>
        </is>
      </c>
      <c r="AA317" t="inlineStr">
        <is>
          <t>,000000000</t>
        </is>
      </c>
      <c r="AB317" t="inlineStr">
        <is>
          <t>4</t>
        </is>
      </c>
      <c r="AC317" t="inlineStr">
        <is>
          <t>4</t>
        </is>
      </c>
      <c r="AD317" s="3">
        <f>UPPER(C3)</f>
        <v/>
      </c>
      <c r="AE317" s="3">
        <f>VLOOKUP(E3,'[1]Nómina Agentes'!$C:$D,3,0)</f>
        <v/>
      </c>
      <c r="AF317" s="5">
        <f>F3</f>
        <v/>
      </c>
      <c r="AG317" s="5">
        <f>H3</f>
        <v/>
      </c>
    </row>
    <row r="318">
      <c r="A318" s="1" t="inlineStr">
        <is>
          <t>9/10/2024</t>
        </is>
      </c>
      <c r="B318" t="inlineStr">
        <is>
          <t>924</t>
        </is>
      </c>
      <c r="C318" t="inlineStr">
        <is>
          <t>S2S No Premium</t>
        </is>
      </c>
      <c r="D318" t="inlineStr">
        <is>
          <t>N2e_ Ojeda Liliana</t>
        </is>
      </c>
      <c r="E318" t="inlineStr">
        <is>
          <t>616481</t>
        </is>
      </c>
      <c r="F318" s="2" t="inlineStr">
        <is>
          <t>10:30</t>
        </is>
      </c>
      <c r="G318" t="inlineStr">
        <is>
          <t>-</t>
        </is>
      </c>
      <c r="H318" s="2" t="inlineStr">
        <is>
          <t>11:00</t>
        </is>
      </c>
      <c r="I318" t="inlineStr">
        <is>
          <t>1132,000000000</t>
        </is>
      </c>
      <c r="J318" t="inlineStr">
        <is>
          <t>2,000000000</t>
        </is>
      </c>
      <c r="K318" t="inlineStr">
        <is>
          <t>,000000000</t>
        </is>
      </c>
      <c r="L318" t="inlineStr">
        <is>
          <t>17,000000000</t>
        </is>
      </c>
      <c r="M318" t="inlineStr">
        <is>
          <t>,000000000</t>
        </is>
      </c>
      <c r="N318" t="inlineStr">
        <is>
          <t>,000000000</t>
        </is>
      </c>
      <c r="O318" t="inlineStr">
        <is>
          <t>,000000000</t>
        </is>
      </c>
      <c r="P318" t="inlineStr">
        <is>
          <t>267,000000000</t>
        </is>
      </c>
      <c r="Q318" t="inlineStr">
        <is>
          <t>88,000000000</t>
        </is>
      </c>
      <c r="R318" t="inlineStr">
        <is>
          <t>,000000000</t>
        </is>
      </c>
      <c r="S318" t="inlineStr">
        <is>
          <t>,000000000</t>
        </is>
      </c>
      <c r="T318" t="inlineStr">
        <is>
          <t>,000000000</t>
        </is>
      </c>
      <c r="U318" t="inlineStr">
        <is>
          <t>,000000000</t>
        </is>
      </c>
      <c r="V318" t="inlineStr">
        <is>
          <t>,000000000</t>
        </is>
      </c>
      <c r="W318" t="inlineStr">
        <is>
          <t>,000000000</t>
        </is>
      </c>
      <c r="X318" t="inlineStr">
        <is>
          <t>,000000000</t>
        </is>
      </c>
      <c r="Y318" t="inlineStr">
        <is>
          <t>,000000000</t>
        </is>
      </c>
      <c r="Z318" t="inlineStr">
        <is>
          <t>,000000000</t>
        </is>
      </c>
      <c r="AA318" t="inlineStr">
        <is>
          <t>,000000000</t>
        </is>
      </c>
      <c r="AB318" t="inlineStr">
        <is>
          <t>3</t>
        </is>
      </c>
      <c r="AC318" t="inlineStr">
        <is>
          <t>1</t>
        </is>
      </c>
      <c r="AD318" s="3">
        <f>UPPER(C3)</f>
        <v/>
      </c>
      <c r="AE318" s="3">
        <f>VLOOKUP(E3,'[1]Nómina Agentes'!$C:$D,3,0)</f>
        <v/>
      </c>
      <c r="AF318" s="5">
        <f>F3</f>
        <v/>
      </c>
      <c r="AG318" s="5">
        <f>H3</f>
        <v/>
      </c>
    </row>
    <row r="319">
      <c r="A319" s="1" t="inlineStr">
        <is>
          <t>9/10/2024</t>
        </is>
      </c>
      <c r="B319" t="inlineStr">
        <is>
          <t>924</t>
        </is>
      </c>
      <c r="C319" t="inlineStr">
        <is>
          <t>S2S No Premium</t>
        </is>
      </c>
      <c r="D319" t="inlineStr">
        <is>
          <t>N2e_ Ojeda Liliana</t>
        </is>
      </c>
      <c r="E319" t="inlineStr">
        <is>
          <t>616481</t>
        </is>
      </c>
      <c r="F319" s="2" t="inlineStr">
        <is>
          <t>09:30</t>
        </is>
      </c>
      <c r="G319" t="inlineStr">
        <is>
          <t>-</t>
        </is>
      </c>
      <c r="H319" s="2" t="inlineStr">
        <is>
          <t>10:00</t>
        </is>
      </c>
      <c r="I319" t="inlineStr">
        <is>
          <t>1225,000000000</t>
        </is>
      </c>
      <c r="J319" t="inlineStr">
        <is>
          <t>,000000000</t>
        </is>
      </c>
      <c r="K319" t="inlineStr">
        <is>
          <t>,000000000</t>
        </is>
      </c>
      <c r="L319" t="inlineStr">
        <is>
          <t>16,000000000</t>
        </is>
      </c>
      <c r="M319" t="inlineStr">
        <is>
          <t>,000000000</t>
        </is>
      </c>
      <c r="N319" t="inlineStr">
        <is>
          <t>,000000000</t>
        </is>
      </c>
      <c r="O319" t="inlineStr">
        <is>
          <t>,000000000</t>
        </is>
      </c>
      <c r="P319" t="inlineStr">
        <is>
          <t>81,000000000</t>
        </is>
      </c>
      <c r="Q319" t="inlineStr">
        <is>
          <t>,000000000</t>
        </is>
      </c>
      <c r="R319" t="inlineStr">
        <is>
          <t>,000000000</t>
        </is>
      </c>
      <c r="S319" t="inlineStr">
        <is>
          <t>,000000000</t>
        </is>
      </c>
      <c r="T319" t="inlineStr">
        <is>
          <t>,000000000</t>
        </is>
      </c>
      <c r="U319" t="inlineStr">
        <is>
          <t>,000000000</t>
        </is>
      </c>
      <c r="V319" t="inlineStr">
        <is>
          <t>,000000000</t>
        </is>
      </c>
      <c r="W319" t="inlineStr">
        <is>
          <t>,000000000</t>
        </is>
      </c>
      <c r="X319" t="inlineStr">
        <is>
          <t>,000000000</t>
        </is>
      </c>
      <c r="Y319" t="inlineStr">
        <is>
          <t>,000000000</t>
        </is>
      </c>
      <c r="Z319" t="inlineStr">
        <is>
          <t>,000000000</t>
        </is>
      </c>
      <c r="AA319" t="inlineStr">
        <is>
          <t>,000000000</t>
        </is>
      </c>
      <c r="AB319" t="inlineStr">
        <is>
          <t>4</t>
        </is>
      </c>
      <c r="AC319" t="inlineStr">
        <is>
          <t>3</t>
        </is>
      </c>
      <c r="AD319" s="3">
        <f>UPPER(C3)</f>
        <v/>
      </c>
      <c r="AE319" s="3">
        <f>VLOOKUP(E3,'[1]Nómina Agentes'!$C:$D,3,0)</f>
        <v/>
      </c>
      <c r="AF319" s="5">
        <f>F3</f>
        <v/>
      </c>
      <c r="AG319" s="5">
        <f>H3</f>
        <v/>
      </c>
    </row>
    <row r="320">
      <c r="A320" s="1" t="inlineStr">
        <is>
          <t>9/10/2024</t>
        </is>
      </c>
      <c r="B320" t="inlineStr">
        <is>
          <t>925</t>
        </is>
      </c>
      <c r="C320" t="inlineStr">
        <is>
          <t>S2S Premium</t>
        </is>
      </c>
      <c r="D320" t="inlineStr">
        <is>
          <t>PCC_Sanchez Maximil</t>
        </is>
      </c>
      <c r="E320" t="inlineStr">
        <is>
          <t>616491</t>
        </is>
      </c>
      <c r="F320" s="2" t="inlineStr">
        <is>
          <t>10:00</t>
        </is>
      </c>
      <c r="G320" t="inlineStr">
        <is>
          <t>-</t>
        </is>
      </c>
      <c r="H320" s="2" t="inlineStr">
        <is>
          <t>10:30</t>
        </is>
      </c>
      <c r="I320" t="inlineStr">
        <is>
          <t>852,000000000</t>
        </is>
      </c>
      <c r="J320" t="inlineStr">
        <is>
          <t>,000000000</t>
        </is>
      </c>
      <c r="K320" t="inlineStr">
        <is>
          <t>,000000000</t>
        </is>
      </c>
      <c r="L320" t="inlineStr">
        <is>
          <t>16,000000000</t>
        </is>
      </c>
      <c r="M320" t="inlineStr">
        <is>
          <t>,000000000</t>
        </is>
      </c>
      <c r="N320" t="inlineStr">
        <is>
          <t>,000000000</t>
        </is>
      </c>
      <c r="O320" t="inlineStr">
        <is>
          <t>,000000000</t>
        </is>
      </c>
      <c r="P320" t="inlineStr">
        <is>
          <t>119,000000000</t>
        </is>
      </c>
      <c r="Q320" t="inlineStr">
        <is>
          <t>5,000000000</t>
        </is>
      </c>
      <c r="R320" t="inlineStr">
        <is>
          <t>,000000000</t>
        </is>
      </c>
      <c r="S320" t="inlineStr">
        <is>
          <t>,000000000</t>
        </is>
      </c>
      <c r="T320" t="inlineStr">
        <is>
          <t>,000000000</t>
        </is>
      </c>
      <c r="U320" t="inlineStr">
        <is>
          <t>,000000000</t>
        </is>
      </c>
      <c r="V320" t="inlineStr">
        <is>
          <t>,000000000</t>
        </is>
      </c>
      <c r="W320" t="inlineStr">
        <is>
          <t>,000000000</t>
        </is>
      </c>
      <c r="X320" t="inlineStr">
        <is>
          <t>,000000000</t>
        </is>
      </c>
      <c r="Y320" t="inlineStr">
        <is>
          <t>,000000000</t>
        </is>
      </c>
      <c r="Z320" t="inlineStr">
        <is>
          <t>,000000000</t>
        </is>
      </c>
      <c r="AA320" t="inlineStr">
        <is>
          <t>,000000000</t>
        </is>
      </c>
      <c r="AB320" t="inlineStr">
        <is>
          <t>5</t>
        </is>
      </c>
      <c r="AC320" t="inlineStr">
        <is>
          <t>3</t>
        </is>
      </c>
      <c r="AD320" s="3">
        <f>UPPER(C3)</f>
        <v/>
      </c>
      <c r="AE320" s="3">
        <f>VLOOKUP(E3,'[1]Nómina Agentes'!$C:$D,3,0)</f>
        <v/>
      </c>
      <c r="AF320" s="5">
        <f>F3</f>
        <v/>
      </c>
      <c r="AG320" s="5">
        <f>H3</f>
        <v/>
      </c>
    </row>
    <row r="321">
      <c r="A321" s="1" t="inlineStr">
        <is>
          <t>9/10/2024</t>
        </is>
      </c>
      <c r="B321" t="inlineStr">
        <is>
          <t>925</t>
        </is>
      </c>
      <c r="C321" t="inlineStr">
        <is>
          <t>S2S Premium</t>
        </is>
      </c>
      <c r="D321" t="inlineStr">
        <is>
          <t>PCC_Sanchez Maximil</t>
        </is>
      </c>
      <c r="E321" t="inlineStr">
        <is>
          <t>616491</t>
        </is>
      </c>
      <c r="F321" s="2" t="inlineStr">
        <is>
          <t>09:00</t>
        </is>
      </c>
      <c r="G321" t="inlineStr">
        <is>
          <t>-</t>
        </is>
      </c>
      <c r="H321" s="2" t="inlineStr">
        <is>
          <t>09:30</t>
        </is>
      </c>
      <c r="I321" t="inlineStr">
        <is>
          <t>929,000000000</t>
        </is>
      </c>
      <c r="J321" t="inlineStr">
        <is>
          <t>,000000000</t>
        </is>
      </c>
      <c r="K321" t="inlineStr">
        <is>
          <t>,000000000</t>
        </is>
      </c>
      <c r="L321" t="inlineStr">
        <is>
          <t>8,000000000</t>
        </is>
      </c>
      <c r="M321" t="inlineStr">
        <is>
          <t>,000000000</t>
        </is>
      </c>
      <c r="N321" t="inlineStr">
        <is>
          <t>,000000000</t>
        </is>
      </c>
      <c r="O321" t="inlineStr">
        <is>
          <t>,000000000</t>
        </is>
      </c>
      <c r="P321" t="inlineStr">
        <is>
          <t>51,000000000</t>
        </is>
      </c>
      <c r="Q321" t="inlineStr">
        <is>
          <t>3,000000000</t>
        </is>
      </c>
      <c r="R321" t="inlineStr">
        <is>
          <t>,000000000</t>
        </is>
      </c>
      <c r="S321" t="inlineStr">
        <is>
          <t>,000000000</t>
        </is>
      </c>
      <c r="T321" t="inlineStr">
        <is>
          <t>,000000000</t>
        </is>
      </c>
      <c r="U321" t="inlineStr">
        <is>
          <t>,000000000</t>
        </is>
      </c>
      <c r="V321" t="inlineStr">
        <is>
          <t>,000000000</t>
        </is>
      </c>
      <c r="W321" t="inlineStr">
        <is>
          <t>,000000000</t>
        </is>
      </c>
      <c r="X321" t="inlineStr">
        <is>
          <t>,000000000</t>
        </is>
      </c>
      <c r="Y321" t="inlineStr">
        <is>
          <t>,000000000</t>
        </is>
      </c>
      <c r="Z321" t="inlineStr">
        <is>
          <t>,000000000</t>
        </is>
      </c>
      <c r="AA321" t="inlineStr">
        <is>
          <t>,000000000</t>
        </is>
      </c>
      <c r="AB321" t="inlineStr">
        <is>
          <t>1</t>
        </is>
      </c>
      <c r="AC321" t="inlineStr">
        <is>
          <t>0</t>
        </is>
      </c>
      <c r="AD321" s="3">
        <f>UPPER(C3)</f>
        <v/>
      </c>
      <c r="AE321" s="3">
        <f>VLOOKUP(E3,'[1]Nómina Agentes'!$C:$D,3,0)</f>
        <v/>
      </c>
      <c r="AF321" s="5">
        <f>F3</f>
        <v/>
      </c>
      <c r="AG321" s="5">
        <f>H3</f>
        <v/>
      </c>
    </row>
    <row r="322">
      <c r="A322" s="1" t="inlineStr">
        <is>
          <t>9/10/2024</t>
        </is>
      </c>
      <c r="B322" t="inlineStr">
        <is>
          <t>925</t>
        </is>
      </c>
      <c r="C322" t="inlineStr">
        <is>
          <t>S2S Premium</t>
        </is>
      </c>
      <c r="D322" t="inlineStr">
        <is>
          <t>PCC_Sanchez Maximil</t>
        </is>
      </c>
      <c r="E322" t="inlineStr">
        <is>
          <t>616491</t>
        </is>
      </c>
      <c r="F322" s="2" t="inlineStr">
        <is>
          <t>09:30</t>
        </is>
      </c>
      <c r="G322" t="inlineStr">
        <is>
          <t>-</t>
        </is>
      </c>
      <c r="H322" s="2" t="inlineStr">
        <is>
          <t>10:00</t>
        </is>
      </c>
      <c r="I322" t="inlineStr">
        <is>
          <t>969,000000000</t>
        </is>
      </c>
      <c r="J322" t="inlineStr">
        <is>
          <t>42,000000000</t>
        </is>
      </c>
      <c r="K322" t="inlineStr">
        <is>
          <t>,000000000</t>
        </is>
      </c>
      <c r="L322" t="inlineStr">
        <is>
          <t>23,000000000</t>
        </is>
      </c>
      <c r="M322" t="inlineStr">
        <is>
          <t>,000000000</t>
        </is>
      </c>
      <c r="N322" t="inlineStr">
        <is>
          <t>,000000000</t>
        </is>
      </c>
      <c r="O322" t="inlineStr">
        <is>
          <t>,000000000</t>
        </is>
      </c>
      <c r="P322" t="inlineStr">
        <is>
          <t>204,000000000</t>
        </is>
      </c>
      <c r="Q322" t="inlineStr">
        <is>
          <t>62,000000000</t>
        </is>
      </c>
      <c r="R322" t="inlineStr">
        <is>
          <t>,000000000</t>
        </is>
      </c>
      <c r="S322" t="inlineStr">
        <is>
          <t>,000000000</t>
        </is>
      </c>
      <c r="T322" t="inlineStr">
        <is>
          <t>,000000000</t>
        </is>
      </c>
      <c r="U322" t="inlineStr">
        <is>
          <t>,000000000</t>
        </is>
      </c>
      <c r="V322" t="inlineStr">
        <is>
          <t>,000000000</t>
        </is>
      </c>
      <c r="W322" t="inlineStr">
        <is>
          <t>,000000000</t>
        </is>
      </c>
      <c r="X322" t="inlineStr">
        <is>
          <t>,000000000</t>
        </is>
      </c>
      <c r="Y322" t="inlineStr">
        <is>
          <t>,000000000</t>
        </is>
      </c>
      <c r="Z322" t="inlineStr">
        <is>
          <t>,000000000</t>
        </is>
      </c>
      <c r="AA322" t="inlineStr">
        <is>
          <t>,000000000</t>
        </is>
      </c>
      <c r="AB322" t="inlineStr">
        <is>
          <t>6</t>
        </is>
      </c>
      <c r="AC322" t="inlineStr">
        <is>
          <t>6</t>
        </is>
      </c>
      <c r="AD322" s="3">
        <f>UPPER(C3)</f>
        <v/>
      </c>
      <c r="AE322" s="3">
        <f>VLOOKUP(E3,'[1]Nómina Agentes'!$C:$D,3,0)</f>
        <v/>
      </c>
      <c r="AF322" s="5">
        <f>F3</f>
        <v/>
      </c>
      <c r="AG322" s="5">
        <f>H3</f>
        <v/>
      </c>
    </row>
    <row r="323">
      <c r="A323" s="1" t="inlineStr">
        <is>
          <t>9/10/2024</t>
        </is>
      </c>
      <c r="B323" t="inlineStr">
        <is>
          <t>925</t>
        </is>
      </c>
      <c r="C323" t="inlineStr">
        <is>
          <t>S2S Premium</t>
        </is>
      </c>
      <c r="D323" t="inlineStr">
        <is>
          <t>PCC_Sanchez Maximil</t>
        </is>
      </c>
      <c r="E323" t="inlineStr">
        <is>
          <t>616491</t>
        </is>
      </c>
      <c r="F323" s="2" t="inlineStr">
        <is>
          <t>10:30</t>
        </is>
      </c>
      <c r="G323" t="inlineStr">
        <is>
          <t>-</t>
        </is>
      </c>
      <c r="H323" s="2" t="inlineStr">
        <is>
          <t>11:00</t>
        </is>
      </c>
      <c r="I323" t="inlineStr">
        <is>
          <t>1020,000000000</t>
        </is>
      </c>
      <c r="J323" t="inlineStr">
        <is>
          <t>53,000000000</t>
        </is>
      </c>
      <c r="K323" t="inlineStr">
        <is>
          <t>,000000000</t>
        </is>
      </c>
      <c r="L323" t="inlineStr">
        <is>
          <t>16,000000000</t>
        </is>
      </c>
      <c r="M323" t="inlineStr">
        <is>
          <t>,000000000</t>
        </is>
      </c>
      <c r="N323" t="inlineStr">
        <is>
          <t>,000000000</t>
        </is>
      </c>
      <c r="O323" t="inlineStr">
        <is>
          <t>,000000000</t>
        </is>
      </c>
      <c r="P323" t="inlineStr">
        <is>
          <t>81,000000000</t>
        </is>
      </c>
      <c r="Q323" t="inlineStr">
        <is>
          <t>6,000000000</t>
        </is>
      </c>
      <c r="R323" t="inlineStr">
        <is>
          <t>,000000000</t>
        </is>
      </c>
      <c r="S323" t="inlineStr">
        <is>
          <t>,000000000</t>
        </is>
      </c>
      <c r="T323" t="inlineStr">
        <is>
          <t>,000000000</t>
        </is>
      </c>
      <c r="U323" t="inlineStr">
        <is>
          <t>,000000000</t>
        </is>
      </c>
      <c r="V323" t="inlineStr">
        <is>
          <t>,000000000</t>
        </is>
      </c>
      <c r="W323" t="inlineStr">
        <is>
          <t>,000000000</t>
        </is>
      </c>
      <c r="X323" t="inlineStr">
        <is>
          <t>,000000000</t>
        </is>
      </c>
      <c r="Y323" t="inlineStr">
        <is>
          <t>,000000000</t>
        </is>
      </c>
      <c r="Z323" t="inlineStr">
        <is>
          <t>,000000000</t>
        </is>
      </c>
      <c r="AA323" t="inlineStr">
        <is>
          <t>,000000000</t>
        </is>
      </c>
      <c r="AB323" t="inlineStr">
        <is>
          <t>4</t>
        </is>
      </c>
      <c r="AC323" t="inlineStr">
        <is>
          <t>3</t>
        </is>
      </c>
      <c r="AD323" s="3">
        <f>UPPER(C3)</f>
        <v/>
      </c>
      <c r="AE323" s="3">
        <f>VLOOKUP(E3,'[1]Nómina Agentes'!$C:$D,3,0)</f>
        <v/>
      </c>
      <c r="AF323" s="5">
        <f>F3</f>
        <v/>
      </c>
      <c r="AG323" s="5">
        <f>H3</f>
        <v/>
      </c>
    </row>
    <row r="324">
      <c r="A324" s="1" t="inlineStr">
        <is>
          <t>9/10/2024</t>
        </is>
      </c>
      <c r="B324" t="inlineStr">
        <is>
          <t>925</t>
        </is>
      </c>
      <c r="C324" t="inlineStr">
        <is>
          <t>S2S Premium</t>
        </is>
      </c>
      <c r="D324" t="inlineStr">
        <is>
          <t>P_Salina Maria E</t>
        </is>
      </c>
      <c r="E324" t="inlineStr">
        <is>
          <t>616517</t>
        </is>
      </c>
      <c r="F324" s="2" t="inlineStr">
        <is>
          <t>09:00</t>
        </is>
      </c>
      <c r="G324" t="inlineStr">
        <is>
          <t>-</t>
        </is>
      </c>
      <c r="H324" s="2" t="inlineStr">
        <is>
          <t>09:30</t>
        </is>
      </c>
      <c r="I324" t="inlineStr">
        <is>
          <t>434,000000000</t>
        </is>
      </c>
      <c r="J324" t="inlineStr">
        <is>
          <t>,000000000</t>
        </is>
      </c>
      <c r="K324" t="inlineStr">
        <is>
          <t>,000000000</t>
        </is>
      </c>
      <c r="L324" t="inlineStr">
        <is>
          <t>16,000000000</t>
        </is>
      </c>
      <c r="M324" t="inlineStr">
        <is>
          <t>,000000000</t>
        </is>
      </c>
      <c r="N324" t="inlineStr">
        <is>
          <t>,000000000</t>
        </is>
      </c>
      <c r="O324" t="inlineStr">
        <is>
          <t>,000000000</t>
        </is>
      </c>
      <c r="P324" t="inlineStr">
        <is>
          <t>1,000000000</t>
        </is>
      </c>
      <c r="Q324" t="inlineStr">
        <is>
          <t>1,000000000</t>
        </is>
      </c>
      <c r="R324" t="inlineStr">
        <is>
          <t>,000000000</t>
        </is>
      </c>
      <c r="S324" t="inlineStr">
        <is>
          <t>,000000000</t>
        </is>
      </c>
      <c r="T324" t="inlineStr">
        <is>
          <t>,000000000</t>
        </is>
      </c>
      <c r="U324" t="inlineStr">
        <is>
          <t>,000000000</t>
        </is>
      </c>
      <c r="V324" t="inlineStr">
        <is>
          <t>,000000000</t>
        </is>
      </c>
      <c r="W324" t="inlineStr">
        <is>
          <t>,000000000</t>
        </is>
      </c>
      <c r="X324" t="inlineStr">
        <is>
          <t>,000000000</t>
        </is>
      </c>
      <c r="Y324" t="inlineStr">
        <is>
          <t>,000000000</t>
        </is>
      </c>
      <c r="Z324" t="inlineStr">
        <is>
          <t>,000000000</t>
        </is>
      </c>
      <c r="AA324" t="inlineStr">
        <is>
          <t>,000000000</t>
        </is>
      </c>
      <c r="AB324" t="inlineStr">
        <is>
          <t>1</t>
        </is>
      </c>
      <c r="AC324" t="inlineStr">
        <is>
          <t>1</t>
        </is>
      </c>
      <c r="AD324" s="3">
        <f>UPPER(C3)</f>
        <v/>
      </c>
      <c r="AE324" s="3">
        <f>VLOOKUP(E3,'[1]Nómina Agentes'!$C:$D,3,0)</f>
        <v/>
      </c>
      <c r="AF324" s="5">
        <f>F3</f>
        <v/>
      </c>
      <c r="AG324" s="5">
        <f>H3</f>
        <v/>
      </c>
    </row>
    <row r="325">
      <c r="A325" s="1" t="inlineStr">
        <is>
          <t>9/10/2024</t>
        </is>
      </c>
      <c r="B325" t="inlineStr">
        <is>
          <t>925</t>
        </is>
      </c>
      <c r="C325" t="inlineStr">
        <is>
          <t>S2S Premium</t>
        </is>
      </c>
      <c r="D325" t="inlineStr">
        <is>
          <t>P_Salina Maria E</t>
        </is>
      </c>
      <c r="E325" t="inlineStr">
        <is>
          <t>616517</t>
        </is>
      </c>
      <c r="F325" s="2" t="inlineStr">
        <is>
          <t>10:00</t>
        </is>
      </c>
      <c r="G325" t="inlineStr">
        <is>
          <t>-</t>
        </is>
      </c>
      <c r="H325" s="2" t="inlineStr">
        <is>
          <t>10:30</t>
        </is>
      </c>
      <c r="I325" t="inlineStr">
        <is>
          <t>672,000000000</t>
        </is>
      </c>
      <c r="J325" t="inlineStr">
        <is>
          <t>,000000000</t>
        </is>
      </c>
      <c r="K325" t="inlineStr">
        <is>
          <t>,000000000</t>
        </is>
      </c>
      <c r="L325" t="inlineStr">
        <is>
          <t>20,000000000</t>
        </is>
      </c>
      <c r="M325" t="inlineStr">
        <is>
          <t>,000000000</t>
        </is>
      </c>
      <c r="N325" t="inlineStr">
        <is>
          <t>,000000000</t>
        </is>
      </c>
      <c r="O325" t="inlineStr">
        <is>
          <t>,000000000</t>
        </is>
      </c>
      <c r="P325" t="inlineStr">
        <is>
          <t>128,000000000</t>
        </is>
      </c>
      <c r="Q325" t="inlineStr">
        <is>
          <t>,000000000</t>
        </is>
      </c>
      <c r="R325" t="inlineStr">
        <is>
          <t>,000000000</t>
        </is>
      </c>
      <c r="S325" t="inlineStr">
        <is>
          <t>,000000000</t>
        </is>
      </c>
      <c r="T325" t="inlineStr">
        <is>
          <t>,000000000</t>
        </is>
      </c>
      <c r="U325" t="inlineStr">
        <is>
          <t>,000000000</t>
        </is>
      </c>
      <c r="V325" t="inlineStr">
        <is>
          <t>,000000000</t>
        </is>
      </c>
      <c r="W325" t="inlineStr">
        <is>
          <t>,000000000</t>
        </is>
      </c>
      <c r="X325" t="inlineStr">
        <is>
          <t>,000000000</t>
        </is>
      </c>
      <c r="Y325" t="inlineStr">
        <is>
          <t>,000000000</t>
        </is>
      </c>
      <c r="Z325" t="inlineStr">
        <is>
          <t>,000000000</t>
        </is>
      </c>
      <c r="AA325" t="inlineStr">
        <is>
          <t>,000000000</t>
        </is>
      </c>
      <c r="AB325" t="inlineStr">
        <is>
          <t>5</t>
        </is>
      </c>
      <c r="AC325" t="inlineStr">
        <is>
          <t>5</t>
        </is>
      </c>
      <c r="AD325" s="3">
        <f>UPPER(C3)</f>
        <v/>
      </c>
      <c r="AE325" s="3">
        <f>VLOOKUP(E3,'[1]Nómina Agentes'!$C:$D,3,0)</f>
        <v/>
      </c>
      <c r="AF325" s="5">
        <f>F3</f>
        <v/>
      </c>
      <c r="AG325" s="5">
        <f>H3</f>
        <v/>
      </c>
    </row>
    <row r="326">
      <c r="A326" s="1" t="inlineStr">
        <is>
          <t>9/10/2024</t>
        </is>
      </c>
      <c r="B326" t="inlineStr">
        <is>
          <t>925</t>
        </is>
      </c>
      <c r="C326" t="inlineStr">
        <is>
          <t>S2S Premium</t>
        </is>
      </c>
      <c r="D326" t="inlineStr">
        <is>
          <t>P_Salina Maria E</t>
        </is>
      </c>
      <c r="E326" t="inlineStr">
        <is>
          <t>616517</t>
        </is>
      </c>
      <c r="F326" s="2" t="inlineStr">
        <is>
          <t>09:30</t>
        </is>
      </c>
      <c r="G326" t="inlineStr">
        <is>
          <t>-</t>
        </is>
      </c>
      <c r="H326" s="2" t="inlineStr">
        <is>
          <t>10:00</t>
        </is>
      </c>
      <c r="I326" t="inlineStr">
        <is>
          <t>1052,000000000</t>
        </is>
      </c>
      <c r="J326" t="inlineStr">
        <is>
          <t>,000000000</t>
        </is>
      </c>
      <c r="K326" t="inlineStr">
        <is>
          <t>,000000000</t>
        </is>
      </c>
      <c r="L326" t="inlineStr">
        <is>
          <t>20,000000000</t>
        </is>
      </c>
      <c r="M326" t="inlineStr">
        <is>
          <t>,000000000</t>
        </is>
      </c>
      <c r="N326" t="inlineStr">
        <is>
          <t>,000000000</t>
        </is>
      </c>
      <c r="O326" t="inlineStr">
        <is>
          <t>,000000000</t>
        </is>
      </c>
      <c r="P326" t="inlineStr">
        <is>
          <t>7,000000000</t>
        </is>
      </c>
      <c r="Q326" t="inlineStr">
        <is>
          <t>,000000000</t>
        </is>
      </c>
      <c r="R326" t="inlineStr">
        <is>
          <t>,000000000</t>
        </is>
      </c>
      <c r="S326" t="inlineStr">
        <is>
          <t>,000000000</t>
        </is>
      </c>
      <c r="T326" t="inlineStr">
        <is>
          <t>,000000000</t>
        </is>
      </c>
      <c r="U326" t="inlineStr">
        <is>
          <t>,000000000</t>
        </is>
      </c>
      <c r="V326" t="inlineStr">
        <is>
          <t>,000000000</t>
        </is>
      </c>
      <c r="W326" t="inlineStr">
        <is>
          <t>,000000000</t>
        </is>
      </c>
      <c r="X326" t="inlineStr">
        <is>
          <t>,000000000</t>
        </is>
      </c>
      <c r="Y326" t="inlineStr">
        <is>
          <t>,000000000</t>
        </is>
      </c>
      <c r="Z326" t="inlineStr">
        <is>
          <t>,000000000</t>
        </is>
      </c>
      <c r="AA326" t="inlineStr">
        <is>
          <t>,000000000</t>
        </is>
      </c>
      <c r="AB326" t="inlineStr">
        <is>
          <t>7</t>
        </is>
      </c>
      <c r="AC326" t="inlineStr">
        <is>
          <t>7</t>
        </is>
      </c>
      <c r="AD326" s="3">
        <f>UPPER(C3)</f>
        <v/>
      </c>
      <c r="AE326" s="3">
        <f>VLOOKUP(E3,'[1]Nómina Agentes'!$C:$D,3,0)</f>
        <v/>
      </c>
      <c r="AF326" s="5">
        <f>F3</f>
        <v/>
      </c>
      <c r="AG326" s="5">
        <f>H3</f>
        <v/>
      </c>
    </row>
    <row r="327">
      <c r="A327" s="1" t="inlineStr">
        <is>
          <t>9/10/2024</t>
        </is>
      </c>
      <c r="B327" t="inlineStr">
        <is>
          <t>925</t>
        </is>
      </c>
      <c r="C327" t="inlineStr">
        <is>
          <t>S2S Premium</t>
        </is>
      </c>
      <c r="D327" t="inlineStr">
        <is>
          <t>P_Salina Maria E</t>
        </is>
      </c>
      <c r="E327" t="inlineStr">
        <is>
          <t>616517</t>
        </is>
      </c>
      <c r="F327" s="2" t="inlineStr">
        <is>
          <t>10:30</t>
        </is>
      </c>
      <c r="G327" t="inlineStr">
        <is>
          <t>-</t>
        </is>
      </c>
      <c r="H327" s="2" t="inlineStr">
        <is>
          <t>11:00</t>
        </is>
      </c>
      <c r="I327" t="inlineStr">
        <is>
          <t>1215,000000000</t>
        </is>
      </c>
      <c r="J327" t="inlineStr">
        <is>
          <t>,000000000</t>
        </is>
      </c>
      <c r="K327" t="inlineStr">
        <is>
          <t>,000000000</t>
        </is>
      </c>
      <c r="L327" t="inlineStr">
        <is>
          <t>21,000000000</t>
        </is>
      </c>
      <c r="M327" t="inlineStr">
        <is>
          <t>,000000000</t>
        </is>
      </c>
      <c r="N327" t="inlineStr">
        <is>
          <t>,000000000</t>
        </is>
      </c>
      <c r="O327" t="inlineStr">
        <is>
          <t>,000000000</t>
        </is>
      </c>
      <c r="P327" t="inlineStr">
        <is>
          <t>4,000000000</t>
        </is>
      </c>
      <c r="Q327" t="inlineStr">
        <is>
          <t>,000000000</t>
        </is>
      </c>
      <c r="R327" t="inlineStr">
        <is>
          <t>,000000000</t>
        </is>
      </c>
      <c r="S327" t="inlineStr">
        <is>
          <t>,000000000</t>
        </is>
      </c>
      <c r="T327" t="inlineStr">
        <is>
          <t>,000000000</t>
        </is>
      </c>
      <c r="U327" t="inlineStr">
        <is>
          <t>,000000000</t>
        </is>
      </c>
      <c r="V327" t="inlineStr">
        <is>
          <t>,000000000</t>
        </is>
      </c>
      <c r="W327" t="inlineStr">
        <is>
          <t>,000000000</t>
        </is>
      </c>
      <c r="X327" t="inlineStr">
        <is>
          <t>,000000000</t>
        </is>
      </c>
      <c r="Y327" t="inlineStr">
        <is>
          <t>,000000000</t>
        </is>
      </c>
      <c r="Z327" t="inlineStr">
        <is>
          <t>,000000000</t>
        </is>
      </c>
      <c r="AA327" t="inlineStr">
        <is>
          <t>,000000000</t>
        </is>
      </c>
      <c r="AB327" t="inlineStr">
        <is>
          <t>4</t>
        </is>
      </c>
      <c r="AC327" t="inlineStr">
        <is>
          <t>4</t>
        </is>
      </c>
      <c r="AD327" s="3">
        <f>UPPER(C3)</f>
        <v/>
      </c>
      <c r="AE327" s="3">
        <f>VLOOKUP(E3,'[1]Nómina Agentes'!$C:$D,3,0)</f>
        <v/>
      </c>
      <c r="AF327" s="5">
        <f>F3</f>
        <v/>
      </c>
      <c r="AG327" s="5">
        <f>H3</f>
        <v/>
      </c>
    </row>
    <row r="328">
      <c r="A328" s="1" t="inlineStr">
        <is>
          <t>9/10/2024</t>
        </is>
      </c>
      <c r="B328" t="inlineStr">
        <is>
          <t>924</t>
        </is>
      </c>
      <c r="C328" t="inlineStr">
        <is>
          <t>S2S No Premium</t>
        </is>
      </c>
      <c r="D328" t="inlineStr">
        <is>
          <t>N1_Cedro Pamela</t>
        </is>
      </c>
      <c r="E328" t="inlineStr">
        <is>
          <t>616518</t>
        </is>
      </c>
      <c r="F328" s="2" t="inlineStr">
        <is>
          <t>09:00</t>
        </is>
      </c>
      <c r="G328" t="inlineStr">
        <is>
          <t>-</t>
        </is>
      </c>
      <c r="H328" s="2" t="inlineStr">
        <is>
          <t>09:30</t>
        </is>
      </c>
      <c r="I328" t="inlineStr">
        <is>
          <t>205,000000000</t>
        </is>
      </c>
      <c r="J328" t="inlineStr">
        <is>
          <t>,000000000</t>
        </is>
      </c>
      <c r="K328" t="inlineStr">
        <is>
          <t>,000000000</t>
        </is>
      </c>
      <c r="L328" t="inlineStr">
        <is>
          <t>4,000000000</t>
        </is>
      </c>
      <c r="M328" t="inlineStr">
        <is>
          <t>,000000000</t>
        </is>
      </c>
      <c r="N328" t="inlineStr">
        <is>
          <t>,000000000</t>
        </is>
      </c>
      <c r="O328" t="inlineStr">
        <is>
          <t>,000000000</t>
        </is>
      </c>
      <c r="P328" t="inlineStr">
        <is>
          <t>,000000000</t>
        </is>
      </c>
      <c r="Q328" t="inlineStr">
        <is>
          <t>,000000000</t>
        </is>
      </c>
      <c r="R328" t="inlineStr">
        <is>
          <t>,000000000</t>
        </is>
      </c>
      <c r="S328" t="inlineStr">
        <is>
          <t>,000000000</t>
        </is>
      </c>
      <c r="T328" t="inlineStr">
        <is>
          <t>,000000000</t>
        </is>
      </c>
      <c r="U328" t="inlineStr">
        <is>
          <t>,000000000</t>
        </is>
      </c>
      <c r="V328" t="inlineStr">
        <is>
          <t>,000000000</t>
        </is>
      </c>
      <c r="W328" t="inlineStr">
        <is>
          <t>,000000000</t>
        </is>
      </c>
      <c r="X328" t="inlineStr">
        <is>
          <t>,000000000</t>
        </is>
      </c>
      <c r="Y328" t="inlineStr">
        <is>
          <t>,000000000</t>
        </is>
      </c>
      <c r="Z328" t="inlineStr">
        <is>
          <t>,000000000</t>
        </is>
      </c>
      <c r="AA328" t="inlineStr">
        <is>
          <t>,000000000</t>
        </is>
      </c>
      <c r="AB328" t="inlineStr">
        <is>
          <t>1</t>
        </is>
      </c>
      <c r="AC328" t="inlineStr">
        <is>
          <t>1</t>
        </is>
      </c>
      <c r="AD328" s="3">
        <f>UPPER(C3)</f>
        <v/>
      </c>
      <c r="AE328" s="3">
        <f>VLOOKUP(E3,'[1]Nómina Agentes'!$C:$D,3,0)</f>
        <v/>
      </c>
      <c r="AF328" s="5">
        <f>F3</f>
        <v/>
      </c>
      <c r="AG328" s="5">
        <f>H3</f>
        <v/>
      </c>
    </row>
    <row r="329">
      <c r="A329" s="1" t="inlineStr">
        <is>
          <t>9/10/2024</t>
        </is>
      </c>
      <c r="B329" t="inlineStr">
        <is>
          <t>925</t>
        </is>
      </c>
      <c r="C329" t="inlineStr">
        <is>
          <t>S2S Premium</t>
        </is>
      </c>
      <c r="D329" t="inlineStr">
        <is>
          <t>*XN2_Fernandez Rolan</t>
        </is>
      </c>
      <c r="E329" t="inlineStr">
        <is>
          <t>616522</t>
        </is>
      </c>
      <c r="F329" s="2" t="inlineStr">
        <is>
          <t>09:00</t>
        </is>
      </c>
      <c r="G329" t="inlineStr">
        <is>
          <t>-</t>
        </is>
      </c>
      <c r="H329" s="2" t="inlineStr">
        <is>
          <t>09:30</t>
        </is>
      </c>
      <c r="I329" t="inlineStr">
        <is>
          <t>638,000000000</t>
        </is>
      </c>
      <c r="J329" t="inlineStr">
        <is>
          <t>4,000000000</t>
        </is>
      </c>
      <c r="K329" t="inlineStr">
        <is>
          <t>,000000000</t>
        </is>
      </c>
      <c r="L329" t="inlineStr">
        <is>
          <t>12,000000000</t>
        </is>
      </c>
      <c r="M329" t="inlineStr">
        <is>
          <t>,000000000</t>
        </is>
      </c>
      <c r="N329" t="inlineStr">
        <is>
          <t>,000000000</t>
        </is>
      </c>
      <c r="O329" t="inlineStr">
        <is>
          <t>,000000000</t>
        </is>
      </c>
      <c r="P329" t="inlineStr">
        <is>
          <t>210,000000000</t>
        </is>
      </c>
      <c r="Q329" t="inlineStr">
        <is>
          <t>124,000000000</t>
        </is>
      </c>
      <c r="R329" t="inlineStr">
        <is>
          <t>,000000000</t>
        </is>
      </c>
      <c r="S329" t="inlineStr">
        <is>
          <t>,000000000</t>
        </is>
      </c>
      <c r="T329" t="inlineStr">
        <is>
          <t>,000000000</t>
        </is>
      </c>
      <c r="U329" t="inlineStr">
        <is>
          <t>,000000000</t>
        </is>
      </c>
      <c r="V329" t="inlineStr">
        <is>
          <t>,000000000</t>
        </is>
      </c>
      <c r="W329" t="inlineStr">
        <is>
          <t>,000000000</t>
        </is>
      </c>
      <c r="X329" t="inlineStr">
        <is>
          <t>,000000000</t>
        </is>
      </c>
      <c r="Y329" t="inlineStr">
        <is>
          <t>,000000000</t>
        </is>
      </c>
      <c r="Z329" t="inlineStr">
        <is>
          <t>,000000000</t>
        </is>
      </c>
      <c r="AA329" t="inlineStr">
        <is>
          <t>,000000000</t>
        </is>
      </c>
      <c r="AB329" t="inlineStr">
        <is>
          <t>2</t>
        </is>
      </c>
      <c r="AC329" t="inlineStr">
        <is>
          <t>2</t>
        </is>
      </c>
      <c r="AD329" s="3">
        <f>UPPER(C3)</f>
        <v/>
      </c>
      <c r="AE329" s="3">
        <f>VLOOKUP(E3,'[1]Nómina Agentes'!$C:$D,3,0)</f>
        <v/>
      </c>
      <c r="AF329" s="5">
        <f>F3</f>
        <v/>
      </c>
      <c r="AG329" s="5">
        <f>H3</f>
        <v/>
      </c>
    </row>
    <row r="330">
      <c r="A330" s="1" t="inlineStr">
        <is>
          <t>9/10/2024</t>
        </is>
      </c>
      <c r="B330" t="inlineStr">
        <is>
          <t>925</t>
        </is>
      </c>
      <c r="C330" t="inlineStr">
        <is>
          <t>S2S Premium</t>
        </is>
      </c>
      <c r="D330" t="inlineStr">
        <is>
          <t>*XN2_Fernandez Rolan</t>
        </is>
      </c>
      <c r="E330" t="inlineStr">
        <is>
          <t>616522</t>
        </is>
      </c>
      <c r="F330" s="2" t="inlineStr">
        <is>
          <t>09:30</t>
        </is>
      </c>
      <c r="G330" t="inlineStr">
        <is>
          <t>-</t>
        </is>
      </c>
      <c r="H330" s="2" t="inlineStr">
        <is>
          <t>10:00</t>
        </is>
      </c>
      <c r="I330" t="inlineStr">
        <is>
          <t>755,000000000</t>
        </is>
      </c>
      <c r="J330" t="inlineStr">
        <is>
          <t>2,000000000</t>
        </is>
      </c>
      <c r="K330" t="inlineStr">
        <is>
          <t>,000000000</t>
        </is>
      </c>
      <c r="L330" t="inlineStr">
        <is>
          <t>10,000000000</t>
        </is>
      </c>
      <c r="M330" t="inlineStr">
        <is>
          <t>,000000000</t>
        </is>
      </c>
      <c r="N330" t="inlineStr">
        <is>
          <t>,000000000</t>
        </is>
      </c>
      <c r="O330" t="inlineStr">
        <is>
          <t>,000000000</t>
        </is>
      </c>
      <c r="P330" t="inlineStr">
        <is>
          <t>696,000000000</t>
        </is>
      </c>
      <c r="Q330" t="inlineStr">
        <is>
          <t>,000000000</t>
        </is>
      </c>
      <c r="R330" t="inlineStr">
        <is>
          <t>,000000000</t>
        </is>
      </c>
      <c r="S330" t="inlineStr">
        <is>
          <t>,000000000</t>
        </is>
      </c>
      <c r="T330" t="inlineStr">
        <is>
          <t>,000000000</t>
        </is>
      </c>
      <c r="U330" t="inlineStr">
        <is>
          <t>,000000000</t>
        </is>
      </c>
      <c r="V330" t="inlineStr">
        <is>
          <t>,000000000</t>
        </is>
      </c>
      <c r="W330" t="inlineStr">
        <is>
          <t>,000000000</t>
        </is>
      </c>
      <c r="X330" t="inlineStr">
        <is>
          <t>,000000000</t>
        </is>
      </c>
      <c r="Y330" t="inlineStr">
        <is>
          <t>,000000000</t>
        </is>
      </c>
      <c r="Z330" t="inlineStr">
        <is>
          <t>,000000000</t>
        </is>
      </c>
      <c r="AA330" t="inlineStr">
        <is>
          <t>,000000000</t>
        </is>
      </c>
      <c r="AB330" t="inlineStr">
        <is>
          <t>4</t>
        </is>
      </c>
      <c r="AC330" t="inlineStr">
        <is>
          <t>4</t>
        </is>
      </c>
      <c r="AD330" s="3">
        <f>UPPER(C3)</f>
        <v/>
      </c>
      <c r="AE330" s="3">
        <f>VLOOKUP(E3,'[1]Nómina Agentes'!$C:$D,3,0)</f>
        <v/>
      </c>
      <c r="AF330" s="5">
        <f>F3</f>
        <v/>
      </c>
      <c r="AG330" s="5">
        <f>H3</f>
        <v/>
      </c>
    </row>
    <row r="331">
      <c r="A331" s="1" t="inlineStr">
        <is>
          <t>9/10/2024</t>
        </is>
      </c>
      <c r="B331" t="inlineStr">
        <is>
          <t>925</t>
        </is>
      </c>
      <c r="C331" t="inlineStr">
        <is>
          <t>S2S Premium</t>
        </is>
      </c>
      <c r="D331" t="inlineStr">
        <is>
          <t>*XN2_Fernandez Rolan</t>
        </is>
      </c>
      <c r="E331" t="inlineStr">
        <is>
          <t>616522</t>
        </is>
      </c>
      <c r="F331" s="2" t="inlineStr">
        <is>
          <t>10:00</t>
        </is>
      </c>
      <c r="G331" t="inlineStr">
        <is>
          <t>-</t>
        </is>
      </c>
      <c r="H331" s="2" t="inlineStr">
        <is>
          <t>10:30</t>
        </is>
      </c>
      <c r="I331" t="inlineStr">
        <is>
          <t>961,000000000</t>
        </is>
      </c>
      <c r="J331" t="inlineStr">
        <is>
          <t>,000000000</t>
        </is>
      </c>
      <c r="K331" t="inlineStr">
        <is>
          <t>,000000000</t>
        </is>
      </c>
      <c r="L331" t="inlineStr">
        <is>
          <t>19,000000000</t>
        </is>
      </c>
      <c r="M331" t="inlineStr">
        <is>
          <t>,000000000</t>
        </is>
      </c>
      <c r="N331" t="inlineStr">
        <is>
          <t>,000000000</t>
        </is>
      </c>
      <c r="O331" t="inlineStr">
        <is>
          <t>,000000000</t>
        </is>
      </c>
      <c r="P331" t="inlineStr">
        <is>
          <t>4,000000000</t>
        </is>
      </c>
      <c r="Q331" t="inlineStr">
        <is>
          <t>,000000000</t>
        </is>
      </c>
      <c r="R331" t="inlineStr">
        <is>
          <t>,000000000</t>
        </is>
      </c>
      <c r="S331" t="inlineStr">
        <is>
          <t>,000000000</t>
        </is>
      </c>
      <c r="T331" t="inlineStr">
        <is>
          <t>,000000000</t>
        </is>
      </c>
      <c r="U331" t="inlineStr">
        <is>
          <t>,000000000</t>
        </is>
      </c>
      <c r="V331" t="inlineStr">
        <is>
          <t>,000000000</t>
        </is>
      </c>
      <c r="W331" t="inlineStr">
        <is>
          <t>,000000000</t>
        </is>
      </c>
      <c r="X331" t="inlineStr">
        <is>
          <t>,000000000</t>
        </is>
      </c>
      <c r="Y331" t="inlineStr">
        <is>
          <t>,000000000</t>
        </is>
      </c>
      <c r="Z331" t="inlineStr">
        <is>
          <t>,000000000</t>
        </is>
      </c>
      <c r="AA331" t="inlineStr">
        <is>
          <t>,000000000</t>
        </is>
      </c>
      <c r="AB331" t="inlineStr">
        <is>
          <t>5</t>
        </is>
      </c>
      <c r="AC331" t="inlineStr">
        <is>
          <t>3</t>
        </is>
      </c>
      <c r="AD331" s="3">
        <f>UPPER(C3)</f>
        <v/>
      </c>
      <c r="AE331" s="3">
        <f>VLOOKUP(E3,'[1]Nómina Agentes'!$C:$D,3,0)</f>
        <v/>
      </c>
      <c r="AF331" s="5">
        <f>F3</f>
        <v/>
      </c>
      <c r="AG331" s="5">
        <f>H3</f>
        <v/>
      </c>
    </row>
    <row r="332">
      <c r="A332" s="1" t="inlineStr">
        <is>
          <t>9/10/2024</t>
        </is>
      </c>
      <c r="B332" t="inlineStr">
        <is>
          <t>925</t>
        </is>
      </c>
      <c r="C332" t="inlineStr">
        <is>
          <t>S2S Premium</t>
        </is>
      </c>
      <c r="D332" t="inlineStr">
        <is>
          <t>*XN2_Fernandez Rolan</t>
        </is>
      </c>
      <c r="E332" t="inlineStr">
        <is>
          <t>616522</t>
        </is>
      </c>
      <c r="F332" s="2" t="inlineStr">
        <is>
          <t>10:30</t>
        </is>
      </c>
      <c r="G332" t="inlineStr">
        <is>
          <t>-</t>
        </is>
      </c>
      <c r="H332" s="2" t="inlineStr">
        <is>
          <t>11:00</t>
        </is>
      </c>
      <c r="I332" t="inlineStr">
        <is>
          <t>1152,000000000</t>
        </is>
      </c>
      <c r="J332" t="inlineStr">
        <is>
          <t>,000000000</t>
        </is>
      </c>
      <c r="K332" t="inlineStr">
        <is>
          <t>,000000000</t>
        </is>
      </c>
      <c r="L332" t="inlineStr">
        <is>
          <t>28,000000000</t>
        </is>
      </c>
      <c r="M332" t="inlineStr">
        <is>
          <t>,000000000</t>
        </is>
      </c>
      <c r="N332" t="inlineStr">
        <is>
          <t>,000000000</t>
        </is>
      </c>
      <c r="O332" t="inlineStr">
        <is>
          <t>,000000000</t>
        </is>
      </c>
      <c r="P332" t="inlineStr">
        <is>
          <t>6,000000000</t>
        </is>
      </c>
      <c r="Q332" t="inlineStr">
        <is>
          <t>,000000000</t>
        </is>
      </c>
      <c r="R332" t="inlineStr">
        <is>
          <t>,000000000</t>
        </is>
      </c>
      <c r="S332" t="inlineStr">
        <is>
          <t>,000000000</t>
        </is>
      </c>
      <c r="T332" t="inlineStr">
        <is>
          <t>,000000000</t>
        </is>
      </c>
      <c r="U332" t="inlineStr">
        <is>
          <t>,000000000</t>
        </is>
      </c>
      <c r="V332" t="inlineStr">
        <is>
          <t>,000000000</t>
        </is>
      </c>
      <c r="W332" t="inlineStr">
        <is>
          <t>,000000000</t>
        </is>
      </c>
      <c r="X332" t="inlineStr">
        <is>
          <t>,000000000</t>
        </is>
      </c>
      <c r="Y332" t="inlineStr">
        <is>
          <t>,000000000</t>
        </is>
      </c>
      <c r="Z332" t="inlineStr">
        <is>
          <t>,000000000</t>
        </is>
      </c>
      <c r="AA332" t="inlineStr">
        <is>
          <t>,000000000</t>
        </is>
      </c>
      <c r="AB332" t="inlineStr">
        <is>
          <t>6</t>
        </is>
      </c>
      <c r="AC332" t="inlineStr">
        <is>
          <t>6</t>
        </is>
      </c>
      <c r="AD332" s="3">
        <f>UPPER(C3)</f>
        <v/>
      </c>
      <c r="AE332" s="3">
        <f>VLOOKUP(E3,'[1]Nómina Agentes'!$C:$D,3,0)</f>
        <v/>
      </c>
      <c r="AF332" s="5">
        <f>F3</f>
        <v/>
      </c>
      <c r="AG332" s="5">
        <f>H3</f>
        <v/>
      </c>
    </row>
    <row r="333">
      <c r="A333" s="1" t="inlineStr">
        <is>
          <t>9/10/2024</t>
        </is>
      </c>
      <c r="B333" t="inlineStr">
        <is>
          <t>924</t>
        </is>
      </c>
      <c r="C333" t="inlineStr">
        <is>
          <t>S2S No Premium</t>
        </is>
      </c>
      <c r="D333" t="inlineStr">
        <is>
          <t>N2e   Gauna Rocio</t>
        </is>
      </c>
      <c r="E333" t="inlineStr">
        <is>
          <t>616633</t>
        </is>
      </c>
      <c r="F333" s="2" t="inlineStr">
        <is>
          <t>09:00</t>
        </is>
      </c>
      <c r="G333" t="inlineStr">
        <is>
          <t>-</t>
        </is>
      </c>
      <c r="H333" s="2" t="inlineStr">
        <is>
          <t>09:30</t>
        </is>
      </c>
      <c r="I333" t="inlineStr">
        <is>
          <t>,000000000</t>
        </is>
      </c>
      <c r="J333" t="inlineStr">
        <is>
          <t>,000000000</t>
        </is>
      </c>
      <c r="K333" t="inlineStr">
        <is>
          <t>,000000000</t>
        </is>
      </c>
      <c r="L333" t="inlineStr">
        <is>
          <t>,000000000</t>
        </is>
      </c>
      <c r="M333" t="inlineStr">
        <is>
          <t>,000000000</t>
        </is>
      </c>
      <c r="N333" t="inlineStr">
        <is>
          <t>,000000000</t>
        </is>
      </c>
      <c r="O333" t="inlineStr">
        <is>
          <t>,000000000</t>
        </is>
      </c>
      <c r="P333" t="inlineStr">
        <is>
          <t>,000000000</t>
        </is>
      </c>
      <c r="Q333" t="inlineStr">
        <is>
          <t>,000000000</t>
        </is>
      </c>
      <c r="R333" t="inlineStr">
        <is>
          <t>,000000000</t>
        </is>
      </c>
      <c r="S333" t="inlineStr">
        <is>
          <t>,000000000</t>
        </is>
      </c>
      <c r="T333" t="inlineStr">
        <is>
          <t>,000000000</t>
        </is>
      </c>
      <c r="U333" t="inlineStr">
        <is>
          <t>,000000000</t>
        </is>
      </c>
      <c r="V333" t="inlineStr">
        <is>
          <t>,000000000</t>
        </is>
      </c>
      <c r="W333" t="inlineStr">
        <is>
          <t>,000000000</t>
        </is>
      </c>
      <c r="X333" t="inlineStr">
        <is>
          <t>,000000000</t>
        </is>
      </c>
      <c r="Y333" t="inlineStr">
        <is>
          <t>,000000000</t>
        </is>
      </c>
      <c r="Z333" t="inlineStr">
        <is>
          <t>,000000000</t>
        </is>
      </c>
      <c r="AA333" t="inlineStr">
        <is>
          <t>,000000000</t>
        </is>
      </c>
      <c r="AB333" t="inlineStr">
        <is>
          <t>0</t>
        </is>
      </c>
      <c r="AC333" t="inlineStr">
        <is>
          <t>0</t>
        </is>
      </c>
      <c r="AD333" s="3">
        <f>UPPER(C3)</f>
        <v/>
      </c>
      <c r="AE333" s="3">
        <f>VLOOKUP(E3,'[1]Nómina Agentes'!$C:$D,3,0)</f>
        <v/>
      </c>
      <c r="AF333" s="5">
        <f>F3</f>
        <v/>
      </c>
      <c r="AG333" s="5">
        <f>H3</f>
        <v/>
      </c>
    </row>
    <row r="334">
      <c r="A334" s="1" t="inlineStr">
        <is>
          <t>9/10/2024</t>
        </is>
      </c>
      <c r="B334" t="inlineStr">
        <is>
          <t>924</t>
        </is>
      </c>
      <c r="C334" t="inlineStr">
        <is>
          <t>S2S No Premium</t>
        </is>
      </c>
      <c r="D334" t="inlineStr">
        <is>
          <t>N2e   Gauna Rocio</t>
        </is>
      </c>
      <c r="E334" t="inlineStr">
        <is>
          <t>616633</t>
        </is>
      </c>
      <c r="F334" s="2" t="inlineStr">
        <is>
          <t>10:00</t>
        </is>
      </c>
      <c r="G334" t="inlineStr">
        <is>
          <t>-</t>
        </is>
      </c>
      <c r="H334" s="2" t="inlineStr">
        <is>
          <t>10:30</t>
        </is>
      </c>
      <c r="I334" t="inlineStr">
        <is>
          <t>637,000000000</t>
        </is>
      </c>
      <c r="J334" t="inlineStr">
        <is>
          <t>,000000000</t>
        </is>
      </c>
      <c r="K334" t="inlineStr">
        <is>
          <t>,000000000</t>
        </is>
      </c>
      <c r="L334" t="inlineStr">
        <is>
          <t>12,000000000</t>
        </is>
      </c>
      <c r="M334" t="inlineStr">
        <is>
          <t>,000000000</t>
        </is>
      </c>
      <c r="N334" t="inlineStr">
        <is>
          <t>,000000000</t>
        </is>
      </c>
      <c r="O334" t="inlineStr">
        <is>
          <t>,000000000</t>
        </is>
      </c>
      <c r="P334" t="inlineStr">
        <is>
          <t>2,000000000</t>
        </is>
      </c>
      <c r="Q334" t="inlineStr">
        <is>
          <t>,000000000</t>
        </is>
      </c>
      <c r="R334" t="inlineStr">
        <is>
          <t>,000000000</t>
        </is>
      </c>
      <c r="S334" t="inlineStr">
        <is>
          <t>,000000000</t>
        </is>
      </c>
      <c r="T334" t="inlineStr">
        <is>
          <t>,000000000</t>
        </is>
      </c>
      <c r="U334" t="inlineStr">
        <is>
          <t>,000000000</t>
        </is>
      </c>
      <c r="V334" t="inlineStr">
        <is>
          <t>,000000000</t>
        </is>
      </c>
      <c r="W334" t="inlineStr">
        <is>
          <t>,000000000</t>
        </is>
      </c>
      <c r="X334" t="inlineStr">
        <is>
          <t>,000000000</t>
        </is>
      </c>
      <c r="Y334" t="inlineStr">
        <is>
          <t>,000000000</t>
        </is>
      </c>
      <c r="Z334" t="inlineStr">
        <is>
          <t>,000000000</t>
        </is>
      </c>
      <c r="AA334" t="inlineStr">
        <is>
          <t>,000000000</t>
        </is>
      </c>
      <c r="AB334" t="inlineStr">
        <is>
          <t>4</t>
        </is>
      </c>
      <c r="AC334" t="inlineStr">
        <is>
          <t>2</t>
        </is>
      </c>
      <c r="AD334" s="3">
        <f>UPPER(C3)</f>
        <v/>
      </c>
      <c r="AE334" s="3">
        <f>VLOOKUP(E3,'[1]Nómina Agentes'!$C:$D,3,0)</f>
        <v/>
      </c>
      <c r="AF334" s="5">
        <f>F3</f>
        <v/>
      </c>
      <c r="AG334" s="5">
        <f>H3</f>
        <v/>
      </c>
    </row>
    <row r="335">
      <c r="A335" s="1" t="inlineStr">
        <is>
          <t>9/10/2024</t>
        </is>
      </c>
      <c r="B335" t="inlineStr">
        <is>
          <t>924</t>
        </is>
      </c>
      <c r="C335" t="inlineStr">
        <is>
          <t>S2S No Premium</t>
        </is>
      </c>
      <c r="D335" t="inlineStr">
        <is>
          <t>N2e   Gauna Rocio</t>
        </is>
      </c>
      <c r="E335" t="inlineStr">
        <is>
          <t>616633</t>
        </is>
      </c>
      <c r="F335" s="2" t="inlineStr">
        <is>
          <t>10:30</t>
        </is>
      </c>
      <c r="G335" t="inlineStr">
        <is>
          <t>-</t>
        </is>
      </c>
      <c r="H335" s="2" t="inlineStr">
        <is>
          <t>11:00</t>
        </is>
      </c>
      <c r="I335" t="inlineStr">
        <is>
          <t>1134,000000000</t>
        </is>
      </c>
      <c r="J335" t="inlineStr">
        <is>
          <t>,000000000</t>
        </is>
      </c>
      <c r="K335" t="inlineStr">
        <is>
          <t>,000000000</t>
        </is>
      </c>
      <c r="L335" t="inlineStr">
        <is>
          <t>28,000000000</t>
        </is>
      </c>
      <c r="M335" t="inlineStr">
        <is>
          <t>,000000000</t>
        </is>
      </c>
      <c r="N335" t="inlineStr">
        <is>
          <t>,000000000</t>
        </is>
      </c>
      <c r="O335" t="inlineStr">
        <is>
          <t>,000000000</t>
        </is>
      </c>
      <c r="P335" t="inlineStr">
        <is>
          <t>158,000000000</t>
        </is>
      </c>
      <c r="Q335" t="inlineStr">
        <is>
          <t>,000000000</t>
        </is>
      </c>
      <c r="R335" t="inlineStr">
        <is>
          <t>,000000000</t>
        </is>
      </c>
      <c r="S335" t="inlineStr">
        <is>
          <t>,000000000</t>
        </is>
      </c>
      <c r="T335" t="inlineStr">
        <is>
          <t>,000000000</t>
        </is>
      </c>
      <c r="U335" t="inlineStr">
        <is>
          <t>,000000000</t>
        </is>
      </c>
      <c r="V335" t="inlineStr">
        <is>
          <t>,000000000</t>
        </is>
      </c>
      <c r="W335" t="inlineStr">
        <is>
          <t>,000000000</t>
        </is>
      </c>
      <c r="X335" t="inlineStr">
        <is>
          <t>,000000000</t>
        </is>
      </c>
      <c r="Y335" t="inlineStr">
        <is>
          <t>,000000000</t>
        </is>
      </c>
      <c r="Z335" t="inlineStr">
        <is>
          <t>,000000000</t>
        </is>
      </c>
      <c r="AA335" t="inlineStr">
        <is>
          <t>,000000000</t>
        </is>
      </c>
      <c r="AB335" t="inlineStr">
        <is>
          <t>6</t>
        </is>
      </c>
      <c r="AC335" t="inlineStr">
        <is>
          <t>4</t>
        </is>
      </c>
      <c r="AD335" s="3">
        <f>UPPER(C3)</f>
        <v/>
      </c>
      <c r="AE335" s="3">
        <f>VLOOKUP(E3,'[1]Nómina Agentes'!$C:$D,3,0)</f>
        <v/>
      </c>
      <c r="AF335" s="5">
        <f>F3</f>
        <v/>
      </c>
      <c r="AG335" s="5">
        <f>H3</f>
        <v/>
      </c>
    </row>
    <row r="336">
      <c r="A336" s="1" t="inlineStr">
        <is>
          <t>9/10/2024</t>
        </is>
      </c>
      <c r="B336" t="inlineStr">
        <is>
          <t>924</t>
        </is>
      </c>
      <c r="C336" t="inlineStr">
        <is>
          <t>S2S No Premium</t>
        </is>
      </c>
      <c r="D336" t="inlineStr">
        <is>
          <t>N2e   Gauna Rocio</t>
        </is>
      </c>
      <c r="E336" t="inlineStr">
        <is>
          <t>616633</t>
        </is>
      </c>
      <c r="F336" s="2" t="inlineStr">
        <is>
          <t>09:30</t>
        </is>
      </c>
      <c r="G336" t="inlineStr">
        <is>
          <t>-</t>
        </is>
      </c>
      <c r="H336" s="2" t="inlineStr">
        <is>
          <t>10:00</t>
        </is>
      </c>
      <c r="I336" t="inlineStr">
        <is>
          <t>1341,000000000</t>
        </is>
      </c>
      <c r="J336" t="inlineStr">
        <is>
          <t>,000000000</t>
        </is>
      </c>
      <c r="K336" t="inlineStr">
        <is>
          <t>,000000000</t>
        </is>
      </c>
      <c r="L336" t="inlineStr">
        <is>
          <t>20,000000000</t>
        </is>
      </c>
      <c r="M336" t="inlineStr">
        <is>
          <t>,000000000</t>
        </is>
      </c>
      <c r="N336" t="inlineStr">
        <is>
          <t>,000000000</t>
        </is>
      </c>
      <c r="O336" t="inlineStr">
        <is>
          <t>,000000000</t>
        </is>
      </c>
      <c r="P336" t="inlineStr">
        <is>
          <t>2,000000000</t>
        </is>
      </c>
      <c r="Q336" t="inlineStr">
        <is>
          <t>,000000000</t>
        </is>
      </c>
      <c r="R336" t="inlineStr">
        <is>
          <t>,000000000</t>
        </is>
      </c>
      <c r="S336" t="inlineStr">
        <is>
          <t>,000000000</t>
        </is>
      </c>
      <c r="T336" t="inlineStr">
        <is>
          <t>,000000000</t>
        </is>
      </c>
      <c r="U336" t="inlineStr">
        <is>
          <t>,000000000</t>
        </is>
      </c>
      <c r="V336" t="inlineStr">
        <is>
          <t>,000000000</t>
        </is>
      </c>
      <c r="W336" t="inlineStr">
        <is>
          <t>,000000000</t>
        </is>
      </c>
      <c r="X336" t="inlineStr">
        <is>
          <t>,000000000</t>
        </is>
      </c>
      <c r="Y336" t="inlineStr">
        <is>
          <t>,000000000</t>
        </is>
      </c>
      <c r="Z336" t="inlineStr">
        <is>
          <t>,000000000</t>
        </is>
      </c>
      <c r="AA336" t="inlineStr">
        <is>
          <t>,000000000</t>
        </is>
      </c>
      <c r="AB336" t="inlineStr">
        <is>
          <t>4</t>
        </is>
      </c>
      <c r="AC336" t="inlineStr">
        <is>
          <t>2</t>
        </is>
      </c>
      <c r="AD336" s="3">
        <f>UPPER(C3)</f>
        <v/>
      </c>
      <c r="AE336" s="3">
        <f>VLOOKUP(E3,'[1]Nómina Agentes'!$C:$D,3,0)</f>
        <v/>
      </c>
      <c r="AF336" s="5">
        <f>F3</f>
        <v/>
      </c>
      <c r="AG336" s="5">
        <f>H3</f>
        <v/>
      </c>
    </row>
    <row r="337">
      <c r="A337" s="1" t="inlineStr">
        <is>
          <t>9/10/2024</t>
        </is>
      </c>
      <c r="B337" t="inlineStr">
        <is>
          <t>924</t>
        </is>
      </c>
      <c r="C337" t="inlineStr">
        <is>
          <t>S2S No Premium</t>
        </is>
      </c>
      <c r="D337" t="inlineStr">
        <is>
          <t>*N1 Borda Daniela</t>
        </is>
      </c>
      <c r="E337" t="inlineStr">
        <is>
          <t>616636</t>
        </is>
      </c>
      <c r="F337" s="2" t="inlineStr">
        <is>
          <t>10:00</t>
        </is>
      </c>
      <c r="G337" t="inlineStr">
        <is>
          <t>-</t>
        </is>
      </c>
      <c r="H337" s="2" t="inlineStr">
        <is>
          <t>10:30</t>
        </is>
      </c>
      <c r="I337" t="inlineStr">
        <is>
          <t>593,000000000</t>
        </is>
      </c>
      <c r="J337" t="inlineStr">
        <is>
          <t>,000000000</t>
        </is>
      </c>
      <c r="K337" t="inlineStr">
        <is>
          <t>,000000000</t>
        </is>
      </c>
      <c r="L337" t="inlineStr">
        <is>
          <t>4,000000000</t>
        </is>
      </c>
      <c r="M337" t="inlineStr">
        <is>
          <t>,000000000</t>
        </is>
      </c>
      <c r="N337" t="inlineStr">
        <is>
          <t>,000000000</t>
        </is>
      </c>
      <c r="O337" t="inlineStr">
        <is>
          <t>,000000000</t>
        </is>
      </c>
      <c r="P337" t="inlineStr">
        <is>
          <t>,000000000</t>
        </is>
      </c>
      <c r="Q337" t="inlineStr">
        <is>
          <t>,000000000</t>
        </is>
      </c>
      <c r="R337" t="inlineStr">
        <is>
          <t>,000000000</t>
        </is>
      </c>
      <c r="S337" t="inlineStr">
        <is>
          <t>,000000000</t>
        </is>
      </c>
      <c r="T337" t="inlineStr">
        <is>
          <t>,000000000</t>
        </is>
      </c>
      <c r="U337" t="inlineStr">
        <is>
          <t>,000000000</t>
        </is>
      </c>
      <c r="V337" t="inlineStr">
        <is>
          <t>,000000000</t>
        </is>
      </c>
      <c r="W337" t="inlineStr">
        <is>
          <t>,000000000</t>
        </is>
      </c>
      <c r="X337" t="inlineStr">
        <is>
          <t>,000000000</t>
        </is>
      </c>
      <c r="Y337" t="inlineStr">
        <is>
          <t>,000000000</t>
        </is>
      </c>
      <c r="Z337" t="inlineStr">
        <is>
          <t>,000000000</t>
        </is>
      </c>
      <c r="AA337" t="inlineStr">
        <is>
          <t>,000000000</t>
        </is>
      </c>
      <c r="AB337" t="inlineStr">
        <is>
          <t>0</t>
        </is>
      </c>
      <c r="AC337" t="inlineStr">
        <is>
          <t>0</t>
        </is>
      </c>
      <c r="AD337" s="3">
        <f>UPPER(C3)</f>
        <v/>
      </c>
      <c r="AE337" s="3">
        <f>VLOOKUP(E3,'[1]Nómina Agentes'!$C:$D,3,0)</f>
        <v/>
      </c>
      <c r="AF337" s="5">
        <f>F3</f>
        <v/>
      </c>
      <c r="AG337" s="5">
        <f>H3</f>
        <v/>
      </c>
    </row>
    <row r="338">
      <c r="A338" s="1" t="inlineStr">
        <is>
          <t>9/10/2024</t>
        </is>
      </c>
      <c r="B338" t="inlineStr">
        <is>
          <t>924</t>
        </is>
      </c>
      <c r="C338" t="inlineStr">
        <is>
          <t>S2S No Premium</t>
        </is>
      </c>
      <c r="D338" t="inlineStr">
        <is>
          <t>*N1 Borda Daniela</t>
        </is>
      </c>
      <c r="E338" t="inlineStr">
        <is>
          <t>616636</t>
        </is>
      </c>
      <c r="F338" s="2" t="inlineStr">
        <is>
          <t>10:30</t>
        </is>
      </c>
      <c r="G338" t="inlineStr">
        <is>
          <t>-</t>
        </is>
      </c>
      <c r="H338" s="2" t="inlineStr">
        <is>
          <t>11:00</t>
        </is>
      </c>
      <c r="I338" t="inlineStr">
        <is>
          <t>1006,000000000</t>
        </is>
      </c>
      <c r="J338" t="inlineStr">
        <is>
          <t>,000000000</t>
        </is>
      </c>
      <c r="K338" t="inlineStr">
        <is>
          <t>,000000000</t>
        </is>
      </c>
      <c r="L338" t="inlineStr">
        <is>
          <t>8,000000000</t>
        </is>
      </c>
      <c r="M338" t="inlineStr">
        <is>
          <t>,000000000</t>
        </is>
      </c>
      <c r="N338" t="inlineStr">
        <is>
          <t>,000000000</t>
        </is>
      </c>
      <c r="O338" t="inlineStr">
        <is>
          <t>,000000000</t>
        </is>
      </c>
      <c r="P338" t="inlineStr">
        <is>
          <t>948,000000000</t>
        </is>
      </c>
      <c r="Q338" t="inlineStr">
        <is>
          <t>,000000000</t>
        </is>
      </c>
      <c r="R338" t="inlineStr">
        <is>
          <t>,000000000</t>
        </is>
      </c>
      <c r="S338" t="inlineStr">
        <is>
          <t>,000000000</t>
        </is>
      </c>
      <c r="T338" t="inlineStr">
        <is>
          <t>,000000000</t>
        </is>
      </c>
      <c r="U338" t="inlineStr">
        <is>
          <t>,000000000</t>
        </is>
      </c>
      <c r="V338" t="inlineStr">
        <is>
          <t>,000000000</t>
        </is>
      </c>
      <c r="W338" t="inlineStr">
        <is>
          <t>,000000000</t>
        </is>
      </c>
      <c r="X338" t="inlineStr">
        <is>
          <t>,000000000</t>
        </is>
      </c>
      <c r="Y338" t="inlineStr">
        <is>
          <t>,000000000</t>
        </is>
      </c>
      <c r="Z338" t="inlineStr">
        <is>
          <t>,000000000</t>
        </is>
      </c>
      <c r="AA338" t="inlineStr">
        <is>
          <t>,000000000</t>
        </is>
      </c>
      <c r="AB338" t="inlineStr">
        <is>
          <t>2</t>
        </is>
      </c>
      <c r="AC338" t="inlineStr">
        <is>
          <t>1</t>
        </is>
      </c>
      <c r="AD338" s="3">
        <f>UPPER(C3)</f>
        <v/>
      </c>
      <c r="AE338" s="3">
        <f>VLOOKUP(E3,'[1]Nómina Agentes'!$C:$D,3,0)</f>
        <v/>
      </c>
      <c r="AF338" s="5">
        <f>F3</f>
        <v/>
      </c>
      <c r="AG338" s="5">
        <f>H3</f>
        <v/>
      </c>
    </row>
    <row r="339">
      <c r="A339" s="1" t="inlineStr">
        <is>
          <t>9/10/2024</t>
        </is>
      </c>
      <c r="B339" t="inlineStr">
        <is>
          <t>924</t>
        </is>
      </c>
      <c r="C339" t="inlineStr">
        <is>
          <t>S2S No Premium</t>
        </is>
      </c>
      <c r="D339" t="inlineStr">
        <is>
          <t>N2e  Cosgaya Cecilia</t>
        </is>
      </c>
      <c r="E339" t="inlineStr">
        <is>
          <t>616637</t>
        </is>
      </c>
      <c r="F339" s="2" t="inlineStr">
        <is>
          <t>09:30</t>
        </is>
      </c>
      <c r="G339" t="inlineStr">
        <is>
          <t>-</t>
        </is>
      </c>
      <c r="H339" s="2" t="inlineStr">
        <is>
          <t>10:00</t>
        </is>
      </c>
      <c r="I339" t="inlineStr">
        <is>
          <t>408,000000000</t>
        </is>
      </c>
      <c r="J339" t="inlineStr">
        <is>
          <t>229,000000000</t>
        </is>
      </c>
      <c r="K339" t="inlineStr">
        <is>
          <t>,000000000</t>
        </is>
      </c>
      <c r="L339" t="inlineStr">
        <is>
          <t>4,000000000</t>
        </is>
      </c>
      <c r="M339" t="inlineStr">
        <is>
          <t>,000000000</t>
        </is>
      </c>
      <c r="N339" t="inlineStr">
        <is>
          <t>,000000000</t>
        </is>
      </c>
      <c r="O339" t="inlineStr">
        <is>
          <t>,000000000</t>
        </is>
      </c>
      <c r="P339" t="inlineStr">
        <is>
          <t>805,000000000</t>
        </is>
      </c>
      <c r="Q339" t="inlineStr">
        <is>
          <t>267,000000000</t>
        </is>
      </c>
      <c r="R339" t="inlineStr">
        <is>
          <t>,000000000</t>
        </is>
      </c>
      <c r="S339" t="inlineStr">
        <is>
          <t>,000000000</t>
        </is>
      </c>
      <c r="T339" t="inlineStr">
        <is>
          <t>,000000000</t>
        </is>
      </c>
      <c r="U339" t="inlineStr">
        <is>
          <t>,000000000</t>
        </is>
      </c>
      <c r="V339" t="inlineStr">
        <is>
          <t>,000000000</t>
        </is>
      </c>
      <c r="W339" t="inlineStr">
        <is>
          <t>,000000000</t>
        </is>
      </c>
      <c r="X339" t="inlineStr">
        <is>
          <t>,000000000</t>
        </is>
      </c>
      <c r="Y339" t="inlineStr">
        <is>
          <t>,000000000</t>
        </is>
      </c>
      <c r="Z339" t="inlineStr">
        <is>
          <t>,000000000</t>
        </is>
      </c>
      <c r="AA339" t="inlineStr">
        <is>
          <t>,000000000</t>
        </is>
      </c>
      <c r="AB339" t="inlineStr">
        <is>
          <t>1</t>
        </is>
      </c>
      <c r="AC339" t="inlineStr">
        <is>
          <t>1</t>
        </is>
      </c>
      <c r="AD339" s="3">
        <f>UPPER(C3)</f>
        <v/>
      </c>
      <c r="AE339" s="3">
        <f>VLOOKUP(E3,'[1]Nómina Agentes'!$C:$D,3,0)</f>
        <v/>
      </c>
      <c r="AF339" s="5">
        <f>F3</f>
        <v/>
      </c>
      <c r="AG339" s="5">
        <f>H3</f>
        <v/>
      </c>
    </row>
    <row r="340">
      <c r="A340" s="1" t="inlineStr">
        <is>
          <t>9/10/2024</t>
        </is>
      </c>
      <c r="B340" t="inlineStr">
        <is>
          <t>924</t>
        </is>
      </c>
      <c r="C340" t="inlineStr">
        <is>
          <t>S2S No Premium</t>
        </is>
      </c>
      <c r="D340" t="inlineStr">
        <is>
          <t>N2e  Cosgaya Cecilia</t>
        </is>
      </c>
      <c r="E340" t="inlineStr">
        <is>
          <t>616637</t>
        </is>
      </c>
      <c r="F340" s="2" t="inlineStr">
        <is>
          <t>10:00</t>
        </is>
      </c>
      <c r="G340" t="inlineStr">
        <is>
          <t>-</t>
        </is>
      </c>
      <c r="H340" s="2" t="inlineStr">
        <is>
          <t>10:30</t>
        </is>
      </c>
      <c r="I340" t="inlineStr">
        <is>
          <t>777,000000000</t>
        </is>
      </c>
      <c r="J340" t="inlineStr">
        <is>
          <t>,000000000</t>
        </is>
      </c>
      <c r="K340" t="inlineStr">
        <is>
          <t>,000000000</t>
        </is>
      </c>
      <c r="L340" t="inlineStr">
        <is>
          <t>16,000000000</t>
        </is>
      </c>
      <c r="M340" t="inlineStr">
        <is>
          <t>,000000000</t>
        </is>
      </c>
      <c r="N340" t="inlineStr">
        <is>
          <t>,000000000</t>
        </is>
      </c>
      <c r="O340" t="inlineStr">
        <is>
          <t>,000000000</t>
        </is>
      </c>
      <c r="P340" t="inlineStr">
        <is>
          <t>339,000000000</t>
        </is>
      </c>
      <c r="Q340" t="inlineStr">
        <is>
          <t>,000000000</t>
        </is>
      </c>
      <c r="R340" t="inlineStr">
        <is>
          <t>,000000000</t>
        </is>
      </c>
      <c r="S340" t="inlineStr">
        <is>
          <t>,000000000</t>
        </is>
      </c>
      <c r="T340" t="inlineStr">
        <is>
          <t>,000000000</t>
        </is>
      </c>
      <c r="U340" t="inlineStr">
        <is>
          <t>,000000000</t>
        </is>
      </c>
      <c r="V340" t="inlineStr">
        <is>
          <t>,000000000</t>
        </is>
      </c>
      <c r="W340" t="inlineStr">
        <is>
          <t>,000000000</t>
        </is>
      </c>
      <c r="X340" t="inlineStr">
        <is>
          <t>,000000000</t>
        </is>
      </c>
      <c r="Y340" t="inlineStr">
        <is>
          <t>,000000000</t>
        </is>
      </c>
      <c r="Z340" t="inlineStr">
        <is>
          <t>,000000000</t>
        </is>
      </c>
      <c r="AA340" t="inlineStr">
        <is>
          <t>,000000000</t>
        </is>
      </c>
      <c r="AB340" t="inlineStr">
        <is>
          <t>4</t>
        </is>
      </c>
      <c r="AC340" t="inlineStr">
        <is>
          <t>4</t>
        </is>
      </c>
      <c r="AD340" s="3">
        <f>UPPER(C3)</f>
        <v/>
      </c>
      <c r="AE340" s="3">
        <f>VLOOKUP(E3,'[1]Nómina Agentes'!$C:$D,3,0)</f>
        <v/>
      </c>
      <c r="AF340" s="5">
        <f>F3</f>
        <v/>
      </c>
      <c r="AG340" s="5">
        <f>H3</f>
        <v/>
      </c>
    </row>
    <row r="341">
      <c r="A341" s="1" t="inlineStr">
        <is>
          <t>9/10/2024</t>
        </is>
      </c>
      <c r="B341" t="inlineStr">
        <is>
          <t>924</t>
        </is>
      </c>
      <c r="C341" t="inlineStr">
        <is>
          <t>S2S No Premium</t>
        </is>
      </c>
      <c r="D341" t="inlineStr">
        <is>
          <t>N2e  Cosgaya Cecilia</t>
        </is>
      </c>
      <c r="E341" t="inlineStr">
        <is>
          <t>616637</t>
        </is>
      </c>
      <c r="F341" s="2" t="inlineStr">
        <is>
          <t>09:00</t>
        </is>
      </c>
      <c r="G341" t="inlineStr">
        <is>
          <t>-</t>
        </is>
      </c>
      <c r="H341" s="2" t="inlineStr">
        <is>
          <t>09:30</t>
        </is>
      </c>
      <c r="I341" t="inlineStr">
        <is>
          <t>956,000000000</t>
        </is>
      </c>
      <c r="J341" t="inlineStr">
        <is>
          <t>,000000000</t>
        </is>
      </c>
      <c r="K341" t="inlineStr">
        <is>
          <t>,000000000</t>
        </is>
      </c>
      <c r="L341" t="inlineStr">
        <is>
          <t>16,000000000</t>
        </is>
      </c>
      <c r="M341" t="inlineStr">
        <is>
          <t>,000000000</t>
        </is>
      </c>
      <c r="N341" t="inlineStr">
        <is>
          <t>,000000000</t>
        </is>
      </c>
      <c r="O341" t="inlineStr">
        <is>
          <t>,000000000</t>
        </is>
      </c>
      <c r="P341" t="inlineStr">
        <is>
          <t>,000000000</t>
        </is>
      </c>
      <c r="Q341" t="inlineStr">
        <is>
          <t>,000000000</t>
        </is>
      </c>
      <c r="R341" t="inlineStr">
        <is>
          <t>,000000000</t>
        </is>
      </c>
      <c r="S341" t="inlineStr">
        <is>
          <t>,000000000</t>
        </is>
      </c>
      <c r="T341" t="inlineStr">
        <is>
          <t>,000000000</t>
        </is>
      </c>
      <c r="U341" t="inlineStr">
        <is>
          <t>,000000000</t>
        </is>
      </c>
      <c r="V341" t="inlineStr">
        <is>
          <t>,000000000</t>
        </is>
      </c>
      <c r="W341" t="inlineStr">
        <is>
          <t>,000000000</t>
        </is>
      </c>
      <c r="X341" t="inlineStr">
        <is>
          <t>,000000000</t>
        </is>
      </c>
      <c r="Y341" t="inlineStr">
        <is>
          <t>,000000000</t>
        </is>
      </c>
      <c r="Z341" t="inlineStr">
        <is>
          <t>,000000000</t>
        </is>
      </c>
      <c r="AA341" t="inlineStr">
        <is>
          <t>,000000000</t>
        </is>
      </c>
      <c r="AB341" t="inlineStr">
        <is>
          <t>3</t>
        </is>
      </c>
      <c r="AC341" t="inlineStr">
        <is>
          <t>2</t>
        </is>
      </c>
      <c r="AD341" s="3">
        <f>UPPER(C3)</f>
        <v/>
      </c>
      <c r="AE341" s="3">
        <f>VLOOKUP(E3,'[1]Nómina Agentes'!$C:$D,3,0)</f>
        <v/>
      </c>
      <c r="AF341" s="5">
        <f>F3</f>
        <v/>
      </c>
      <c r="AG341" s="5">
        <f>H3</f>
        <v/>
      </c>
    </row>
    <row r="342">
      <c r="A342" s="1" t="inlineStr">
        <is>
          <t>9/10/2024</t>
        </is>
      </c>
      <c r="B342" t="inlineStr">
        <is>
          <t>924</t>
        </is>
      </c>
      <c r="C342" t="inlineStr">
        <is>
          <t>S2S No Premium</t>
        </is>
      </c>
      <c r="D342" t="inlineStr">
        <is>
          <t>N2e  Cosgaya Cecilia</t>
        </is>
      </c>
      <c r="E342" t="inlineStr">
        <is>
          <t>616637</t>
        </is>
      </c>
      <c r="F342" s="2" t="inlineStr">
        <is>
          <t>10:30</t>
        </is>
      </c>
      <c r="G342" t="inlineStr">
        <is>
          <t>-</t>
        </is>
      </c>
      <c r="H342" s="2" t="inlineStr">
        <is>
          <t>11:00</t>
        </is>
      </c>
      <c r="I342" t="inlineStr">
        <is>
          <t>1603,000000000</t>
        </is>
      </c>
      <c r="J342" t="inlineStr">
        <is>
          <t>,000000000</t>
        </is>
      </c>
      <c r="K342" t="inlineStr">
        <is>
          <t>,000000000</t>
        </is>
      </c>
      <c r="L342" t="inlineStr">
        <is>
          <t>17,000000000</t>
        </is>
      </c>
      <c r="M342" t="inlineStr">
        <is>
          <t>,000000000</t>
        </is>
      </c>
      <c r="N342" t="inlineStr">
        <is>
          <t>,000000000</t>
        </is>
      </c>
      <c r="O342" t="inlineStr">
        <is>
          <t>,000000000</t>
        </is>
      </c>
      <c r="P342" t="inlineStr">
        <is>
          <t>,000000000</t>
        </is>
      </c>
      <c r="Q342" t="inlineStr">
        <is>
          <t>,000000000</t>
        </is>
      </c>
      <c r="R342" t="inlineStr">
        <is>
          <t>,000000000</t>
        </is>
      </c>
      <c r="S342" t="inlineStr">
        <is>
          <t>,000000000</t>
        </is>
      </c>
      <c r="T342" t="inlineStr">
        <is>
          <t>,000000000</t>
        </is>
      </c>
      <c r="U342" t="inlineStr">
        <is>
          <t>,000000000</t>
        </is>
      </c>
      <c r="V342" t="inlineStr">
        <is>
          <t>,000000000</t>
        </is>
      </c>
      <c r="W342" t="inlineStr">
        <is>
          <t>,000000000</t>
        </is>
      </c>
      <c r="X342" t="inlineStr">
        <is>
          <t>,000000000</t>
        </is>
      </c>
      <c r="Y342" t="inlineStr">
        <is>
          <t>,000000000</t>
        </is>
      </c>
      <c r="Z342" t="inlineStr">
        <is>
          <t>,000000000</t>
        </is>
      </c>
      <c r="AA342" t="inlineStr">
        <is>
          <t>,000000000</t>
        </is>
      </c>
      <c r="AB342" t="inlineStr">
        <is>
          <t>4</t>
        </is>
      </c>
      <c r="AC342" t="inlineStr">
        <is>
          <t>3</t>
        </is>
      </c>
      <c r="AD342" s="3">
        <f>UPPER(C3)</f>
        <v/>
      </c>
      <c r="AE342" s="3">
        <f>VLOOKUP(E3,'[1]Nómina Agentes'!$C:$D,3,0)</f>
        <v/>
      </c>
      <c r="AF342" s="5">
        <f>F3</f>
        <v/>
      </c>
      <c r="AG342" s="5">
        <f>H3</f>
        <v/>
      </c>
    </row>
    <row r="343">
      <c r="A343" s="1" t="inlineStr">
        <is>
          <t>9/10/2024</t>
        </is>
      </c>
      <c r="B343" t="inlineStr">
        <is>
          <t>924</t>
        </is>
      </c>
      <c r="C343" t="inlineStr">
        <is>
          <t>S2S No Premium</t>
        </is>
      </c>
      <c r="D343" t="inlineStr">
        <is>
          <t>XPCC_Bres,Andrea Ce</t>
        </is>
      </c>
      <c r="E343" t="inlineStr">
        <is>
          <t>628010</t>
        </is>
      </c>
      <c r="F343" s="2" t="inlineStr">
        <is>
          <t>09:00</t>
        </is>
      </c>
      <c r="G343" t="inlineStr">
        <is>
          <t>-</t>
        </is>
      </c>
      <c r="H343" s="2" t="inlineStr">
        <is>
          <t>09:30</t>
        </is>
      </c>
      <c r="I343" t="inlineStr">
        <is>
          <t>547,000000000</t>
        </is>
      </c>
      <c r="J343" t="inlineStr">
        <is>
          <t>,000000000</t>
        </is>
      </c>
      <c r="K343" t="inlineStr">
        <is>
          <t>,000000000</t>
        </is>
      </c>
      <c r="L343" t="inlineStr">
        <is>
          <t>16,000000000</t>
        </is>
      </c>
      <c r="M343" t="inlineStr">
        <is>
          <t>,000000000</t>
        </is>
      </c>
      <c r="N343" t="inlineStr">
        <is>
          <t>,000000000</t>
        </is>
      </c>
      <c r="O343" t="inlineStr">
        <is>
          <t>,000000000</t>
        </is>
      </c>
      <c r="P343" t="inlineStr">
        <is>
          <t>31,000000000</t>
        </is>
      </c>
      <c r="Q343" t="inlineStr">
        <is>
          <t>,000000000</t>
        </is>
      </c>
      <c r="R343" t="inlineStr">
        <is>
          <t>,000000000</t>
        </is>
      </c>
      <c r="S343" t="inlineStr">
        <is>
          <t>,000000000</t>
        </is>
      </c>
      <c r="T343" t="inlineStr">
        <is>
          <t>,000000000</t>
        </is>
      </c>
      <c r="U343" t="inlineStr">
        <is>
          <t>,000000000</t>
        </is>
      </c>
      <c r="V343" t="inlineStr">
        <is>
          <t>,000000000</t>
        </is>
      </c>
      <c r="W343" t="inlineStr">
        <is>
          <t>,000000000</t>
        </is>
      </c>
      <c r="X343" t="inlineStr">
        <is>
          <t>,000000000</t>
        </is>
      </c>
      <c r="Y343" t="inlineStr">
        <is>
          <t>,000000000</t>
        </is>
      </c>
      <c r="Z343" t="inlineStr">
        <is>
          <t>,000000000</t>
        </is>
      </c>
      <c r="AA343" t="inlineStr">
        <is>
          <t>,000000000</t>
        </is>
      </c>
      <c r="AB343" t="inlineStr">
        <is>
          <t>3</t>
        </is>
      </c>
      <c r="AC343" t="inlineStr">
        <is>
          <t>3</t>
        </is>
      </c>
      <c r="AD343" s="3">
        <f>UPPER(C3)</f>
        <v/>
      </c>
      <c r="AE343" s="3">
        <f>VLOOKUP(E3,'[1]Nómina Agentes'!$C:$D,3,0)</f>
        <v/>
      </c>
      <c r="AF343" s="5">
        <f>F3</f>
        <v/>
      </c>
      <c r="AG343" s="5">
        <f>H3</f>
        <v/>
      </c>
    </row>
    <row r="344">
      <c r="A344" s="1" t="inlineStr">
        <is>
          <t>9/10/2024</t>
        </is>
      </c>
      <c r="B344" t="inlineStr">
        <is>
          <t>924</t>
        </is>
      </c>
      <c r="C344" t="inlineStr">
        <is>
          <t>S2S No Premium</t>
        </is>
      </c>
      <c r="D344" t="inlineStr">
        <is>
          <t>XPCC_Bres,Andrea Ce</t>
        </is>
      </c>
      <c r="E344" t="inlineStr">
        <is>
          <t>628010</t>
        </is>
      </c>
      <c r="F344" s="2" t="inlineStr">
        <is>
          <t>10:00</t>
        </is>
      </c>
      <c r="G344" t="inlineStr">
        <is>
          <t>-</t>
        </is>
      </c>
      <c r="H344" s="2" t="inlineStr">
        <is>
          <t>10:30</t>
        </is>
      </c>
      <c r="I344" t="inlineStr">
        <is>
          <t>724,000000000</t>
        </is>
      </c>
      <c r="J344" t="inlineStr">
        <is>
          <t>,000000000</t>
        </is>
      </c>
      <c r="K344" t="inlineStr">
        <is>
          <t>,000000000</t>
        </is>
      </c>
      <c r="L344" t="inlineStr">
        <is>
          <t>16,000000000</t>
        </is>
      </c>
      <c r="M344" t="inlineStr">
        <is>
          <t>,000000000</t>
        </is>
      </c>
      <c r="N344" t="inlineStr">
        <is>
          <t>,000000000</t>
        </is>
      </c>
      <c r="O344" t="inlineStr">
        <is>
          <t>,000000000</t>
        </is>
      </c>
      <c r="P344" t="inlineStr">
        <is>
          <t>230,000000000</t>
        </is>
      </c>
      <c r="Q344" t="inlineStr">
        <is>
          <t>,000000000</t>
        </is>
      </c>
      <c r="R344" t="inlineStr">
        <is>
          <t>,000000000</t>
        </is>
      </c>
      <c r="S344" t="inlineStr">
        <is>
          <t>,000000000</t>
        </is>
      </c>
      <c r="T344" t="inlineStr">
        <is>
          <t>,000000000</t>
        </is>
      </c>
      <c r="U344" t="inlineStr">
        <is>
          <t>,000000000</t>
        </is>
      </c>
      <c r="V344" t="inlineStr">
        <is>
          <t>,000000000</t>
        </is>
      </c>
      <c r="W344" t="inlineStr">
        <is>
          <t>,000000000</t>
        </is>
      </c>
      <c r="X344" t="inlineStr">
        <is>
          <t>,000000000</t>
        </is>
      </c>
      <c r="Y344" t="inlineStr">
        <is>
          <t>,000000000</t>
        </is>
      </c>
      <c r="Z344" t="inlineStr">
        <is>
          <t>,000000000</t>
        </is>
      </c>
      <c r="AA344" t="inlineStr">
        <is>
          <t>,000000000</t>
        </is>
      </c>
      <c r="AB344" t="inlineStr">
        <is>
          <t>3</t>
        </is>
      </c>
      <c r="AC344" t="inlineStr">
        <is>
          <t>3</t>
        </is>
      </c>
      <c r="AD344" s="3">
        <f>UPPER(C3)</f>
        <v/>
      </c>
      <c r="AE344" s="3">
        <f>VLOOKUP(E3,'[1]Nómina Agentes'!$C:$D,3,0)</f>
        <v/>
      </c>
      <c r="AF344" s="5">
        <f>F3</f>
        <v/>
      </c>
      <c r="AG344" s="5">
        <f>H3</f>
        <v/>
      </c>
    </row>
    <row r="345">
      <c r="A345" s="1" t="inlineStr">
        <is>
          <t>9/10/2024</t>
        </is>
      </c>
      <c r="B345" t="inlineStr">
        <is>
          <t>924</t>
        </is>
      </c>
      <c r="C345" t="inlineStr">
        <is>
          <t>S2S No Premium</t>
        </is>
      </c>
      <c r="D345" t="inlineStr">
        <is>
          <t>XPCC_Bres,Andrea Ce</t>
        </is>
      </c>
      <c r="E345" t="inlineStr">
        <is>
          <t>628010</t>
        </is>
      </c>
      <c r="F345" s="2" t="inlineStr">
        <is>
          <t>09:30</t>
        </is>
      </c>
      <c r="G345" t="inlineStr">
        <is>
          <t>-</t>
        </is>
      </c>
      <c r="H345" s="2" t="inlineStr">
        <is>
          <t>10:00</t>
        </is>
      </c>
      <c r="I345" t="inlineStr">
        <is>
          <t>850,000000000</t>
        </is>
      </c>
      <c r="J345" t="inlineStr">
        <is>
          <t>,000000000</t>
        </is>
      </c>
      <c r="K345" t="inlineStr">
        <is>
          <t>,000000000</t>
        </is>
      </c>
      <c r="L345" t="inlineStr">
        <is>
          <t>8,000000000</t>
        </is>
      </c>
      <c r="M345" t="inlineStr">
        <is>
          <t>,000000000</t>
        </is>
      </c>
      <c r="N345" t="inlineStr">
        <is>
          <t>,000000000</t>
        </is>
      </c>
      <c r="O345" t="inlineStr">
        <is>
          <t>,000000000</t>
        </is>
      </c>
      <c r="P345" t="inlineStr">
        <is>
          <t>591,000000000</t>
        </is>
      </c>
      <c r="Q345" t="inlineStr">
        <is>
          <t>334,000000000</t>
        </is>
      </c>
      <c r="R345" t="inlineStr">
        <is>
          <t>,000000000</t>
        </is>
      </c>
      <c r="S345" t="inlineStr">
        <is>
          <t>,000000000</t>
        </is>
      </c>
      <c r="T345" t="inlineStr">
        <is>
          <t>,000000000</t>
        </is>
      </c>
      <c r="U345" t="inlineStr">
        <is>
          <t>,000000000</t>
        </is>
      </c>
      <c r="V345" t="inlineStr">
        <is>
          <t>,000000000</t>
        </is>
      </c>
      <c r="W345" t="inlineStr">
        <is>
          <t>,000000000</t>
        </is>
      </c>
      <c r="X345" t="inlineStr">
        <is>
          <t>,000000000</t>
        </is>
      </c>
      <c r="Y345" t="inlineStr">
        <is>
          <t>,000000000</t>
        </is>
      </c>
      <c r="Z345" t="inlineStr">
        <is>
          <t>,000000000</t>
        </is>
      </c>
      <c r="AA345" t="inlineStr">
        <is>
          <t>,000000000</t>
        </is>
      </c>
      <c r="AB345" t="inlineStr">
        <is>
          <t>3</t>
        </is>
      </c>
      <c r="AC345" t="inlineStr">
        <is>
          <t>3</t>
        </is>
      </c>
      <c r="AD345" s="3">
        <f>UPPER(C3)</f>
        <v/>
      </c>
      <c r="AE345" s="3">
        <f>VLOOKUP(E3,'[1]Nómina Agentes'!$C:$D,3,0)</f>
        <v/>
      </c>
      <c r="AF345" s="5">
        <f>F3</f>
        <v/>
      </c>
      <c r="AG345" s="5">
        <f>H3</f>
        <v/>
      </c>
    </row>
    <row r="346">
      <c r="A346" s="1" t="inlineStr">
        <is>
          <t>9/10/2024</t>
        </is>
      </c>
      <c r="B346" t="inlineStr">
        <is>
          <t>924</t>
        </is>
      </c>
      <c r="C346" t="inlineStr">
        <is>
          <t>S2S No Premium</t>
        </is>
      </c>
      <c r="D346" t="inlineStr">
        <is>
          <t>XPCC_Bres,Andrea Ce</t>
        </is>
      </c>
      <c r="E346" t="inlineStr">
        <is>
          <t>628010</t>
        </is>
      </c>
      <c r="F346" s="2" t="inlineStr">
        <is>
          <t>10:30</t>
        </is>
      </c>
      <c r="G346" t="inlineStr">
        <is>
          <t>-</t>
        </is>
      </c>
      <c r="H346" s="2" t="inlineStr">
        <is>
          <t>11:00</t>
        </is>
      </c>
      <c r="I346" t="inlineStr">
        <is>
          <t>1119,000000000</t>
        </is>
      </c>
      <c r="J346" t="inlineStr">
        <is>
          <t>,000000000</t>
        </is>
      </c>
      <c r="K346" t="inlineStr">
        <is>
          <t>,000000000</t>
        </is>
      </c>
      <c r="L346" t="inlineStr">
        <is>
          <t>24,000000000</t>
        </is>
      </c>
      <c r="M346" t="inlineStr">
        <is>
          <t>,000000000</t>
        </is>
      </c>
      <c r="N346" t="inlineStr">
        <is>
          <t>,000000000</t>
        </is>
      </c>
      <c r="O346" t="inlineStr">
        <is>
          <t>,000000000</t>
        </is>
      </c>
      <c r="P346" t="inlineStr">
        <is>
          <t>182,000000000</t>
        </is>
      </c>
      <c r="Q346" t="inlineStr">
        <is>
          <t>1,000000000</t>
        </is>
      </c>
      <c r="R346" t="inlineStr">
        <is>
          <t>,000000000</t>
        </is>
      </c>
      <c r="S346" t="inlineStr">
        <is>
          <t>,000000000</t>
        </is>
      </c>
      <c r="T346" t="inlineStr">
        <is>
          <t>,000000000</t>
        </is>
      </c>
      <c r="U346" t="inlineStr">
        <is>
          <t>,000000000</t>
        </is>
      </c>
      <c r="V346" t="inlineStr">
        <is>
          <t>,000000000</t>
        </is>
      </c>
      <c r="W346" t="inlineStr">
        <is>
          <t>,000000000</t>
        </is>
      </c>
      <c r="X346" t="inlineStr">
        <is>
          <t>,000000000</t>
        </is>
      </c>
      <c r="Y346" t="inlineStr">
        <is>
          <t>,000000000</t>
        </is>
      </c>
      <c r="Z346" t="inlineStr">
        <is>
          <t>,000000000</t>
        </is>
      </c>
      <c r="AA346" t="inlineStr">
        <is>
          <t>,000000000</t>
        </is>
      </c>
      <c r="AB346" t="inlineStr">
        <is>
          <t>7</t>
        </is>
      </c>
      <c r="AC346" t="inlineStr">
        <is>
          <t>7</t>
        </is>
      </c>
      <c r="AD346" s="3">
        <f>UPPER(C3)</f>
        <v/>
      </c>
      <c r="AE346" s="3">
        <f>VLOOKUP(E3,'[1]Nómina Agentes'!$C:$D,3,0)</f>
        <v/>
      </c>
      <c r="AF346" s="5">
        <f>F3</f>
        <v/>
      </c>
      <c r="AG346" s="5">
        <f>H3</f>
        <v/>
      </c>
    </row>
    <row r="347">
      <c r="A347" s="1" t="inlineStr">
        <is>
          <t>9/10/2024</t>
        </is>
      </c>
      <c r="B347" t="inlineStr">
        <is>
          <t>925</t>
        </is>
      </c>
      <c r="C347" t="inlineStr">
        <is>
          <t>S2S Premium</t>
        </is>
      </c>
      <c r="D347" t="inlineStr">
        <is>
          <t>PCC_Acuna, Roxana</t>
        </is>
      </c>
      <c r="E347" t="inlineStr">
        <is>
          <t>628026</t>
        </is>
      </c>
      <c r="F347" s="2" t="inlineStr">
        <is>
          <t>09:00</t>
        </is>
      </c>
      <c r="G347" t="inlineStr">
        <is>
          <t>-</t>
        </is>
      </c>
      <c r="H347" s="2" t="inlineStr">
        <is>
          <t>09:30</t>
        </is>
      </c>
      <c r="I347" t="inlineStr">
        <is>
          <t>265,000000000</t>
        </is>
      </c>
      <c r="J347" t="inlineStr">
        <is>
          <t>,000000000</t>
        </is>
      </c>
      <c r="K347" t="inlineStr">
        <is>
          <t>,000000000</t>
        </is>
      </c>
      <c r="L347" t="inlineStr">
        <is>
          <t>4,000000000</t>
        </is>
      </c>
      <c r="M347" t="inlineStr">
        <is>
          <t>,000000000</t>
        </is>
      </c>
      <c r="N347" t="inlineStr">
        <is>
          <t>,000000000</t>
        </is>
      </c>
      <c r="O347" t="inlineStr">
        <is>
          <t>,000000000</t>
        </is>
      </c>
      <c r="P347" t="inlineStr">
        <is>
          <t>2,000000000</t>
        </is>
      </c>
      <c r="Q347" t="inlineStr">
        <is>
          <t>,000000000</t>
        </is>
      </c>
      <c r="R347" t="inlineStr">
        <is>
          <t>,000000000</t>
        </is>
      </c>
      <c r="S347" t="inlineStr">
        <is>
          <t>,000000000</t>
        </is>
      </c>
      <c r="T347" t="inlineStr">
        <is>
          <t>,000000000</t>
        </is>
      </c>
      <c r="U347" t="inlineStr">
        <is>
          <t>,000000000</t>
        </is>
      </c>
      <c r="V347" t="inlineStr">
        <is>
          <t>,000000000</t>
        </is>
      </c>
      <c r="W347" t="inlineStr">
        <is>
          <t>,000000000</t>
        </is>
      </c>
      <c r="X347" t="inlineStr">
        <is>
          <t>,000000000</t>
        </is>
      </c>
      <c r="Y347" t="inlineStr">
        <is>
          <t>,000000000</t>
        </is>
      </c>
      <c r="Z347" t="inlineStr">
        <is>
          <t>,000000000</t>
        </is>
      </c>
      <c r="AA347" t="inlineStr">
        <is>
          <t>,000000000</t>
        </is>
      </c>
      <c r="AB347" t="inlineStr">
        <is>
          <t>1</t>
        </is>
      </c>
      <c r="AC347" t="inlineStr">
        <is>
          <t>1</t>
        </is>
      </c>
      <c r="AD347" s="3">
        <f>UPPER(C3)</f>
        <v/>
      </c>
      <c r="AE347" s="3">
        <f>VLOOKUP(E3,'[1]Nómina Agentes'!$C:$D,3,0)</f>
        <v/>
      </c>
      <c r="AF347" s="5">
        <f>F3</f>
        <v/>
      </c>
      <c r="AG347" s="5">
        <f>H3</f>
        <v/>
      </c>
    </row>
    <row r="348">
      <c r="A348" s="1" t="inlineStr">
        <is>
          <t>9/10/2024</t>
        </is>
      </c>
      <c r="B348" t="inlineStr">
        <is>
          <t>924</t>
        </is>
      </c>
      <c r="C348" t="inlineStr">
        <is>
          <t>S2S No Premium</t>
        </is>
      </c>
      <c r="D348" t="inlineStr">
        <is>
          <t>XN2m_Aguirre,Natalia</t>
        </is>
      </c>
      <c r="E348" t="inlineStr">
        <is>
          <t>628030</t>
        </is>
      </c>
      <c r="F348" s="2" t="inlineStr">
        <is>
          <t>09:00</t>
        </is>
      </c>
      <c r="G348" t="inlineStr">
        <is>
          <t>-</t>
        </is>
      </c>
      <c r="H348" s="2" t="inlineStr">
        <is>
          <t>09:30</t>
        </is>
      </c>
      <c r="I348" t="inlineStr">
        <is>
          <t>213,000000000</t>
        </is>
      </c>
      <c r="J348" t="inlineStr">
        <is>
          <t>,000000000</t>
        </is>
      </c>
      <c r="K348" t="inlineStr">
        <is>
          <t>,000000000</t>
        </is>
      </c>
      <c r="L348" t="inlineStr">
        <is>
          <t>4,000000000</t>
        </is>
      </c>
      <c r="M348" t="inlineStr">
        <is>
          <t>,000000000</t>
        </is>
      </c>
      <c r="N348" t="inlineStr">
        <is>
          <t>,000000000</t>
        </is>
      </c>
      <c r="O348" t="inlineStr">
        <is>
          <t>,000000000</t>
        </is>
      </c>
      <c r="P348" t="inlineStr">
        <is>
          <t>115,000000000</t>
        </is>
      </c>
      <c r="Q348" t="inlineStr">
        <is>
          <t>,000000000</t>
        </is>
      </c>
      <c r="R348" t="inlineStr">
        <is>
          <t>,000000000</t>
        </is>
      </c>
      <c r="S348" t="inlineStr">
        <is>
          <t>,000000000</t>
        </is>
      </c>
      <c r="T348" t="inlineStr">
        <is>
          <t>,000000000</t>
        </is>
      </c>
      <c r="U348" t="inlineStr">
        <is>
          <t>,000000000</t>
        </is>
      </c>
      <c r="V348" t="inlineStr">
        <is>
          <t>,000000000</t>
        </is>
      </c>
      <c r="W348" t="inlineStr">
        <is>
          <t>,000000000</t>
        </is>
      </c>
      <c r="X348" t="inlineStr">
        <is>
          <t>,000000000</t>
        </is>
      </c>
      <c r="Y348" t="inlineStr">
        <is>
          <t>,000000000</t>
        </is>
      </c>
      <c r="Z348" t="inlineStr">
        <is>
          <t>,000000000</t>
        </is>
      </c>
      <c r="AA348" t="inlineStr">
        <is>
          <t>,000000000</t>
        </is>
      </c>
      <c r="AB348" t="inlineStr">
        <is>
          <t>1</t>
        </is>
      </c>
      <c r="AC348" t="inlineStr">
        <is>
          <t>1</t>
        </is>
      </c>
      <c r="AD348" s="3">
        <f>UPPER(C3)</f>
        <v/>
      </c>
      <c r="AE348" s="3">
        <f>VLOOKUP(E3,'[1]Nómina Agentes'!$C:$D,3,0)</f>
        <v/>
      </c>
      <c r="AF348" s="5">
        <f>F3</f>
        <v/>
      </c>
      <c r="AG348" s="5">
        <f>H3</f>
        <v/>
      </c>
    </row>
    <row r="349">
      <c r="A349" s="1" t="inlineStr">
        <is>
          <t>9/10/2024</t>
        </is>
      </c>
      <c r="B349" t="inlineStr">
        <is>
          <t>924</t>
        </is>
      </c>
      <c r="C349" t="inlineStr">
        <is>
          <t>S2S No Premium</t>
        </is>
      </c>
      <c r="D349" t="inlineStr">
        <is>
          <t>XN2m_Aguirre,Natalia</t>
        </is>
      </c>
      <c r="E349" t="inlineStr">
        <is>
          <t>628030</t>
        </is>
      </c>
      <c r="F349" s="2" t="inlineStr">
        <is>
          <t>10:00</t>
        </is>
      </c>
      <c r="G349" t="inlineStr">
        <is>
          <t>-</t>
        </is>
      </c>
      <c r="H349" s="2" t="inlineStr">
        <is>
          <t>10:30</t>
        </is>
      </c>
      <c r="I349" t="inlineStr">
        <is>
          <t>548,000000000</t>
        </is>
      </c>
      <c r="J349" t="inlineStr">
        <is>
          <t>,000000000</t>
        </is>
      </c>
      <c r="K349" t="inlineStr">
        <is>
          <t>,000000000</t>
        </is>
      </c>
      <c r="L349" t="inlineStr">
        <is>
          <t>8,000000000</t>
        </is>
      </c>
      <c r="M349" t="inlineStr">
        <is>
          <t>,000000000</t>
        </is>
      </c>
      <c r="N349" t="inlineStr">
        <is>
          <t>,000000000</t>
        </is>
      </c>
      <c r="O349" t="inlineStr">
        <is>
          <t>,000000000</t>
        </is>
      </c>
      <c r="P349" t="inlineStr">
        <is>
          <t>629,000000000</t>
        </is>
      </c>
      <c r="Q349" t="inlineStr">
        <is>
          <t>461,000000000</t>
        </is>
      </c>
      <c r="R349" t="inlineStr">
        <is>
          <t>,000000000</t>
        </is>
      </c>
      <c r="S349" t="inlineStr">
        <is>
          <t>,000000000</t>
        </is>
      </c>
      <c r="T349" t="inlineStr">
        <is>
          <t>,000000000</t>
        </is>
      </c>
      <c r="U349" t="inlineStr">
        <is>
          <t>,000000000</t>
        </is>
      </c>
      <c r="V349" t="inlineStr">
        <is>
          <t>,000000000</t>
        </is>
      </c>
      <c r="W349" t="inlineStr">
        <is>
          <t>,000000000</t>
        </is>
      </c>
      <c r="X349" t="inlineStr">
        <is>
          <t>,000000000</t>
        </is>
      </c>
      <c r="Y349" t="inlineStr">
        <is>
          <t>,000000000</t>
        </is>
      </c>
      <c r="Z349" t="inlineStr">
        <is>
          <t>,000000000</t>
        </is>
      </c>
      <c r="AA349" t="inlineStr">
        <is>
          <t>,000000000</t>
        </is>
      </c>
      <c r="AB349" t="inlineStr">
        <is>
          <t>3</t>
        </is>
      </c>
      <c r="AC349" t="inlineStr">
        <is>
          <t>3</t>
        </is>
      </c>
      <c r="AD349" s="3">
        <f>UPPER(C3)</f>
        <v/>
      </c>
      <c r="AE349" s="3">
        <f>VLOOKUP(E3,'[1]Nómina Agentes'!$C:$D,3,0)</f>
        <v/>
      </c>
      <c r="AF349" s="5">
        <f>F3</f>
        <v/>
      </c>
      <c r="AG349" s="5">
        <f>H3</f>
        <v/>
      </c>
    </row>
    <row r="350">
      <c r="A350" s="1" t="inlineStr">
        <is>
          <t>9/10/2024</t>
        </is>
      </c>
      <c r="B350" t="inlineStr">
        <is>
          <t>924</t>
        </is>
      </c>
      <c r="C350" t="inlineStr">
        <is>
          <t>S2S No Premium</t>
        </is>
      </c>
      <c r="D350" t="inlineStr">
        <is>
          <t>XN2m_Aguirre,Natalia</t>
        </is>
      </c>
      <c r="E350" t="inlineStr">
        <is>
          <t>628030</t>
        </is>
      </c>
      <c r="F350" s="2" t="inlineStr">
        <is>
          <t>10:30</t>
        </is>
      </c>
      <c r="G350" t="inlineStr">
        <is>
          <t>-</t>
        </is>
      </c>
      <c r="H350" s="2" t="inlineStr">
        <is>
          <t>11:00</t>
        </is>
      </c>
      <c r="I350" t="inlineStr">
        <is>
          <t>556,000000000</t>
        </is>
      </c>
      <c r="J350" t="inlineStr">
        <is>
          <t>,000000000</t>
        </is>
      </c>
      <c r="K350" t="inlineStr">
        <is>
          <t>,000000000</t>
        </is>
      </c>
      <c r="L350" t="inlineStr">
        <is>
          <t>12,000000000</t>
        </is>
      </c>
      <c r="M350" t="inlineStr">
        <is>
          <t>,000000000</t>
        </is>
      </c>
      <c r="N350" t="inlineStr">
        <is>
          <t>,000000000</t>
        </is>
      </c>
      <c r="O350" t="inlineStr">
        <is>
          <t>,000000000</t>
        </is>
      </c>
      <c r="P350" t="inlineStr">
        <is>
          <t>4,000000000</t>
        </is>
      </c>
      <c r="Q350" t="inlineStr">
        <is>
          <t>,000000000</t>
        </is>
      </c>
      <c r="R350" t="inlineStr">
        <is>
          <t>,000000000</t>
        </is>
      </c>
      <c r="S350" t="inlineStr">
        <is>
          <t>,000000000</t>
        </is>
      </c>
      <c r="T350" t="inlineStr">
        <is>
          <t>,000000000</t>
        </is>
      </c>
      <c r="U350" t="inlineStr">
        <is>
          <t>,000000000</t>
        </is>
      </c>
      <c r="V350" t="inlineStr">
        <is>
          <t>,000000000</t>
        </is>
      </c>
      <c r="W350" t="inlineStr">
        <is>
          <t>,000000000</t>
        </is>
      </c>
      <c r="X350" t="inlineStr">
        <is>
          <t>,000000000</t>
        </is>
      </c>
      <c r="Y350" t="inlineStr">
        <is>
          <t>,000000000</t>
        </is>
      </c>
      <c r="Z350" t="inlineStr">
        <is>
          <t>,000000000</t>
        </is>
      </c>
      <c r="AA350" t="inlineStr">
        <is>
          <t>,000000000</t>
        </is>
      </c>
      <c r="AB350" t="inlineStr">
        <is>
          <t>3</t>
        </is>
      </c>
      <c r="AC350" t="inlineStr">
        <is>
          <t>3</t>
        </is>
      </c>
      <c r="AD350" s="3">
        <f>UPPER(C3)</f>
        <v/>
      </c>
      <c r="AE350" s="3">
        <f>VLOOKUP(E3,'[1]Nómina Agentes'!$C:$D,3,0)</f>
        <v/>
      </c>
      <c r="AF350" s="5">
        <f>F3</f>
        <v/>
      </c>
      <c r="AG350" s="5">
        <f>H3</f>
        <v/>
      </c>
    </row>
    <row r="351">
      <c r="A351" s="1" t="inlineStr">
        <is>
          <t>9/10/2024</t>
        </is>
      </c>
      <c r="B351" t="inlineStr">
        <is>
          <t>924</t>
        </is>
      </c>
      <c r="C351" t="inlineStr">
        <is>
          <t>S2S No Premium</t>
        </is>
      </c>
      <c r="D351" t="inlineStr">
        <is>
          <t>XN2m_Aguirre,Natalia</t>
        </is>
      </c>
      <c r="E351" t="inlineStr">
        <is>
          <t>628030</t>
        </is>
      </c>
      <c r="F351" s="2" t="inlineStr">
        <is>
          <t>09:30</t>
        </is>
      </c>
      <c r="G351" t="inlineStr">
        <is>
          <t>-</t>
        </is>
      </c>
      <c r="H351" s="2" t="inlineStr">
        <is>
          <t>10:00</t>
        </is>
      </c>
      <c r="I351" t="inlineStr">
        <is>
          <t>613,000000000</t>
        </is>
      </c>
      <c r="J351" t="inlineStr">
        <is>
          <t>,000000000</t>
        </is>
      </c>
      <c r="K351" t="inlineStr">
        <is>
          <t>,000000000</t>
        </is>
      </c>
      <c r="L351" t="inlineStr">
        <is>
          <t>8,000000000</t>
        </is>
      </c>
      <c r="M351" t="inlineStr">
        <is>
          <t>,000000000</t>
        </is>
      </c>
      <c r="N351" t="inlineStr">
        <is>
          <t>,000000000</t>
        </is>
      </c>
      <c r="O351" t="inlineStr">
        <is>
          <t>,000000000</t>
        </is>
      </c>
      <c r="P351" t="inlineStr">
        <is>
          <t>1,000000000</t>
        </is>
      </c>
      <c r="Q351" t="inlineStr">
        <is>
          <t>,000000000</t>
        </is>
      </c>
      <c r="R351" t="inlineStr">
        <is>
          <t>,000000000</t>
        </is>
      </c>
      <c r="S351" t="inlineStr">
        <is>
          <t>,000000000</t>
        </is>
      </c>
      <c r="T351" t="inlineStr">
        <is>
          <t>,000000000</t>
        </is>
      </c>
      <c r="U351" t="inlineStr">
        <is>
          <t>,000000000</t>
        </is>
      </c>
      <c r="V351" t="inlineStr">
        <is>
          <t>,000000000</t>
        </is>
      </c>
      <c r="W351" t="inlineStr">
        <is>
          <t>,000000000</t>
        </is>
      </c>
      <c r="X351" t="inlineStr">
        <is>
          <t>,000000000</t>
        </is>
      </c>
      <c r="Y351" t="inlineStr">
        <is>
          <t>,000000000</t>
        </is>
      </c>
      <c r="Z351" t="inlineStr">
        <is>
          <t>,000000000</t>
        </is>
      </c>
      <c r="AA351" t="inlineStr">
        <is>
          <t>,000000000</t>
        </is>
      </c>
      <c r="AB351" t="inlineStr">
        <is>
          <t>1</t>
        </is>
      </c>
      <c r="AC351" t="inlineStr">
        <is>
          <t>1</t>
        </is>
      </c>
      <c r="AD351" s="3">
        <f>UPPER(C3)</f>
        <v/>
      </c>
      <c r="AE351" s="3">
        <f>VLOOKUP(E3,'[1]Nómina Agentes'!$C:$D,3,0)</f>
        <v/>
      </c>
      <c r="AF351" s="5">
        <f>F3</f>
        <v/>
      </c>
      <c r="AG351" s="5">
        <f>H3</f>
        <v/>
      </c>
    </row>
    <row r="352">
      <c r="A352" s="1" t="inlineStr">
        <is>
          <t>9/10/2024</t>
        </is>
      </c>
      <c r="B352" t="inlineStr">
        <is>
          <t>925</t>
        </is>
      </c>
      <c r="C352" t="inlineStr">
        <is>
          <t>S2S Premium</t>
        </is>
      </c>
      <c r="D352" t="inlineStr">
        <is>
          <t>XPCC_Szulhaty, Maria</t>
        </is>
      </c>
      <c r="E352" t="inlineStr">
        <is>
          <t>628037</t>
        </is>
      </c>
      <c r="F352" s="2" t="inlineStr">
        <is>
          <t>10:30</t>
        </is>
      </c>
      <c r="G352" t="inlineStr">
        <is>
          <t>-</t>
        </is>
      </c>
      <c r="H352" s="2" t="inlineStr">
        <is>
          <t>11:00</t>
        </is>
      </c>
      <c r="I352" t="inlineStr">
        <is>
          <t>107,000000000</t>
        </is>
      </c>
      <c r="J352" t="inlineStr">
        <is>
          <t>,000000000</t>
        </is>
      </c>
      <c r="K352" t="inlineStr">
        <is>
          <t>,000000000</t>
        </is>
      </c>
      <c r="L352" t="inlineStr">
        <is>
          <t>,000000000</t>
        </is>
      </c>
      <c r="M352" t="inlineStr">
        <is>
          <t>,000000000</t>
        </is>
      </c>
      <c r="N352" t="inlineStr">
        <is>
          <t>,000000000</t>
        </is>
      </c>
      <c r="O352" t="inlineStr">
        <is>
          <t>,000000000</t>
        </is>
      </c>
      <c r="P352" t="inlineStr">
        <is>
          <t>481,000000000</t>
        </is>
      </c>
      <c r="Q352" t="inlineStr">
        <is>
          <t>132,000000000</t>
        </is>
      </c>
      <c r="R352" t="inlineStr">
        <is>
          <t>,000000000</t>
        </is>
      </c>
      <c r="S352" t="inlineStr">
        <is>
          <t>,000000000</t>
        </is>
      </c>
      <c r="T352" t="inlineStr">
        <is>
          <t>,000000000</t>
        </is>
      </c>
      <c r="U352" t="inlineStr">
        <is>
          <t>,000000000</t>
        </is>
      </c>
      <c r="V352" t="inlineStr">
        <is>
          <t>,000000000</t>
        </is>
      </c>
      <c r="W352" t="inlineStr">
        <is>
          <t>,000000000</t>
        </is>
      </c>
      <c r="X352" t="inlineStr">
        <is>
          <t>,000000000</t>
        </is>
      </c>
      <c r="Y352" t="inlineStr">
        <is>
          <t>,000000000</t>
        </is>
      </c>
      <c r="Z352" t="inlineStr">
        <is>
          <t>,000000000</t>
        </is>
      </c>
      <c r="AA352" t="inlineStr">
        <is>
          <t>,000000000</t>
        </is>
      </c>
      <c r="AB352" t="inlineStr">
        <is>
          <t>1</t>
        </is>
      </c>
      <c r="AC352" t="inlineStr">
        <is>
          <t>1</t>
        </is>
      </c>
      <c r="AD352" s="3">
        <f>UPPER(C3)</f>
        <v/>
      </c>
      <c r="AE352" s="3">
        <f>VLOOKUP(E3,'[1]Nómina Agentes'!$C:$D,3,0)</f>
        <v/>
      </c>
      <c r="AF352" s="5">
        <f>F3</f>
        <v/>
      </c>
      <c r="AG352" s="5">
        <f>H3</f>
        <v/>
      </c>
    </row>
    <row r="353">
      <c r="A353" s="1" t="inlineStr">
        <is>
          <t>9/10/2024</t>
        </is>
      </c>
      <c r="B353" t="inlineStr">
        <is>
          <t>925</t>
        </is>
      </c>
      <c r="C353" t="inlineStr">
        <is>
          <t>S2S Premium</t>
        </is>
      </c>
      <c r="D353" t="inlineStr">
        <is>
          <t>XPCC_Szulhaty, Maria</t>
        </is>
      </c>
      <c r="E353" t="inlineStr">
        <is>
          <t>628037</t>
        </is>
      </c>
      <c r="F353" s="2" t="inlineStr">
        <is>
          <t>09:00</t>
        </is>
      </c>
      <c r="G353" t="inlineStr">
        <is>
          <t>-</t>
        </is>
      </c>
      <c r="H353" s="2" t="inlineStr">
        <is>
          <t>09:30</t>
        </is>
      </c>
      <c r="I353" t="inlineStr">
        <is>
          <t>223,000000000</t>
        </is>
      </c>
      <c r="J353" t="inlineStr">
        <is>
          <t>,000000000</t>
        </is>
      </c>
      <c r="K353" t="inlineStr">
        <is>
          <t>,000000000</t>
        </is>
      </c>
      <c r="L353" t="inlineStr">
        <is>
          <t>8,000000000</t>
        </is>
      </c>
      <c r="M353" t="inlineStr">
        <is>
          <t>,000000000</t>
        </is>
      </c>
      <c r="N353" t="inlineStr">
        <is>
          <t>,000000000</t>
        </is>
      </c>
      <c r="O353" t="inlineStr">
        <is>
          <t>,000000000</t>
        </is>
      </c>
      <c r="P353" t="inlineStr">
        <is>
          <t>239,000000000</t>
        </is>
      </c>
      <c r="Q353" t="inlineStr">
        <is>
          <t>,000000000</t>
        </is>
      </c>
      <c r="R353" t="inlineStr">
        <is>
          <t>,000000000</t>
        </is>
      </c>
      <c r="S353" t="inlineStr">
        <is>
          <t>,000000000</t>
        </is>
      </c>
      <c r="T353" t="inlineStr">
        <is>
          <t>,000000000</t>
        </is>
      </c>
      <c r="U353" t="inlineStr">
        <is>
          <t>,000000000</t>
        </is>
      </c>
      <c r="V353" t="inlineStr">
        <is>
          <t>,000000000</t>
        </is>
      </c>
      <c r="W353" t="inlineStr">
        <is>
          <t>,000000000</t>
        </is>
      </c>
      <c r="X353" t="inlineStr">
        <is>
          <t>,000000000</t>
        </is>
      </c>
      <c r="Y353" t="inlineStr">
        <is>
          <t>,000000000</t>
        </is>
      </c>
      <c r="Z353" t="inlineStr">
        <is>
          <t>,000000000</t>
        </is>
      </c>
      <c r="AA353" t="inlineStr">
        <is>
          <t>,000000000</t>
        </is>
      </c>
      <c r="AB353" t="inlineStr">
        <is>
          <t>1</t>
        </is>
      </c>
      <c r="AC353" t="inlineStr">
        <is>
          <t>1</t>
        </is>
      </c>
      <c r="AD353" s="3">
        <f>UPPER(C3)</f>
        <v/>
      </c>
      <c r="AE353" s="3">
        <f>VLOOKUP(E3,'[1]Nómina Agentes'!$C:$D,3,0)</f>
        <v/>
      </c>
      <c r="AF353" s="5">
        <f>F3</f>
        <v/>
      </c>
      <c r="AG353" s="5">
        <f>H3</f>
        <v/>
      </c>
    </row>
    <row r="354">
      <c r="A354" s="1" t="inlineStr">
        <is>
          <t>9/10/2024</t>
        </is>
      </c>
      <c r="B354" t="inlineStr">
        <is>
          <t>925</t>
        </is>
      </c>
      <c r="C354" t="inlineStr">
        <is>
          <t>S2S Premium</t>
        </is>
      </c>
      <c r="D354" t="inlineStr">
        <is>
          <t>XPCC_Szulhaty, Maria</t>
        </is>
      </c>
      <c r="E354" t="inlineStr">
        <is>
          <t>628037</t>
        </is>
      </c>
      <c r="F354" s="2" t="inlineStr">
        <is>
          <t>09:30</t>
        </is>
      </c>
      <c r="G354" t="inlineStr">
        <is>
          <t>-</t>
        </is>
      </c>
      <c r="H354" s="2" t="inlineStr">
        <is>
          <t>10:00</t>
        </is>
      </c>
      <c r="I354" t="inlineStr">
        <is>
          <t>690,000000000</t>
        </is>
      </c>
      <c r="J354" t="inlineStr">
        <is>
          <t>112,000000000</t>
        </is>
      </c>
      <c r="K354" t="inlineStr">
        <is>
          <t>,000000000</t>
        </is>
      </c>
      <c r="L354" t="inlineStr">
        <is>
          <t>12,000000000</t>
        </is>
      </c>
      <c r="M354" t="inlineStr">
        <is>
          <t>,000000000</t>
        </is>
      </c>
      <c r="N354" t="inlineStr">
        <is>
          <t>,000000000</t>
        </is>
      </c>
      <c r="O354" t="inlineStr">
        <is>
          <t>,000000000</t>
        </is>
      </c>
      <c r="P354" t="inlineStr">
        <is>
          <t>96,000000000</t>
        </is>
      </c>
      <c r="Q354" t="inlineStr">
        <is>
          <t>1,000000000</t>
        </is>
      </c>
      <c r="R354" t="inlineStr">
        <is>
          <t>,000000000</t>
        </is>
      </c>
      <c r="S354" t="inlineStr">
        <is>
          <t>,000000000</t>
        </is>
      </c>
      <c r="T354" t="inlineStr">
        <is>
          <t>,000000000</t>
        </is>
      </c>
      <c r="U354" t="inlineStr">
        <is>
          <t>,000000000</t>
        </is>
      </c>
      <c r="V354" t="inlineStr">
        <is>
          <t>,000000000</t>
        </is>
      </c>
      <c r="W354" t="inlineStr">
        <is>
          <t>,000000000</t>
        </is>
      </c>
      <c r="X354" t="inlineStr">
        <is>
          <t>,000000000</t>
        </is>
      </c>
      <c r="Y354" t="inlineStr">
        <is>
          <t>,000000000</t>
        </is>
      </c>
      <c r="Z354" t="inlineStr">
        <is>
          <t>,000000000</t>
        </is>
      </c>
      <c r="AA354" t="inlineStr">
        <is>
          <t>,000000000</t>
        </is>
      </c>
      <c r="AB354" t="inlineStr">
        <is>
          <t>3</t>
        </is>
      </c>
      <c r="AC354" t="inlineStr">
        <is>
          <t>3</t>
        </is>
      </c>
      <c r="AD354" s="3">
        <f>UPPER(C3)</f>
        <v/>
      </c>
      <c r="AE354" s="3">
        <f>VLOOKUP(E3,'[1]Nómina Agentes'!$C:$D,3,0)</f>
        <v/>
      </c>
      <c r="AF354" s="5">
        <f>F3</f>
        <v/>
      </c>
      <c r="AG354" s="5">
        <f>H3</f>
        <v/>
      </c>
    </row>
    <row r="355">
      <c r="A355" s="1" t="inlineStr">
        <is>
          <t>9/10/2024</t>
        </is>
      </c>
      <c r="B355" t="inlineStr">
        <is>
          <t>925</t>
        </is>
      </c>
      <c r="C355" t="inlineStr">
        <is>
          <t>S2S Premium</t>
        </is>
      </c>
      <c r="D355" t="inlineStr">
        <is>
          <t>XPCC_Szulhaty, Maria</t>
        </is>
      </c>
      <c r="E355" t="inlineStr">
        <is>
          <t>628037</t>
        </is>
      </c>
      <c r="F355" s="2" t="inlineStr">
        <is>
          <t>10:00</t>
        </is>
      </c>
      <c r="G355" t="inlineStr">
        <is>
          <t>-</t>
        </is>
      </c>
      <c r="H355" s="2" t="inlineStr">
        <is>
          <t>10:30</t>
        </is>
      </c>
      <c r="I355" t="inlineStr">
        <is>
          <t>732,000000000</t>
        </is>
      </c>
      <c r="J355" t="inlineStr">
        <is>
          <t>172,000000000</t>
        </is>
      </c>
      <c r="K355" t="inlineStr">
        <is>
          <t>,000000000</t>
        </is>
      </c>
      <c r="L355" t="inlineStr">
        <is>
          <t>12,000000000</t>
        </is>
      </c>
      <c r="M355" t="inlineStr">
        <is>
          <t>,000000000</t>
        </is>
      </c>
      <c r="N355" t="inlineStr">
        <is>
          <t>,000000000</t>
        </is>
      </c>
      <c r="O355" t="inlineStr">
        <is>
          <t>,000000000</t>
        </is>
      </c>
      <c r="P355" t="inlineStr">
        <is>
          <t>563,000000000</t>
        </is>
      </c>
      <c r="Q355" t="inlineStr">
        <is>
          <t>341,000000000</t>
        </is>
      </c>
      <c r="R355" t="inlineStr">
        <is>
          <t>,000000000</t>
        </is>
      </c>
      <c r="S355" t="inlineStr">
        <is>
          <t>,000000000</t>
        </is>
      </c>
      <c r="T355" t="inlineStr">
        <is>
          <t>,000000000</t>
        </is>
      </c>
      <c r="U355" t="inlineStr">
        <is>
          <t>,000000000</t>
        </is>
      </c>
      <c r="V355" t="inlineStr">
        <is>
          <t>,000000000</t>
        </is>
      </c>
      <c r="W355" t="inlineStr">
        <is>
          <t>,000000000</t>
        </is>
      </c>
      <c r="X355" t="inlineStr">
        <is>
          <t>,000000000</t>
        </is>
      </c>
      <c r="Y355" t="inlineStr">
        <is>
          <t>,000000000</t>
        </is>
      </c>
      <c r="Z355" t="inlineStr">
        <is>
          <t>,000000000</t>
        </is>
      </c>
      <c r="AA355" t="inlineStr">
        <is>
          <t>,000000000</t>
        </is>
      </c>
      <c r="AB355" t="inlineStr">
        <is>
          <t>3</t>
        </is>
      </c>
      <c r="AC355" t="inlineStr">
        <is>
          <t>3</t>
        </is>
      </c>
      <c r="AD355" s="3">
        <f>UPPER(C3)</f>
        <v/>
      </c>
      <c r="AE355" s="3">
        <f>VLOOKUP(E3,'[1]Nómina Agentes'!$C:$D,3,0)</f>
        <v/>
      </c>
      <c r="AF355" s="5">
        <f>F3</f>
        <v/>
      </c>
      <c r="AG355" s="5">
        <f>H3</f>
        <v/>
      </c>
    </row>
    <row r="356">
      <c r="A356" s="1" t="inlineStr">
        <is>
          <t>9/10/2024</t>
        </is>
      </c>
      <c r="B356" t="inlineStr">
        <is>
          <t>925</t>
        </is>
      </c>
      <c r="C356" t="inlineStr">
        <is>
          <t>S2S Premium</t>
        </is>
      </c>
      <c r="D356" t="inlineStr">
        <is>
          <t>*Pm_Bogarin,Santiag</t>
        </is>
      </c>
      <c r="E356" t="inlineStr">
        <is>
          <t>628044</t>
        </is>
      </c>
      <c r="F356" s="2" t="inlineStr">
        <is>
          <t>09:00</t>
        </is>
      </c>
      <c r="G356" t="inlineStr">
        <is>
          <t>-</t>
        </is>
      </c>
      <c r="H356" s="2" t="inlineStr">
        <is>
          <t>09:30</t>
        </is>
      </c>
      <c r="I356" t="inlineStr">
        <is>
          <t>514,000000000</t>
        </is>
      </c>
      <c r="J356" t="inlineStr">
        <is>
          <t>,000000000</t>
        </is>
      </c>
      <c r="K356" t="inlineStr">
        <is>
          <t>,000000000</t>
        </is>
      </c>
      <c r="L356" t="inlineStr">
        <is>
          <t>9,000000000</t>
        </is>
      </c>
      <c r="M356" t="inlineStr">
        <is>
          <t>,000000000</t>
        </is>
      </c>
      <c r="N356" t="inlineStr">
        <is>
          <t>,000000000</t>
        </is>
      </c>
      <c r="O356" t="inlineStr">
        <is>
          <t>,000000000</t>
        </is>
      </c>
      <c r="P356" t="inlineStr">
        <is>
          <t>3,000000000</t>
        </is>
      </c>
      <c r="Q356" t="inlineStr">
        <is>
          <t>1,000000000</t>
        </is>
      </c>
      <c r="R356" t="inlineStr">
        <is>
          <t>,000000000</t>
        </is>
      </c>
      <c r="S356" t="inlineStr">
        <is>
          <t>,000000000</t>
        </is>
      </c>
      <c r="T356" t="inlineStr">
        <is>
          <t>,000000000</t>
        </is>
      </c>
      <c r="U356" t="inlineStr">
        <is>
          <t>,000000000</t>
        </is>
      </c>
      <c r="V356" t="inlineStr">
        <is>
          <t>,000000000</t>
        </is>
      </c>
      <c r="W356" t="inlineStr">
        <is>
          <t>,000000000</t>
        </is>
      </c>
      <c r="X356" t="inlineStr">
        <is>
          <t>,000000000</t>
        </is>
      </c>
      <c r="Y356" t="inlineStr">
        <is>
          <t>,000000000</t>
        </is>
      </c>
      <c r="Z356" t="inlineStr">
        <is>
          <t>,000000000</t>
        </is>
      </c>
      <c r="AA356" t="inlineStr">
        <is>
          <t>,000000000</t>
        </is>
      </c>
      <c r="AB356" t="inlineStr">
        <is>
          <t>2</t>
        </is>
      </c>
      <c r="AC356" t="inlineStr">
        <is>
          <t>2</t>
        </is>
      </c>
      <c r="AD356" s="3">
        <f>UPPER(C3)</f>
        <v/>
      </c>
      <c r="AE356" s="3">
        <f>VLOOKUP(E3,'[1]Nómina Agentes'!$C:$D,3,0)</f>
        <v/>
      </c>
      <c r="AF356" s="5">
        <f>F3</f>
        <v/>
      </c>
      <c r="AG356" s="5">
        <f>H3</f>
        <v/>
      </c>
    </row>
    <row r="357">
      <c r="A357" s="1" t="inlineStr">
        <is>
          <t>9/10/2024</t>
        </is>
      </c>
      <c r="B357" t="inlineStr">
        <is>
          <t>925</t>
        </is>
      </c>
      <c r="C357" t="inlineStr">
        <is>
          <t>S2S Premium</t>
        </is>
      </c>
      <c r="D357" t="inlineStr">
        <is>
          <t>*Pm_Salinas, Andrea</t>
        </is>
      </c>
      <c r="E357" t="inlineStr">
        <is>
          <t>628055</t>
        </is>
      </c>
      <c r="F357" s="2" t="inlineStr">
        <is>
          <t>09:00</t>
        </is>
      </c>
      <c r="G357" t="inlineStr">
        <is>
          <t>-</t>
        </is>
      </c>
      <c r="H357" s="2" t="inlineStr">
        <is>
          <t>09:30</t>
        </is>
      </c>
      <c r="I357" t="inlineStr">
        <is>
          <t>,000000000</t>
        </is>
      </c>
      <c r="J357" t="inlineStr">
        <is>
          <t>,000000000</t>
        </is>
      </c>
      <c r="K357" t="inlineStr">
        <is>
          <t>,000000000</t>
        </is>
      </c>
      <c r="L357" t="inlineStr">
        <is>
          <t>,000000000</t>
        </is>
      </c>
      <c r="M357" t="inlineStr">
        <is>
          <t>,000000000</t>
        </is>
      </c>
      <c r="N357" t="inlineStr">
        <is>
          <t>,000000000</t>
        </is>
      </c>
      <c r="O357" t="inlineStr">
        <is>
          <t>,000000000</t>
        </is>
      </c>
      <c r="P357" t="inlineStr">
        <is>
          <t>,000000000</t>
        </is>
      </c>
      <c r="Q357" t="inlineStr">
        <is>
          <t>,000000000</t>
        </is>
      </c>
      <c r="R357" t="inlineStr">
        <is>
          <t>,000000000</t>
        </is>
      </c>
      <c r="S357" t="inlineStr">
        <is>
          <t>,000000000</t>
        </is>
      </c>
      <c r="T357" t="inlineStr">
        <is>
          <t>,000000000</t>
        </is>
      </c>
      <c r="U357" t="inlineStr">
        <is>
          <t>,000000000</t>
        </is>
      </c>
      <c r="V357" t="inlineStr">
        <is>
          <t>,000000000</t>
        </is>
      </c>
      <c r="W357" t="inlineStr">
        <is>
          <t>,000000000</t>
        </is>
      </c>
      <c r="X357" t="inlineStr">
        <is>
          <t>,000000000</t>
        </is>
      </c>
      <c r="Y357" t="inlineStr">
        <is>
          <t>,000000000</t>
        </is>
      </c>
      <c r="Z357" t="inlineStr">
        <is>
          <t>,000000000</t>
        </is>
      </c>
      <c r="AA357" t="inlineStr">
        <is>
          <t>,000000000</t>
        </is>
      </c>
      <c r="AB357" t="inlineStr">
        <is>
          <t>0</t>
        </is>
      </c>
      <c r="AC357" t="inlineStr">
        <is>
          <t>0</t>
        </is>
      </c>
      <c r="AD357" s="3">
        <f>UPPER(C3)</f>
        <v/>
      </c>
      <c r="AE357" s="3">
        <f>VLOOKUP(E3,'[1]Nómina Agentes'!$C:$D,3,0)</f>
        <v/>
      </c>
      <c r="AF357" s="5">
        <f>F3</f>
        <v/>
      </c>
      <c r="AG357" s="5">
        <f>H3</f>
        <v/>
      </c>
    </row>
    <row r="358">
      <c r="A358" s="1" t="inlineStr">
        <is>
          <t>9/10/2024</t>
        </is>
      </c>
      <c r="B358" t="inlineStr">
        <is>
          <t>925</t>
        </is>
      </c>
      <c r="C358" t="inlineStr">
        <is>
          <t>S2S Premium</t>
        </is>
      </c>
      <c r="D358" t="inlineStr">
        <is>
          <t>*Pm_Salinas, Andrea</t>
        </is>
      </c>
      <c r="E358" t="inlineStr">
        <is>
          <t>628055</t>
        </is>
      </c>
      <c r="F358" s="2" t="inlineStr">
        <is>
          <t>09:30</t>
        </is>
      </c>
      <c r="G358" t="inlineStr">
        <is>
          <t>-</t>
        </is>
      </c>
      <c r="H358" s="2" t="inlineStr">
        <is>
          <t>10:00</t>
        </is>
      </c>
      <c r="I358" t="inlineStr">
        <is>
          <t>,000000000</t>
        </is>
      </c>
      <c r="J358" t="inlineStr">
        <is>
          <t>,000000000</t>
        </is>
      </c>
      <c r="K358" t="inlineStr">
        <is>
          <t>,000000000</t>
        </is>
      </c>
      <c r="L358" t="inlineStr">
        <is>
          <t>,000000000</t>
        </is>
      </c>
      <c r="M358" t="inlineStr">
        <is>
          <t>,000000000</t>
        </is>
      </c>
      <c r="N358" t="inlineStr">
        <is>
          <t>,000000000</t>
        </is>
      </c>
      <c r="O358" t="inlineStr">
        <is>
          <t>,000000000</t>
        </is>
      </c>
      <c r="P358" t="inlineStr">
        <is>
          <t>,000000000</t>
        </is>
      </c>
      <c r="Q358" t="inlineStr">
        <is>
          <t>,000000000</t>
        </is>
      </c>
      <c r="R358" t="inlineStr">
        <is>
          <t>,000000000</t>
        </is>
      </c>
      <c r="S358" t="inlineStr">
        <is>
          <t>,000000000</t>
        </is>
      </c>
      <c r="T358" t="inlineStr">
        <is>
          <t>,000000000</t>
        </is>
      </c>
      <c r="U358" t="inlineStr">
        <is>
          <t>,000000000</t>
        </is>
      </c>
      <c r="V358" t="inlineStr">
        <is>
          <t>,000000000</t>
        </is>
      </c>
      <c r="W358" t="inlineStr">
        <is>
          <t>,000000000</t>
        </is>
      </c>
      <c r="X358" t="inlineStr">
        <is>
          <t>,000000000</t>
        </is>
      </c>
      <c r="Y358" t="inlineStr">
        <is>
          <t>,000000000</t>
        </is>
      </c>
      <c r="Z358" t="inlineStr">
        <is>
          <t>,000000000</t>
        </is>
      </c>
      <c r="AA358" t="inlineStr">
        <is>
          <t>,000000000</t>
        </is>
      </c>
      <c r="AB358" t="inlineStr">
        <is>
          <t>0</t>
        </is>
      </c>
      <c r="AC358" t="inlineStr">
        <is>
          <t>0</t>
        </is>
      </c>
      <c r="AD358" s="3">
        <f>UPPER(C3)</f>
        <v/>
      </c>
      <c r="AE358" s="3">
        <f>VLOOKUP(E3,'[1]Nómina Agentes'!$C:$D,3,0)</f>
        <v/>
      </c>
      <c r="AF358" s="5">
        <f>F3</f>
        <v/>
      </c>
      <c r="AG358" s="5">
        <f>H3</f>
        <v/>
      </c>
    </row>
    <row r="359">
      <c r="A359" s="1" t="inlineStr">
        <is>
          <t>9/10/2024</t>
        </is>
      </c>
      <c r="B359" t="inlineStr">
        <is>
          <t>925</t>
        </is>
      </c>
      <c r="C359" t="inlineStr">
        <is>
          <t>S2S Premium</t>
        </is>
      </c>
      <c r="D359" t="inlineStr">
        <is>
          <t>*Pm_Salinas, Andrea</t>
        </is>
      </c>
      <c r="E359" t="inlineStr">
        <is>
          <t>628055</t>
        </is>
      </c>
      <c r="F359" s="2" t="inlineStr">
        <is>
          <t>10:30</t>
        </is>
      </c>
      <c r="G359" t="inlineStr">
        <is>
          <t>-</t>
        </is>
      </c>
      <c r="H359" s="2" t="inlineStr">
        <is>
          <t>11:00</t>
        </is>
      </c>
      <c r="I359" t="inlineStr">
        <is>
          <t>,000000000</t>
        </is>
      </c>
      <c r="J359" t="inlineStr">
        <is>
          <t>,000000000</t>
        </is>
      </c>
      <c r="K359" t="inlineStr">
        <is>
          <t>,000000000</t>
        </is>
      </c>
      <c r="L359" t="inlineStr">
        <is>
          <t>,000000000</t>
        </is>
      </c>
      <c r="M359" t="inlineStr">
        <is>
          <t>,000000000</t>
        </is>
      </c>
      <c r="N359" t="inlineStr">
        <is>
          <t>,000000000</t>
        </is>
      </c>
      <c r="O359" t="inlineStr">
        <is>
          <t>,000000000</t>
        </is>
      </c>
      <c r="P359" t="inlineStr">
        <is>
          <t>,000000000</t>
        </is>
      </c>
      <c r="Q359" t="inlineStr">
        <is>
          <t>,000000000</t>
        </is>
      </c>
      <c r="R359" t="inlineStr">
        <is>
          <t>,000000000</t>
        </is>
      </c>
      <c r="S359" t="inlineStr">
        <is>
          <t>,000000000</t>
        </is>
      </c>
      <c r="T359" t="inlineStr">
        <is>
          <t>,000000000</t>
        </is>
      </c>
      <c r="U359" t="inlineStr">
        <is>
          <t>,000000000</t>
        </is>
      </c>
      <c r="V359" t="inlineStr">
        <is>
          <t>,000000000</t>
        </is>
      </c>
      <c r="W359" t="inlineStr">
        <is>
          <t>,000000000</t>
        </is>
      </c>
      <c r="X359" t="inlineStr">
        <is>
          <t>,000000000</t>
        </is>
      </c>
      <c r="Y359" t="inlineStr">
        <is>
          <t>,000000000</t>
        </is>
      </c>
      <c r="Z359" t="inlineStr">
        <is>
          <t>,000000000</t>
        </is>
      </c>
      <c r="AA359" t="inlineStr">
        <is>
          <t>,000000000</t>
        </is>
      </c>
      <c r="AB359" t="inlineStr">
        <is>
          <t>0</t>
        </is>
      </c>
      <c r="AC359" t="inlineStr">
        <is>
          <t>0</t>
        </is>
      </c>
      <c r="AD359" s="3">
        <f>UPPER(C3)</f>
        <v/>
      </c>
      <c r="AE359" s="3">
        <f>VLOOKUP(E3,'[1]Nómina Agentes'!$C:$D,3,0)</f>
        <v/>
      </c>
      <c r="AF359" s="5">
        <f>F3</f>
        <v/>
      </c>
      <c r="AG359" s="5">
        <f>H3</f>
        <v/>
      </c>
    </row>
    <row r="360">
      <c r="A360" s="1" t="inlineStr">
        <is>
          <t>9/10/2024</t>
        </is>
      </c>
      <c r="B360" t="inlineStr">
        <is>
          <t>925</t>
        </is>
      </c>
      <c r="C360" t="inlineStr">
        <is>
          <t>S2S Premium</t>
        </is>
      </c>
      <c r="D360" t="inlineStr">
        <is>
          <t>*Pm_Salinas, Andrea</t>
        </is>
      </c>
      <c r="E360" t="inlineStr">
        <is>
          <t>628055</t>
        </is>
      </c>
      <c r="F360" s="2" t="inlineStr">
        <is>
          <t>10:00</t>
        </is>
      </c>
      <c r="G360" t="inlineStr">
        <is>
          <t>-</t>
        </is>
      </c>
      <c r="H360" s="2" t="inlineStr">
        <is>
          <t>10:30</t>
        </is>
      </c>
      <c r="I360" t="inlineStr">
        <is>
          <t>,000000000</t>
        </is>
      </c>
      <c r="J360" t="inlineStr">
        <is>
          <t>,000000000</t>
        </is>
      </c>
      <c r="K360" t="inlineStr">
        <is>
          <t>,000000000</t>
        </is>
      </c>
      <c r="L360" t="inlineStr">
        <is>
          <t>,000000000</t>
        </is>
      </c>
      <c r="M360" t="inlineStr">
        <is>
          <t>,000000000</t>
        </is>
      </c>
      <c r="N360" t="inlineStr">
        <is>
          <t>,000000000</t>
        </is>
      </c>
      <c r="O360" t="inlineStr">
        <is>
          <t>,000000000</t>
        </is>
      </c>
      <c r="P360" t="inlineStr">
        <is>
          <t>,000000000</t>
        </is>
      </c>
      <c r="Q360" t="inlineStr">
        <is>
          <t>,000000000</t>
        </is>
      </c>
      <c r="R360" t="inlineStr">
        <is>
          <t>,000000000</t>
        </is>
      </c>
      <c r="S360" t="inlineStr">
        <is>
          <t>,000000000</t>
        </is>
      </c>
      <c r="T360" t="inlineStr">
        <is>
          <t>,000000000</t>
        </is>
      </c>
      <c r="U360" t="inlineStr">
        <is>
          <t>,000000000</t>
        </is>
      </c>
      <c r="V360" t="inlineStr">
        <is>
          <t>,000000000</t>
        </is>
      </c>
      <c r="W360" t="inlineStr">
        <is>
          <t>,000000000</t>
        </is>
      </c>
      <c r="X360" t="inlineStr">
        <is>
          <t>,000000000</t>
        </is>
      </c>
      <c r="Y360" t="inlineStr">
        <is>
          <t>,000000000</t>
        </is>
      </c>
      <c r="Z360" t="inlineStr">
        <is>
          <t>,000000000</t>
        </is>
      </c>
      <c r="AA360" t="inlineStr">
        <is>
          <t>,000000000</t>
        </is>
      </c>
      <c r="AB360" t="inlineStr">
        <is>
          <t>0</t>
        </is>
      </c>
      <c r="AC360" t="inlineStr">
        <is>
          <t>0</t>
        </is>
      </c>
      <c r="AD360" s="3">
        <f>UPPER(C3)</f>
        <v/>
      </c>
      <c r="AE360" s="3">
        <f>VLOOKUP(E3,'[1]Nómina Agentes'!$C:$D,3,0)</f>
        <v/>
      </c>
      <c r="AF360" s="5">
        <f>F3</f>
        <v/>
      </c>
      <c r="AG360" s="5">
        <f>H3</f>
        <v/>
      </c>
    </row>
    <row r="361">
      <c r="A361" s="1" t="inlineStr">
        <is>
          <t>9/10/2024</t>
        </is>
      </c>
      <c r="B361" t="inlineStr">
        <is>
          <t>925</t>
        </is>
      </c>
      <c r="C361" t="inlineStr">
        <is>
          <t>S2S Premium</t>
        </is>
      </c>
      <c r="D361" t="inlineStr">
        <is>
          <t>*Pm_Salinas, Andrea</t>
        </is>
      </c>
      <c r="E361" t="inlineStr">
        <is>
          <t>628055</t>
        </is>
      </c>
      <c r="F361" s="2" t="inlineStr">
        <is>
          <t>08:30</t>
        </is>
      </c>
      <c r="G361" t="inlineStr">
        <is>
          <t>-</t>
        </is>
      </c>
      <c r="H361" s="2" t="inlineStr">
        <is>
          <t>09:00</t>
        </is>
      </c>
      <c r="I361" t="inlineStr">
        <is>
          <t>18,000000000</t>
        </is>
      </c>
      <c r="J361" t="inlineStr">
        <is>
          <t>,000000000</t>
        </is>
      </c>
      <c r="K361" t="inlineStr">
        <is>
          <t>,000000000</t>
        </is>
      </c>
      <c r="L361" t="inlineStr">
        <is>
          <t>,000000000</t>
        </is>
      </c>
      <c r="M361" t="inlineStr">
        <is>
          <t>,000000000</t>
        </is>
      </c>
      <c r="N361" t="inlineStr">
        <is>
          <t>,000000000</t>
        </is>
      </c>
      <c r="O361" t="inlineStr">
        <is>
          <t>,000000000</t>
        </is>
      </c>
      <c r="P361" t="inlineStr">
        <is>
          <t>2,000000000</t>
        </is>
      </c>
      <c r="Q361" t="inlineStr">
        <is>
          <t>,000000000</t>
        </is>
      </c>
      <c r="R361" t="inlineStr">
        <is>
          <t>,000000000</t>
        </is>
      </c>
      <c r="S361" t="inlineStr">
        <is>
          <t>,000000000</t>
        </is>
      </c>
      <c r="T361" t="inlineStr">
        <is>
          <t>,000000000</t>
        </is>
      </c>
      <c r="U361" t="inlineStr">
        <is>
          <t>,000000000</t>
        </is>
      </c>
      <c r="V361" t="inlineStr">
        <is>
          <t>,000000000</t>
        </is>
      </c>
      <c r="W361" t="inlineStr">
        <is>
          <t>,000000000</t>
        </is>
      </c>
      <c r="X361" t="inlineStr">
        <is>
          <t>,000000000</t>
        </is>
      </c>
      <c r="Y361" t="inlineStr">
        <is>
          <t>,000000000</t>
        </is>
      </c>
      <c r="Z361" t="inlineStr">
        <is>
          <t>,000000000</t>
        </is>
      </c>
      <c r="AA361" t="inlineStr">
        <is>
          <t>,000000000</t>
        </is>
      </c>
      <c r="AB361" t="inlineStr">
        <is>
          <t>1</t>
        </is>
      </c>
      <c r="AC361" t="inlineStr">
        <is>
          <t>1</t>
        </is>
      </c>
      <c r="AD361" s="3">
        <f>UPPER(C3)</f>
        <v/>
      </c>
      <c r="AE361" s="3">
        <f>VLOOKUP(E3,'[1]Nómina Agentes'!$C:$D,3,0)</f>
        <v/>
      </c>
      <c r="AF361" s="5">
        <f>F3</f>
        <v/>
      </c>
      <c r="AG361" s="5">
        <f>H3</f>
        <v/>
      </c>
    </row>
    <row r="362">
      <c r="A362" s="1" t="inlineStr">
        <is>
          <t>9/10/2024</t>
        </is>
      </c>
      <c r="B362" t="inlineStr">
        <is>
          <t>925</t>
        </is>
      </c>
      <c r="C362" t="inlineStr">
        <is>
          <t>S2S Premium</t>
        </is>
      </c>
      <c r="D362" t="inlineStr">
        <is>
          <t>*Pm_Salinas, Andrea</t>
        </is>
      </c>
      <c r="E362" t="inlineStr">
        <is>
          <t>628055</t>
        </is>
      </c>
      <c r="F362" s="2" t="inlineStr">
        <is>
          <t>08:00</t>
        </is>
      </c>
      <c r="G362" t="inlineStr">
        <is>
          <t>-</t>
        </is>
      </c>
      <c r="H362" s="2" t="inlineStr">
        <is>
          <t>08:30</t>
        </is>
      </c>
      <c r="I362" t="inlineStr">
        <is>
          <t>213,000000000</t>
        </is>
      </c>
      <c r="J362" t="inlineStr">
        <is>
          <t>,000000000</t>
        </is>
      </c>
      <c r="K362" t="inlineStr">
        <is>
          <t>,000000000</t>
        </is>
      </c>
      <c r="L362" t="inlineStr">
        <is>
          <t>4,000000000</t>
        </is>
      </c>
      <c r="M362" t="inlineStr">
        <is>
          <t>,000000000</t>
        </is>
      </c>
      <c r="N362" t="inlineStr">
        <is>
          <t>,000000000</t>
        </is>
      </c>
      <c r="O362" t="inlineStr">
        <is>
          <t>,000000000</t>
        </is>
      </c>
      <c r="P362" t="inlineStr">
        <is>
          <t>,000000000</t>
        </is>
      </c>
      <c r="Q362" t="inlineStr">
        <is>
          <t>,000000000</t>
        </is>
      </c>
      <c r="R362" t="inlineStr">
        <is>
          <t>,000000000</t>
        </is>
      </c>
      <c r="S362" t="inlineStr">
        <is>
          <t>,000000000</t>
        </is>
      </c>
      <c r="T362" t="inlineStr">
        <is>
          <t>,000000000</t>
        </is>
      </c>
      <c r="U362" t="inlineStr">
        <is>
          <t>,000000000</t>
        </is>
      </c>
      <c r="V362" t="inlineStr">
        <is>
          <t>,000000000</t>
        </is>
      </c>
      <c r="W362" t="inlineStr">
        <is>
          <t>,000000000</t>
        </is>
      </c>
      <c r="X362" t="inlineStr">
        <is>
          <t>,000000000</t>
        </is>
      </c>
      <c r="Y362" t="inlineStr">
        <is>
          <t>,000000000</t>
        </is>
      </c>
      <c r="Z362" t="inlineStr">
        <is>
          <t>,000000000</t>
        </is>
      </c>
      <c r="AA362" t="inlineStr">
        <is>
          <t>,000000000</t>
        </is>
      </c>
      <c r="AB362" t="inlineStr">
        <is>
          <t>0</t>
        </is>
      </c>
      <c r="AC362" t="inlineStr">
        <is>
          <t>0</t>
        </is>
      </c>
      <c r="AD362" s="3">
        <f>UPPER(C3)</f>
        <v/>
      </c>
      <c r="AE362" s="3">
        <f>VLOOKUP(E3,'[1]Nómina Agentes'!$C:$D,3,0)</f>
        <v/>
      </c>
      <c r="AF362" s="5">
        <f>F3</f>
        <v/>
      </c>
      <c r="AG362" s="5">
        <f>H3</f>
        <v/>
      </c>
    </row>
    <row r="363">
      <c r="A363" s="1" t="inlineStr">
        <is>
          <t>9/10/2024</t>
        </is>
      </c>
      <c r="B363" t="inlineStr">
        <is>
          <t>924</t>
        </is>
      </c>
      <c r="C363" t="inlineStr">
        <is>
          <t>S2S No Premium</t>
        </is>
      </c>
      <c r="D363" t="inlineStr">
        <is>
          <t>*N2m_Gawlik, Luana</t>
        </is>
      </c>
      <c r="E363" t="inlineStr">
        <is>
          <t>628070</t>
        </is>
      </c>
      <c r="F363" s="2" t="inlineStr">
        <is>
          <t>10:00</t>
        </is>
      </c>
      <c r="G363" t="inlineStr">
        <is>
          <t>-</t>
        </is>
      </c>
      <c r="H363" s="2" t="inlineStr">
        <is>
          <t>10:30</t>
        </is>
      </c>
      <c r="I363" t="inlineStr">
        <is>
          <t>526,000000000</t>
        </is>
      </c>
      <c r="J363" t="inlineStr">
        <is>
          <t>,000000000</t>
        </is>
      </c>
      <c r="K363" t="inlineStr">
        <is>
          <t>,000000000</t>
        </is>
      </c>
      <c r="L363" t="inlineStr">
        <is>
          <t>9,000000000</t>
        </is>
      </c>
      <c r="M363" t="inlineStr">
        <is>
          <t>,000000000</t>
        </is>
      </c>
      <c r="N363" t="inlineStr">
        <is>
          <t>,000000000</t>
        </is>
      </c>
      <c r="O363" t="inlineStr">
        <is>
          <t>,000000000</t>
        </is>
      </c>
      <c r="P363" t="inlineStr">
        <is>
          <t>23,000000000</t>
        </is>
      </c>
      <c r="Q363" t="inlineStr">
        <is>
          <t>,000000000</t>
        </is>
      </c>
      <c r="R363" t="inlineStr">
        <is>
          <t>,000000000</t>
        </is>
      </c>
      <c r="S363" t="inlineStr">
        <is>
          <t>,000000000</t>
        </is>
      </c>
      <c r="T363" t="inlineStr">
        <is>
          <t>,000000000</t>
        </is>
      </c>
      <c r="U363" t="inlineStr">
        <is>
          <t>,000000000</t>
        </is>
      </c>
      <c r="V363" t="inlineStr">
        <is>
          <t>,000000000</t>
        </is>
      </c>
      <c r="W363" t="inlineStr">
        <is>
          <t>,000000000</t>
        </is>
      </c>
      <c r="X363" t="inlineStr">
        <is>
          <t>,000000000</t>
        </is>
      </c>
      <c r="Y363" t="inlineStr">
        <is>
          <t>,000000000</t>
        </is>
      </c>
      <c r="Z363" t="inlineStr">
        <is>
          <t>,000000000</t>
        </is>
      </c>
      <c r="AA363" t="inlineStr">
        <is>
          <t>,000000000</t>
        </is>
      </c>
      <c r="AB363" t="inlineStr">
        <is>
          <t>2</t>
        </is>
      </c>
      <c r="AC363" t="inlineStr">
        <is>
          <t>2</t>
        </is>
      </c>
      <c r="AD363" s="3">
        <f>UPPER(C3)</f>
        <v/>
      </c>
      <c r="AE363" s="3">
        <f>VLOOKUP(E3,'[1]Nómina Agentes'!$C:$D,3,0)</f>
        <v/>
      </c>
      <c r="AF363" s="5">
        <f>F3</f>
        <v/>
      </c>
      <c r="AG363" s="5">
        <f>H3</f>
        <v/>
      </c>
    </row>
    <row r="364">
      <c r="A364" s="1" t="inlineStr">
        <is>
          <t>9/10/2024</t>
        </is>
      </c>
      <c r="B364" t="inlineStr">
        <is>
          <t>925</t>
        </is>
      </c>
      <c r="C364" t="inlineStr">
        <is>
          <t>S2S Premium</t>
        </is>
      </c>
      <c r="D364" t="inlineStr">
        <is>
          <t>XPm_Gomez, Floria</t>
        </is>
      </c>
      <c r="E364" t="inlineStr">
        <is>
          <t>628088</t>
        </is>
      </c>
      <c r="F364" s="2" t="inlineStr">
        <is>
          <t>10:00</t>
        </is>
      </c>
      <c r="G364" t="inlineStr">
        <is>
          <t>-</t>
        </is>
      </c>
      <c r="H364" s="2" t="inlineStr">
        <is>
          <t>10:30</t>
        </is>
      </c>
      <c r="I364" t="inlineStr">
        <is>
          <t>,000000000</t>
        </is>
      </c>
      <c r="J364" t="inlineStr">
        <is>
          <t>,000000000</t>
        </is>
      </c>
      <c r="K364" t="inlineStr">
        <is>
          <t>,000000000</t>
        </is>
      </c>
      <c r="L364" t="inlineStr">
        <is>
          <t>,000000000</t>
        </is>
      </c>
      <c r="M364" t="inlineStr">
        <is>
          <t>,000000000</t>
        </is>
      </c>
      <c r="N364" t="inlineStr">
        <is>
          <t>,000000000</t>
        </is>
      </c>
      <c r="O364" t="inlineStr">
        <is>
          <t>,000000000</t>
        </is>
      </c>
      <c r="P364" t="inlineStr">
        <is>
          <t>,000000000</t>
        </is>
      </c>
      <c r="Q364" t="inlineStr">
        <is>
          <t>,000000000</t>
        </is>
      </c>
      <c r="R364" t="inlineStr">
        <is>
          <t>,000000000</t>
        </is>
      </c>
      <c r="S364" t="inlineStr">
        <is>
          <t>,000000000</t>
        </is>
      </c>
      <c r="T364" t="inlineStr">
        <is>
          <t>,000000000</t>
        </is>
      </c>
      <c r="U364" t="inlineStr">
        <is>
          <t>,000000000</t>
        </is>
      </c>
      <c r="V364" t="inlineStr">
        <is>
          <t>,000000000</t>
        </is>
      </c>
      <c r="W364" t="inlineStr">
        <is>
          <t>,000000000</t>
        </is>
      </c>
      <c r="X364" t="inlineStr">
        <is>
          <t>,000000000</t>
        </is>
      </c>
      <c r="Y364" t="inlineStr">
        <is>
          <t>,000000000</t>
        </is>
      </c>
      <c r="Z364" t="inlineStr">
        <is>
          <t>,000000000</t>
        </is>
      </c>
      <c r="AA364" t="inlineStr">
        <is>
          <t>,000000000</t>
        </is>
      </c>
      <c r="AB364" t="inlineStr">
        <is>
          <t>0</t>
        </is>
      </c>
      <c r="AC364" t="inlineStr">
        <is>
          <t>0</t>
        </is>
      </c>
      <c r="AD364" s="3">
        <f>UPPER(C3)</f>
        <v/>
      </c>
      <c r="AE364" s="3">
        <f>VLOOKUP(E3,'[1]Nómina Agentes'!$C:$D,3,0)</f>
        <v/>
      </c>
      <c r="AF364" s="5">
        <f>F3</f>
        <v/>
      </c>
      <c r="AG364" s="5">
        <f>H3</f>
        <v/>
      </c>
    </row>
    <row r="365">
      <c r="A365" s="1" t="inlineStr">
        <is>
          <t>9/10/2024</t>
        </is>
      </c>
      <c r="B365" t="inlineStr">
        <is>
          <t>925</t>
        </is>
      </c>
      <c r="C365" t="inlineStr">
        <is>
          <t>S2S Premium</t>
        </is>
      </c>
      <c r="D365" t="inlineStr">
        <is>
          <t>XPm_Gomez, Floria</t>
        </is>
      </c>
      <c r="E365" t="inlineStr">
        <is>
          <t>628088</t>
        </is>
      </c>
      <c r="F365" s="2" t="inlineStr">
        <is>
          <t>09:30</t>
        </is>
      </c>
      <c r="G365" t="inlineStr">
        <is>
          <t>-</t>
        </is>
      </c>
      <c r="H365" s="2" t="inlineStr">
        <is>
          <t>10:00</t>
        </is>
      </c>
      <c r="I365" t="inlineStr">
        <is>
          <t>,000000000</t>
        </is>
      </c>
      <c r="J365" t="inlineStr">
        <is>
          <t>,000000000</t>
        </is>
      </c>
      <c r="K365" t="inlineStr">
        <is>
          <t>,000000000</t>
        </is>
      </c>
      <c r="L365" t="inlineStr">
        <is>
          <t>,000000000</t>
        </is>
      </c>
      <c r="M365" t="inlineStr">
        <is>
          <t>,000000000</t>
        </is>
      </c>
      <c r="N365" t="inlineStr">
        <is>
          <t>,000000000</t>
        </is>
      </c>
      <c r="O365" t="inlineStr">
        <is>
          <t>,000000000</t>
        </is>
      </c>
      <c r="P365" t="inlineStr">
        <is>
          <t>,000000000</t>
        </is>
      </c>
      <c r="Q365" t="inlineStr">
        <is>
          <t>,000000000</t>
        </is>
      </c>
      <c r="R365" t="inlineStr">
        <is>
          <t>,000000000</t>
        </is>
      </c>
      <c r="S365" t="inlineStr">
        <is>
          <t>,000000000</t>
        </is>
      </c>
      <c r="T365" t="inlineStr">
        <is>
          <t>,000000000</t>
        </is>
      </c>
      <c r="U365" t="inlineStr">
        <is>
          <t>,000000000</t>
        </is>
      </c>
      <c r="V365" t="inlineStr">
        <is>
          <t>,000000000</t>
        </is>
      </c>
      <c r="W365" t="inlineStr">
        <is>
          <t>,000000000</t>
        </is>
      </c>
      <c r="X365" t="inlineStr">
        <is>
          <t>,000000000</t>
        </is>
      </c>
      <c r="Y365" t="inlineStr">
        <is>
          <t>,000000000</t>
        </is>
      </c>
      <c r="Z365" t="inlineStr">
        <is>
          <t>,000000000</t>
        </is>
      </c>
      <c r="AA365" t="inlineStr">
        <is>
          <t>,000000000</t>
        </is>
      </c>
      <c r="AB365" t="inlineStr">
        <is>
          <t>0</t>
        </is>
      </c>
      <c r="AC365" t="inlineStr">
        <is>
          <t>0</t>
        </is>
      </c>
      <c r="AD365" s="3">
        <f>UPPER(C3)</f>
        <v/>
      </c>
      <c r="AE365" s="3">
        <f>VLOOKUP(E3,'[1]Nómina Agentes'!$C:$D,3,0)</f>
        <v/>
      </c>
      <c r="AF365" s="5">
        <f>F3</f>
        <v/>
      </c>
      <c r="AG365" s="5">
        <f>H3</f>
        <v/>
      </c>
    </row>
    <row r="366">
      <c r="A366" s="1" t="inlineStr">
        <is>
          <t>9/10/2024</t>
        </is>
      </c>
      <c r="B366" t="inlineStr">
        <is>
          <t>925</t>
        </is>
      </c>
      <c r="C366" t="inlineStr">
        <is>
          <t>S2S Premium</t>
        </is>
      </c>
      <c r="D366" t="inlineStr">
        <is>
          <t>XPm_Gomez, Floria</t>
        </is>
      </c>
      <c r="E366" t="inlineStr">
        <is>
          <t>628088</t>
        </is>
      </c>
      <c r="F366" s="2" t="inlineStr">
        <is>
          <t>08:30</t>
        </is>
      </c>
      <c r="G366" t="inlineStr">
        <is>
          <t>-</t>
        </is>
      </c>
      <c r="H366" s="2" t="inlineStr">
        <is>
          <t>09:00</t>
        </is>
      </c>
      <c r="I366" t="inlineStr">
        <is>
          <t>,000000000</t>
        </is>
      </c>
      <c r="J366" t="inlineStr">
        <is>
          <t>,000000000</t>
        </is>
      </c>
      <c r="K366" t="inlineStr">
        <is>
          <t>,000000000</t>
        </is>
      </c>
      <c r="L366" t="inlineStr">
        <is>
          <t>,000000000</t>
        </is>
      </c>
      <c r="M366" t="inlineStr">
        <is>
          <t>,000000000</t>
        </is>
      </c>
      <c r="N366" t="inlineStr">
        <is>
          <t>,000000000</t>
        </is>
      </c>
      <c r="O366" t="inlineStr">
        <is>
          <t>,000000000</t>
        </is>
      </c>
      <c r="P366" t="inlineStr">
        <is>
          <t>,000000000</t>
        </is>
      </c>
      <c r="Q366" t="inlineStr">
        <is>
          <t>,000000000</t>
        </is>
      </c>
      <c r="R366" t="inlineStr">
        <is>
          <t>,000000000</t>
        </is>
      </c>
      <c r="S366" t="inlineStr">
        <is>
          <t>,000000000</t>
        </is>
      </c>
      <c r="T366" t="inlineStr">
        <is>
          <t>,000000000</t>
        </is>
      </c>
      <c r="U366" t="inlineStr">
        <is>
          <t>,000000000</t>
        </is>
      </c>
      <c r="V366" t="inlineStr">
        <is>
          <t>,000000000</t>
        </is>
      </c>
      <c r="W366" t="inlineStr">
        <is>
          <t>,000000000</t>
        </is>
      </c>
      <c r="X366" t="inlineStr">
        <is>
          <t>,000000000</t>
        </is>
      </c>
      <c r="Y366" t="inlineStr">
        <is>
          <t>,000000000</t>
        </is>
      </c>
      <c r="Z366" t="inlineStr">
        <is>
          <t>,000000000</t>
        </is>
      </c>
      <c r="AA366" t="inlineStr">
        <is>
          <t>,000000000</t>
        </is>
      </c>
      <c r="AB366" t="inlineStr">
        <is>
          <t>0</t>
        </is>
      </c>
      <c r="AC366" t="inlineStr">
        <is>
          <t>0</t>
        </is>
      </c>
      <c r="AD366" s="3">
        <f>UPPER(C3)</f>
        <v/>
      </c>
      <c r="AE366" s="3">
        <f>VLOOKUP(E3,'[1]Nómina Agentes'!$C:$D,3,0)</f>
        <v/>
      </c>
      <c r="AF366" s="5">
        <f>F3</f>
        <v/>
      </c>
      <c r="AG366" s="5">
        <f>H3</f>
        <v/>
      </c>
    </row>
    <row r="367">
      <c r="A367" s="1" t="inlineStr">
        <is>
          <t>9/10/2024</t>
        </is>
      </c>
      <c r="B367" t="inlineStr">
        <is>
          <t>925</t>
        </is>
      </c>
      <c r="C367" t="inlineStr">
        <is>
          <t>S2S Premium</t>
        </is>
      </c>
      <c r="D367" t="inlineStr">
        <is>
          <t>XPm_Gomez, Floria</t>
        </is>
      </c>
      <c r="E367" t="inlineStr">
        <is>
          <t>628088</t>
        </is>
      </c>
      <c r="F367" s="2" t="inlineStr">
        <is>
          <t>09:00</t>
        </is>
      </c>
      <c r="G367" t="inlineStr">
        <is>
          <t>-</t>
        </is>
      </c>
      <c r="H367" s="2" t="inlineStr">
        <is>
          <t>09:30</t>
        </is>
      </c>
      <c r="I367" t="inlineStr">
        <is>
          <t>,000000000</t>
        </is>
      </c>
      <c r="J367" t="inlineStr">
        <is>
          <t>,000000000</t>
        </is>
      </c>
      <c r="K367" t="inlineStr">
        <is>
          <t>,000000000</t>
        </is>
      </c>
      <c r="L367" t="inlineStr">
        <is>
          <t>,000000000</t>
        </is>
      </c>
      <c r="M367" t="inlineStr">
        <is>
          <t>,000000000</t>
        </is>
      </c>
      <c r="N367" t="inlineStr">
        <is>
          <t>,000000000</t>
        </is>
      </c>
      <c r="O367" t="inlineStr">
        <is>
          <t>,000000000</t>
        </is>
      </c>
      <c r="P367" t="inlineStr">
        <is>
          <t>,000000000</t>
        </is>
      </c>
      <c r="Q367" t="inlineStr">
        <is>
          <t>,000000000</t>
        </is>
      </c>
      <c r="R367" t="inlineStr">
        <is>
          <t>,000000000</t>
        </is>
      </c>
      <c r="S367" t="inlineStr">
        <is>
          <t>,000000000</t>
        </is>
      </c>
      <c r="T367" t="inlineStr">
        <is>
          <t>,000000000</t>
        </is>
      </c>
      <c r="U367" t="inlineStr">
        <is>
          <t>,000000000</t>
        </is>
      </c>
      <c r="V367" t="inlineStr">
        <is>
          <t>,000000000</t>
        </is>
      </c>
      <c r="W367" t="inlineStr">
        <is>
          <t>,000000000</t>
        </is>
      </c>
      <c r="X367" t="inlineStr">
        <is>
          <t>,000000000</t>
        </is>
      </c>
      <c r="Y367" t="inlineStr">
        <is>
          <t>,000000000</t>
        </is>
      </c>
      <c r="Z367" t="inlineStr">
        <is>
          <t>,000000000</t>
        </is>
      </c>
      <c r="AA367" t="inlineStr">
        <is>
          <t>,000000000</t>
        </is>
      </c>
      <c r="AB367" t="inlineStr">
        <is>
          <t>0</t>
        </is>
      </c>
      <c r="AC367" t="inlineStr">
        <is>
          <t>0</t>
        </is>
      </c>
      <c r="AD367" s="3">
        <f>UPPER(C3)</f>
        <v/>
      </c>
      <c r="AE367" s="3">
        <f>VLOOKUP(E3,'[1]Nómina Agentes'!$C:$D,3,0)</f>
        <v/>
      </c>
      <c r="AF367" s="5">
        <f>F3</f>
        <v/>
      </c>
      <c r="AG367" s="5">
        <f>H3</f>
        <v/>
      </c>
    </row>
    <row r="368">
      <c r="A368" s="1" t="inlineStr">
        <is>
          <t>9/10/2024</t>
        </is>
      </c>
      <c r="B368" t="inlineStr">
        <is>
          <t>925</t>
        </is>
      </c>
      <c r="C368" t="inlineStr">
        <is>
          <t>S2S Premium</t>
        </is>
      </c>
      <c r="D368" t="inlineStr">
        <is>
          <t>XPm_Gomez, Floria</t>
        </is>
      </c>
      <c r="E368" t="inlineStr">
        <is>
          <t>628088</t>
        </is>
      </c>
      <c r="F368" s="2" t="inlineStr">
        <is>
          <t>10:30</t>
        </is>
      </c>
      <c r="G368" t="inlineStr">
        <is>
          <t>-</t>
        </is>
      </c>
      <c r="H368" s="2" t="inlineStr">
        <is>
          <t>11:00</t>
        </is>
      </c>
      <c r="I368" t="inlineStr">
        <is>
          <t>,000000000</t>
        </is>
      </c>
      <c r="J368" t="inlineStr">
        <is>
          <t>,000000000</t>
        </is>
      </c>
      <c r="K368" t="inlineStr">
        <is>
          <t>,000000000</t>
        </is>
      </c>
      <c r="L368" t="inlineStr">
        <is>
          <t>,000000000</t>
        </is>
      </c>
      <c r="M368" t="inlineStr">
        <is>
          <t>,000000000</t>
        </is>
      </c>
      <c r="N368" t="inlineStr">
        <is>
          <t>,000000000</t>
        </is>
      </c>
      <c r="O368" t="inlineStr">
        <is>
          <t>,000000000</t>
        </is>
      </c>
      <c r="P368" t="inlineStr">
        <is>
          <t>,000000000</t>
        </is>
      </c>
      <c r="Q368" t="inlineStr">
        <is>
          <t>,000000000</t>
        </is>
      </c>
      <c r="R368" t="inlineStr">
        <is>
          <t>,000000000</t>
        </is>
      </c>
      <c r="S368" t="inlineStr">
        <is>
          <t>,000000000</t>
        </is>
      </c>
      <c r="T368" t="inlineStr">
        <is>
          <t>,000000000</t>
        </is>
      </c>
      <c r="U368" t="inlineStr">
        <is>
          <t>,000000000</t>
        </is>
      </c>
      <c r="V368" t="inlineStr">
        <is>
          <t>,000000000</t>
        </is>
      </c>
      <c r="W368" t="inlineStr">
        <is>
          <t>,000000000</t>
        </is>
      </c>
      <c r="X368" t="inlineStr">
        <is>
          <t>,000000000</t>
        </is>
      </c>
      <c r="Y368" t="inlineStr">
        <is>
          <t>,000000000</t>
        </is>
      </c>
      <c r="Z368" t="inlineStr">
        <is>
          <t>,000000000</t>
        </is>
      </c>
      <c r="AA368" t="inlineStr">
        <is>
          <t>,000000000</t>
        </is>
      </c>
      <c r="AB368" t="inlineStr">
        <is>
          <t>0</t>
        </is>
      </c>
      <c r="AC368" t="inlineStr">
        <is>
          <t>0</t>
        </is>
      </c>
      <c r="AD368" s="3">
        <f>UPPER(C3)</f>
        <v/>
      </c>
      <c r="AE368" s="3">
        <f>VLOOKUP(E3,'[1]Nómina Agentes'!$C:$D,3,0)</f>
        <v/>
      </c>
      <c r="AF368" s="5">
        <f>F3</f>
        <v/>
      </c>
      <c r="AG368" s="5">
        <f>H3</f>
        <v/>
      </c>
    </row>
    <row r="369">
      <c r="A369" s="1" t="inlineStr">
        <is>
          <t>9/10/2024</t>
        </is>
      </c>
      <c r="B369" t="inlineStr">
        <is>
          <t>925</t>
        </is>
      </c>
      <c r="C369" t="inlineStr">
        <is>
          <t>S2S Premium</t>
        </is>
      </c>
      <c r="D369" t="inlineStr">
        <is>
          <t>*Pm_Fernandez,Adria</t>
        </is>
      </c>
      <c r="E369" t="inlineStr">
        <is>
          <t>628094</t>
        </is>
      </c>
      <c r="F369" s="2" t="inlineStr">
        <is>
          <t>10:00</t>
        </is>
      </c>
      <c r="G369" t="inlineStr">
        <is>
          <t>-</t>
        </is>
      </c>
      <c r="H369" s="2" t="inlineStr">
        <is>
          <t>10:30</t>
        </is>
      </c>
      <c r="I369" t="inlineStr">
        <is>
          <t>667,000000000</t>
        </is>
      </c>
      <c r="J369" t="inlineStr">
        <is>
          <t>,000000000</t>
        </is>
      </c>
      <c r="K369" t="inlineStr">
        <is>
          <t>,000000000</t>
        </is>
      </c>
      <c r="L369" t="inlineStr">
        <is>
          <t>8,000000000</t>
        </is>
      </c>
      <c r="M369" t="inlineStr">
        <is>
          <t>,000000000</t>
        </is>
      </c>
      <c r="N369" t="inlineStr">
        <is>
          <t>,000000000</t>
        </is>
      </c>
      <c r="O369" t="inlineStr">
        <is>
          <t>,000000000</t>
        </is>
      </c>
      <c r="P369" t="inlineStr">
        <is>
          <t>656,000000000</t>
        </is>
      </c>
      <c r="Q369" t="inlineStr">
        <is>
          <t>628,000000000</t>
        </is>
      </c>
      <c r="R369" t="inlineStr">
        <is>
          <t>,000000000</t>
        </is>
      </c>
      <c r="S369" t="inlineStr">
        <is>
          <t>,000000000</t>
        </is>
      </c>
      <c r="T369" t="inlineStr">
        <is>
          <t>,000000000</t>
        </is>
      </c>
      <c r="U369" t="inlineStr">
        <is>
          <t>,000000000</t>
        </is>
      </c>
      <c r="V369" t="inlineStr">
        <is>
          <t>,000000000</t>
        </is>
      </c>
      <c r="W369" t="inlineStr">
        <is>
          <t>,000000000</t>
        </is>
      </c>
      <c r="X369" t="inlineStr">
        <is>
          <t>,000000000</t>
        </is>
      </c>
      <c r="Y369" t="inlineStr">
        <is>
          <t>,000000000</t>
        </is>
      </c>
      <c r="Z369" t="inlineStr">
        <is>
          <t>,000000000</t>
        </is>
      </c>
      <c r="AA369" t="inlineStr">
        <is>
          <t>,000000000</t>
        </is>
      </c>
      <c r="AB369" t="inlineStr">
        <is>
          <t>2</t>
        </is>
      </c>
      <c r="AC369" t="inlineStr">
        <is>
          <t>2</t>
        </is>
      </c>
      <c r="AD369" s="3">
        <f>UPPER(C3)</f>
        <v/>
      </c>
      <c r="AE369" s="3">
        <f>VLOOKUP(E3,'[1]Nómina Agentes'!$C:$D,3,0)</f>
        <v/>
      </c>
      <c r="AF369" s="5">
        <f>F3</f>
        <v/>
      </c>
      <c r="AG369" s="5">
        <f>H3</f>
        <v/>
      </c>
    </row>
    <row r="370">
      <c r="A370" s="1" t="inlineStr">
        <is>
          <t>9/10/2024</t>
        </is>
      </c>
      <c r="B370" t="inlineStr">
        <is>
          <t>925</t>
        </is>
      </c>
      <c r="C370" t="inlineStr">
        <is>
          <t>S2S Premium</t>
        </is>
      </c>
      <c r="D370" t="inlineStr">
        <is>
          <t>*Pm_Fernandez,Adria</t>
        </is>
      </c>
      <c r="E370" t="inlineStr">
        <is>
          <t>628094</t>
        </is>
      </c>
      <c r="F370" s="2" t="inlineStr">
        <is>
          <t>10:30</t>
        </is>
      </c>
      <c r="G370" t="inlineStr">
        <is>
          <t>-</t>
        </is>
      </c>
      <c r="H370" s="2" t="inlineStr">
        <is>
          <t>11:00</t>
        </is>
      </c>
      <c r="I370" t="inlineStr">
        <is>
          <t>1119,000000000</t>
        </is>
      </c>
      <c r="J370" t="inlineStr">
        <is>
          <t>,000000000</t>
        </is>
      </c>
      <c r="K370" t="inlineStr">
        <is>
          <t>,000000000</t>
        </is>
      </c>
      <c r="L370" t="inlineStr">
        <is>
          <t>8,000000000</t>
        </is>
      </c>
      <c r="M370" t="inlineStr">
        <is>
          <t>,000000000</t>
        </is>
      </c>
      <c r="N370" t="inlineStr">
        <is>
          <t>,000000000</t>
        </is>
      </c>
      <c r="O370" t="inlineStr">
        <is>
          <t>,000000000</t>
        </is>
      </c>
      <c r="P370" t="inlineStr">
        <is>
          <t>6,000000000</t>
        </is>
      </c>
      <c r="Q370" t="inlineStr">
        <is>
          <t>424,000000000</t>
        </is>
      </c>
      <c r="R370" t="inlineStr">
        <is>
          <t>,000000000</t>
        </is>
      </c>
      <c r="S370" t="inlineStr">
        <is>
          <t>,000000000</t>
        </is>
      </c>
      <c r="T370" t="inlineStr">
        <is>
          <t>,000000000</t>
        </is>
      </c>
      <c r="U370" t="inlineStr">
        <is>
          <t>,000000000</t>
        </is>
      </c>
      <c r="V370" t="inlineStr">
        <is>
          <t>,000000000</t>
        </is>
      </c>
      <c r="W370" t="inlineStr">
        <is>
          <t>,000000000</t>
        </is>
      </c>
      <c r="X370" t="inlineStr">
        <is>
          <t>,000000000</t>
        </is>
      </c>
      <c r="Y370" t="inlineStr">
        <is>
          <t>,000000000</t>
        </is>
      </c>
      <c r="Z370" t="inlineStr">
        <is>
          <t>,000000000</t>
        </is>
      </c>
      <c r="AA370" t="inlineStr">
        <is>
          <t>,000000000</t>
        </is>
      </c>
      <c r="AB370" t="inlineStr">
        <is>
          <t>1</t>
        </is>
      </c>
      <c r="AC370" t="inlineStr">
        <is>
          <t>1</t>
        </is>
      </c>
      <c r="AD370" s="3">
        <f>UPPER(C3)</f>
        <v/>
      </c>
      <c r="AE370" s="3">
        <f>VLOOKUP(E3,'[1]Nómina Agentes'!$C:$D,3,0)</f>
        <v/>
      </c>
      <c r="AF370" s="5">
        <f>F3</f>
        <v/>
      </c>
      <c r="AG370" s="5">
        <f>H3</f>
        <v/>
      </c>
    </row>
    <row r="371">
      <c r="A371" s="1" t="inlineStr">
        <is>
          <t>9/10/2024</t>
        </is>
      </c>
      <c r="B371" t="inlineStr">
        <is>
          <t>925</t>
        </is>
      </c>
      <c r="C371" t="inlineStr">
        <is>
          <t>S2S Premium</t>
        </is>
      </c>
      <c r="D371" t="inlineStr">
        <is>
          <t>XPm_Blanco, Maria</t>
        </is>
      </c>
      <c r="E371" t="inlineStr">
        <is>
          <t>628102</t>
        </is>
      </c>
      <c r="F371" s="2" t="inlineStr">
        <is>
          <t>09:00</t>
        </is>
      </c>
      <c r="G371" t="inlineStr">
        <is>
          <t>-</t>
        </is>
      </c>
      <c r="H371" s="2" t="inlineStr">
        <is>
          <t>09:30</t>
        </is>
      </c>
      <c r="I371" t="inlineStr">
        <is>
          <t>164,000000000</t>
        </is>
      </c>
      <c r="J371" t="inlineStr">
        <is>
          <t>,000000000</t>
        </is>
      </c>
      <c r="K371" t="inlineStr">
        <is>
          <t>,000000000</t>
        </is>
      </c>
      <c r="L371" t="inlineStr">
        <is>
          <t>8,000000000</t>
        </is>
      </c>
      <c r="M371" t="inlineStr">
        <is>
          <t>,000000000</t>
        </is>
      </c>
      <c r="N371" t="inlineStr">
        <is>
          <t>,000000000</t>
        </is>
      </c>
      <c r="O371" t="inlineStr">
        <is>
          <t>,000000000</t>
        </is>
      </c>
      <c r="P371" t="inlineStr">
        <is>
          <t>165,000000000</t>
        </is>
      </c>
      <c r="Q371" t="inlineStr">
        <is>
          <t>,000000000</t>
        </is>
      </c>
      <c r="R371" t="inlineStr">
        <is>
          <t>,000000000</t>
        </is>
      </c>
      <c r="S371" t="inlineStr">
        <is>
          <t>,000000000</t>
        </is>
      </c>
      <c r="T371" t="inlineStr">
        <is>
          <t>,000000000</t>
        </is>
      </c>
      <c r="U371" t="inlineStr">
        <is>
          <t>,000000000</t>
        </is>
      </c>
      <c r="V371" t="inlineStr">
        <is>
          <t>,000000000</t>
        </is>
      </c>
      <c r="W371" t="inlineStr">
        <is>
          <t>,000000000</t>
        </is>
      </c>
      <c r="X371" t="inlineStr">
        <is>
          <t>,000000000</t>
        </is>
      </c>
      <c r="Y371" t="inlineStr">
        <is>
          <t>,000000000</t>
        </is>
      </c>
      <c r="Z371" t="inlineStr">
        <is>
          <t>,000000000</t>
        </is>
      </c>
      <c r="AA371" t="inlineStr">
        <is>
          <t>,000000000</t>
        </is>
      </c>
      <c r="AB371" t="inlineStr">
        <is>
          <t>1</t>
        </is>
      </c>
      <c r="AC371" t="inlineStr">
        <is>
          <t>1</t>
        </is>
      </c>
      <c r="AD371" s="3">
        <f>UPPER(C3)</f>
        <v/>
      </c>
      <c r="AE371" s="3">
        <f>VLOOKUP(E3,'[1]Nómina Agentes'!$C:$D,3,0)</f>
        <v/>
      </c>
      <c r="AF371" s="5">
        <f>F3</f>
        <v/>
      </c>
      <c r="AG371" s="5">
        <f>H3</f>
        <v/>
      </c>
    </row>
    <row r="372">
      <c r="A372" s="1" t="inlineStr">
        <is>
          <t>9/10/2024</t>
        </is>
      </c>
      <c r="B372" t="inlineStr">
        <is>
          <t>924</t>
        </is>
      </c>
      <c r="C372" t="inlineStr">
        <is>
          <t>S2S No Premium</t>
        </is>
      </c>
      <c r="D372" t="inlineStr">
        <is>
          <t>*N2m_Villalba,Barbar</t>
        </is>
      </c>
      <c r="E372" t="inlineStr">
        <is>
          <t>628158</t>
        </is>
      </c>
      <c r="F372" s="2" t="inlineStr">
        <is>
          <t>10:00</t>
        </is>
      </c>
      <c r="G372" t="inlineStr">
        <is>
          <t>-</t>
        </is>
      </c>
      <c r="H372" s="2" t="inlineStr">
        <is>
          <t>10:30</t>
        </is>
      </c>
      <c r="I372" t="inlineStr">
        <is>
          <t>417,000000000</t>
        </is>
      </c>
      <c r="J372" t="inlineStr">
        <is>
          <t>,000000000</t>
        </is>
      </c>
      <c r="K372" t="inlineStr">
        <is>
          <t>,000000000</t>
        </is>
      </c>
      <c r="L372" t="inlineStr">
        <is>
          <t>8,000000000</t>
        </is>
      </c>
      <c r="M372" t="inlineStr">
        <is>
          <t>,000000000</t>
        </is>
      </c>
      <c r="N372" t="inlineStr">
        <is>
          <t>,000000000</t>
        </is>
      </c>
      <c r="O372" t="inlineStr">
        <is>
          <t>,000000000</t>
        </is>
      </c>
      <c r="P372" t="inlineStr">
        <is>
          <t>1,000000000</t>
        </is>
      </c>
      <c r="Q372" t="inlineStr">
        <is>
          <t>,000000000</t>
        </is>
      </c>
      <c r="R372" t="inlineStr">
        <is>
          <t>,000000000</t>
        </is>
      </c>
      <c r="S372" t="inlineStr">
        <is>
          <t>,000000000</t>
        </is>
      </c>
      <c r="T372" t="inlineStr">
        <is>
          <t>,000000000</t>
        </is>
      </c>
      <c r="U372" t="inlineStr">
        <is>
          <t>,000000000</t>
        </is>
      </c>
      <c r="V372" t="inlineStr">
        <is>
          <t>,000000000</t>
        </is>
      </c>
      <c r="W372" t="inlineStr">
        <is>
          <t>,000000000</t>
        </is>
      </c>
      <c r="X372" t="inlineStr">
        <is>
          <t>,000000000</t>
        </is>
      </c>
      <c r="Y372" t="inlineStr">
        <is>
          <t>,000000000</t>
        </is>
      </c>
      <c r="Z372" t="inlineStr">
        <is>
          <t>,000000000</t>
        </is>
      </c>
      <c r="AA372" t="inlineStr">
        <is>
          <t>,000000000</t>
        </is>
      </c>
      <c r="AB372" t="inlineStr">
        <is>
          <t>1</t>
        </is>
      </c>
      <c r="AC372" t="inlineStr">
        <is>
          <t>1</t>
        </is>
      </c>
      <c r="AD372" s="3">
        <f>UPPER(C3)</f>
        <v/>
      </c>
      <c r="AE372" s="3">
        <f>VLOOKUP(E3,'[1]Nómina Agentes'!$C:$D,3,0)</f>
        <v/>
      </c>
      <c r="AF372" s="5">
        <f>F3</f>
        <v/>
      </c>
      <c r="AG372" s="5">
        <f>H3</f>
        <v/>
      </c>
    </row>
    <row r="373">
      <c r="A373" s="1" t="inlineStr">
        <is>
          <t>9/10/2024</t>
        </is>
      </c>
      <c r="B373" t="inlineStr">
        <is>
          <t>924</t>
        </is>
      </c>
      <c r="C373" t="inlineStr">
        <is>
          <t>S2S No Premium</t>
        </is>
      </c>
      <c r="D373" t="inlineStr">
        <is>
          <t>*N2m_Villalba,Barbar</t>
        </is>
      </c>
      <c r="E373" t="inlineStr">
        <is>
          <t>628158</t>
        </is>
      </c>
      <c r="F373" s="2" t="inlineStr">
        <is>
          <t>09:00</t>
        </is>
      </c>
      <c r="G373" t="inlineStr">
        <is>
          <t>-</t>
        </is>
      </c>
      <c r="H373" s="2" t="inlineStr">
        <is>
          <t>09:30</t>
        </is>
      </c>
      <c r="I373" t="inlineStr">
        <is>
          <t>500,000000000</t>
        </is>
      </c>
      <c r="J373" t="inlineStr">
        <is>
          <t>,000000000</t>
        </is>
      </c>
      <c r="K373" t="inlineStr">
        <is>
          <t>,000000000</t>
        </is>
      </c>
      <c r="L373" t="inlineStr">
        <is>
          <t>8,000000000</t>
        </is>
      </c>
      <c r="M373" t="inlineStr">
        <is>
          <t>,000000000</t>
        </is>
      </c>
      <c r="N373" t="inlineStr">
        <is>
          <t>,000000000</t>
        </is>
      </c>
      <c r="O373" t="inlineStr">
        <is>
          <t>,000000000</t>
        </is>
      </c>
      <c r="P373" t="inlineStr">
        <is>
          <t>9,000000000</t>
        </is>
      </c>
      <c r="Q373" t="inlineStr">
        <is>
          <t>,000000000</t>
        </is>
      </c>
      <c r="R373" t="inlineStr">
        <is>
          <t>,000000000</t>
        </is>
      </c>
      <c r="S373" t="inlineStr">
        <is>
          <t>,000000000</t>
        </is>
      </c>
      <c r="T373" t="inlineStr">
        <is>
          <t>,000000000</t>
        </is>
      </c>
      <c r="U373" t="inlineStr">
        <is>
          <t>,000000000</t>
        </is>
      </c>
      <c r="V373" t="inlineStr">
        <is>
          <t>,000000000</t>
        </is>
      </c>
      <c r="W373" t="inlineStr">
        <is>
          <t>,000000000</t>
        </is>
      </c>
      <c r="X373" t="inlineStr">
        <is>
          <t>,000000000</t>
        </is>
      </c>
      <c r="Y373" t="inlineStr">
        <is>
          <t>,000000000</t>
        </is>
      </c>
      <c r="Z373" t="inlineStr">
        <is>
          <t>,000000000</t>
        </is>
      </c>
      <c r="AA373" t="inlineStr">
        <is>
          <t>,000000000</t>
        </is>
      </c>
      <c r="AB373" t="inlineStr">
        <is>
          <t>1</t>
        </is>
      </c>
      <c r="AC373" t="inlineStr">
        <is>
          <t>1</t>
        </is>
      </c>
      <c r="AD373" s="3">
        <f>UPPER(C3)</f>
        <v/>
      </c>
      <c r="AE373" s="3">
        <f>VLOOKUP(E3,'[1]Nómina Agentes'!$C:$D,3,0)</f>
        <v/>
      </c>
      <c r="AF373" s="5">
        <f>F3</f>
        <v/>
      </c>
      <c r="AG373" s="5">
        <f>H3</f>
        <v/>
      </c>
    </row>
    <row r="374">
      <c r="A374" s="1" t="inlineStr">
        <is>
          <t>9/10/2024</t>
        </is>
      </c>
      <c r="B374" t="inlineStr">
        <is>
          <t>924</t>
        </is>
      </c>
      <c r="C374" t="inlineStr">
        <is>
          <t>S2S No Premium</t>
        </is>
      </c>
      <c r="D374" t="inlineStr">
        <is>
          <t>*N2m_Villalba,Barbar</t>
        </is>
      </c>
      <c r="E374" t="inlineStr">
        <is>
          <t>628158</t>
        </is>
      </c>
      <c r="F374" s="2" t="inlineStr">
        <is>
          <t>09:30</t>
        </is>
      </c>
      <c r="G374" t="inlineStr">
        <is>
          <t>-</t>
        </is>
      </c>
      <c r="H374" s="2" t="inlineStr">
        <is>
          <t>10:00</t>
        </is>
      </c>
      <c r="I374" t="inlineStr">
        <is>
          <t>845,000000000</t>
        </is>
      </c>
      <c r="J374" t="inlineStr">
        <is>
          <t>,000000000</t>
        </is>
      </c>
      <c r="K374" t="inlineStr">
        <is>
          <t>,000000000</t>
        </is>
      </c>
      <c r="L374" t="inlineStr">
        <is>
          <t>8,000000000</t>
        </is>
      </c>
      <c r="M374" t="inlineStr">
        <is>
          <t>,000000000</t>
        </is>
      </c>
      <c r="N374" t="inlineStr">
        <is>
          <t>,000000000</t>
        </is>
      </c>
      <c r="O374" t="inlineStr">
        <is>
          <t>,000000000</t>
        </is>
      </c>
      <c r="P374" t="inlineStr">
        <is>
          <t>88,000000000</t>
        </is>
      </c>
      <c r="Q374" t="inlineStr">
        <is>
          <t>,000000000</t>
        </is>
      </c>
      <c r="R374" t="inlineStr">
        <is>
          <t>,000000000</t>
        </is>
      </c>
      <c r="S374" t="inlineStr">
        <is>
          <t>,000000000</t>
        </is>
      </c>
      <c r="T374" t="inlineStr">
        <is>
          <t>,000000000</t>
        </is>
      </c>
      <c r="U374" t="inlineStr">
        <is>
          <t>,000000000</t>
        </is>
      </c>
      <c r="V374" t="inlineStr">
        <is>
          <t>,000000000</t>
        </is>
      </c>
      <c r="W374" t="inlineStr">
        <is>
          <t>,000000000</t>
        </is>
      </c>
      <c r="X374" t="inlineStr">
        <is>
          <t>,000000000</t>
        </is>
      </c>
      <c r="Y374" t="inlineStr">
        <is>
          <t>,000000000</t>
        </is>
      </c>
      <c r="Z374" t="inlineStr">
        <is>
          <t>,000000000</t>
        </is>
      </c>
      <c r="AA374" t="inlineStr">
        <is>
          <t>,000000000</t>
        </is>
      </c>
      <c r="AB374" t="inlineStr">
        <is>
          <t>3</t>
        </is>
      </c>
      <c r="AC374" t="inlineStr">
        <is>
          <t>0</t>
        </is>
      </c>
      <c r="AD374" s="3">
        <f>UPPER(C3)</f>
        <v/>
      </c>
      <c r="AE374" s="3">
        <f>VLOOKUP(E3,'[1]Nómina Agentes'!$C:$D,3,0)</f>
        <v/>
      </c>
      <c r="AF374" s="5">
        <f>F3</f>
        <v/>
      </c>
      <c r="AG374" s="5">
        <f>H3</f>
        <v/>
      </c>
    </row>
    <row r="375">
      <c r="A375" s="1" t="inlineStr">
        <is>
          <t>9/10/2024</t>
        </is>
      </c>
      <c r="B375" t="inlineStr">
        <is>
          <t>924</t>
        </is>
      </c>
      <c r="C375" t="inlineStr">
        <is>
          <t>S2S No Premium</t>
        </is>
      </c>
      <c r="D375" t="inlineStr">
        <is>
          <t>*N2m_Villalba,Barbar</t>
        </is>
      </c>
      <c r="E375" t="inlineStr">
        <is>
          <t>628158</t>
        </is>
      </c>
      <c r="F375" s="2" t="inlineStr">
        <is>
          <t>10:30</t>
        </is>
      </c>
      <c r="G375" t="inlineStr">
        <is>
          <t>-</t>
        </is>
      </c>
      <c r="H375" s="2" t="inlineStr">
        <is>
          <t>11:00</t>
        </is>
      </c>
      <c r="I375" t="inlineStr">
        <is>
          <t>1265,000000000</t>
        </is>
      </c>
      <c r="J375" t="inlineStr">
        <is>
          <t>,000000000</t>
        </is>
      </c>
      <c r="K375" t="inlineStr">
        <is>
          <t>,000000000</t>
        </is>
      </c>
      <c r="L375" t="inlineStr">
        <is>
          <t>8,000000000</t>
        </is>
      </c>
      <c r="M375" t="inlineStr">
        <is>
          <t>,000000000</t>
        </is>
      </c>
      <c r="N375" t="inlineStr">
        <is>
          <t>,000000000</t>
        </is>
      </c>
      <c r="O375" t="inlineStr">
        <is>
          <t>,000000000</t>
        </is>
      </c>
      <c r="P375" t="inlineStr">
        <is>
          <t>41,000000000</t>
        </is>
      </c>
      <c r="Q375" t="inlineStr">
        <is>
          <t>,000000000</t>
        </is>
      </c>
      <c r="R375" t="inlineStr">
        <is>
          <t>,000000000</t>
        </is>
      </c>
      <c r="S375" t="inlineStr">
        <is>
          <t>,000000000</t>
        </is>
      </c>
      <c r="T375" t="inlineStr">
        <is>
          <t>,000000000</t>
        </is>
      </c>
      <c r="U375" t="inlineStr">
        <is>
          <t>,000000000</t>
        </is>
      </c>
      <c r="V375" t="inlineStr">
        <is>
          <t>,000000000</t>
        </is>
      </c>
      <c r="W375" t="inlineStr">
        <is>
          <t>,000000000</t>
        </is>
      </c>
      <c r="X375" t="inlineStr">
        <is>
          <t>,000000000</t>
        </is>
      </c>
      <c r="Y375" t="inlineStr">
        <is>
          <t>,000000000</t>
        </is>
      </c>
      <c r="Z375" t="inlineStr">
        <is>
          <t>,000000000</t>
        </is>
      </c>
      <c r="AA375" t="inlineStr">
        <is>
          <t>,000000000</t>
        </is>
      </c>
      <c r="AB375" t="inlineStr">
        <is>
          <t>2</t>
        </is>
      </c>
      <c r="AC375" t="inlineStr">
        <is>
          <t>2</t>
        </is>
      </c>
      <c r="AD375" s="3">
        <f>UPPER(C3)</f>
        <v/>
      </c>
      <c r="AE375" s="3">
        <f>VLOOKUP(E3,'[1]Nómina Agentes'!$C:$D,3,0)</f>
        <v/>
      </c>
      <c r="AF375" s="5">
        <f>F3</f>
        <v/>
      </c>
      <c r="AG375" s="5">
        <f>H3</f>
        <v/>
      </c>
    </row>
    <row r="376">
      <c r="A376" s="1" t="inlineStr">
        <is>
          <t>9/10/2024</t>
        </is>
      </c>
      <c r="B376" t="inlineStr">
        <is>
          <t>925</t>
        </is>
      </c>
      <c r="C376" t="inlineStr">
        <is>
          <t>S2S Premium</t>
        </is>
      </c>
      <c r="D376" t="inlineStr">
        <is>
          <t>XPm_Yuri, Mila</t>
        </is>
      </c>
      <c r="E376" t="inlineStr">
        <is>
          <t>628159</t>
        </is>
      </c>
      <c r="F376" s="2" t="inlineStr">
        <is>
          <t>09:00</t>
        </is>
      </c>
      <c r="G376" t="inlineStr">
        <is>
          <t>-</t>
        </is>
      </c>
      <c r="H376" s="2" t="inlineStr">
        <is>
          <t>09:30</t>
        </is>
      </c>
      <c r="I376" t="inlineStr">
        <is>
          <t>288,000000000</t>
        </is>
      </c>
      <c r="J376" t="inlineStr">
        <is>
          <t>,000000000</t>
        </is>
      </c>
      <c r="K376" t="inlineStr">
        <is>
          <t>,000000000</t>
        </is>
      </c>
      <c r="L376" t="inlineStr">
        <is>
          <t>8,000000000</t>
        </is>
      </c>
      <c r="M376" t="inlineStr">
        <is>
          <t>,000000000</t>
        </is>
      </c>
      <c r="N376" t="inlineStr">
        <is>
          <t>,000000000</t>
        </is>
      </c>
      <c r="O376" t="inlineStr">
        <is>
          <t>,000000000</t>
        </is>
      </c>
      <c r="P376" t="inlineStr">
        <is>
          <t>103,000000000</t>
        </is>
      </c>
      <c r="Q376" t="inlineStr">
        <is>
          <t>,000000000</t>
        </is>
      </c>
      <c r="R376" t="inlineStr">
        <is>
          <t>,000000000</t>
        </is>
      </c>
      <c r="S376" t="inlineStr">
        <is>
          <t>,000000000</t>
        </is>
      </c>
      <c r="T376" t="inlineStr">
        <is>
          <t>,000000000</t>
        </is>
      </c>
      <c r="U376" t="inlineStr">
        <is>
          <t>,000000000</t>
        </is>
      </c>
      <c r="V376" t="inlineStr">
        <is>
          <t>,000000000</t>
        </is>
      </c>
      <c r="W376" t="inlineStr">
        <is>
          <t>,000000000</t>
        </is>
      </c>
      <c r="X376" t="inlineStr">
        <is>
          <t>,000000000</t>
        </is>
      </c>
      <c r="Y376" t="inlineStr">
        <is>
          <t>,000000000</t>
        </is>
      </c>
      <c r="Z376" t="inlineStr">
        <is>
          <t>,000000000</t>
        </is>
      </c>
      <c r="AA376" t="inlineStr">
        <is>
          <t>,000000000</t>
        </is>
      </c>
      <c r="AB376" t="inlineStr">
        <is>
          <t>2</t>
        </is>
      </c>
      <c r="AC376" t="inlineStr">
        <is>
          <t>2</t>
        </is>
      </c>
      <c r="AD376" s="3">
        <f>UPPER(C3)</f>
        <v/>
      </c>
      <c r="AE376" s="3">
        <f>VLOOKUP(E3,'[1]Nómina Agentes'!$C:$D,3,0)</f>
        <v/>
      </c>
      <c r="AF376" s="5">
        <f>F3</f>
        <v/>
      </c>
      <c r="AG376" s="5">
        <f>H3</f>
        <v/>
      </c>
    </row>
    <row r="377">
      <c r="A377" s="1" t="inlineStr">
        <is>
          <t>9/10/2024</t>
        </is>
      </c>
      <c r="B377" t="inlineStr">
        <is>
          <t>925</t>
        </is>
      </c>
      <c r="C377" t="inlineStr">
        <is>
          <t>S2S Premium</t>
        </is>
      </c>
      <c r="D377" t="inlineStr">
        <is>
          <t>*Pm_Olivera, Melisa</t>
        </is>
      </c>
      <c r="E377" t="inlineStr">
        <is>
          <t>628233</t>
        </is>
      </c>
      <c r="F377" s="2" t="inlineStr">
        <is>
          <t>09:00</t>
        </is>
      </c>
      <c r="G377" t="inlineStr">
        <is>
          <t>-</t>
        </is>
      </c>
      <c r="H377" s="2" t="inlineStr">
        <is>
          <t>09:30</t>
        </is>
      </c>
      <c r="I377" t="inlineStr">
        <is>
          <t>607,000000000</t>
        </is>
      </c>
      <c r="J377" t="inlineStr">
        <is>
          <t>,000000000</t>
        </is>
      </c>
      <c r="K377" t="inlineStr">
        <is>
          <t>,000000000</t>
        </is>
      </c>
      <c r="L377" t="inlineStr">
        <is>
          <t>4,000000000</t>
        </is>
      </c>
      <c r="M377" t="inlineStr">
        <is>
          <t>,000000000</t>
        </is>
      </c>
      <c r="N377" t="inlineStr">
        <is>
          <t>,000000000</t>
        </is>
      </c>
      <c r="O377" t="inlineStr">
        <is>
          <t>,000000000</t>
        </is>
      </c>
      <c r="P377" t="inlineStr">
        <is>
          <t>,000000000</t>
        </is>
      </c>
      <c r="Q377" t="inlineStr">
        <is>
          <t>,000000000</t>
        </is>
      </c>
      <c r="R377" t="inlineStr">
        <is>
          <t>,000000000</t>
        </is>
      </c>
      <c r="S377" t="inlineStr">
        <is>
          <t>,000000000</t>
        </is>
      </c>
      <c r="T377" t="inlineStr">
        <is>
          <t>,000000000</t>
        </is>
      </c>
      <c r="U377" t="inlineStr">
        <is>
          <t>,000000000</t>
        </is>
      </c>
      <c r="V377" t="inlineStr">
        <is>
          <t>,000000000</t>
        </is>
      </c>
      <c r="W377" t="inlineStr">
        <is>
          <t>,000000000</t>
        </is>
      </c>
      <c r="X377" t="inlineStr">
        <is>
          <t>,000000000</t>
        </is>
      </c>
      <c r="Y377" t="inlineStr">
        <is>
          <t>,000000000</t>
        </is>
      </c>
      <c r="Z377" t="inlineStr">
        <is>
          <t>,000000000</t>
        </is>
      </c>
      <c r="AA377" t="inlineStr">
        <is>
          <t>,000000000</t>
        </is>
      </c>
      <c r="AB377" t="inlineStr">
        <is>
          <t>1</t>
        </is>
      </c>
      <c r="AC377" t="inlineStr">
        <is>
          <t>1</t>
        </is>
      </c>
      <c r="AD377" s="3">
        <f>UPPER(C3)</f>
        <v/>
      </c>
      <c r="AE377" s="3">
        <f>VLOOKUP(E3,'[1]Nómina Agentes'!$C:$D,3,0)</f>
        <v/>
      </c>
      <c r="AF377" s="5">
        <f>F3</f>
        <v/>
      </c>
      <c r="AG377" s="5">
        <f>H3</f>
        <v/>
      </c>
    </row>
    <row r="378">
      <c r="A378" s="1" t="inlineStr">
        <is>
          <t>9/10/2024</t>
        </is>
      </c>
      <c r="B378" t="inlineStr">
        <is>
          <t>924</t>
        </is>
      </c>
      <c r="C378" t="inlineStr">
        <is>
          <t>S2S No Premium</t>
        </is>
      </c>
      <c r="D378" t="inlineStr">
        <is>
          <t>*N2fm_Gonzalez,Micae</t>
        </is>
      </c>
      <c r="E378" t="inlineStr">
        <is>
          <t>628237</t>
        </is>
      </c>
      <c r="F378" s="2" t="inlineStr">
        <is>
          <t>09:30</t>
        </is>
      </c>
      <c r="G378" t="inlineStr">
        <is>
          <t>-</t>
        </is>
      </c>
      <c r="H378" s="2" t="inlineStr">
        <is>
          <t>10:00</t>
        </is>
      </c>
      <c r="I378" t="inlineStr">
        <is>
          <t>,000000000</t>
        </is>
      </c>
      <c r="J378" t="inlineStr">
        <is>
          <t>,000000000</t>
        </is>
      </c>
      <c r="K378" t="inlineStr">
        <is>
          <t>,000000000</t>
        </is>
      </c>
      <c r="L378" t="inlineStr">
        <is>
          <t>,000000000</t>
        </is>
      </c>
      <c r="M378" t="inlineStr">
        <is>
          <t>,000000000</t>
        </is>
      </c>
      <c r="N378" t="inlineStr">
        <is>
          <t>,000000000</t>
        </is>
      </c>
      <c r="O378" t="inlineStr">
        <is>
          <t>,000000000</t>
        </is>
      </c>
      <c r="P378" t="inlineStr">
        <is>
          <t>,000000000</t>
        </is>
      </c>
      <c r="Q378" t="inlineStr">
        <is>
          <t>,000000000</t>
        </is>
      </c>
      <c r="R378" t="inlineStr">
        <is>
          <t>,000000000</t>
        </is>
      </c>
      <c r="S378" t="inlineStr">
        <is>
          <t>,000000000</t>
        </is>
      </c>
      <c r="T378" t="inlineStr">
        <is>
          <t>,000000000</t>
        </is>
      </c>
      <c r="U378" t="inlineStr">
        <is>
          <t>,000000000</t>
        </is>
      </c>
      <c r="V378" t="inlineStr">
        <is>
          <t>,000000000</t>
        </is>
      </c>
      <c r="W378" t="inlineStr">
        <is>
          <t>,000000000</t>
        </is>
      </c>
      <c r="X378" t="inlineStr">
        <is>
          <t>,000000000</t>
        </is>
      </c>
      <c r="Y378" t="inlineStr">
        <is>
          <t>,000000000</t>
        </is>
      </c>
      <c r="Z378" t="inlineStr">
        <is>
          <t>,000000000</t>
        </is>
      </c>
      <c r="AA378" t="inlineStr">
        <is>
          <t>,000000000</t>
        </is>
      </c>
      <c r="AB378" t="inlineStr">
        <is>
          <t>0</t>
        </is>
      </c>
      <c r="AC378" t="inlineStr">
        <is>
          <t>0</t>
        </is>
      </c>
      <c r="AD378" s="3">
        <f>UPPER(C3)</f>
        <v/>
      </c>
      <c r="AE378" s="3">
        <f>VLOOKUP(E3,'[1]Nómina Agentes'!$C:$D,3,0)</f>
        <v/>
      </c>
      <c r="AF378" s="5">
        <f>F3</f>
        <v/>
      </c>
      <c r="AG378" s="5">
        <f>H3</f>
        <v/>
      </c>
    </row>
    <row r="379">
      <c r="A379" s="1" t="inlineStr">
        <is>
          <t>9/10/2024</t>
        </is>
      </c>
      <c r="B379" t="inlineStr">
        <is>
          <t>924</t>
        </is>
      </c>
      <c r="C379" t="inlineStr">
        <is>
          <t>S2S No Premium</t>
        </is>
      </c>
      <c r="D379" t="inlineStr">
        <is>
          <t>*N2fm_Gonzalez,Micae</t>
        </is>
      </c>
      <c r="E379" t="inlineStr">
        <is>
          <t>628237</t>
        </is>
      </c>
      <c r="F379" s="2" t="inlineStr">
        <is>
          <t>10:00</t>
        </is>
      </c>
      <c r="G379" t="inlineStr">
        <is>
          <t>-</t>
        </is>
      </c>
      <c r="H379" s="2" t="inlineStr">
        <is>
          <t>10:30</t>
        </is>
      </c>
      <c r="I379" t="inlineStr">
        <is>
          <t>838,000000000</t>
        </is>
      </c>
      <c r="J379" t="inlineStr">
        <is>
          <t>5,000000000</t>
        </is>
      </c>
      <c r="K379" t="inlineStr">
        <is>
          <t>,000000000</t>
        </is>
      </c>
      <c r="L379" t="inlineStr">
        <is>
          <t>16,000000000</t>
        </is>
      </c>
      <c r="M379" t="inlineStr">
        <is>
          <t>,000000000</t>
        </is>
      </c>
      <c r="N379" t="inlineStr">
        <is>
          <t>,000000000</t>
        </is>
      </c>
      <c r="O379" t="inlineStr">
        <is>
          <t>,000000000</t>
        </is>
      </c>
      <c r="P379" t="inlineStr">
        <is>
          <t>47,000000000</t>
        </is>
      </c>
      <c r="Q379" t="inlineStr">
        <is>
          <t>,000000000</t>
        </is>
      </c>
      <c r="R379" t="inlineStr">
        <is>
          <t>,000000000</t>
        </is>
      </c>
      <c r="S379" t="inlineStr">
        <is>
          <t>,000000000</t>
        </is>
      </c>
      <c r="T379" t="inlineStr">
        <is>
          <t>,000000000</t>
        </is>
      </c>
      <c r="U379" t="inlineStr">
        <is>
          <t>,000000000</t>
        </is>
      </c>
      <c r="V379" t="inlineStr">
        <is>
          <t>,000000000</t>
        </is>
      </c>
      <c r="W379" t="inlineStr">
        <is>
          <t>,000000000</t>
        </is>
      </c>
      <c r="X379" t="inlineStr">
        <is>
          <t>,000000000</t>
        </is>
      </c>
      <c r="Y379" t="inlineStr">
        <is>
          <t>,000000000</t>
        </is>
      </c>
      <c r="Z379" t="inlineStr">
        <is>
          <t>,000000000</t>
        </is>
      </c>
      <c r="AA379" t="inlineStr">
        <is>
          <t>,000000000</t>
        </is>
      </c>
      <c r="AB379" t="inlineStr">
        <is>
          <t>3</t>
        </is>
      </c>
      <c r="AC379" t="inlineStr">
        <is>
          <t>3</t>
        </is>
      </c>
      <c r="AD379" s="3">
        <f>UPPER(C3)</f>
        <v/>
      </c>
      <c r="AE379" s="3">
        <f>VLOOKUP(E3,'[1]Nómina Agentes'!$C:$D,3,0)</f>
        <v/>
      </c>
      <c r="AF379" s="5">
        <f>F3</f>
        <v/>
      </c>
      <c r="AG379" s="5">
        <f>H3</f>
        <v/>
      </c>
    </row>
    <row r="380">
      <c r="A380" s="1" t="inlineStr">
        <is>
          <t>9/10/2024</t>
        </is>
      </c>
      <c r="B380" t="inlineStr">
        <is>
          <t>924</t>
        </is>
      </c>
      <c r="C380" t="inlineStr">
        <is>
          <t>S2S No Premium</t>
        </is>
      </c>
      <c r="D380" t="inlineStr">
        <is>
          <t>*N2fm_Gonzalez,Micae</t>
        </is>
      </c>
      <c r="E380" t="inlineStr">
        <is>
          <t>628237</t>
        </is>
      </c>
      <c r="F380" s="2" t="inlineStr">
        <is>
          <t>10:30</t>
        </is>
      </c>
      <c r="G380" t="inlineStr">
        <is>
          <t>-</t>
        </is>
      </c>
      <c r="H380" s="2" t="inlineStr">
        <is>
          <t>11:00</t>
        </is>
      </c>
      <c r="I380" t="inlineStr">
        <is>
          <t>1272,000000000</t>
        </is>
      </c>
      <c r="J380" t="inlineStr">
        <is>
          <t>37,000000000</t>
        </is>
      </c>
      <c r="K380" t="inlineStr">
        <is>
          <t>,000000000</t>
        </is>
      </c>
      <c r="L380" t="inlineStr">
        <is>
          <t>16,000000000</t>
        </is>
      </c>
      <c r="M380" t="inlineStr">
        <is>
          <t>,000000000</t>
        </is>
      </c>
      <c r="N380" t="inlineStr">
        <is>
          <t>,000000000</t>
        </is>
      </c>
      <c r="O380" t="inlineStr">
        <is>
          <t>,000000000</t>
        </is>
      </c>
      <c r="P380" t="inlineStr">
        <is>
          <t>100,000000000</t>
        </is>
      </c>
      <c r="Q380" t="inlineStr">
        <is>
          <t>,000000000</t>
        </is>
      </c>
      <c r="R380" t="inlineStr">
        <is>
          <t>,000000000</t>
        </is>
      </c>
      <c r="S380" t="inlineStr">
        <is>
          <t>,000000000</t>
        </is>
      </c>
      <c r="T380" t="inlineStr">
        <is>
          <t>,000000000</t>
        </is>
      </c>
      <c r="U380" t="inlineStr">
        <is>
          <t>,000000000</t>
        </is>
      </c>
      <c r="V380" t="inlineStr">
        <is>
          <t>,000000000</t>
        </is>
      </c>
      <c r="W380" t="inlineStr">
        <is>
          <t>,000000000</t>
        </is>
      </c>
      <c r="X380" t="inlineStr">
        <is>
          <t>,000000000</t>
        </is>
      </c>
      <c r="Y380" t="inlineStr">
        <is>
          <t>,000000000</t>
        </is>
      </c>
      <c r="Z380" t="inlineStr">
        <is>
          <t>,000000000</t>
        </is>
      </c>
      <c r="AA380" t="inlineStr">
        <is>
          <t>,000000000</t>
        </is>
      </c>
      <c r="AB380" t="inlineStr">
        <is>
          <t>4</t>
        </is>
      </c>
      <c r="AC380" t="inlineStr">
        <is>
          <t>4</t>
        </is>
      </c>
      <c r="AD380" s="3">
        <f>UPPER(C3)</f>
        <v/>
      </c>
      <c r="AE380" s="3">
        <f>VLOOKUP(E3,'[1]Nómina Agentes'!$C:$D,3,0)</f>
        <v/>
      </c>
      <c r="AF380" s="5">
        <f>F3</f>
        <v/>
      </c>
      <c r="AG380" s="5">
        <f>H3</f>
        <v/>
      </c>
    </row>
    <row r="381">
      <c r="A381" s="1" t="inlineStr">
        <is>
          <t>9/10/2024</t>
        </is>
      </c>
      <c r="B381" t="inlineStr">
        <is>
          <t>924</t>
        </is>
      </c>
      <c r="C381" t="inlineStr">
        <is>
          <t>S2S No Premium</t>
        </is>
      </c>
      <c r="D381" t="inlineStr">
        <is>
          <t>*N2m_Ortiz,Elizabet</t>
        </is>
      </c>
      <c r="E381" t="inlineStr">
        <is>
          <t>628242</t>
        </is>
      </c>
      <c r="F381" s="2" t="inlineStr">
        <is>
          <t>10:00</t>
        </is>
      </c>
      <c r="G381" t="inlineStr">
        <is>
          <t>-</t>
        </is>
      </c>
      <c r="H381" s="2" t="inlineStr">
        <is>
          <t>10:30</t>
        </is>
      </c>
      <c r="I381" t="inlineStr">
        <is>
          <t>873,000000000</t>
        </is>
      </c>
      <c r="J381" t="inlineStr">
        <is>
          <t>,000000000</t>
        </is>
      </c>
      <c r="K381" t="inlineStr">
        <is>
          <t>,000000000</t>
        </is>
      </c>
      <c r="L381" t="inlineStr">
        <is>
          <t>15,000000000</t>
        </is>
      </c>
      <c r="M381" t="inlineStr">
        <is>
          <t>,000000000</t>
        </is>
      </c>
      <c r="N381" t="inlineStr">
        <is>
          <t>,000000000</t>
        </is>
      </c>
      <c r="O381" t="inlineStr">
        <is>
          <t>,000000000</t>
        </is>
      </c>
      <c r="P381" t="inlineStr">
        <is>
          <t>108,000000000</t>
        </is>
      </c>
      <c r="Q381" t="inlineStr">
        <is>
          <t>,000000000</t>
        </is>
      </c>
      <c r="R381" t="inlineStr">
        <is>
          <t>,000000000</t>
        </is>
      </c>
      <c r="S381" t="inlineStr">
        <is>
          <t>,000000000</t>
        </is>
      </c>
      <c r="T381" t="inlineStr">
        <is>
          <t>,000000000</t>
        </is>
      </c>
      <c r="U381" t="inlineStr">
        <is>
          <t>,000000000</t>
        </is>
      </c>
      <c r="V381" t="inlineStr">
        <is>
          <t>,000000000</t>
        </is>
      </c>
      <c r="W381" t="inlineStr">
        <is>
          <t>,000000000</t>
        </is>
      </c>
      <c r="X381" t="inlineStr">
        <is>
          <t>,000000000</t>
        </is>
      </c>
      <c r="Y381" t="inlineStr">
        <is>
          <t>,000000000</t>
        </is>
      </c>
      <c r="Z381" t="inlineStr">
        <is>
          <t>,000000000</t>
        </is>
      </c>
      <c r="AA381" t="inlineStr">
        <is>
          <t>,000000000</t>
        </is>
      </c>
      <c r="AB381" t="inlineStr">
        <is>
          <t>3</t>
        </is>
      </c>
      <c r="AC381" t="inlineStr">
        <is>
          <t>3</t>
        </is>
      </c>
      <c r="AD381" s="3">
        <f>UPPER(C3)</f>
        <v/>
      </c>
      <c r="AE381" s="3">
        <f>VLOOKUP(E3,'[1]Nómina Agentes'!$C:$D,3,0)</f>
        <v/>
      </c>
      <c r="AF381" s="5">
        <f>F3</f>
        <v/>
      </c>
      <c r="AG381" s="5">
        <f>H3</f>
        <v/>
      </c>
    </row>
    <row r="382">
      <c r="A382" s="1" t="inlineStr">
        <is>
          <t>9/10/2024</t>
        </is>
      </c>
      <c r="B382" t="inlineStr">
        <is>
          <t>924</t>
        </is>
      </c>
      <c r="C382" t="inlineStr">
        <is>
          <t>S2S No Premium</t>
        </is>
      </c>
      <c r="D382" t="inlineStr">
        <is>
          <t>*N2m_Ortiz,Elizabet</t>
        </is>
      </c>
      <c r="E382" t="inlineStr">
        <is>
          <t>628242</t>
        </is>
      </c>
      <c r="F382" s="2" t="inlineStr">
        <is>
          <t>09:00</t>
        </is>
      </c>
      <c r="G382" t="inlineStr">
        <is>
          <t>-</t>
        </is>
      </c>
      <c r="H382" s="2" t="inlineStr">
        <is>
          <t>09:30</t>
        </is>
      </c>
      <c r="I382" t="inlineStr">
        <is>
          <t>1065,000000000</t>
        </is>
      </c>
      <c r="J382" t="inlineStr">
        <is>
          <t>,000000000</t>
        </is>
      </c>
      <c r="K382" t="inlineStr">
        <is>
          <t>,000000000</t>
        </is>
      </c>
      <c r="L382" t="inlineStr">
        <is>
          <t>12,000000000</t>
        </is>
      </c>
      <c r="M382" t="inlineStr">
        <is>
          <t>,000000000</t>
        </is>
      </c>
      <c r="N382" t="inlineStr">
        <is>
          <t>,000000000</t>
        </is>
      </c>
      <c r="O382" t="inlineStr">
        <is>
          <t>,000000000</t>
        </is>
      </c>
      <c r="P382" t="inlineStr">
        <is>
          <t>2,000000000</t>
        </is>
      </c>
      <c r="Q382" t="inlineStr">
        <is>
          <t>,000000000</t>
        </is>
      </c>
      <c r="R382" t="inlineStr">
        <is>
          <t>,000000000</t>
        </is>
      </c>
      <c r="S382" t="inlineStr">
        <is>
          <t>,000000000</t>
        </is>
      </c>
      <c r="T382" t="inlineStr">
        <is>
          <t>,000000000</t>
        </is>
      </c>
      <c r="U382" t="inlineStr">
        <is>
          <t>,000000000</t>
        </is>
      </c>
      <c r="V382" t="inlineStr">
        <is>
          <t>,000000000</t>
        </is>
      </c>
      <c r="W382" t="inlineStr">
        <is>
          <t>,000000000</t>
        </is>
      </c>
      <c r="X382" t="inlineStr">
        <is>
          <t>,000000000</t>
        </is>
      </c>
      <c r="Y382" t="inlineStr">
        <is>
          <t>,000000000</t>
        </is>
      </c>
      <c r="Z382" t="inlineStr">
        <is>
          <t>,000000000</t>
        </is>
      </c>
      <c r="AA382" t="inlineStr">
        <is>
          <t>,000000000</t>
        </is>
      </c>
      <c r="AB382" t="inlineStr">
        <is>
          <t>2</t>
        </is>
      </c>
      <c r="AC382" t="inlineStr">
        <is>
          <t>2</t>
        </is>
      </c>
      <c r="AD382" s="3">
        <f>UPPER(C3)</f>
        <v/>
      </c>
      <c r="AE382" s="3">
        <f>VLOOKUP(E3,'[1]Nómina Agentes'!$C:$D,3,0)</f>
        <v/>
      </c>
      <c r="AF382" s="5">
        <f>F3</f>
        <v/>
      </c>
      <c r="AG382" s="5">
        <f>H3</f>
        <v/>
      </c>
    </row>
    <row r="383">
      <c r="A383" s="1" t="inlineStr">
        <is>
          <t>9/10/2024</t>
        </is>
      </c>
      <c r="B383" t="inlineStr">
        <is>
          <t>924</t>
        </is>
      </c>
      <c r="C383" t="inlineStr">
        <is>
          <t>S2S No Premium</t>
        </is>
      </c>
      <c r="D383" t="inlineStr">
        <is>
          <t>*N2m_Ortiz,Elizabet</t>
        </is>
      </c>
      <c r="E383" t="inlineStr">
        <is>
          <t>628242</t>
        </is>
      </c>
      <c r="F383" s="2" t="inlineStr">
        <is>
          <t>09:30</t>
        </is>
      </c>
      <c r="G383" t="inlineStr">
        <is>
          <t>-</t>
        </is>
      </c>
      <c r="H383" s="2" t="inlineStr">
        <is>
          <t>10:00</t>
        </is>
      </c>
      <c r="I383" t="inlineStr">
        <is>
          <t>1208,000000000</t>
        </is>
      </c>
      <c r="J383" t="inlineStr">
        <is>
          <t>,000000000</t>
        </is>
      </c>
      <c r="K383" t="inlineStr">
        <is>
          <t>,000000000</t>
        </is>
      </c>
      <c r="L383" t="inlineStr">
        <is>
          <t>16,000000000</t>
        </is>
      </c>
      <c r="M383" t="inlineStr">
        <is>
          <t>,000000000</t>
        </is>
      </c>
      <c r="N383" t="inlineStr">
        <is>
          <t>,000000000</t>
        </is>
      </c>
      <c r="O383" t="inlineStr">
        <is>
          <t>,000000000</t>
        </is>
      </c>
      <c r="P383" t="inlineStr">
        <is>
          <t>186,000000000</t>
        </is>
      </c>
      <c r="Q383" t="inlineStr">
        <is>
          <t>,000000000</t>
        </is>
      </c>
      <c r="R383" t="inlineStr">
        <is>
          <t>,000000000</t>
        </is>
      </c>
      <c r="S383" t="inlineStr">
        <is>
          <t>,000000000</t>
        </is>
      </c>
      <c r="T383" t="inlineStr">
        <is>
          <t>,000000000</t>
        </is>
      </c>
      <c r="U383" t="inlineStr">
        <is>
          <t>,000000000</t>
        </is>
      </c>
      <c r="V383" t="inlineStr">
        <is>
          <t>,000000000</t>
        </is>
      </c>
      <c r="W383" t="inlineStr">
        <is>
          <t>,000000000</t>
        </is>
      </c>
      <c r="X383" t="inlineStr">
        <is>
          <t>,000000000</t>
        </is>
      </c>
      <c r="Y383" t="inlineStr">
        <is>
          <t>,000000000</t>
        </is>
      </c>
      <c r="Z383" t="inlineStr">
        <is>
          <t>,000000000</t>
        </is>
      </c>
      <c r="AA383" t="inlineStr">
        <is>
          <t>,000000000</t>
        </is>
      </c>
      <c r="AB383" t="inlineStr">
        <is>
          <t>5</t>
        </is>
      </c>
      <c r="AC383" t="inlineStr">
        <is>
          <t>5</t>
        </is>
      </c>
      <c r="AD383" s="3">
        <f>UPPER(C3)</f>
        <v/>
      </c>
      <c r="AE383" s="3">
        <f>VLOOKUP(E3,'[1]Nómina Agentes'!$C:$D,3,0)</f>
        <v/>
      </c>
      <c r="AF383" s="5">
        <f>F3</f>
        <v/>
      </c>
      <c r="AG383" s="5">
        <f>H3</f>
        <v/>
      </c>
    </row>
    <row r="384">
      <c r="A384" s="1" t="inlineStr">
        <is>
          <t>9/10/2024</t>
        </is>
      </c>
      <c r="B384" t="inlineStr">
        <is>
          <t>924</t>
        </is>
      </c>
      <c r="C384" t="inlineStr">
        <is>
          <t>S2S No Premium</t>
        </is>
      </c>
      <c r="D384" t="inlineStr">
        <is>
          <t>*N2m_Ortiz,Elizabet</t>
        </is>
      </c>
      <c r="E384" t="inlineStr">
        <is>
          <t>628242</t>
        </is>
      </c>
      <c r="F384" s="2" t="inlineStr">
        <is>
          <t>10:30</t>
        </is>
      </c>
      <c r="G384" t="inlineStr">
        <is>
          <t>-</t>
        </is>
      </c>
      <c r="H384" s="2" t="inlineStr">
        <is>
          <t>11:00</t>
        </is>
      </c>
      <c r="I384" t="inlineStr">
        <is>
          <t>1262,000000000</t>
        </is>
      </c>
      <c r="J384" t="inlineStr">
        <is>
          <t>,000000000</t>
        </is>
      </c>
      <c r="K384" t="inlineStr">
        <is>
          <t>,000000000</t>
        </is>
      </c>
      <c r="L384" t="inlineStr">
        <is>
          <t>20,000000000</t>
        </is>
      </c>
      <c r="M384" t="inlineStr">
        <is>
          <t>,000000000</t>
        </is>
      </c>
      <c r="N384" t="inlineStr">
        <is>
          <t>,000000000</t>
        </is>
      </c>
      <c r="O384" t="inlineStr">
        <is>
          <t>,000000000</t>
        </is>
      </c>
      <c r="P384" t="inlineStr">
        <is>
          <t>113,000000000</t>
        </is>
      </c>
      <c r="Q384" t="inlineStr">
        <is>
          <t>29,000000000</t>
        </is>
      </c>
      <c r="R384" t="inlineStr">
        <is>
          <t>,000000000</t>
        </is>
      </c>
      <c r="S384" t="inlineStr">
        <is>
          <t>,000000000</t>
        </is>
      </c>
      <c r="T384" t="inlineStr">
        <is>
          <t>,000000000</t>
        </is>
      </c>
      <c r="U384" t="inlineStr">
        <is>
          <t>,000000000</t>
        </is>
      </c>
      <c r="V384" t="inlineStr">
        <is>
          <t>,000000000</t>
        </is>
      </c>
      <c r="W384" t="inlineStr">
        <is>
          <t>,000000000</t>
        </is>
      </c>
      <c r="X384" t="inlineStr">
        <is>
          <t>,000000000</t>
        </is>
      </c>
      <c r="Y384" t="inlineStr">
        <is>
          <t>,000000000</t>
        </is>
      </c>
      <c r="Z384" t="inlineStr">
        <is>
          <t>,000000000</t>
        </is>
      </c>
      <c r="AA384" t="inlineStr">
        <is>
          <t>,000000000</t>
        </is>
      </c>
      <c r="AB384" t="inlineStr">
        <is>
          <t>5</t>
        </is>
      </c>
      <c r="AC384" t="inlineStr">
        <is>
          <t>5</t>
        </is>
      </c>
      <c r="AD384" s="3">
        <f>UPPER(C3)</f>
        <v/>
      </c>
      <c r="AE384" s="3">
        <f>VLOOKUP(E3,'[1]Nómina Agentes'!$C:$D,3,0)</f>
        <v/>
      </c>
      <c r="AF384" s="5">
        <f>F3</f>
        <v/>
      </c>
      <c r="AG384" s="5">
        <f>H3</f>
        <v/>
      </c>
    </row>
    <row r="385">
      <c r="A385" s="1" t="inlineStr">
        <is>
          <t>9/10/2024</t>
        </is>
      </c>
      <c r="B385" t="inlineStr">
        <is>
          <t>924</t>
        </is>
      </c>
      <c r="C385" t="inlineStr">
        <is>
          <t>S2S No Premium</t>
        </is>
      </c>
      <c r="D385" t="inlineStr">
        <is>
          <t>*WN2m_FranzoliniA</t>
        </is>
      </c>
      <c r="E385" t="inlineStr">
        <is>
          <t>628251</t>
        </is>
      </c>
      <c r="F385" s="2" t="inlineStr">
        <is>
          <t>08:00</t>
        </is>
      </c>
      <c r="G385" t="inlineStr">
        <is>
          <t>-</t>
        </is>
      </c>
      <c r="H385" s="2" t="inlineStr">
        <is>
          <t>08:30</t>
        </is>
      </c>
      <c r="I385" t="inlineStr">
        <is>
          <t>,000000000</t>
        </is>
      </c>
      <c r="J385" t="inlineStr">
        <is>
          <t>,000000000</t>
        </is>
      </c>
      <c r="K385" t="inlineStr">
        <is>
          <t>,000000000</t>
        </is>
      </c>
      <c r="L385" t="inlineStr">
        <is>
          <t>,000000000</t>
        </is>
      </c>
      <c r="M385" t="inlineStr">
        <is>
          <t>,000000000</t>
        </is>
      </c>
      <c r="N385" t="inlineStr">
        <is>
          <t>,000000000</t>
        </is>
      </c>
      <c r="O385" t="inlineStr">
        <is>
          <t>,000000000</t>
        </is>
      </c>
      <c r="P385" t="inlineStr">
        <is>
          <t>,000000000</t>
        </is>
      </c>
      <c r="Q385" t="inlineStr">
        <is>
          <t>,000000000</t>
        </is>
      </c>
      <c r="R385" t="inlineStr">
        <is>
          <t>,000000000</t>
        </is>
      </c>
      <c r="S385" t="inlineStr">
        <is>
          <t>,000000000</t>
        </is>
      </c>
      <c r="T385" t="inlineStr">
        <is>
          <t>,000000000</t>
        </is>
      </c>
      <c r="U385" t="inlineStr">
        <is>
          <t>,000000000</t>
        </is>
      </c>
      <c r="V385" t="inlineStr">
        <is>
          <t>,000000000</t>
        </is>
      </c>
      <c r="W385" t="inlineStr">
        <is>
          <t>,000000000</t>
        </is>
      </c>
      <c r="X385" t="inlineStr">
        <is>
          <t>,000000000</t>
        </is>
      </c>
      <c r="Y385" t="inlineStr">
        <is>
          <t>,000000000</t>
        </is>
      </c>
      <c r="Z385" t="inlineStr">
        <is>
          <t>,000000000</t>
        </is>
      </c>
      <c r="AA385" t="inlineStr">
        <is>
          <t>,000000000</t>
        </is>
      </c>
      <c r="AB385" t="inlineStr">
        <is>
          <t>0</t>
        </is>
      </c>
      <c r="AC385" t="inlineStr">
        <is>
          <t>0</t>
        </is>
      </c>
      <c r="AD385" s="3">
        <f>UPPER(C3)</f>
        <v/>
      </c>
      <c r="AE385" s="3">
        <f>VLOOKUP(E3,'[1]Nómina Agentes'!$C:$D,3,0)</f>
        <v/>
      </c>
      <c r="AF385" s="5">
        <f>F3</f>
        <v/>
      </c>
      <c r="AG385" s="5">
        <f>H3</f>
        <v/>
      </c>
    </row>
    <row r="386">
      <c r="A386" s="1" t="inlineStr">
        <is>
          <t>9/10/2024</t>
        </is>
      </c>
      <c r="B386" t="inlineStr">
        <is>
          <t>924</t>
        </is>
      </c>
      <c r="C386" t="inlineStr">
        <is>
          <t>S2S No Premium</t>
        </is>
      </c>
      <c r="D386" t="inlineStr">
        <is>
          <t>*WN2m_FranzoliniA</t>
        </is>
      </c>
      <c r="E386" t="inlineStr">
        <is>
          <t>628251</t>
        </is>
      </c>
      <c r="F386" s="2" t="inlineStr">
        <is>
          <t>08:30</t>
        </is>
      </c>
      <c r="G386" t="inlineStr">
        <is>
          <t>-</t>
        </is>
      </c>
      <c r="H386" s="2" t="inlineStr">
        <is>
          <t>09:00</t>
        </is>
      </c>
      <c r="I386" t="inlineStr">
        <is>
          <t>,000000000</t>
        </is>
      </c>
      <c r="J386" t="inlineStr">
        <is>
          <t>,000000000</t>
        </is>
      </c>
      <c r="K386" t="inlineStr">
        <is>
          <t>,000000000</t>
        </is>
      </c>
      <c r="L386" t="inlineStr">
        <is>
          <t>,000000000</t>
        </is>
      </c>
      <c r="M386" t="inlineStr">
        <is>
          <t>,000000000</t>
        </is>
      </c>
      <c r="N386" t="inlineStr">
        <is>
          <t>,000000000</t>
        </is>
      </c>
      <c r="O386" t="inlineStr">
        <is>
          <t>,000000000</t>
        </is>
      </c>
      <c r="P386" t="inlineStr">
        <is>
          <t>,000000000</t>
        </is>
      </c>
      <c r="Q386" t="inlineStr">
        <is>
          <t>,000000000</t>
        </is>
      </c>
      <c r="R386" t="inlineStr">
        <is>
          <t>,000000000</t>
        </is>
      </c>
      <c r="S386" t="inlineStr">
        <is>
          <t>,000000000</t>
        </is>
      </c>
      <c r="T386" t="inlineStr">
        <is>
          <t>,000000000</t>
        </is>
      </c>
      <c r="U386" t="inlineStr">
        <is>
          <t>,000000000</t>
        </is>
      </c>
      <c r="V386" t="inlineStr">
        <is>
          <t>,000000000</t>
        </is>
      </c>
      <c r="W386" t="inlineStr">
        <is>
          <t>,000000000</t>
        </is>
      </c>
      <c r="X386" t="inlineStr">
        <is>
          <t>,000000000</t>
        </is>
      </c>
      <c r="Y386" t="inlineStr">
        <is>
          <t>,000000000</t>
        </is>
      </c>
      <c r="Z386" t="inlineStr">
        <is>
          <t>,000000000</t>
        </is>
      </c>
      <c r="AA386" t="inlineStr">
        <is>
          <t>,000000000</t>
        </is>
      </c>
      <c r="AB386" t="inlineStr">
        <is>
          <t>0</t>
        </is>
      </c>
      <c r="AC386" t="inlineStr">
        <is>
          <t>0</t>
        </is>
      </c>
      <c r="AD386" s="3">
        <f>UPPER(C3)</f>
        <v/>
      </c>
      <c r="AE386" s="3">
        <f>VLOOKUP(E3,'[1]Nómina Agentes'!$C:$D,3,0)</f>
        <v/>
      </c>
      <c r="AF386" s="5">
        <f>F3</f>
        <v/>
      </c>
      <c r="AG386" s="5">
        <f>H3</f>
        <v/>
      </c>
    </row>
    <row r="387">
      <c r="A387" s="1" t="inlineStr">
        <is>
          <t>9/10/2024</t>
        </is>
      </c>
      <c r="B387" t="inlineStr">
        <is>
          <t>924</t>
        </is>
      </c>
      <c r="C387" t="inlineStr">
        <is>
          <t>S2S No Premium</t>
        </is>
      </c>
      <c r="D387" t="inlineStr">
        <is>
          <t>*WN2m_FranzoliniA</t>
        </is>
      </c>
      <c r="E387" t="inlineStr">
        <is>
          <t>628251</t>
        </is>
      </c>
      <c r="F387" s="2" t="inlineStr">
        <is>
          <t>09:00</t>
        </is>
      </c>
      <c r="G387" t="inlineStr">
        <is>
          <t>-</t>
        </is>
      </c>
      <c r="H387" s="2" t="inlineStr">
        <is>
          <t>09:30</t>
        </is>
      </c>
      <c r="I387" t="inlineStr">
        <is>
          <t>68,000000000</t>
        </is>
      </c>
      <c r="J387" t="inlineStr">
        <is>
          <t>,000000000</t>
        </is>
      </c>
      <c r="K387" t="inlineStr">
        <is>
          <t>,000000000</t>
        </is>
      </c>
      <c r="L387" t="inlineStr">
        <is>
          <t>4,000000000</t>
        </is>
      </c>
      <c r="M387" t="inlineStr">
        <is>
          <t>,000000000</t>
        </is>
      </c>
      <c r="N387" t="inlineStr">
        <is>
          <t>,000000000</t>
        </is>
      </c>
      <c r="O387" t="inlineStr">
        <is>
          <t>,000000000</t>
        </is>
      </c>
      <c r="P387" t="inlineStr">
        <is>
          <t>,000000000</t>
        </is>
      </c>
      <c r="Q387" t="inlineStr">
        <is>
          <t>180,000000000</t>
        </is>
      </c>
      <c r="R387" t="inlineStr">
        <is>
          <t>,000000000</t>
        </is>
      </c>
      <c r="S387" t="inlineStr">
        <is>
          <t>,000000000</t>
        </is>
      </c>
      <c r="T387" t="inlineStr">
        <is>
          <t>,000000000</t>
        </is>
      </c>
      <c r="U387" t="inlineStr">
        <is>
          <t>,000000000</t>
        </is>
      </c>
      <c r="V387" t="inlineStr">
        <is>
          <t>,000000000</t>
        </is>
      </c>
      <c r="W387" t="inlineStr">
        <is>
          <t>,000000000</t>
        </is>
      </c>
      <c r="X387" t="inlineStr">
        <is>
          <t>,000000000</t>
        </is>
      </c>
      <c r="Y387" t="inlineStr">
        <is>
          <t>,000000000</t>
        </is>
      </c>
      <c r="Z387" t="inlineStr">
        <is>
          <t>,000000000</t>
        </is>
      </c>
      <c r="AA387" t="inlineStr">
        <is>
          <t>,000000000</t>
        </is>
      </c>
      <c r="AB387" t="inlineStr">
        <is>
          <t>0</t>
        </is>
      </c>
      <c r="AC387" t="inlineStr">
        <is>
          <t>0</t>
        </is>
      </c>
      <c r="AD387" s="3">
        <f>UPPER(C3)</f>
        <v/>
      </c>
      <c r="AE387" s="3">
        <f>VLOOKUP(E3,'[1]Nómina Agentes'!$C:$D,3,0)</f>
        <v/>
      </c>
      <c r="AF387" s="5">
        <f>F3</f>
        <v/>
      </c>
      <c r="AG387" s="5">
        <f>H3</f>
        <v/>
      </c>
    </row>
    <row r="388">
      <c r="A388" s="1" t="inlineStr">
        <is>
          <t>9/10/2024</t>
        </is>
      </c>
      <c r="B388" t="inlineStr">
        <is>
          <t>924</t>
        </is>
      </c>
      <c r="C388" t="inlineStr">
        <is>
          <t>S2S No Premium</t>
        </is>
      </c>
      <c r="D388" t="inlineStr">
        <is>
          <t>*WN2m_FranzoliniA</t>
        </is>
      </c>
      <c r="E388" t="inlineStr">
        <is>
          <t>628251</t>
        </is>
      </c>
      <c r="F388" s="2" t="inlineStr">
        <is>
          <t>10:00</t>
        </is>
      </c>
      <c r="G388" t="inlineStr">
        <is>
          <t>-</t>
        </is>
      </c>
      <c r="H388" s="2" t="inlineStr">
        <is>
          <t>10:30</t>
        </is>
      </c>
      <c r="I388" t="inlineStr">
        <is>
          <t>148,000000000</t>
        </is>
      </c>
      <c r="J388" t="inlineStr">
        <is>
          <t>,000000000</t>
        </is>
      </c>
      <c r="K388" t="inlineStr">
        <is>
          <t>,000000000</t>
        </is>
      </c>
      <c r="L388" t="inlineStr">
        <is>
          <t>,000000000</t>
        </is>
      </c>
      <c r="M388" t="inlineStr">
        <is>
          <t>,000000000</t>
        </is>
      </c>
      <c r="N388" t="inlineStr">
        <is>
          <t>,000000000</t>
        </is>
      </c>
      <c r="O388" t="inlineStr">
        <is>
          <t>,000000000</t>
        </is>
      </c>
      <c r="P388" t="inlineStr">
        <is>
          <t>1,000000000</t>
        </is>
      </c>
      <c r="Q388" t="inlineStr">
        <is>
          <t>,000000000</t>
        </is>
      </c>
      <c r="R388" t="inlineStr">
        <is>
          <t>,000000000</t>
        </is>
      </c>
      <c r="S388" t="inlineStr">
        <is>
          <t>,000000000</t>
        </is>
      </c>
      <c r="T388" t="inlineStr">
        <is>
          <t>,000000000</t>
        </is>
      </c>
      <c r="U388" t="inlineStr">
        <is>
          <t>,000000000</t>
        </is>
      </c>
      <c r="V388" t="inlineStr">
        <is>
          <t>,000000000</t>
        </is>
      </c>
      <c r="W388" t="inlineStr">
        <is>
          <t>,000000000</t>
        </is>
      </c>
      <c r="X388" t="inlineStr">
        <is>
          <t>,000000000</t>
        </is>
      </c>
      <c r="Y388" t="inlineStr">
        <is>
          <t>,000000000</t>
        </is>
      </c>
      <c r="Z388" t="inlineStr">
        <is>
          <t>,000000000</t>
        </is>
      </c>
      <c r="AA388" t="inlineStr">
        <is>
          <t>,000000000</t>
        </is>
      </c>
      <c r="AB388" t="inlineStr">
        <is>
          <t>1</t>
        </is>
      </c>
      <c r="AC388" t="inlineStr">
        <is>
          <t>1</t>
        </is>
      </c>
      <c r="AD388" s="3">
        <f>UPPER(C3)</f>
        <v/>
      </c>
      <c r="AE388" s="3">
        <f>VLOOKUP(E3,'[1]Nómina Agentes'!$C:$D,3,0)</f>
        <v/>
      </c>
      <c r="AF388" s="5">
        <f>F3</f>
        <v/>
      </c>
      <c r="AG388" s="5">
        <f>H3</f>
        <v/>
      </c>
    </row>
    <row r="389">
      <c r="A389" s="1" t="inlineStr">
        <is>
          <t>9/10/2024</t>
        </is>
      </c>
      <c r="B389" t="inlineStr">
        <is>
          <t>924</t>
        </is>
      </c>
      <c r="C389" t="inlineStr">
        <is>
          <t>S2S No Premium</t>
        </is>
      </c>
      <c r="D389" t="inlineStr">
        <is>
          <t>*WN2m_FranzoliniA</t>
        </is>
      </c>
      <c r="E389" t="inlineStr">
        <is>
          <t>628251</t>
        </is>
      </c>
      <c r="F389" s="2" t="inlineStr">
        <is>
          <t>10:30</t>
        </is>
      </c>
      <c r="G389" t="inlineStr">
        <is>
          <t>-</t>
        </is>
      </c>
      <c r="H389" s="2" t="inlineStr">
        <is>
          <t>11:00</t>
        </is>
      </c>
      <c r="I389" t="inlineStr">
        <is>
          <t>359,000000000</t>
        </is>
      </c>
      <c r="J389" t="inlineStr">
        <is>
          <t>,000000000</t>
        </is>
      </c>
      <c r="K389" t="inlineStr">
        <is>
          <t>,000000000</t>
        </is>
      </c>
      <c r="L389" t="inlineStr">
        <is>
          <t>8,000000000</t>
        </is>
      </c>
      <c r="M389" t="inlineStr">
        <is>
          <t>,000000000</t>
        </is>
      </c>
      <c r="N389" t="inlineStr">
        <is>
          <t>,000000000</t>
        </is>
      </c>
      <c r="O389" t="inlineStr">
        <is>
          <t>,000000000</t>
        </is>
      </c>
      <c r="P389" t="inlineStr">
        <is>
          <t>29,000000000</t>
        </is>
      </c>
      <c r="Q389" t="inlineStr">
        <is>
          <t>25,000000000</t>
        </is>
      </c>
      <c r="R389" t="inlineStr">
        <is>
          <t>,000000000</t>
        </is>
      </c>
      <c r="S389" t="inlineStr">
        <is>
          <t>,000000000</t>
        </is>
      </c>
      <c r="T389" t="inlineStr">
        <is>
          <t>,000000000</t>
        </is>
      </c>
      <c r="U389" t="inlineStr">
        <is>
          <t>,000000000</t>
        </is>
      </c>
      <c r="V389" t="inlineStr">
        <is>
          <t>,000000000</t>
        </is>
      </c>
      <c r="W389" t="inlineStr">
        <is>
          <t>,000000000</t>
        </is>
      </c>
      <c r="X389" t="inlineStr">
        <is>
          <t>,000000000</t>
        </is>
      </c>
      <c r="Y389" t="inlineStr">
        <is>
          <t>,000000000</t>
        </is>
      </c>
      <c r="Z389" t="inlineStr">
        <is>
          <t>,000000000</t>
        </is>
      </c>
      <c r="AA389" t="inlineStr">
        <is>
          <t>,000000000</t>
        </is>
      </c>
      <c r="AB389" t="inlineStr">
        <is>
          <t>1</t>
        </is>
      </c>
      <c r="AC389" t="inlineStr">
        <is>
          <t>1</t>
        </is>
      </c>
      <c r="AD389" s="3">
        <f>UPPER(C3)</f>
        <v/>
      </c>
      <c r="AE389" s="3">
        <f>VLOOKUP(E3,'[1]Nómina Agentes'!$C:$D,3,0)</f>
        <v/>
      </c>
      <c r="AF389" s="5">
        <f>F3</f>
        <v/>
      </c>
      <c r="AG389" s="5">
        <f>H3</f>
        <v/>
      </c>
    </row>
    <row r="390">
      <c r="A390" s="1" t="inlineStr">
        <is>
          <t>9/10/2024</t>
        </is>
      </c>
      <c r="B390" t="inlineStr">
        <is>
          <t>924</t>
        </is>
      </c>
      <c r="C390" t="inlineStr">
        <is>
          <t>S2S No Premium</t>
        </is>
      </c>
      <c r="D390" t="inlineStr">
        <is>
          <t>*WN2m_FranzoliniA</t>
        </is>
      </c>
      <c r="E390" t="inlineStr">
        <is>
          <t>628251</t>
        </is>
      </c>
      <c r="F390" s="2" t="inlineStr">
        <is>
          <t>09:30</t>
        </is>
      </c>
      <c r="G390" t="inlineStr">
        <is>
          <t>-</t>
        </is>
      </c>
      <c r="H390" s="2" t="inlineStr">
        <is>
          <t>10:00</t>
        </is>
      </c>
      <c r="I390" t="inlineStr">
        <is>
          <t>613,000000000</t>
        </is>
      </c>
      <c r="J390" t="inlineStr">
        <is>
          <t>,000000000</t>
        </is>
      </c>
      <c r="K390" t="inlineStr">
        <is>
          <t>,000000000</t>
        </is>
      </c>
      <c r="L390" t="inlineStr">
        <is>
          <t>7,000000000</t>
        </is>
      </c>
      <c r="M390" t="inlineStr">
        <is>
          <t>,000000000</t>
        </is>
      </c>
      <c r="N390" t="inlineStr">
        <is>
          <t>,000000000</t>
        </is>
      </c>
      <c r="O390" t="inlineStr">
        <is>
          <t>,000000000</t>
        </is>
      </c>
      <c r="P390" t="inlineStr">
        <is>
          <t>212,000000000</t>
        </is>
      </c>
      <c r="Q390" t="inlineStr">
        <is>
          <t>30,000000000</t>
        </is>
      </c>
      <c r="R390" t="inlineStr">
        <is>
          <t>,000000000</t>
        </is>
      </c>
      <c r="S390" t="inlineStr">
        <is>
          <t>,000000000</t>
        </is>
      </c>
      <c r="T390" t="inlineStr">
        <is>
          <t>,000000000</t>
        </is>
      </c>
      <c r="U390" t="inlineStr">
        <is>
          <t>,000000000</t>
        </is>
      </c>
      <c r="V390" t="inlineStr">
        <is>
          <t>,000000000</t>
        </is>
      </c>
      <c r="W390" t="inlineStr">
        <is>
          <t>,000000000</t>
        </is>
      </c>
      <c r="X390" t="inlineStr">
        <is>
          <t>,000000000</t>
        </is>
      </c>
      <c r="Y390" t="inlineStr">
        <is>
          <t>,000000000</t>
        </is>
      </c>
      <c r="Z390" t="inlineStr">
        <is>
          <t>,000000000</t>
        </is>
      </c>
      <c r="AA390" t="inlineStr">
        <is>
          <t>,000000000</t>
        </is>
      </c>
      <c r="AB390" t="inlineStr">
        <is>
          <t>2</t>
        </is>
      </c>
      <c r="AC390" t="inlineStr">
        <is>
          <t>1</t>
        </is>
      </c>
      <c r="AD390" s="3">
        <f>UPPER(C3)</f>
        <v/>
      </c>
      <c r="AE390" s="3">
        <f>VLOOKUP(E3,'[1]Nómina Agentes'!$C:$D,3,0)</f>
        <v/>
      </c>
      <c r="AF390" s="5">
        <f>F3</f>
        <v/>
      </c>
      <c r="AG390" s="5">
        <f>H3</f>
        <v/>
      </c>
    </row>
    <row r="391">
      <c r="A391" s="1" t="inlineStr">
        <is>
          <t>9/10/2024</t>
        </is>
      </c>
      <c r="B391" t="inlineStr">
        <is>
          <t>925</t>
        </is>
      </c>
      <c r="C391" t="inlineStr">
        <is>
          <t>S2S Premium</t>
        </is>
      </c>
      <c r="D391" t="inlineStr">
        <is>
          <t>XPCC_Narvaez, Magali</t>
        </is>
      </c>
      <c r="E391" t="inlineStr">
        <is>
          <t>628253</t>
        </is>
      </c>
      <c r="F391" s="2" t="inlineStr">
        <is>
          <t>09:00</t>
        </is>
      </c>
      <c r="G391" t="inlineStr">
        <is>
          <t>-</t>
        </is>
      </c>
      <c r="H391" s="2" t="inlineStr">
        <is>
          <t>09:30</t>
        </is>
      </c>
      <c r="I391" t="inlineStr">
        <is>
          <t>702,000000000</t>
        </is>
      </c>
      <c r="J391" t="inlineStr">
        <is>
          <t>,000000000</t>
        </is>
      </c>
      <c r="K391" t="inlineStr">
        <is>
          <t>,000000000</t>
        </is>
      </c>
      <c r="L391" t="inlineStr">
        <is>
          <t>16,000000000</t>
        </is>
      </c>
      <c r="M391" t="inlineStr">
        <is>
          <t>,000000000</t>
        </is>
      </c>
      <c r="N391" t="inlineStr">
        <is>
          <t>,000000000</t>
        </is>
      </c>
      <c r="O391" t="inlineStr">
        <is>
          <t>,000000000</t>
        </is>
      </c>
      <c r="P391" t="inlineStr">
        <is>
          <t>113,000000000</t>
        </is>
      </c>
      <c r="Q391" t="inlineStr">
        <is>
          <t>104,000000000</t>
        </is>
      </c>
      <c r="R391" t="inlineStr">
        <is>
          <t>,000000000</t>
        </is>
      </c>
      <c r="S391" t="inlineStr">
        <is>
          <t>,000000000</t>
        </is>
      </c>
      <c r="T391" t="inlineStr">
        <is>
          <t>,000000000</t>
        </is>
      </c>
      <c r="U391" t="inlineStr">
        <is>
          <t>,000000000</t>
        </is>
      </c>
      <c r="V391" t="inlineStr">
        <is>
          <t>,000000000</t>
        </is>
      </c>
      <c r="W391" t="inlineStr">
        <is>
          <t>,000000000</t>
        </is>
      </c>
      <c r="X391" t="inlineStr">
        <is>
          <t>,000000000</t>
        </is>
      </c>
      <c r="Y391" t="inlineStr">
        <is>
          <t>,000000000</t>
        </is>
      </c>
      <c r="Z391" t="inlineStr">
        <is>
          <t>,000000000</t>
        </is>
      </c>
      <c r="AA391" t="inlineStr">
        <is>
          <t>,000000000</t>
        </is>
      </c>
      <c r="AB391" t="inlineStr">
        <is>
          <t>3</t>
        </is>
      </c>
      <c r="AC391" t="inlineStr">
        <is>
          <t>3</t>
        </is>
      </c>
      <c r="AD391" s="3">
        <f>UPPER(C3)</f>
        <v/>
      </c>
      <c r="AE391" s="3">
        <f>VLOOKUP(E3,'[1]Nómina Agentes'!$C:$D,3,0)</f>
        <v/>
      </c>
      <c r="AF391" s="5">
        <f>F3</f>
        <v/>
      </c>
      <c r="AG391" s="5">
        <f>H3</f>
        <v/>
      </c>
    </row>
    <row r="392">
      <c r="A392" s="1" t="inlineStr">
        <is>
          <t>9/10/2024</t>
        </is>
      </c>
      <c r="B392" t="inlineStr">
        <is>
          <t>925</t>
        </is>
      </c>
      <c r="C392" t="inlineStr">
        <is>
          <t>S2S Premium</t>
        </is>
      </c>
      <c r="D392" t="inlineStr">
        <is>
          <t>XPCC_Narvaez, Magali</t>
        </is>
      </c>
      <c r="E392" t="inlineStr">
        <is>
          <t>628253</t>
        </is>
      </c>
      <c r="F392" s="2" t="inlineStr">
        <is>
          <t>10:00</t>
        </is>
      </c>
      <c r="G392" t="inlineStr">
        <is>
          <t>-</t>
        </is>
      </c>
      <c r="H392" s="2" t="inlineStr">
        <is>
          <t>10:30</t>
        </is>
      </c>
      <c r="I392" t="inlineStr">
        <is>
          <t>722,000000000</t>
        </is>
      </c>
      <c r="J392" t="inlineStr">
        <is>
          <t>,000000000</t>
        </is>
      </c>
      <c r="K392" t="inlineStr">
        <is>
          <t>,000000000</t>
        </is>
      </c>
      <c r="L392" t="inlineStr">
        <is>
          <t>24,000000000</t>
        </is>
      </c>
      <c r="M392" t="inlineStr">
        <is>
          <t>,000000000</t>
        </is>
      </c>
      <c r="N392" t="inlineStr">
        <is>
          <t>,000000000</t>
        </is>
      </c>
      <c r="O392" t="inlineStr">
        <is>
          <t>,000000000</t>
        </is>
      </c>
      <c r="P392" t="inlineStr">
        <is>
          <t>3,000000000</t>
        </is>
      </c>
      <c r="Q392" t="inlineStr">
        <is>
          <t>,000000000</t>
        </is>
      </c>
      <c r="R392" t="inlineStr">
        <is>
          <t>,000000000</t>
        </is>
      </c>
      <c r="S392" t="inlineStr">
        <is>
          <t>,000000000</t>
        </is>
      </c>
      <c r="T392" t="inlineStr">
        <is>
          <t>,000000000</t>
        </is>
      </c>
      <c r="U392" t="inlineStr">
        <is>
          <t>,000000000</t>
        </is>
      </c>
      <c r="V392" t="inlineStr">
        <is>
          <t>,000000000</t>
        </is>
      </c>
      <c r="W392" t="inlineStr">
        <is>
          <t>,000000000</t>
        </is>
      </c>
      <c r="X392" t="inlineStr">
        <is>
          <t>,000000000</t>
        </is>
      </c>
      <c r="Y392" t="inlineStr">
        <is>
          <t>,000000000</t>
        </is>
      </c>
      <c r="Z392" t="inlineStr">
        <is>
          <t>,000000000</t>
        </is>
      </c>
      <c r="AA392" t="inlineStr">
        <is>
          <t>,000000000</t>
        </is>
      </c>
      <c r="AB392" t="inlineStr">
        <is>
          <t>5</t>
        </is>
      </c>
      <c r="AC392" t="inlineStr">
        <is>
          <t>4</t>
        </is>
      </c>
      <c r="AD392" s="3">
        <f>UPPER(C3)</f>
        <v/>
      </c>
      <c r="AE392" s="3">
        <f>VLOOKUP(E3,'[1]Nómina Agentes'!$C:$D,3,0)</f>
        <v/>
      </c>
      <c r="AF392" s="5">
        <f>F3</f>
        <v/>
      </c>
      <c r="AG392" s="5">
        <f>H3</f>
        <v/>
      </c>
    </row>
    <row r="393">
      <c r="A393" s="1" t="inlineStr">
        <is>
          <t>9/10/2024</t>
        </is>
      </c>
      <c r="B393" t="inlineStr">
        <is>
          <t>925</t>
        </is>
      </c>
      <c r="C393" t="inlineStr">
        <is>
          <t>S2S Premium</t>
        </is>
      </c>
      <c r="D393" t="inlineStr">
        <is>
          <t>XPCC_Narvaez, Magali</t>
        </is>
      </c>
      <c r="E393" t="inlineStr">
        <is>
          <t>628253</t>
        </is>
      </c>
      <c r="F393" s="2" t="inlineStr">
        <is>
          <t>09:30</t>
        </is>
      </c>
      <c r="G393" t="inlineStr">
        <is>
          <t>-</t>
        </is>
      </c>
      <c r="H393" s="2" t="inlineStr">
        <is>
          <t>10:00</t>
        </is>
      </c>
      <c r="I393" t="inlineStr">
        <is>
          <t>953,000000000</t>
        </is>
      </c>
      <c r="J393" t="inlineStr">
        <is>
          <t>46,000000000</t>
        </is>
      </c>
      <c r="K393" t="inlineStr">
        <is>
          <t>,000000000</t>
        </is>
      </c>
      <c r="L393" t="inlineStr">
        <is>
          <t>23,000000000</t>
        </is>
      </c>
      <c r="M393" t="inlineStr">
        <is>
          <t>,000000000</t>
        </is>
      </c>
      <c r="N393" t="inlineStr">
        <is>
          <t>,000000000</t>
        </is>
      </c>
      <c r="O393" t="inlineStr">
        <is>
          <t>,000000000</t>
        </is>
      </c>
      <c r="P393" t="inlineStr">
        <is>
          <t>3,000000000</t>
        </is>
      </c>
      <c r="Q393" t="inlineStr">
        <is>
          <t>1,000000000</t>
        </is>
      </c>
      <c r="R393" t="inlineStr">
        <is>
          <t>,000000000</t>
        </is>
      </c>
      <c r="S393" t="inlineStr">
        <is>
          <t>,000000000</t>
        </is>
      </c>
      <c r="T393" t="inlineStr">
        <is>
          <t>,000000000</t>
        </is>
      </c>
      <c r="U393" t="inlineStr">
        <is>
          <t>,000000000</t>
        </is>
      </c>
      <c r="V393" t="inlineStr">
        <is>
          <t>,000000000</t>
        </is>
      </c>
      <c r="W393" t="inlineStr">
        <is>
          <t>,000000000</t>
        </is>
      </c>
      <c r="X393" t="inlineStr">
        <is>
          <t>,000000000</t>
        </is>
      </c>
      <c r="Y393" t="inlineStr">
        <is>
          <t>,000000000</t>
        </is>
      </c>
      <c r="Z393" t="inlineStr">
        <is>
          <t>,000000000</t>
        </is>
      </c>
      <c r="AA393" t="inlineStr">
        <is>
          <t>,000000000</t>
        </is>
      </c>
      <c r="AB393" t="inlineStr">
        <is>
          <t>7</t>
        </is>
      </c>
      <c r="AC393" t="inlineStr">
        <is>
          <t>5</t>
        </is>
      </c>
      <c r="AD393" s="3">
        <f>UPPER(C3)</f>
        <v/>
      </c>
      <c r="AE393" s="3">
        <f>VLOOKUP(E3,'[1]Nómina Agentes'!$C:$D,3,0)</f>
        <v/>
      </c>
      <c r="AF393" s="5">
        <f>F3</f>
        <v/>
      </c>
      <c r="AG393" s="5">
        <f>H3</f>
        <v/>
      </c>
    </row>
    <row r="394">
      <c r="A394" s="1" t="inlineStr">
        <is>
          <t>9/10/2024</t>
        </is>
      </c>
      <c r="B394" t="inlineStr">
        <is>
          <t>925</t>
        </is>
      </c>
      <c r="C394" t="inlineStr">
        <is>
          <t>S2S Premium</t>
        </is>
      </c>
      <c r="D394" t="inlineStr">
        <is>
          <t>XPCC_Narvaez, Magali</t>
        </is>
      </c>
      <c r="E394" t="inlineStr">
        <is>
          <t>628253</t>
        </is>
      </c>
      <c r="F394" s="2" t="inlineStr">
        <is>
          <t>10:30</t>
        </is>
      </c>
      <c r="G394" t="inlineStr">
        <is>
          <t>-</t>
        </is>
      </c>
      <c r="H394" s="2" t="inlineStr">
        <is>
          <t>11:00</t>
        </is>
      </c>
      <c r="I394" t="inlineStr">
        <is>
          <t>1042,000000000</t>
        </is>
      </c>
      <c r="J394" t="inlineStr">
        <is>
          <t>47,000000000</t>
        </is>
      </c>
      <c r="K394" t="inlineStr">
        <is>
          <t>,000000000</t>
        </is>
      </c>
      <c r="L394" t="inlineStr">
        <is>
          <t>12,000000000</t>
        </is>
      </c>
      <c r="M394" t="inlineStr">
        <is>
          <t>,000000000</t>
        </is>
      </c>
      <c r="N394" t="inlineStr">
        <is>
          <t>,000000000</t>
        </is>
      </c>
      <c r="O394" t="inlineStr">
        <is>
          <t>,000000000</t>
        </is>
      </c>
      <c r="P394" t="inlineStr">
        <is>
          <t>474,000000000</t>
        </is>
      </c>
      <c r="Q394" t="inlineStr">
        <is>
          <t>41,000000000</t>
        </is>
      </c>
      <c r="R394" t="inlineStr">
        <is>
          <t>,000000000</t>
        </is>
      </c>
      <c r="S394" t="inlineStr">
        <is>
          <t>,000000000</t>
        </is>
      </c>
      <c r="T394" t="inlineStr">
        <is>
          <t>,000000000</t>
        </is>
      </c>
      <c r="U394" t="inlineStr">
        <is>
          <t>,000000000</t>
        </is>
      </c>
      <c r="V394" t="inlineStr">
        <is>
          <t>,000000000</t>
        </is>
      </c>
      <c r="W394" t="inlineStr">
        <is>
          <t>,000000000</t>
        </is>
      </c>
      <c r="X394" t="inlineStr">
        <is>
          <t>,000000000</t>
        </is>
      </c>
      <c r="Y394" t="inlineStr">
        <is>
          <t>,000000000</t>
        </is>
      </c>
      <c r="Z394" t="inlineStr">
        <is>
          <t>,000000000</t>
        </is>
      </c>
      <c r="AA394" t="inlineStr">
        <is>
          <t>,000000000</t>
        </is>
      </c>
      <c r="AB394" t="inlineStr">
        <is>
          <t>3</t>
        </is>
      </c>
      <c r="AC394" t="inlineStr">
        <is>
          <t>3</t>
        </is>
      </c>
      <c r="AD394" s="3">
        <f>UPPER(C3)</f>
        <v/>
      </c>
      <c r="AE394" s="3">
        <f>VLOOKUP(E3,'[1]Nómina Agentes'!$C:$D,3,0)</f>
        <v/>
      </c>
      <c r="AF394" s="5">
        <f>F3</f>
        <v/>
      </c>
      <c r="AG394" s="5">
        <f>H3</f>
        <v/>
      </c>
    </row>
    <row r="395">
      <c r="A395" s="1" t="inlineStr">
        <is>
          <t>9/10/2024</t>
        </is>
      </c>
      <c r="B395" t="inlineStr">
        <is>
          <t>925</t>
        </is>
      </c>
      <c r="C395" t="inlineStr">
        <is>
          <t>S2S Premium</t>
        </is>
      </c>
      <c r="D395" t="inlineStr">
        <is>
          <t>XDP_AlmironKatherin</t>
        </is>
      </c>
      <c r="E395" t="inlineStr">
        <is>
          <t>628268</t>
        </is>
      </c>
      <c r="F395" s="2" t="inlineStr">
        <is>
          <t>09:00</t>
        </is>
      </c>
      <c r="G395" t="inlineStr">
        <is>
          <t>-</t>
        </is>
      </c>
      <c r="H395" s="2" t="inlineStr">
        <is>
          <t>09:30</t>
        </is>
      </c>
      <c r="I395" t="inlineStr">
        <is>
          <t>,000000000</t>
        </is>
      </c>
      <c r="J395" t="inlineStr">
        <is>
          <t>,000000000</t>
        </is>
      </c>
      <c r="K395" t="inlineStr">
        <is>
          <t>,000000000</t>
        </is>
      </c>
      <c r="L395" t="inlineStr">
        <is>
          <t>,000000000</t>
        </is>
      </c>
      <c r="M395" t="inlineStr">
        <is>
          <t>,000000000</t>
        </is>
      </c>
      <c r="N395" t="inlineStr">
        <is>
          <t>,000000000</t>
        </is>
      </c>
      <c r="O395" t="inlineStr">
        <is>
          <t>,000000000</t>
        </is>
      </c>
      <c r="P395" t="inlineStr">
        <is>
          <t>,000000000</t>
        </is>
      </c>
      <c r="Q395" t="inlineStr">
        <is>
          <t>,000000000</t>
        </is>
      </c>
      <c r="R395" t="inlineStr">
        <is>
          <t>,000000000</t>
        </is>
      </c>
      <c r="S395" t="inlineStr">
        <is>
          <t>,000000000</t>
        </is>
      </c>
      <c r="T395" t="inlineStr">
        <is>
          <t>,000000000</t>
        </is>
      </c>
      <c r="U395" t="inlineStr">
        <is>
          <t>,000000000</t>
        </is>
      </c>
      <c r="V395" t="inlineStr">
        <is>
          <t>,000000000</t>
        </is>
      </c>
      <c r="W395" t="inlineStr">
        <is>
          <t>,000000000</t>
        </is>
      </c>
      <c r="X395" t="inlineStr">
        <is>
          <t>,000000000</t>
        </is>
      </c>
      <c r="Y395" t="inlineStr">
        <is>
          <t>,000000000</t>
        </is>
      </c>
      <c r="Z395" t="inlineStr">
        <is>
          <t>,000000000</t>
        </is>
      </c>
      <c r="AA395" t="inlineStr">
        <is>
          <t>,000000000</t>
        </is>
      </c>
      <c r="AB395" t="inlineStr">
        <is>
          <t>0</t>
        </is>
      </c>
      <c r="AC395" t="inlineStr">
        <is>
          <t>0</t>
        </is>
      </c>
      <c r="AD395" s="3">
        <f>UPPER(C3)</f>
        <v/>
      </c>
      <c r="AE395" s="3">
        <f>VLOOKUP(E3,'[1]Nómina Agentes'!$C:$D,3,0)</f>
        <v/>
      </c>
      <c r="AF395" s="5">
        <f>F3</f>
        <v/>
      </c>
      <c r="AG395" s="5">
        <f>H3</f>
        <v/>
      </c>
    </row>
    <row r="396">
      <c r="A396" s="1" t="inlineStr">
        <is>
          <t>9/10/2024</t>
        </is>
      </c>
      <c r="B396" t="inlineStr">
        <is>
          <t>925</t>
        </is>
      </c>
      <c r="C396" t="inlineStr">
        <is>
          <t>S2S Premium</t>
        </is>
      </c>
      <c r="D396" t="inlineStr">
        <is>
          <t>*Pm_Gauna, Rocio</t>
        </is>
      </c>
      <c r="E396" t="inlineStr">
        <is>
          <t>628282</t>
        </is>
      </c>
      <c r="F396" s="2" t="inlineStr">
        <is>
          <t>09:00</t>
        </is>
      </c>
      <c r="G396" t="inlineStr">
        <is>
          <t>-</t>
        </is>
      </c>
      <c r="H396" s="2" t="inlineStr">
        <is>
          <t>09:30</t>
        </is>
      </c>
      <c r="I396" t="inlineStr">
        <is>
          <t>130,000000000</t>
        </is>
      </c>
      <c r="J396" t="inlineStr">
        <is>
          <t>,000000000</t>
        </is>
      </c>
      <c r="K396" t="inlineStr">
        <is>
          <t>,000000000</t>
        </is>
      </c>
      <c r="L396" t="inlineStr">
        <is>
          <t>4,000000000</t>
        </is>
      </c>
      <c r="M396" t="inlineStr">
        <is>
          <t>,000000000</t>
        </is>
      </c>
      <c r="N396" t="inlineStr">
        <is>
          <t>,000000000</t>
        </is>
      </c>
      <c r="O396" t="inlineStr">
        <is>
          <t>,000000000</t>
        </is>
      </c>
      <c r="P396" t="inlineStr">
        <is>
          <t>179,000000000</t>
        </is>
      </c>
      <c r="Q396" t="inlineStr">
        <is>
          <t>172,000000000</t>
        </is>
      </c>
      <c r="R396" t="inlineStr">
        <is>
          <t>,000000000</t>
        </is>
      </c>
      <c r="S396" t="inlineStr">
        <is>
          <t>,000000000</t>
        </is>
      </c>
      <c r="T396" t="inlineStr">
        <is>
          <t>,000000000</t>
        </is>
      </c>
      <c r="U396" t="inlineStr">
        <is>
          <t>,000000000</t>
        </is>
      </c>
      <c r="V396" t="inlineStr">
        <is>
          <t>,000000000</t>
        </is>
      </c>
      <c r="W396" t="inlineStr">
        <is>
          <t>,000000000</t>
        </is>
      </c>
      <c r="X396" t="inlineStr">
        <is>
          <t>,000000000</t>
        </is>
      </c>
      <c r="Y396" t="inlineStr">
        <is>
          <t>,000000000</t>
        </is>
      </c>
      <c r="Z396" t="inlineStr">
        <is>
          <t>,000000000</t>
        </is>
      </c>
      <c r="AA396" t="inlineStr">
        <is>
          <t>,000000000</t>
        </is>
      </c>
      <c r="AB396" t="inlineStr">
        <is>
          <t>1</t>
        </is>
      </c>
      <c r="AC396" t="inlineStr">
        <is>
          <t>0</t>
        </is>
      </c>
      <c r="AD396" s="3">
        <f>UPPER(C3)</f>
        <v/>
      </c>
      <c r="AE396" s="3">
        <f>VLOOKUP(E3,'[1]Nómina Agentes'!$C:$D,3,0)</f>
        <v/>
      </c>
      <c r="AF396" s="5">
        <f>F3</f>
        <v/>
      </c>
      <c r="AG396" s="5">
        <f>H3</f>
        <v/>
      </c>
    </row>
    <row r="397">
      <c r="A397" s="1" t="inlineStr">
        <is>
          <t>9/10/2024</t>
        </is>
      </c>
      <c r="B397" t="inlineStr">
        <is>
          <t>924</t>
        </is>
      </c>
      <c r="C397" t="inlineStr">
        <is>
          <t>S2S No Premium</t>
        </is>
      </c>
      <c r="D397" t="inlineStr">
        <is>
          <t>PCC_Recio, Noelia B</t>
        </is>
      </c>
      <c r="E397" t="inlineStr">
        <is>
          <t>628286</t>
        </is>
      </c>
      <c r="F397" s="2" t="inlineStr">
        <is>
          <t>09:00</t>
        </is>
      </c>
      <c r="G397" t="inlineStr">
        <is>
          <t>-</t>
        </is>
      </c>
      <c r="H397" s="2" t="inlineStr">
        <is>
          <t>09:30</t>
        </is>
      </c>
      <c r="I397" t="inlineStr">
        <is>
          <t>606,000000000</t>
        </is>
      </c>
      <c r="J397" t="inlineStr">
        <is>
          <t>277,000000000</t>
        </is>
      </c>
      <c r="K397" t="inlineStr">
        <is>
          <t>,000000000</t>
        </is>
      </c>
      <c r="L397" t="inlineStr">
        <is>
          <t>20,000000000</t>
        </is>
      </c>
      <c r="M397" t="inlineStr">
        <is>
          <t>,000000000</t>
        </is>
      </c>
      <c r="N397" t="inlineStr">
        <is>
          <t>,000000000</t>
        </is>
      </c>
      <c r="O397" t="inlineStr">
        <is>
          <t>,000000000</t>
        </is>
      </c>
      <c r="P397" t="inlineStr">
        <is>
          <t>206,000000000</t>
        </is>
      </c>
      <c r="Q397" t="inlineStr">
        <is>
          <t>147,000000000</t>
        </is>
      </c>
      <c r="R397" t="inlineStr">
        <is>
          <t>,000000000</t>
        </is>
      </c>
      <c r="S397" t="inlineStr">
        <is>
          <t>,000000000</t>
        </is>
      </c>
      <c r="T397" t="inlineStr">
        <is>
          <t>,000000000</t>
        </is>
      </c>
      <c r="U397" t="inlineStr">
        <is>
          <t>,000000000</t>
        </is>
      </c>
      <c r="V397" t="inlineStr">
        <is>
          <t>,000000000</t>
        </is>
      </c>
      <c r="W397" t="inlineStr">
        <is>
          <t>,000000000</t>
        </is>
      </c>
      <c r="X397" t="inlineStr">
        <is>
          <t>,000000000</t>
        </is>
      </c>
      <c r="Y397" t="inlineStr">
        <is>
          <t>,000000000</t>
        </is>
      </c>
      <c r="Z397" t="inlineStr">
        <is>
          <t>,000000000</t>
        </is>
      </c>
      <c r="AA397" t="inlineStr">
        <is>
          <t>,000000000</t>
        </is>
      </c>
      <c r="AB397" t="inlineStr">
        <is>
          <t>4</t>
        </is>
      </c>
      <c r="AC397" t="inlineStr">
        <is>
          <t>3</t>
        </is>
      </c>
      <c r="AD397" s="3">
        <f>UPPER(C3)</f>
        <v/>
      </c>
      <c r="AE397" s="3">
        <f>VLOOKUP(E3,'[1]Nómina Agentes'!$C:$D,3,0)</f>
        <v/>
      </c>
      <c r="AF397" s="5">
        <f>F3</f>
        <v/>
      </c>
      <c r="AG397" s="5">
        <f>H3</f>
        <v/>
      </c>
    </row>
    <row r="398">
      <c r="A398" s="1" t="inlineStr">
        <is>
          <t>9/10/2024</t>
        </is>
      </c>
      <c r="B398" t="inlineStr">
        <is>
          <t>924</t>
        </is>
      </c>
      <c r="C398" t="inlineStr">
        <is>
          <t>S2S No Premium</t>
        </is>
      </c>
      <c r="D398" t="inlineStr">
        <is>
          <t>PCC_Recio, Noelia B</t>
        </is>
      </c>
      <c r="E398" t="inlineStr">
        <is>
          <t>628286</t>
        </is>
      </c>
      <c r="F398" s="2" t="inlineStr">
        <is>
          <t>10:30</t>
        </is>
      </c>
      <c r="G398" t="inlineStr">
        <is>
          <t>-</t>
        </is>
      </c>
      <c r="H398" s="2" t="inlineStr">
        <is>
          <t>11:00</t>
        </is>
      </c>
      <c r="I398" t="inlineStr">
        <is>
          <t>745,000000000</t>
        </is>
      </c>
      <c r="J398" t="inlineStr">
        <is>
          <t>90,000000000</t>
        </is>
      </c>
      <c r="K398" t="inlineStr">
        <is>
          <t>,000000000</t>
        </is>
      </c>
      <c r="L398" t="inlineStr">
        <is>
          <t>16,000000000</t>
        </is>
      </c>
      <c r="M398" t="inlineStr">
        <is>
          <t>,000000000</t>
        </is>
      </c>
      <c r="N398" t="inlineStr">
        <is>
          <t>,000000000</t>
        </is>
      </c>
      <c r="O398" t="inlineStr">
        <is>
          <t>,000000000</t>
        </is>
      </c>
      <c r="P398" t="inlineStr">
        <is>
          <t>193,000000000</t>
        </is>
      </c>
      <c r="Q398" t="inlineStr">
        <is>
          <t>3,000000000</t>
        </is>
      </c>
      <c r="R398" t="inlineStr">
        <is>
          <t>,000000000</t>
        </is>
      </c>
      <c r="S398" t="inlineStr">
        <is>
          <t>,000000000</t>
        </is>
      </c>
      <c r="T398" t="inlineStr">
        <is>
          <t>,000000000</t>
        </is>
      </c>
      <c r="U398" t="inlineStr">
        <is>
          <t>,000000000</t>
        </is>
      </c>
      <c r="V398" t="inlineStr">
        <is>
          <t>,000000000</t>
        </is>
      </c>
      <c r="W398" t="inlineStr">
        <is>
          <t>,000000000</t>
        </is>
      </c>
      <c r="X398" t="inlineStr">
        <is>
          <t>,000000000</t>
        </is>
      </c>
      <c r="Y398" t="inlineStr">
        <is>
          <t>,000000000</t>
        </is>
      </c>
      <c r="Z398" t="inlineStr">
        <is>
          <t>,000000000</t>
        </is>
      </c>
      <c r="AA398" t="inlineStr">
        <is>
          <t>,000000000</t>
        </is>
      </c>
      <c r="AB398" t="inlineStr">
        <is>
          <t>3</t>
        </is>
      </c>
      <c r="AC398" t="inlineStr">
        <is>
          <t>2</t>
        </is>
      </c>
      <c r="AD398" s="3">
        <f>UPPER(C3)</f>
        <v/>
      </c>
      <c r="AE398" s="3">
        <f>VLOOKUP(E3,'[1]Nómina Agentes'!$C:$D,3,0)</f>
        <v/>
      </c>
      <c r="AF398" s="5">
        <f>F3</f>
        <v/>
      </c>
      <c r="AG398" s="5">
        <f>H3</f>
        <v/>
      </c>
    </row>
    <row r="399">
      <c r="A399" s="1" t="inlineStr">
        <is>
          <t>9/10/2024</t>
        </is>
      </c>
      <c r="B399" t="inlineStr">
        <is>
          <t>924</t>
        </is>
      </c>
      <c r="C399" t="inlineStr">
        <is>
          <t>S2S No Premium</t>
        </is>
      </c>
      <c r="D399" t="inlineStr">
        <is>
          <t>PCC_Recio, Noelia B</t>
        </is>
      </c>
      <c r="E399" t="inlineStr">
        <is>
          <t>628286</t>
        </is>
      </c>
      <c r="F399" s="2" t="inlineStr">
        <is>
          <t>10:00</t>
        </is>
      </c>
      <c r="G399" t="inlineStr">
        <is>
          <t>-</t>
        </is>
      </c>
      <c r="H399" s="2" t="inlineStr">
        <is>
          <t>10:30</t>
        </is>
      </c>
      <c r="I399" t="inlineStr">
        <is>
          <t>813,000000000</t>
        </is>
      </c>
      <c r="J399" t="inlineStr">
        <is>
          <t>235,000000000</t>
        </is>
      </c>
      <c r="K399" t="inlineStr">
        <is>
          <t>,000000000</t>
        </is>
      </c>
      <c r="L399" t="inlineStr">
        <is>
          <t>8,000000000</t>
        </is>
      </c>
      <c r="M399" t="inlineStr">
        <is>
          <t>,000000000</t>
        </is>
      </c>
      <c r="N399" t="inlineStr">
        <is>
          <t>,000000000</t>
        </is>
      </c>
      <c r="O399" t="inlineStr">
        <is>
          <t>,000000000</t>
        </is>
      </c>
      <c r="P399" t="inlineStr">
        <is>
          <t>2,000000000</t>
        </is>
      </c>
      <c r="Q399" t="inlineStr">
        <is>
          <t>1,000000000</t>
        </is>
      </c>
      <c r="R399" t="inlineStr">
        <is>
          <t>,000000000</t>
        </is>
      </c>
      <c r="S399" t="inlineStr">
        <is>
          <t>,000000000</t>
        </is>
      </c>
      <c r="T399" t="inlineStr">
        <is>
          <t>,000000000</t>
        </is>
      </c>
      <c r="U399" t="inlineStr">
        <is>
          <t>,000000000</t>
        </is>
      </c>
      <c r="V399" t="inlineStr">
        <is>
          <t>,000000000</t>
        </is>
      </c>
      <c r="W399" t="inlineStr">
        <is>
          <t>,000000000</t>
        </is>
      </c>
      <c r="X399" t="inlineStr">
        <is>
          <t>,000000000</t>
        </is>
      </c>
      <c r="Y399" t="inlineStr">
        <is>
          <t>,000000000</t>
        </is>
      </c>
      <c r="Z399" t="inlineStr">
        <is>
          <t>,000000000</t>
        </is>
      </c>
      <c r="AA399" t="inlineStr">
        <is>
          <t>,000000000</t>
        </is>
      </c>
      <c r="AB399" t="inlineStr">
        <is>
          <t>3</t>
        </is>
      </c>
      <c r="AC399" t="inlineStr">
        <is>
          <t>3</t>
        </is>
      </c>
      <c r="AD399" s="3">
        <f>UPPER(C3)</f>
        <v/>
      </c>
      <c r="AE399" s="3">
        <f>VLOOKUP(E3,'[1]Nómina Agentes'!$C:$D,3,0)</f>
        <v/>
      </c>
      <c r="AF399" s="5">
        <f>F3</f>
        <v/>
      </c>
      <c r="AG399" s="5">
        <f>H3</f>
        <v/>
      </c>
    </row>
    <row r="400">
      <c r="A400" s="1" t="inlineStr">
        <is>
          <t>9/10/2024</t>
        </is>
      </c>
      <c r="B400" t="inlineStr">
        <is>
          <t>924</t>
        </is>
      </c>
      <c r="C400" t="inlineStr">
        <is>
          <t>S2S No Premium</t>
        </is>
      </c>
      <c r="D400" t="inlineStr">
        <is>
          <t>PCC_Recio, Noelia B</t>
        </is>
      </c>
      <c r="E400" t="inlineStr">
        <is>
          <t>628286</t>
        </is>
      </c>
      <c r="F400" s="2" t="inlineStr">
        <is>
          <t>09:30</t>
        </is>
      </c>
      <c r="G400" t="inlineStr">
        <is>
          <t>-</t>
        </is>
      </c>
      <c r="H400" s="2" t="inlineStr">
        <is>
          <t>10:00</t>
        </is>
      </c>
      <c r="I400" t="inlineStr">
        <is>
          <t>1345,000000000</t>
        </is>
      </c>
      <c r="J400" t="inlineStr">
        <is>
          <t>200,000000000</t>
        </is>
      </c>
      <c r="K400" t="inlineStr">
        <is>
          <t>,000000000</t>
        </is>
      </c>
      <c r="L400" t="inlineStr">
        <is>
          <t>17,000000000</t>
        </is>
      </c>
      <c r="M400" t="inlineStr">
        <is>
          <t>,000000000</t>
        </is>
      </c>
      <c r="N400" t="inlineStr">
        <is>
          <t>,000000000</t>
        </is>
      </c>
      <c r="O400" t="inlineStr">
        <is>
          <t>,000000000</t>
        </is>
      </c>
      <c r="P400" t="inlineStr">
        <is>
          <t>1,000000000</t>
        </is>
      </c>
      <c r="Q400" t="inlineStr">
        <is>
          <t>,000000000</t>
        </is>
      </c>
      <c r="R400" t="inlineStr">
        <is>
          <t>,000000000</t>
        </is>
      </c>
      <c r="S400" t="inlineStr">
        <is>
          <t>,000000000</t>
        </is>
      </c>
      <c r="T400" t="inlineStr">
        <is>
          <t>,000000000</t>
        </is>
      </c>
      <c r="U400" t="inlineStr">
        <is>
          <t>,000000000</t>
        </is>
      </c>
      <c r="V400" t="inlineStr">
        <is>
          <t>,000000000</t>
        </is>
      </c>
      <c r="W400" t="inlineStr">
        <is>
          <t>,000000000</t>
        </is>
      </c>
      <c r="X400" t="inlineStr">
        <is>
          <t>,000000000</t>
        </is>
      </c>
      <c r="Y400" t="inlineStr">
        <is>
          <t>,000000000</t>
        </is>
      </c>
      <c r="Z400" t="inlineStr">
        <is>
          <t>,000000000</t>
        </is>
      </c>
      <c r="AA400" t="inlineStr">
        <is>
          <t>,000000000</t>
        </is>
      </c>
      <c r="AB400" t="inlineStr">
        <is>
          <t>4</t>
        </is>
      </c>
      <c r="AC400" t="inlineStr">
        <is>
          <t>2</t>
        </is>
      </c>
      <c r="AD400" s="3">
        <f>UPPER(C3)</f>
        <v/>
      </c>
      <c r="AE400" s="3">
        <f>VLOOKUP(E3,'[1]Nómina Agentes'!$C:$D,3,0)</f>
        <v/>
      </c>
      <c r="AF400" s="5">
        <f>F3</f>
        <v/>
      </c>
      <c r="AG400" s="5">
        <f>H3</f>
        <v/>
      </c>
    </row>
    <row r="401">
      <c r="A401" s="1" t="inlineStr">
        <is>
          <t>9/10/2024</t>
        </is>
      </c>
      <c r="B401" t="inlineStr">
        <is>
          <t>924</t>
        </is>
      </c>
      <c r="C401" t="inlineStr">
        <is>
          <t>S2S No Premium</t>
        </is>
      </c>
      <c r="D401" t="inlineStr">
        <is>
          <t>*N2m_Sosa,Maximilian</t>
        </is>
      </c>
      <c r="E401" t="inlineStr">
        <is>
          <t>628294</t>
        </is>
      </c>
      <c r="F401" s="2" t="inlineStr">
        <is>
          <t>09:00</t>
        </is>
      </c>
      <c r="G401" t="inlineStr">
        <is>
          <t>-</t>
        </is>
      </c>
      <c r="H401" s="2" t="inlineStr">
        <is>
          <t>09:30</t>
        </is>
      </c>
      <c r="I401" t="inlineStr">
        <is>
          <t>661,000000000</t>
        </is>
      </c>
      <c r="J401" t="inlineStr">
        <is>
          <t>,000000000</t>
        </is>
      </c>
      <c r="K401" t="inlineStr">
        <is>
          <t>,000000000</t>
        </is>
      </c>
      <c r="L401" t="inlineStr">
        <is>
          <t>16,000000000</t>
        </is>
      </c>
      <c r="M401" t="inlineStr">
        <is>
          <t>,000000000</t>
        </is>
      </c>
      <c r="N401" t="inlineStr">
        <is>
          <t>,000000000</t>
        </is>
      </c>
      <c r="O401" t="inlineStr">
        <is>
          <t>,000000000</t>
        </is>
      </c>
      <c r="P401" t="inlineStr">
        <is>
          <t>3,000000000</t>
        </is>
      </c>
      <c r="Q401" t="inlineStr">
        <is>
          <t>,000000000</t>
        </is>
      </c>
      <c r="R401" t="inlineStr">
        <is>
          <t>,000000000</t>
        </is>
      </c>
      <c r="S401" t="inlineStr">
        <is>
          <t>,000000000</t>
        </is>
      </c>
      <c r="T401" t="inlineStr">
        <is>
          <t>,000000000</t>
        </is>
      </c>
      <c r="U401" t="inlineStr">
        <is>
          <t>,000000000</t>
        </is>
      </c>
      <c r="V401" t="inlineStr">
        <is>
          <t>,000000000</t>
        </is>
      </c>
      <c r="W401" t="inlineStr">
        <is>
          <t>,000000000</t>
        </is>
      </c>
      <c r="X401" t="inlineStr">
        <is>
          <t>,000000000</t>
        </is>
      </c>
      <c r="Y401" t="inlineStr">
        <is>
          <t>,000000000</t>
        </is>
      </c>
      <c r="Z401" t="inlineStr">
        <is>
          <t>,000000000</t>
        </is>
      </c>
      <c r="AA401" t="inlineStr">
        <is>
          <t>,000000000</t>
        </is>
      </c>
      <c r="AB401" t="inlineStr">
        <is>
          <t>4</t>
        </is>
      </c>
      <c r="AC401" t="inlineStr">
        <is>
          <t>3</t>
        </is>
      </c>
      <c r="AD401" s="3">
        <f>UPPER(C3)</f>
        <v/>
      </c>
      <c r="AE401" s="3">
        <f>VLOOKUP(E3,'[1]Nómina Agentes'!$C:$D,3,0)</f>
        <v/>
      </c>
      <c r="AF401" s="5">
        <f>F3</f>
        <v/>
      </c>
      <c r="AG401" s="5">
        <f>H3</f>
        <v/>
      </c>
    </row>
    <row r="402">
      <c r="A402" s="1" t="inlineStr">
        <is>
          <t>9/10/2024</t>
        </is>
      </c>
      <c r="B402" t="inlineStr">
        <is>
          <t>924</t>
        </is>
      </c>
      <c r="C402" t="inlineStr">
        <is>
          <t>S2S No Premium</t>
        </is>
      </c>
      <c r="D402" t="inlineStr">
        <is>
          <t>*N2m_Sosa,Maximilian</t>
        </is>
      </c>
      <c r="E402" t="inlineStr">
        <is>
          <t>628294</t>
        </is>
      </c>
      <c r="F402" s="2" t="inlineStr">
        <is>
          <t>10:30</t>
        </is>
      </c>
      <c r="G402" t="inlineStr">
        <is>
          <t>-</t>
        </is>
      </c>
      <c r="H402" s="2" t="inlineStr">
        <is>
          <t>11:00</t>
        </is>
      </c>
      <c r="I402" t="inlineStr">
        <is>
          <t>914,000000000</t>
        </is>
      </c>
      <c r="J402" t="inlineStr">
        <is>
          <t>,000000000</t>
        </is>
      </c>
      <c r="K402" t="inlineStr">
        <is>
          <t>,000000000</t>
        </is>
      </c>
      <c r="L402" t="inlineStr">
        <is>
          <t>16,000000000</t>
        </is>
      </c>
      <c r="M402" t="inlineStr">
        <is>
          <t>,000000000</t>
        </is>
      </c>
      <c r="N402" t="inlineStr">
        <is>
          <t>,000000000</t>
        </is>
      </c>
      <c r="O402" t="inlineStr">
        <is>
          <t>,000000000</t>
        </is>
      </c>
      <c r="P402" t="inlineStr">
        <is>
          <t>248,000000000</t>
        </is>
      </c>
      <c r="Q402" t="inlineStr">
        <is>
          <t>237,000000000</t>
        </is>
      </c>
      <c r="R402" t="inlineStr">
        <is>
          <t>,000000000</t>
        </is>
      </c>
      <c r="S402" t="inlineStr">
        <is>
          <t>,000000000</t>
        </is>
      </c>
      <c r="T402" t="inlineStr">
        <is>
          <t>,000000000</t>
        </is>
      </c>
      <c r="U402" t="inlineStr">
        <is>
          <t>,000000000</t>
        </is>
      </c>
      <c r="V402" t="inlineStr">
        <is>
          <t>,000000000</t>
        </is>
      </c>
      <c r="W402" t="inlineStr">
        <is>
          <t>,000000000</t>
        </is>
      </c>
      <c r="X402" t="inlineStr">
        <is>
          <t>,000000000</t>
        </is>
      </c>
      <c r="Y402" t="inlineStr">
        <is>
          <t>,000000000</t>
        </is>
      </c>
      <c r="Z402" t="inlineStr">
        <is>
          <t>,000000000</t>
        </is>
      </c>
      <c r="AA402" t="inlineStr">
        <is>
          <t>,000000000</t>
        </is>
      </c>
      <c r="AB402" t="inlineStr">
        <is>
          <t>5</t>
        </is>
      </c>
      <c r="AC402" t="inlineStr">
        <is>
          <t>3</t>
        </is>
      </c>
      <c r="AD402" s="3">
        <f>UPPER(C3)</f>
        <v/>
      </c>
      <c r="AE402" s="3">
        <f>VLOOKUP(E3,'[1]Nómina Agentes'!$C:$D,3,0)</f>
        <v/>
      </c>
      <c r="AF402" s="5">
        <f>F3</f>
        <v/>
      </c>
      <c r="AG402" s="5">
        <f>H3</f>
        <v/>
      </c>
    </row>
    <row r="403">
      <c r="A403" s="1" t="inlineStr">
        <is>
          <t>9/10/2024</t>
        </is>
      </c>
      <c r="B403" t="inlineStr">
        <is>
          <t>924</t>
        </is>
      </c>
      <c r="C403" t="inlineStr">
        <is>
          <t>S2S No Premium</t>
        </is>
      </c>
      <c r="D403" t="inlineStr">
        <is>
          <t>*N2m_Sosa,Maximilian</t>
        </is>
      </c>
      <c r="E403" t="inlineStr">
        <is>
          <t>628294</t>
        </is>
      </c>
      <c r="F403" s="2" t="inlineStr">
        <is>
          <t>10:00</t>
        </is>
      </c>
      <c r="G403" t="inlineStr">
        <is>
          <t>-</t>
        </is>
      </c>
      <c r="H403" s="2" t="inlineStr">
        <is>
          <t>10:30</t>
        </is>
      </c>
      <c r="I403" t="inlineStr">
        <is>
          <t>972,000000000</t>
        </is>
      </c>
      <c r="J403" t="inlineStr">
        <is>
          <t>,000000000</t>
        </is>
      </c>
      <c r="K403" t="inlineStr">
        <is>
          <t>,000000000</t>
        </is>
      </c>
      <c r="L403" t="inlineStr">
        <is>
          <t>12,000000000</t>
        </is>
      </c>
      <c r="M403" t="inlineStr">
        <is>
          <t>,000000000</t>
        </is>
      </c>
      <c r="N403" t="inlineStr">
        <is>
          <t>,000000000</t>
        </is>
      </c>
      <c r="O403" t="inlineStr">
        <is>
          <t>,000000000</t>
        </is>
      </c>
      <c r="P403" t="inlineStr">
        <is>
          <t>54,000000000</t>
        </is>
      </c>
      <c r="Q403" t="inlineStr">
        <is>
          <t>,000000000</t>
        </is>
      </c>
      <c r="R403" t="inlineStr">
        <is>
          <t>,000000000</t>
        </is>
      </c>
      <c r="S403" t="inlineStr">
        <is>
          <t>,000000000</t>
        </is>
      </c>
      <c r="T403" t="inlineStr">
        <is>
          <t>,000000000</t>
        </is>
      </c>
      <c r="U403" t="inlineStr">
        <is>
          <t>,000000000</t>
        </is>
      </c>
      <c r="V403" t="inlineStr">
        <is>
          <t>,000000000</t>
        </is>
      </c>
      <c r="W403" t="inlineStr">
        <is>
          <t>,000000000</t>
        </is>
      </c>
      <c r="X403" t="inlineStr">
        <is>
          <t>,000000000</t>
        </is>
      </c>
      <c r="Y403" t="inlineStr">
        <is>
          <t>,000000000</t>
        </is>
      </c>
      <c r="Z403" t="inlineStr">
        <is>
          <t>,000000000</t>
        </is>
      </c>
      <c r="AA403" t="inlineStr">
        <is>
          <t>,000000000</t>
        </is>
      </c>
      <c r="AB403" t="inlineStr">
        <is>
          <t>3</t>
        </is>
      </c>
      <c r="AC403" t="inlineStr">
        <is>
          <t>3</t>
        </is>
      </c>
      <c r="AD403" s="3">
        <f>UPPER(C3)</f>
        <v/>
      </c>
      <c r="AE403" s="3">
        <f>VLOOKUP(E3,'[1]Nómina Agentes'!$C:$D,3,0)</f>
        <v/>
      </c>
      <c r="AF403" s="5">
        <f>F3</f>
        <v/>
      </c>
      <c r="AG403" s="5">
        <f>H3</f>
        <v/>
      </c>
    </row>
    <row r="404">
      <c r="A404" s="1" t="inlineStr">
        <is>
          <t>9/10/2024</t>
        </is>
      </c>
      <c r="B404" t="inlineStr">
        <is>
          <t>924</t>
        </is>
      </c>
      <c r="C404" t="inlineStr">
        <is>
          <t>S2S No Premium</t>
        </is>
      </c>
      <c r="D404" t="inlineStr">
        <is>
          <t>*N2m_Sosa,Maximilian</t>
        </is>
      </c>
      <c r="E404" t="inlineStr">
        <is>
          <t>628294</t>
        </is>
      </c>
      <c r="F404" s="2" t="inlineStr">
        <is>
          <t>09:30</t>
        </is>
      </c>
      <c r="G404" t="inlineStr">
        <is>
          <t>-</t>
        </is>
      </c>
      <c r="H404" s="2" t="inlineStr">
        <is>
          <t>10:00</t>
        </is>
      </c>
      <c r="I404" t="inlineStr">
        <is>
          <t>1252,000000000</t>
        </is>
      </c>
      <c r="J404" t="inlineStr">
        <is>
          <t>,000000000</t>
        </is>
      </c>
      <c r="K404" t="inlineStr">
        <is>
          <t>,000000000</t>
        </is>
      </c>
      <c r="L404" t="inlineStr">
        <is>
          <t>17,000000000</t>
        </is>
      </c>
      <c r="M404" t="inlineStr">
        <is>
          <t>,000000000</t>
        </is>
      </c>
      <c r="N404" t="inlineStr">
        <is>
          <t>,000000000</t>
        </is>
      </c>
      <c r="O404" t="inlineStr">
        <is>
          <t>,000000000</t>
        </is>
      </c>
      <c r="P404" t="inlineStr">
        <is>
          <t>2,000000000</t>
        </is>
      </c>
      <c r="Q404" t="inlineStr">
        <is>
          <t>,000000000</t>
        </is>
      </c>
      <c r="R404" t="inlineStr">
        <is>
          <t>,000000000</t>
        </is>
      </c>
      <c r="S404" t="inlineStr">
        <is>
          <t>,000000000</t>
        </is>
      </c>
      <c r="T404" t="inlineStr">
        <is>
          <t>,000000000</t>
        </is>
      </c>
      <c r="U404" t="inlineStr">
        <is>
          <t>,000000000</t>
        </is>
      </c>
      <c r="V404" t="inlineStr">
        <is>
          <t>,000000000</t>
        </is>
      </c>
      <c r="W404" t="inlineStr">
        <is>
          <t>,000000000</t>
        </is>
      </c>
      <c r="X404" t="inlineStr">
        <is>
          <t>,000000000</t>
        </is>
      </c>
      <c r="Y404" t="inlineStr">
        <is>
          <t>,000000000</t>
        </is>
      </c>
      <c r="Z404" t="inlineStr">
        <is>
          <t>,000000000</t>
        </is>
      </c>
      <c r="AA404" t="inlineStr">
        <is>
          <t>,000000000</t>
        </is>
      </c>
      <c r="AB404" t="inlineStr">
        <is>
          <t>3</t>
        </is>
      </c>
      <c r="AC404" t="inlineStr">
        <is>
          <t>2</t>
        </is>
      </c>
      <c r="AD404" s="3">
        <f>UPPER(C3)</f>
        <v/>
      </c>
      <c r="AE404" s="3">
        <f>VLOOKUP(E3,'[1]Nómina Agentes'!$C:$D,3,0)</f>
        <v/>
      </c>
      <c r="AF404" s="5">
        <f>F3</f>
        <v/>
      </c>
      <c r="AG404" s="5">
        <f>H3</f>
        <v/>
      </c>
    </row>
    <row r="405">
      <c r="A405" s="1" t="inlineStr">
        <is>
          <t>9/10/2024</t>
        </is>
      </c>
      <c r="B405" t="inlineStr">
        <is>
          <t>925</t>
        </is>
      </c>
      <c r="C405" t="inlineStr">
        <is>
          <t>S2S Premium</t>
        </is>
      </c>
      <c r="D405" t="inlineStr">
        <is>
          <t>*Pm_Barreto, Mauro</t>
        </is>
      </c>
      <c r="E405" t="inlineStr">
        <is>
          <t>628300</t>
        </is>
      </c>
      <c r="F405" s="2" t="inlineStr">
        <is>
          <t>09:00</t>
        </is>
      </c>
      <c r="G405" t="inlineStr">
        <is>
          <t>-</t>
        </is>
      </c>
      <c r="H405" s="2" t="inlineStr">
        <is>
          <t>09:30</t>
        </is>
      </c>
      <c r="I405" t="inlineStr">
        <is>
          <t>51,000000000</t>
        </is>
      </c>
      <c r="J405" t="inlineStr">
        <is>
          <t>,000000000</t>
        </is>
      </c>
      <c r="K405" t="inlineStr">
        <is>
          <t>,000000000</t>
        </is>
      </c>
      <c r="L405" t="inlineStr">
        <is>
          <t>7,000000000</t>
        </is>
      </c>
      <c r="M405" t="inlineStr">
        <is>
          <t>,000000000</t>
        </is>
      </c>
      <c r="N405" t="inlineStr">
        <is>
          <t>,000000000</t>
        </is>
      </c>
      <c r="O405" t="inlineStr">
        <is>
          <t>,000000000</t>
        </is>
      </c>
      <c r="P405" t="inlineStr">
        <is>
          <t>,000000000</t>
        </is>
      </c>
      <c r="Q405" t="inlineStr">
        <is>
          <t>,000000000</t>
        </is>
      </c>
      <c r="R405" t="inlineStr">
        <is>
          <t>,000000000</t>
        </is>
      </c>
      <c r="S405" t="inlineStr">
        <is>
          <t>,000000000</t>
        </is>
      </c>
      <c r="T405" t="inlineStr">
        <is>
          <t>,000000000</t>
        </is>
      </c>
      <c r="U405" t="inlineStr">
        <is>
          <t>,000000000</t>
        </is>
      </c>
      <c r="V405" t="inlineStr">
        <is>
          <t>,000000000</t>
        </is>
      </c>
      <c r="W405" t="inlineStr">
        <is>
          <t>,000000000</t>
        </is>
      </c>
      <c r="X405" t="inlineStr">
        <is>
          <t>,000000000</t>
        </is>
      </c>
      <c r="Y405" t="inlineStr">
        <is>
          <t>,000000000</t>
        </is>
      </c>
      <c r="Z405" t="inlineStr">
        <is>
          <t>,000000000</t>
        </is>
      </c>
      <c r="AA405" t="inlineStr">
        <is>
          <t>,000000000</t>
        </is>
      </c>
      <c r="AB405" t="inlineStr">
        <is>
          <t>1</t>
        </is>
      </c>
      <c r="AC405" t="inlineStr">
        <is>
          <t>0</t>
        </is>
      </c>
      <c r="AD405" s="3">
        <f>UPPER(C3)</f>
        <v/>
      </c>
      <c r="AE405" s="3">
        <f>VLOOKUP(E3,'[1]Nómina Agentes'!$C:$D,3,0)</f>
        <v/>
      </c>
      <c r="AF405" s="5">
        <f>F3</f>
        <v/>
      </c>
      <c r="AG405" s="5">
        <f>H3</f>
        <v/>
      </c>
    </row>
    <row r="406">
      <c r="A406" s="1" t="inlineStr">
        <is>
          <t>9/10/2024</t>
        </is>
      </c>
      <c r="B406" t="inlineStr">
        <is>
          <t>925</t>
        </is>
      </c>
      <c r="C406" t="inlineStr">
        <is>
          <t>S2S Premium</t>
        </is>
      </c>
      <c r="D406" t="inlineStr">
        <is>
          <t>*Pm_Barreto, Mauro</t>
        </is>
      </c>
      <c r="E406" t="inlineStr">
        <is>
          <t>628300</t>
        </is>
      </c>
      <c r="F406" s="2" t="inlineStr">
        <is>
          <t>10:00</t>
        </is>
      </c>
      <c r="G406" t="inlineStr">
        <is>
          <t>-</t>
        </is>
      </c>
      <c r="H406" s="2" t="inlineStr">
        <is>
          <t>10:30</t>
        </is>
      </c>
      <c r="I406" t="inlineStr">
        <is>
          <t>460,000000000</t>
        </is>
      </c>
      <c r="J406" t="inlineStr">
        <is>
          <t>,000000000</t>
        </is>
      </c>
      <c r="K406" t="inlineStr">
        <is>
          <t>,000000000</t>
        </is>
      </c>
      <c r="L406" t="inlineStr">
        <is>
          <t>4,000000000</t>
        </is>
      </c>
      <c r="M406" t="inlineStr">
        <is>
          <t>,000000000</t>
        </is>
      </c>
      <c r="N406" t="inlineStr">
        <is>
          <t>,000000000</t>
        </is>
      </c>
      <c r="O406" t="inlineStr">
        <is>
          <t>,000000000</t>
        </is>
      </c>
      <c r="P406" t="inlineStr">
        <is>
          <t>721,000000000</t>
        </is>
      </c>
      <c r="Q406" t="inlineStr">
        <is>
          <t>644,000000000</t>
        </is>
      </c>
      <c r="R406" t="inlineStr">
        <is>
          <t>,000000000</t>
        </is>
      </c>
      <c r="S406" t="inlineStr">
        <is>
          <t>,000000000</t>
        </is>
      </c>
      <c r="T406" t="inlineStr">
        <is>
          <t>,000000000</t>
        </is>
      </c>
      <c r="U406" t="inlineStr">
        <is>
          <t>,000000000</t>
        </is>
      </c>
      <c r="V406" t="inlineStr">
        <is>
          <t>,000000000</t>
        </is>
      </c>
      <c r="W406" t="inlineStr">
        <is>
          <t>,000000000</t>
        </is>
      </c>
      <c r="X406" t="inlineStr">
        <is>
          <t>,000000000</t>
        </is>
      </c>
      <c r="Y406" t="inlineStr">
        <is>
          <t>,000000000</t>
        </is>
      </c>
      <c r="Z406" t="inlineStr">
        <is>
          <t>,000000000</t>
        </is>
      </c>
      <c r="AA406" t="inlineStr">
        <is>
          <t>,000000000</t>
        </is>
      </c>
      <c r="AB406" t="inlineStr">
        <is>
          <t>1</t>
        </is>
      </c>
      <c r="AC406" t="inlineStr">
        <is>
          <t>1</t>
        </is>
      </c>
      <c r="AD406" s="3">
        <f>UPPER(C3)</f>
        <v/>
      </c>
      <c r="AE406" s="3">
        <f>VLOOKUP(E3,'[1]Nómina Agentes'!$C:$D,3,0)</f>
        <v/>
      </c>
      <c r="AF406" s="5">
        <f>F3</f>
        <v/>
      </c>
      <c r="AG406" s="5">
        <f>H3</f>
        <v/>
      </c>
    </row>
    <row r="407">
      <c r="A407" s="1" t="inlineStr">
        <is>
          <t>9/10/2024</t>
        </is>
      </c>
      <c r="B407" t="inlineStr">
        <is>
          <t>925</t>
        </is>
      </c>
      <c r="C407" t="inlineStr">
        <is>
          <t>S2S Premium</t>
        </is>
      </c>
      <c r="D407" t="inlineStr">
        <is>
          <t>*Pm_Barreto, Mauro</t>
        </is>
      </c>
      <c r="E407" t="inlineStr">
        <is>
          <t>628300</t>
        </is>
      </c>
      <c r="F407" s="2" t="inlineStr">
        <is>
          <t>10:30</t>
        </is>
      </c>
      <c r="G407" t="inlineStr">
        <is>
          <t>-</t>
        </is>
      </c>
      <c r="H407" s="2" t="inlineStr">
        <is>
          <t>11:00</t>
        </is>
      </c>
      <c r="I407" t="inlineStr">
        <is>
          <t>1040,000000000</t>
        </is>
      </c>
      <c r="J407" t="inlineStr">
        <is>
          <t>,000000000</t>
        </is>
      </c>
      <c r="K407" t="inlineStr">
        <is>
          <t>,000000000</t>
        </is>
      </c>
      <c r="L407" t="inlineStr">
        <is>
          <t>24,000000000</t>
        </is>
      </c>
      <c r="M407" t="inlineStr">
        <is>
          <t>,000000000</t>
        </is>
      </c>
      <c r="N407" t="inlineStr">
        <is>
          <t>,000000000</t>
        </is>
      </c>
      <c r="O407" t="inlineStr">
        <is>
          <t>,000000000</t>
        </is>
      </c>
      <c r="P407" t="inlineStr">
        <is>
          <t>163,000000000</t>
        </is>
      </c>
      <c r="Q407" t="inlineStr">
        <is>
          <t>129,000000000</t>
        </is>
      </c>
      <c r="R407" t="inlineStr">
        <is>
          <t>,000000000</t>
        </is>
      </c>
      <c r="S407" t="inlineStr">
        <is>
          <t>,000000000</t>
        </is>
      </c>
      <c r="T407" t="inlineStr">
        <is>
          <t>,000000000</t>
        </is>
      </c>
      <c r="U407" t="inlineStr">
        <is>
          <t>,000000000</t>
        </is>
      </c>
      <c r="V407" t="inlineStr">
        <is>
          <t>,000000000</t>
        </is>
      </c>
      <c r="W407" t="inlineStr">
        <is>
          <t>,000000000</t>
        </is>
      </c>
      <c r="X407" t="inlineStr">
        <is>
          <t>,000000000</t>
        </is>
      </c>
      <c r="Y407" t="inlineStr">
        <is>
          <t>,000000000</t>
        </is>
      </c>
      <c r="Z407" t="inlineStr">
        <is>
          <t>,000000000</t>
        </is>
      </c>
      <c r="AA407" t="inlineStr">
        <is>
          <t>,000000000</t>
        </is>
      </c>
      <c r="AB407" t="inlineStr">
        <is>
          <t>5</t>
        </is>
      </c>
      <c r="AC407" t="inlineStr">
        <is>
          <t>5</t>
        </is>
      </c>
      <c r="AD407" s="3">
        <f>UPPER(C3)</f>
        <v/>
      </c>
      <c r="AE407" s="3">
        <f>VLOOKUP(E3,'[1]Nómina Agentes'!$C:$D,3,0)</f>
        <v/>
      </c>
      <c r="AF407" s="5">
        <f>F3</f>
        <v/>
      </c>
      <c r="AG407" s="5">
        <f>H3</f>
        <v/>
      </c>
    </row>
    <row r="408">
      <c r="A408" s="1" t="inlineStr">
        <is>
          <t>9/10/2024</t>
        </is>
      </c>
      <c r="B408" t="inlineStr">
        <is>
          <t>925</t>
        </is>
      </c>
      <c r="C408" t="inlineStr">
        <is>
          <t>S2S Premium</t>
        </is>
      </c>
      <c r="D408" t="inlineStr">
        <is>
          <t>*Pm_Barreto, Mauro</t>
        </is>
      </c>
      <c r="E408" t="inlineStr">
        <is>
          <t>628300</t>
        </is>
      </c>
      <c r="F408" s="2" t="inlineStr">
        <is>
          <t>09:30</t>
        </is>
      </c>
      <c r="G408" t="inlineStr">
        <is>
          <t>-</t>
        </is>
      </c>
      <c r="H408" s="2" t="inlineStr">
        <is>
          <t>10:00</t>
        </is>
      </c>
      <c r="I408" t="inlineStr">
        <is>
          <t>1111,000000000</t>
        </is>
      </c>
      <c r="J408" t="inlineStr">
        <is>
          <t>,000000000</t>
        </is>
      </c>
      <c r="K408" t="inlineStr">
        <is>
          <t>,000000000</t>
        </is>
      </c>
      <c r="L408" t="inlineStr">
        <is>
          <t>12,000000000</t>
        </is>
      </c>
      <c r="M408" t="inlineStr">
        <is>
          <t>,000000000</t>
        </is>
      </c>
      <c r="N408" t="inlineStr">
        <is>
          <t>,000000000</t>
        </is>
      </c>
      <c r="O408" t="inlineStr">
        <is>
          <t>,000000000</t>
        </is>
      </c>
      <c r="P408" t="inlineStr">
        <is>
          <t>231,000000000</t>
        </is>
      </c>
      <c r="Q408" t="inlineStr">
        <is>
          <t>47,000000000</t>
        </is>
      </c>
      <c r="R408" t="inlineStr">
        <is>
          <t>,000000000</t>
        </is>
      </c>
      <c r="S408" t="inlineStr">
        <is>
          <t>,000000000</t>
        </is>
      </c>
      <c r="T408" t="inlineStr">
        <is>
          <t>,000000000</t>
        </is>
      </c>
      <c r="U408" t="inlineStr">
        <is>
          <t>,000000000</t>
        </is>
      </c>
      <c r="V408" t="inlineStr">
        <is>
          <t>,000000000</t>
        </is>
      </c>
      <c r="W408" t="inlineStr">
        <is>
          <t>,000000000</t>
        </is>
      </c>
      <c r="X408" t="inlineStr">
        <is>
          <t>,000000000</t>
        </is>
      </c>
      <c r="Y408" t="inlineStr">
        <is>
          <t>,000000000</t>
        </is>
      </c>
      <c r="Z408" t="inlineStr">
        <is>
          <t>,000000000</t>
        </is>
      </c>
      <c r="AA408" t="inlineStr">
        <is>
          <t>,000000000</t>
        </is>
      </c>
      <c r="AB408" t="inlineStr">
        <is>
          <t>4</t>
        </is>
      </c>
      <c r="AC408" t="inlineStr">
        <is>
          <t>3</t>
        </is>
      </c>
      <c r="AD408" s="3">
        <f>UPPER(C3)</f>
        <v/>
      </c>
      <c r="AE408" s="3">
        <f>VLOOKUP(E3,'[1]Nómina Agentes'!$C:$D,3,0)</f>
        <v/>
      </c>
      <c r="AF408" s="5">
        <f>F3</f>
        <v/>
      </c>
      <c r="AG408" s="5">
        <f>H3</f>
        <v/>
      </c>
    </row>
    <row r="409">
      <c r="A409" s="1" t="inlineStr">
        <is>
          <t>9/10/2024</t>
        </is>
      </c>
      <c r="B409" t="inlineStr">
        <is>
          <t>925</t>
        </is>
      </c>
      <c r="C409" t="inlineStr">
        <is>
          <t>S2S Premium</t>
        </is>
      </c>
      <c r="D409" t="inlineStr">
        <is>
          <t>Pm_Aguirre, Jorge</t>
        </is>
      </c>
      <c r="E409" t="inlineStr">
        <is>
          <t>628356</t>
        </is>
      </c>
      <c r="F409" s="2" t="inlineStr">
        <is>
          <t>11:00</t>
        </is>
      </c>
      <c r="G409" t="inlineStr">
        <is>
          <t>-</t>
        </is>
      </c>
      <c r="H409" s="2" t="inlineStr">
        <is>
          <t>11:30</t>
        </is>
      </c>
      <c r="I409" t="inlineStr">
        <is>
          <t>,000000000</t>
        </is>
      </c>
      <c r="J409" t="inlineStr">
        <is>
          <t>,000000000</t>
        </is>
      </c>
      <c r="K409" t="inlineStr">
        <is>
          <t>,000000000</t>
        </is>
      </c>
      <c r="L409" t="inlineStr">
        <is>
          <t>,000000000</t>
        </is>
      </c>
      <c r="M409" t="inlineStr">
        <is>
          <t>,000000000</t>
        </is>
      </c>
      <c r="N409" t="inlineStr">
        <is>
          <t>,000000000</t>
        </is>
      </c>
      <c r="O409" t="inlineStr">
        <is>
          <t>,000000000</t>
        </is>
      </c>
      <c r="P409" t="inlineStr">
        <is>
          <t>,000000000</t>
        </is>
      </c>
      <c r="Q409" t="inlineStr">
        <is>
          <t>,000000000</t>
        </is>
      </c>
      <c r="R409" t="inlineStr">
        <is>
          <t>,000000000</t>
        </is>
      </c>
      <c r="S409" t="inlineStr">
        <is>
          <t>,000000000</t>
        </is>
      </c>
      <c r="T409" t="inlineStr">
        <is>
          <t>,000000000</t>
        </is>
      </c>
      <c r="U409" t="inlineStr">
        <is>
          <t>,000000000</t>
        </is>
      </c>
      <c r="V409" t="inlineStr">
        <is>
          <t>,000000000</t>
        </is>
      </c>
      <c r="W409" t="inlineStr">
        <is>
          <t>,000000000</t>
        </is>
      </c>
      <c r="X409" t="inlineStr">
        <is>
          <t>,000000000</t>
        </is>
      </c>
      <c r="Y409" t="inlineStr">
        <is>
          <t>,000000000</t>
        </is>
      </c>
      <c r="Z409" t="inlineStr">
        <is>
          <t>,000000000</t>
        </is>
      </c>
      <c r="AA409" t="inlineStr">
        <is>
          <t>,000000000</t>
        </is>
      </c>
      <c r="AB409" t="inlineStr">
        <is>
          <t>0</t>
        </is>
      </c>
      <c r="AC409" t="inlineStr">
        <is>
          <t>0</t>
        </is>
      </c>
      <c r="AD409" s="3">
        <f>UPPER(C3)</f>
        <v/>
      </c>
      <c r="AE409" s="3">
        <f>VLOOKUP(E3,'[1]Nómina Agentes'!$C:$D,3,0)</f>
        <v/>
      </c>
      <c r="AF409" s="5">
        <f>F3</f>
        <v/>
      </c>
      <c r="AG409" s="5">
        <f>H3</f>
        <v/>
      </c>
    </row>
    <row r="410">
      <c r="A410" s="1" t="inlineStr">
        <is>
          <t>9/10/2024</t>
        </is>
      </c>
      <c r="B410" t="inlineStr">
        <is>
          <t>925</t>
        </is>
      </c>
      <c r="C410" t="inlineStr">
        <is>
          <t>S2S Premium</t>
        </is>
      </c>
      <c r="D410" t="inlineStr">
        <is>
          <t>Pm_Aguirre, Jorge</t>
        </is>
      </c>
      <c r="E410" t="inlineStr">
        <is>
          <t>628356</t>
        </is>
      </c>
      <c r="F410" s="2" t="inlineStr">
        <is>
          <t>10:00</t>
        </is>
      </c>
      <c r="G410" t="inlineStr">
        <is>
          <t>-</t>
        </is>
      </c>
      <c r="H410" s="2" t="inlineStr">
        <is>
          <t>10:30</t>
        </is>
      </c>
      <c r="I410" t="inlineStr">
        <is>
          <t>220,000000000</t>
        </is>
      </c>
      <c r="J410" t="inlineStr">
        <is>
          <t>,000000000</t>
        </is>
      </c>
      <c r="K410" t="inlineStr">
        <is>
          <t>,000000000</t>
        </is>
      </c>
      <c r="L410" t="inlineStr">
        <is>
          <t>4,000000000</t>
        </is>
      </c>
      <c r="M410" t="inlineStr">
        <is>
          <t>,000000000</t>
        </is>
      </c>
      <c r="N410" t="inlineStr">
        <is>
          <t>,000000000</t>
        </is>
      </c>
      <c r="O410" t="inlineStr">
        <is>
          <t>,000000000</t>
        </is>
      </c>
      <c r="P410" t="inlineStr">
        <is>
          <t>83,000000000</t>
        </is>
      </c>
      <c r="Q410" t="inlineStr">
        <is>
          <t>,000000000</t>
        </is>
      </c>
      <c r="R410" t="inlineStr">
        <is>
          <t>,000000000</t>
        </is>
      </c>
      <c r="S410" t="inlineStr">
        <is>
          <t>,000000000</t>
        </is>
      </c>
      <c r="T410" t="inlineStr">
        <is>
          <t>,000000000</t>
        </is>
      </c>
      <c r="U410" t="inlineStr">
        <is>
          <t>,000000000</t>
        </is>
      </c>
      <c r="V410" t="inlineStr">
        <is>
          <t>,000000000</t>
        </is>
      </c>
      <c r="W410" t="inlineStr">
        <is>
          <t>,000000000</t>
        </is>
      </c>
      <c r="X410" t="inlineStr">
        <is>
          <t>,000000000</t>
        </is>
      </c>
      <c r="Y410" t="inlineStr">
        <is>
          <t>,000000000</t>
        </is>
      </c>
      <c r="Z410" t="inlineStr">
        <is>
          <t>,000000000</t>
        </is>
      </c>
      <c r="AA410" t="inlineStr">
        <is>
          <t>,000000000</t>
        </is>
      </c>
      <c r="AB410" t="inlineStr">
        <is>
          <t>1</t>
        </is>
      </c>
      <c r="AC410" t="inlineStr">
        <is>
          <t>1</t>
        </is>
      </c>
      <c r="AD410" s="3">
        <f>UPPER(C3)</f>
        <v/>
      </c>
      <c r="AE410" s="3">
        <f>VLOOKUP(E3,'[1]Nómina Agentes'!$C:$D,3,0)</f>
        <v/>
      </c>
      <c r="AF410" s="5">
        <f>F3</f>
        <v/>
      </c>
      <c r="AG410" s="5">
        <f>H3</f>
        <v/>
      </c>
    </row>
    <row r="411">
      <c r="A411" s="1" t="inlineStr">
        <is>
          <t>9/10/2024</t>
        </is>
      </c>
      <c r="B411" t="inlineStr">
        <is>
          <t>925</t>
        </is>
      </c>
      <c r="C411" t="inlineStr">
        <is>
          <t>S2S Premium</t>
        </is>
      </c>
      <c r="D411" t="inlineStr">
        <is>
          <t>Pm_Aguirre, Jorge</t>
        </is>
      </c>
      <c r="E411" t="inlineStr">
        <is>
          <t>628356</t>
        </is>
      </c>
      <c r="F411" s="2" t="inlineStr">
        <is>
          <t>09:00</t>
        </is>
      </c>
      <c r="G411" t="inlineStr">
        <is>
          <t>-</t>
        </is>
      </c>
      <c r="H411" s="2" t="inlineStr">
        <is>
          <t>09:30</t>
        </is>
      </c>
      <c r="I411" t="inlineStr">
        <is>
          <t>233,000000000</t>
        </is>
      </c>
      <c r="J411" t="inlineStr">
        <is>
          <t>,000000000</t>
        </is>
      </c>
      <c r="K411" t="inlineStr">
        <is>
          <t>,000000000</t>
        </is>
      </c>
      <c r="L411" t="inlineStr">
        <is>
          <t>8,000000000</t>
        </is>
      </c>
      <c r="M411" t="inlineStr">
        <is>
          <t>,000000000</t>
        </is>
      </c>
      <c r="N411" t="inlineStr">
        <is>
          <t>,000000000</t>
        </is>
      </c>
      <c r="O411" t="inlineStr">
        <is>
          <t>,000000000</t>
        </is>
      </c>
      <c r="P411" t="inlineStr">
        <is>
          <t>52,000000000</t>
        </is>
      </c>
      <c r="Q411" t="inlineStr">
        <is>
          <t>,000000000</t>
        </is>
      </c>
      <c r="R411" t="inlineStr">
        <is>
          <t>,000000000</t>
        </is>
      </c>
      <c r="S411" t="inlineStr">
        <is>
          <t>,000000000</t>
        </is>
      </c>
      <c r="T411" t="inlineStr">
        <is>
          <t>,000000000</t>
        </is>
      </c>
      <c r="U411" t="inlineStr">
        <is>
          <t>,000000000</t>
        </is>
      </c>
      <c r="V411" t="inlineStr">
        <is>
          <t>,000000000</t>
        </is>
      </c>
      <c r="W411" t="inlineStr">
        <is>
          <t>,000000000</t>
        </is>
      </c>
      <c r="X411" t="inlineStr">
        <is>
          <t>,000000000</t>
        </is>
      </c>
      <c r="Y411" t="inlineStr">
        <is>
          <t>,000000000</t>
        </is>
      </c>
      <c r="Z411" t="inlineStr">
        <is>
          <t>,000000000</t>
        </is>
      </c>
      <c r="AA411" t="inlineStr">
        <is>
          <t>,000000000</t>
        </is>
      </c>
      <c r="AB411" t="inlineStr">
        <is>
          <t>1</t>
        </is>
      </c>
      <c r="AC411" t="inlineStr">
        <is>
          <t>1</t>
        </is>
      </c>
      <c r="AD411" s="3">
        <f>UPPER(C3)</f>
        <v/>
      </c>
      <c r="AE411" s="3">
        <f>VLOOKUP(E3,'[1]Nómina Agentes'!$C:$D,3,0)</f>
        <v/>
      </c>
      <c r="AF411" s="5">
        <f>F3</f>
        <v/>
      </c>
      <c r="AG411" s="5">
        <f>H3</f>
        <v/>
      </c>
    </row>
    <row r="412">
      <c r="A412" s="1" t="inlineStr">
        <is>
          <t>9/10/2024</t>
        </is>
      </c>
      <c r="B412" t="inlineStr">
        <is>
          <t>925</t>
        </is>
      </c>
      <c r="C412" t="inlineStr">
        <is>
          <t>S2S Premium</t>
        </is>
      </c>
      <c r="D412" t="inlineStr">
        <is>
          <t>Pm_Aguirre, Jorge</t>
        </is>
      </c>
      <c r="E412" t="inlineStr">
        <is>
          <t>628356</t>
        </is>
      </c>
      <c r="F412" s="2" t="inlineStr">
        <is>
          <t>10:30</t>
        </is>
      </c>
      <c r="G412" t="inlineStr">
        <is>
          <t>-</t>
        </is>
      </c>
      <c r="H412" s="2" t="inlineStr">
        <is>
          <t>11:00</t>
        </is>
      </c>
      <c r="I412" t="inlineStr">
        <is>
          <t>626,000000000</t>
        </is>
      </c>
      <c r="J412" t="inlineStr">
        <is>
          <t>,000000000</t>
        </is>
      </c>
      <c r="K412" t="inlineStr">
        <is>
          <t>,000000000</t>
        </is>
      </c>
      <c r="L412" t="inlineStr">
        <is>
          <t>16,000000000</t>
        </is>
      </c>
      <c r="M412" t="inlineStr">
        <is>
          <t>,000000000</t>
        </is>
      </c>
      <c r="N412" t="inlineStr">
        <is>
          <t>,000000000</t>
        </is>
      </c>
      <c r="O412" t="inlineStr">
        <is>
          <t>,000000000</t>
        </is>
      </c>
      <c r="P412" t="inlineStr">
        <is>
          <t>458,000000000</t>
        </is>
      </c>
      <c r="Q412" t="inlineStr">
        <is>
          <t>51,000000000</t>
        </is>
      </c>
      <c r="R412" t="inlineStr">
        <is>
          <t>,000000000</t>
        </is>
      </c>
      <c r="S412" t="inlineStr">
        <is>
          <t>,000000000</t>
        </is>
      </c>
      <c r="T412" t="inlineStr">
        <is>
          <t>,000000000</t>
        </is>
      </c>
      <c r="U412" t="inlineStr">
        <is>
          <t>,000000000</t>
        </is>
      </c>
      <c r="V412" t="inlineStr">
        <is>
          <t>,000000000</t>
        </is>
      </c>
      <c r="W412" t="inlineStr">
        <is>
          <t>,000000000</t>
        </is>
      </c>
      <c r="X412" t="inlineStr">
        <is>
          <t>,000000000</t>
        </is>
      </c>
      <c r="Y412" t="inlineStr">
        <is>
          <t>,000000000</t>
        </is>
      </c>
      <c r="Z412" t="inlineStr">
        <is>
          <t>,000000000</t>
        </is>
      </c>
      <c r="AA412" t="inlineStr">
        <is>
          <t>,000000000</t>
        </is>
      </c>
      <c r="AB412" t="inlineStr">
        <is>
          <t>4</t>
        </is>
      </c>
      <c r="AC412" t="inlineStr">
        <is>
          <t>4</t>
        </is>
      </c>
      <c r="AD412" s="3">
        <f>UPPER(C3)</f>
        <v/>
      </c>
      <c r="AE412" s="3">
        <f>VLOOKUP(E3,'[1]Nómina Agentes'!$C:$D,3,0)</f>
        <v/>
      </c>
      <c r="AF412" s="5">
        <f>F3</f>
        <v/>
      </c>
      <c r="AG412" s="5">
        <f>H3</f>
        <v/>
      </c>
    </row>
    <row r="413">
      <c r="A413" s="1" t="inlineStr">
        <is>
          <t>9/10/2024</t>
        </is>
      </c>
      <c r="B413" t="inlineStr">
        <is>
          <t>925</t>
        </is>
      </c>
      <c r="C413" t="inlineStr">
        <is>
          <t>S2S Premium</t>
        </is>
      </c>
      <c r="D413" t="inlineStr">
        <is>
          <t>Pm_Aguirre, Jorge</t>
        </is>
      </c>
      <c r="E413" t="inlineStr">
        <is>
          <t>628356</t>
        </is>
      </c>
      <c r="F413" s="2" t="inlineStr">
        <is>
          <t>09:30</t>
        </is>
      </c>
      <c r="G413" t="inlineStr">
        <is>
          <t>-</t>
        </is>
      </c>
      <c r="H413" s="2" t="inlineStr">
        <is>
          <t>10:00</t>
        </is>
      </c>
      <c r="I413" t="inlineStr">
        <is>
          <t>1001,000000000</t>
        </is>
      </c>
      <c r="J413" t="inlineStr">
        <is>
          <t>,000000000</t>
        </is>
      </c>
      <c r="K413" t="inlineStr">
        <is>
          <t>,000000000</t>
        </is>
      </c>
      <c r="L413" t="inlineStr">
        <is>
          <t>16,000000000</t>
        </is>
      </c>
      <c r="M413" t="inlineStr">
        <is>
          <t>,000000000</t>
        </is>
      </c>
      <c r="N413" t="inlineStr">
        <is>
          <t>,000000000</t>
        </is>
      </c>
      <c r="O413" t="inlineStr">
        <is>
          <t>,000000000</t>
        </is>
      </c>
      <c r="P413" t="inlineStr">
        <is>
          <t>32,000000000</t>
        </is>
      </c>
      <c r="Q413" t="inlineStr">
        <is>
          <t>,000000000</t>
        </is>
      </c>
      <c r="R413" t="inlineStr">
        <is>
          <t>,000000000</t>
        </is>
      </c>
      <c r="S413" t="inlineStr">
        <is>
          <t>,000000000</t>
        </is>
      </c>
      <c r="T413" t="inlineStr">
        <is>
          <t>,000000000</t>
        </is>
      </c>
      <c r="U413" t="inlineStr">
        <is>
          <t>,000000000</t>
        </is>
      </c>
      <c r="V413" t="inlineStr">
        <is>
          <t>,000000000</t>
        </is>
      </c>
      <c r="W413" t="inlineStr">
        <is>
          <t>,000000000</t>
        </is>
      </c>
      <c r="X413" t="inlineStr">
        <is>
          <t>,000000000</t>
        </is>
      </c>
      <c r="Y413" t="inlineStr">
        <is>
          <t>,000000000</t>
        </is>
      </c>
      <c r="Z413" t="inlineStr">
        <is>
          <t>,000000000</t>
        </is>
      </c>
      <c r="AA413" t="inlineStr">
        <is>
          <t>,000000000</t>
        </is>
      </c>
      <c r="AB413" t="inlineStr">
        <is>
          <t>5</t>
        </is>
      </c>
      <c r="AC413" t="inlineStr">
        <is>
          <t>5</t>
        </is>
      </c>
      <c r="AD413" s="3">
        <f>UPPER(C3)</f>
        <v/>
      </c>
      <c r="AE413" s="3">
        <f>VLOOKUP(E3,'[1]Nómina Agentes'!$C:$D,3,0)</f>
        <v/>
      </c>
      <c r="AF413" s="5">
        <f>F3</f>
        <v/>
      </c>
      <c r="AG413" s="5">
        <f>H3</f>
        <v/>
      </c>
    </row>
    <row r="414">
      <c r="A414" s="1" t="inlineStr">
        <is>
          <t>9/10/2024</t>
        </is>
      </c>
      <c r="B414" t="inlineStr">
        <is>
          <t>924</t>
        </is>
      </c>
      <c r="C414" t="inlineStr">
        <is>
          <t>S2S No Premium</t>
        </is>
      </c>
      <c r="D414" t="inlineStr">
        <is>
          <t>XPm_Dure, Alan</t>
        </is>
      </c>
      <c r="E414" t="inlineStr">
        <is>
          <t>628367</t>
        </is>
      </c>
      <c r="F414" s="2" t="inlineStr">
        <is>
          <t>08:00</t>
        </is>
      </c>
      <c r="G414" t="inlineStr">
        <is>
          <t>-</t>
        </is>
      </c>
      <c r="H414" s="2" t="inlineStr">
        <is>
          <t>08:30</t>
        </is>
      </c>
      <c r="I414" t="inlineStr">
        <is>
          <t>197,000000000</t>
        </is>
      </c>
      <c r="J414" t="inlineStr">
        <is>
          <t>,000000000</t>
        </is>
      </c>
      <c r="K414" t="inlineStr">
        <is>
          <t>,000000000</t>
        </is>
      </c>
      <c r="L414" t="inlineStr">
        <is>
          <t>5,000000000</t>
        </is>
      </c>
      <c r="M414" t="inlineStr">
        <is>
          <t>,000000000</t>
        </is>
      </c>
      <c r="N414" t="inlineStr">
        <is>
          <t>,000000000</t>
        </is>
      </c>
      <c r="O414" t="inlineStr">
        <is>
          <t>,000000000</t>
        </is>
      </c>
      <c r="P414" t="inlineStr">
        <is>
          <t>102,000000000</t>
        </is>
      </c>
      <c r="Q414" t="inlineStr">
        <is>
          <t>,000000000</t>
        </is>
      </c>
      <c r="R414" t="inlineStr">
        <is>
          <t>,000000000</t>
        </is>
      </c>
      <c r="S414" t="inlineStr">
        <is>
          <t>,000000000</t>
        </is>
      </c>
      <c r="T414" t="inlineStr">
        <is>
          <t>,000000000</t>
        </is>
      </c>
      <c r="U414" t="inlineStr">
        <is>
          <t>,000000000</t>
        </is>
      </c>
      <c r="V414" t="inlineStr">
        <is>
          <t>,000000000</t>
        </is>
      </c>
      <c r="W414" t="inlineStr">
        <is>
          <t>,000000000</t>
        </is>
      </c>
      <c r="X414" t="inlineStr">
        <is>
          <t>,000000000</t>
        </is>
      </c>
      <c r="Y414" t="inlineStr">
        <is>
          <t>,000000000</t>
        </is>
      </c>
      <c r="Z414" t="inlineStr">
        <is>
          <t>,000000000</t>
        </is>
      </c>
      <c r="AA414" t="inlineStr">
        <is>
          <t>,000000000</t>
        </is>
      </c>
      <c r="AB414" t="inlineStr">
        <is>
          <t>1</t>
        </is>
      </c>
      <c r="AC414" t="inlineStr">
        <is>
          <t>1</t>
        </is>
      </c>
      <c r="AD414" s="3">
        <f>UPPER(C3)</f>
        <v/>
      </c>
      <c r="AE414" s="3">
        <f>VLOOKUP(E3,'[1]Nómina Agentes'!$C:$D,3,0)</f>
        <v/>
      </c>
      <c r="AF414" s="5">
        <f>F3</f>
        <v/>
      </c>
      <c r="AG414" s="5">
        <f>H3</f>
        <v/>
      </c>
    </row>
    <row r="415">
      <c r="A415" s="1" t="inlineStr">
        <is>
          <t>9/10/2024</t>
        </is>
      </c>
      <c r="B415" t="inlineStr">
        <is>
          <t>924</t>
        </is>
      </c>
      <c r="C415" t="inlineStr">
        <is>
          <t>S2S No Premium</t>
        </is>
      </c>
      <c r="D415" t="inlineStr">
        <is>
          <t>XPm_Dure, Alan</t>
        </is>
      </c>
      <c r="E415" t="inlineStr">
        <is>
          <t>628367</t>
        </is>
      </c>
      <c r="F415" s="2" t="inlineStr">
        <is>
          <t>09:30</t>
        </is>
      </c>
      <c r="G415" t="inlineStr">
        <is>
          <t>-</t>
        </is>
      </c>
      <c r="H415" s="2" t="inlineStr">
        <is>
          <t>10:00</t>
        </is>
      </c>
      <c r="I415" t="inlineStr">
        <is>
          <t>554,000000000</t>
        </is>
      </c>
      <c r="J415" t="inlineStr">
        <is>
          <t>,000000000</t>
        </is>
      </c>
      <c r="K415" t="inlineStr">
        <is>
          <t>,000000000</t>
        </is>
      </c>
      <c r="L415" t="inlineStr">
        <is>
          <t>13,000000000</t>
        </is>
      </c>
      <c r="M415" t="inlineStr">
        <is>
          <t>,000000000</t>
        </is>
      </c>
      <c r="N415" t="inlineStr">
        <is>
          <t>,000000000</t>
        </is>
      </c>
      <c r="O415" t="inlineStr">
        <is>
          <t>,000000000</t>
        </is>
      </c>
      <c r="P415" t="inlineStr">
        <is>
          <t>120,000000000</t>
        </is>
      </c>
      <c r="Q415" t="inlineStr">
        <is>
          <t>,000000000</t>
        </is>
      </c>
      <c r="R415" t="inlineStr">
        <is>
          <t>,000000000</t>
        </is>
      </c>
      <c r="S415" t="inlineStr">
        <is>
          <t>,000000000</t>
        </is>
      </c>
      <c r="T415" t="inlineStr">
        <is>
          <t>,000000000</t>
        </is>
      </c>
      <c r="U415" t="inlineStr">
        <is>
          <t>,000000000</t>
        </is>
      </c>
      <c r="V415" t="inlineStr">
        <is>
          <t>,000000000</t>
        </is>
      </c>
      <c r="W415" t="inlineStr">
        <is>
          <t>,000000000</t>
        </is>
      </c>
      <c r="X415" t="inlineStr">
        <is>
          <t>,000000000</t>
        </is>
      </c>
      <c r="Y415" t="inlineStr">
        <is>
          <t>,000000000</t>
        </is>
      </c>
      <c r="Z415" t="inlineStr">
        <is>
          <t>,000000000</t>
        </is>
      </c>
      <c r="AA415" t="inlineStr">
        <is>
          <t>,000000000</t>
        </is>
      </c>
      <c r="AB415" t="inlineStr">
        <is>
          <t>3</t>
        </is>
      </c>
      <c r="AC415" t="inlineStr">
        <is>
          <t>3</t>
        </is>
      </c>
      <c r="AD415" s="3">
        <f>UPPER(C3)</f>
        <v/>
      </c>
      <c r="AE415" s="3">
        <f>VLOOKUP(E3,'[1]Nómina Agentes'!$C:$D,3,0)</f>
        <v/>
      </c>
      <c r="AF415" s="5">
        <f>F3</f>
        <v/>
      </c>
      <c r="AG415" s="5">
        <f>H3</f>
        <v/>
      </c>
    </row>
    <row r="416">
      <c r="A416" s="1" t="inlineStr">
        <is>
          <t>9/10/2024</t>
        </is>
      </c>
      <c r="B416" t="inlineStr">
        <is>
          <t>924</t>
        </is>
      </c>
      <c r="C416" t="inlineStr">
        <is>
          <t>S2S No Premium</t>
        </is>
      </c>
      <c r="D416" t="inlineStr">
        <is>
          <t>XPm_Dure, Alan</t>
        </is>
      </c>
      <c r="E416" t="inlineStr">
        <is>
          <t>628367</t>
        </is>
      </c>
      <c r="F416" s="2" t="inlineStr">
        <is>
          <t>08:30</t>
        </is>
      </c>
      <c r="G416" t="inlineStr">
        <is>
          <t>-</t>
        </is>
      </c>
      <c r="H416" s="2" t="inlineStr">
        <is>
          <t>09:00</t>
        </is>
      </c>
      <c r="I416" t="inlineStr">
        <is>
          <t>665,000000000</t>
        </is>
      </c>
      <c r="J416" t="inlineStr">
        <is>
          <t>,000000000</t>
        </is>
      </c>
      <c r="K416" t="inlineStr">
        <is>
          <t>,000000000</t>
        </is>
      </c>
      <c r="L416" t="inlineStr">
        <is>
          <t>12,000000000</t>
        </is>
      </c>
      <c r="M416" t="inlineStr">
        <is>
          <t>,000000000</t>
        </is>
      </c>
      <c r="N416" t="inlineStr">
        <is>
          <t>,000000000</t>
        </is>
      </c>
      <c r="O416" t="inlineStr">
        <is>
          <t>,000000000</t>
        </is>
      </c>
      <c r="P416" t="inlineStr">
        <is>
          <t>3,000000000</t>
        </is>
      </c>
      <c r="Q416" t="inlineStr">
        <is>
          <t>,000000000</t>
        </is>
      </c>
      <c r="R416" t="inlineStr">
        <is>
          <t>,000000000</t>
        </is>
      </c>
      <c r="S416" t="inlineStr">
        <is>
          <t>,000000000</t>
        </is>
      </c>
      <c r="T416" t="inlineStr">
        <is>
          <t>,000000000</t>
        </is>
      </c>
      <c r="U416" t="inlineStr">
        <is>
          <t>,000000000</t>
        </is>
      </c>
      <c r="V416" t="inlineStr">
        <is>
          <t>,000000000</t>
        </is>
      </c>
      <c r="W416" t="inlineStr">
        <is>
          <t>,000000000</t>
        </is>
      </c>
      <c r="X416" t="inlineStr">
        <is>
          <t>,000000000</t>
        </is>
      </c>
      <c r="Y416" t="inlineStr">
        <is>
          <t>,000000000</t>
        </is>
      </c>
      <c r="Z416" t="inlineStr">
        <is>
          <t>,000000000</t>
        </is>
      </c>
      <c r="AA416" t="inlineStr">
        <is>
          <t>,000000000</t>
        </is>
      </c>
      <c r="AB416" t="inlineStr">
        <is>
          <t>3</t>
        </is>
      </c>
      <c r="AC416" t="inlineStr">
        <is>
          <t>3</t>
        </is>
      </c>
      <c r="AD416" s="3">
        <f>UPPER(C3)</f>
        <v/>
      </c>
      <c r="AE416" s="3">
        <f>VLOOKUP(E3,'[1]Nómina Agentes'!$C:$D,3,0)</f>
        <v/>
      </c>
      <c r="AF416" s="5">
        <f>F3</f>
        <v/>
      </c>
      <c r="AG416" s="5">
        <f>H3</f>
        <v/>
      </c>
    </row>
    <row r="417">
      <c r="A417" s="1" t="inlineStr">
        <is>
          <t>9/10/2024</t>
        </is>
      </c>
      <c r="B417" t="inlineStr">
        <is>
          <t>924</t>
        </is>
      </c>
      <c r="C417" t="inlineStr">
        <is>
          <t>S2S No Premium</t>
        </is>
      </c>
      <c r="D417" t="inlineStr">
        <is>
          <t>XPm_Dure, Alan</t>
        </is>
      </c>
      <c r="E417" t="inlineStr">
        <is>
          <t>628367</t>
        </is>
      </c>
      <c r="F417" s="2" t="inlineStr">
        <is>
          <t>09:00</t>
        </is>
      </c>
      <c r="G417" t="inlineStr">
        <is>
          <t>-</t>
        </is>
      </c>
      <c r="H417" s="2" t="inlineStr">
        <is>
          <t>09:30</t>
        </is>
      </c>
      <c r="I417" t="inlineStr">
        <is>
          <t>872,000000000</t>
        </is>
      </c>
      <c r="J417" t="inlineStr">
        <is>
          <t>,000000000</t>
        </is>
      </c>
      <c r="K417" t="inlineStr">
        <is>
          <t>,000000000</t>
        </is>
      </c>
      <c r="L417" t="inlineStr">
        <is>
          <t>16,000000000</t>
        </is>
      </c>
      <c r="M417" t="inlineStr">
        <is>
          <t>,000000000</t>
        </is>
      </c>
      <c r="N417" t="inlineStr">
        <is>
          <t>,000000000</t>
        </is>
      </c>
      <c r="O417" t="inlineStr">
        <is>
          <t>,000000000</t>
        </is>
      </c>
      <c r="P417" t="inlineStr">
        <is>
          <t>165,000000000</t>
        </is>
      </c>
      <c r="Q417" t="inlineStr">
        <is>
          <t>,000000000</t>
        </is>
      </c>
      <c r="R417" t="inlineStr">
        <is>
          <t>,000000000</t>
        </is>
      </c>
      <c r="S417" t="inlineStr">
        <is>
          <t>,000000000</t>
        </is>
      </c>
      <c r="T417" t="inlineStr">
        <is>
          <t>,000000000</t>
        </is>
      </c>
      <c r="U417" t="inlineStr">
        <is>
          <t>,000000000</t>
        </is>
      </c>
      <c r="V417" t="inlineStr">
        <is>
          <t>,000000000</t>
        </is>
      </c>
      <c r="W417" t="inlineStr">
        <is>
          <t>,000000000</t>
        </is>
      </c>
      <c r="X417" t="inlineStr">
        <is>
          <t>,000000000</t>
        </is>
      </c>
      <c r="Y417" t="inlineStr">
        <is>
          <t>,000000000</t>
        </is>
      </c>
      <c r="Z417" t="inlineStr">
        <is>
          <t>,000000000</t>
        </is>
      </c>
      <c r="AA417" t="inlineStr">
        <is>
          <t>,000000000</t>
        </is>
      </c>
      <c r="AB417" t="inlineStr">
        <is>
          <t>4</t>
        </is>
      </c>
      <c r="AC417" t="inlineStr">
        <is>
          <t>4</t>
        </is>
      </c>
      <c r="AD417" s="3">
        <f>UPPER(C3)</f>
        <v/>
      </c>
      <c r="AE417" s="3">
        <f>VLOOKUP(E3,'[1]Nómina Agentes'!$C:$D,3,0)</f>
        <v/>
      </c>
      <c r="AF417" s="5">
        <f>F3</f>
        <v/>
      </c>
      <c r="AG417" s="5">
        <f>H3</f>
        <v/>
      </c>
    </row>
    <row r="418">
      <c r="A418" s="1" t="inlineStr">
        <is>
          <t>9/10/2024</t>
        </is>
      </c>
      <c r="B418" t="inlineStr">
        <is>
          <t>924</t>
        </is>
      </c>
      <c r="C418" t="inlineStr">
        <is>
          <t>S2S No Premium</t>
        </is>
      </c>
      <c r="D418" t="inlineStr">
        <is>
          <t>XPm_Dure, Alan</t>
        </is>
      </c>
      <c r="E418" t="inlineStr">
        <is>
          <t>628367</t>
        </is>
      </c>
      <c r="F418" s="2" t="inlineStr">
        <is>
          <t>10:00</t>
        </is>
      </c>
      <c r="G418" t="inlineStr">
        <is>
          <t>-</t>
        </is>
      </c>
      <c r="H418" s="2" t="inlineStr">
        <is>
          <t>10:30</t>
        </is>
      </c>
      <c r="I418" t="inlineStr">
        <is>
          <t>923,000000000</t>
        </is>
      </c>
      <c r="J418" t="inlineStr">
        <is>
          <t>,000000000</t>
        </is>
      </c>
      <c r="K418" t="inlineStr">
        <is>
          <t>,000000000</t>
        </is>
      </c>
      <c r="L418" t="inlineStr">
        <is>
          <t>17,000000000</t>
        </is>
      </c>
      <c r="M418" t="inlineStr">
        <is>
          <t>,000000000</t>
        </is>
      </c>
      <c r="N418" t="inlineStr">
        <is>
          <t>,000000000</t>
        </is>
      </c>
      <c r="O418" t="inlineStr">
        <is>
          <t>,000000000</t>
        </is>
      </c>
      <c r="P418" t="inlineStr">
        <is>
          <t>162,000000000</t>
        </is>
      </c>
      <c r="Q418" t="inlineStr">
        <is>
          <t>,000000000</t>
        </is>
      </c>
      <c r="R418" t="inlineStr">
        <is>
          <t>,000000000</t>
        </is>
      </c>
      <c r="S418" t="inlineStr">
        <is>
          <t>,000000000</t>
        </is>
      </c>
      <c r="T418" t="inlineStr">
        <is>
          <t>,000000000</t>
        </is>
      </c>
      <c r="U418" t="inlineStr">
        <is>
          <t>,000000000</t>
        </is>
      </c>
      <c r="V418" t="inlineStr">
        <is>
          <t>,000000000</t>
        </is>
      </c>
      <c r="W418" t="inlineStr">
        <is>
          <t>,000000000</t>
        </is>
      </c>
      <c r="X418" t="inlineStr">
        <is>
          <t>,000000000</t>
        </is>
      </c>
      <c r="Y418" t="inlineStr">
        <is>
          <t>,000000000</t>
        </is>
      </c>
      <c r="Z418" t="inlineStr">
        <is>
          <t>,000000000</t>
        </is>
      </c>
      <c r="AA418" t="inlineStr">
        <is>
          <t>,000000000</t>
        </is>
      </c>
      <c r="AB418" t="inlineStr">
        <is>
          <t>3</t>
        </is>
      </c>
      <c r="AC418" t="inlineStr">
        <is>
          <t>2</t>
        </is>
      </c>
      <c r="AD418" s="3">
        <f>UPPER(C3)</f>
        <v/>
      </c>
      <c r="AE418" s="3">
        <f>VLOOKUP(E3,'[1]Nómina Agentes'!$C:$D,3,0)</f>
        <v/>
      </c>
      <c r="AF418" s="5">
        <f>F3</f>
        <v/>
      </c>
      <c r="AG418" s="5">
        <f>H3</f>
        <v/>
      </c>
    </row>
    <row r="419">
      <c r="A419" s="1" t="inlineStr">
        <is>
          <t>9/10/2024</t>
        </is>
      </c>
      <c r="B419" t="inlineStr">
        <is>
          <t>924</t>
        </is>
      </c>
      <c r="C419" t="inlineStr">
        <is>
          <t>S2S No Premium</t>
        </is>
      </c>
      <c r="D419" t="inlineStr">
        <is>
          <t>XPm_Dure, Alan</t>
        </is>
      </c>
      <c r="E419" t="inlineStr">
        <is>
          <t>628367</t>
        </is>
      </c>
      <c r="F419" s="2" t="inlineStr">
        <is>
          <t>10:30</t>
        </is>
      </c>
      <c r="G419" t="inlineStr">
        <is>
          <t>-</t>
        </is>
      </c>
      <c r="H419" s="2" t="inlineStr">
        <is>
          <t>11:00</t>
        </is>
      </c>
      <c r="I419" t="inlineStr">
        <is>
          <t>1184,000000000</t>
        </is>
      </c>
      <c r="J419" t="inlineStr">
        <is>
          <t>,000000000</t>
        </is>
      </c>
      <c r="K419" t="inlineStr">
        <is>
          <t>,000000000</t>
        </is>
      </c>
      <c r="L419" t="inlineStr">
        <is>
          <t>24,000000000</t>
        </is>
      </c>
      <c r="M419" t="inlineStr">
        <is>
          <t>,000000000</t>
        </is>
      </c>
      <c r="N419" t="inlineStr">
        <is>
          <t>,000000000</t>
        </is>
      </c>
      <c r="O419" t="inlineStr">
        <is>
          <t>,000000000</t>
        </is>
      </c>
      <c r="P419" t="inlineStr">
        <is>
          <t>236,000000000</t>
        </is>
      </c>
      <c r="Q419" t="inlineStr">
        <is>
          <t>1,000000000</t>
        </is>
      </c>
      <c r="R419" t="inlineStr">
        <is>
          <t>,000000000</t>
        </is>
      </c>
      <c r="S419" t="inlineStr">
        <is>
          <t>,000000000</t>
        </is>
      </c>
      <c r="T419" t="inlineStr">
        <is>
          <t>,000000000</t>
        </is>
      </c>
      <c r="U419" t="inlineStr">
        <is>
          <t>,000000000</t>
        </is>
      </c>
      <c r="V419" t="inlineStr">
        <is>
          <t>,000000000</t>
        </is>
      </c>
      <c r="W419" t="inlineStr">
        <is>
          <t>,000000000</t>
        </is>
      </c>
      <c r="X419" t="inlineStr">
        <is>
          <t>,000000000</t>
        </is>
      </c>
      <c r="Y419" t="inlineStr">
        <is>
          <t>,000000000</t>
        </is>
      </c>
      <c r="Z419" t="inlineStr">
        <is>
          <t>,000000000</t>
        </is>
      </c>
      <c r="AA419" t="inlineStr">
        <is>
          <t>,000000000</t>
        </is>
      </c>
      <c r="AB419" t="inlineStr">
        <is>
          <t>6</t>
        </is>
      </c>
      <c r="AC419" t="inlineStr">
        <is>
          <t>3</t>
        </is>
      </c>
      <c r="AD419" s="3">
        <f>UPPER(C3)</f>
        <v/>
      </c>
      <c r="AE419" s="3">
        <f>VLOOKUP(E3,'[1]Nómina Agentes'!$C:$D,3,0)</f>
        <v/>
      </c>
      <c r="AF419" s="5">
        <f>F3</f>
        <v/>
      </c>
      <c r="AG419" s="5">
        <f>H3</f>
        <v/>
      </c>
    </row>
    <row r="420">
      <c r="A420" s="1" t="inlineStr">
        <is>
          <t>9/10/2024</t>
        </is>
      </c>
      <c r="B420" t="inlineStr">
        <is>
          <t>925</t>
        </is>
      </c>
      <c r="C420" t="inlineStr">
        <is>
          <t>S2S Premium</t>
        </is>
      </c>
      <c r="D420" t="inlineStr">
        <is>
          <t>PCC_Forlin, Rocio</t>
        </is>
      </c>
      <c r="E420" t="inlineStr">
        <is>
          <t>628368</t>
        </is>
      </c>
      <c r="F420" s="2" t="inlineStr">
        <is>
          <t>09:00</t>
        </is>
      </c>
      <c r="G420" t="inlineStr">
        <is>
          <t>-</t>
        </is>
      </c>
      <c r="H420" s="2" t="inlineStr">
        <is>
          <t>09:30</t>
        </is>
      </c>
      <c r="I420" t="inlineStr">
        <is>
          <t>795,000000000</t>
        </is>
      </c>
      <c r="J420" t="inlineStr">
        <is>
          <t>,000000000</t>
        </is>
      </c>
      <c r="K420" t="inlineStr">
        <is>
          <t>,000000000</t>
        </is>
      </c>
      <c r="L420" t="inlineStr">
        <is>
          <t>12,000000000</t>
        </is>
      </c>
      <c r="M420" t="inlineStr">
        <is>
          <t>,000000000</t>
        </is>
      </c>
      <c r="N420" t="inlineStr">
        <is>
          <t>,000000000</t>
        </is>
      </c>
      <c r="O420" t="inlineStr">
        <is>
          <t>,000000000</t>
        </is>
      </c>
      <c r="P420" t="inlineStr">
        <is>
          <t>2,000000000</t>
        </is>
      </c>
      <c r="Q420" t="inlineStr">
        <is>
          <t>,000000000</t>
        </is>
      </c>
      <c r="R420" t="inlineStr">
        <is>
          <t>,000000000</t>
        </is>
      </c>
      <c r="S420" t="inlineStr">
        <is>
          <t>,000000000</t>
        </is>
      </c>
      <c r="T420" t="inlineStr">
        <is>
          <t>,000000000</t>
        </is>
      </c>
      <c r="U420" t="inlineStr">
        <is>
          <t>,000000000</t>
        </is>
      </c>
      <c r="V420" t="inlineStr">
        <is>
          <t>,000000000</t>
        </is>
      </c>
      <c r="W420" t="inlineStr">
        <is>
          <t>,000000000</t>
        </is>
      </c>
      <c r="X420" t="inlineStr">
        <is>
          <t>,000000000</t>
        </is>
      </c>
      <c r="Y420" t="inlineStr">
        <is>
          <t>,000000000</t>
        </is>
      </c>
      <c r="Z420" t="inlineStr">
        <is>
          <t>,000000000</t>
        </is>
      </c>
      <c r="AA420" t="inlineStr">
        <is>
          <t>,000000000</t>
        </is>
      </c>
      <c r="AB420" t="inlineStr">
        <is>
          <t>2</t>
        </is>
      </c>
      <c r="AC420" t="inlineStr">
        <is>
          <t>2</t>
        </is>
      </c>
      <c r="AD420" s="3">
        <f>UPPER(C3)</f>
        <v/>
      </c>
      <c r="AE420" s="3">
        <f>VLOOKUP(E3,'[1]Nómina Agentes'!$C:$D,3,0)</f>
        <v/>
      </c>
      <c r="AF420" s="5">
        <f>F3</f>
        <v/>
      </c>
      <c r="AG420" s="5">
        <f>H3</f>
        <v/>
      </c>
    </row>
    <row r="421">
      <c r="A421" s="1" t="inlineStr">
        <is>
          <t>9/10/2024</t>
        </is>
      </c>
      <c r="B421" t="inlineStr">
        <is>
          <t>925</t>
        </is>
      </c>
      <c r="C421" t="inlineStr">
        <is>
          <t>S2S Premium</t>
        </is>
      </c>
      <c r="D421" t="inlineStr">
        <is>
          <t>PCC_Forlin, Rocio</t>
        </is>
      </c>
      <c r="E421" t="inlineStr">
        <is>
          <t>628368</t>
        </is>
      </c>
      <c r="F421" s="2" t="inlineStr">
        <is>
          <t>10:00</t>
        </is>
      </c>
      <c r="G421" t="inlineStr">
        <is>
          <t>-</t>
        </is>
      </c>
      <c r="H421" s="2" t="inlineStr">
        <is>
          <t>10:30</t>
        </is>
      </c>
      <c r="I421" t="inlineStr">
        <is>
          <t>903,000000000</t>
        </is>
      </c>
      <c r="J421" t="inlineStr">
        <is>
          <t>,000000000</t>
        </is>
      </c>
      <c r="K421" t="inlineStr">
        <is>
          <t>,000000000</t>
        </is>
      </c>
      <c r="L421" t="inlineStr">
        <is>
          <t>16,000000000</t>
        </is>
      </c>
      <c r="M421" t="inlineStr">
        <is>
          <t>,000000000</t>
        </is>
      </c>
      <c r="N421" t="inlineStr">
        <is>
          <t>,000000000</t>
        </is>
      </c>
      <c r="O421" t="inlineStr">
        <is>
          <t>,000000000</t>
        </is>
      </c>
      <c r="P421" t="inlineStr">
        <is>
          <t>55,000000000</t>
        </is>
      </c>
      <c r="Q421" t="inlineStr">
        <is>
          <t>,000000000</t>
        </is>
      </c>
      <c r="R421" t="inlineStr">
        <is>
          <t>,000000000</t>
        </is>
      </c>
      <c r="S421" t="inlineStr">
        <is>
          <t>,000000000</t>
        </is>
      </c>
      <c r="T421" t="inlineStr">
        <is>
          <t>,000000000</t>
        </is>
      </c>
      <c r="U421" t="inlineStr">
        <is>
          <t>,000000000</t>
        </is>
      </c>
      <c r="V421" t="inlineStr">
        <is>
          <t>,000000000</t>
        </is>
      </c>
      <c r="W421" t="inlineStr">
        <is>
          <t>,000000000</t>
        </is>
      </c>
      <c r="X421" t="inlineStr">
        <is>
          <t>,000000000</t>
        </is>
      </c>
      <c r="Y421" t="inlineStr">
        <is>
          <t>,000000000</t>
        </is>
      </c>
      <c r="Z421" t="inlineStr">
        <is>
          <t>,000000000</t>
        </is>
      </c>
      <c r="AA421" t="inlineStr">
        <is>
          <t>,000000000</t>
        </is>
      </c>
      <c r="AB421" t="inlineStr">
        <is>
          <t>4</t>
        </is>
      </c>
      <c r="AC421" t="inlineStr">
        <is>
          <t>2</t>
        </is>
      </c>
      <c r="AD421" s="3">
        <f>UPPER(C3)</f>
        <v/>
      </c>
      <c r="AE421" s="3">
        <f>VLOOKUP(E3,'[1]Nómina Agentes'!$C:$D,3,0)</f>
        <v/>
      </c>
      <c r="AF421" s="5">
        <f>F3</f>
        <v/>
      </c>
      <c r="AG421" s="5">
        <f>H3</f>
        <v/>
      </c>
    </row>
    <row r="422">
      <c r="A422" s="1" t="inlineStr">
        <is>
          <t>9/10/2024</t>
        </is>
      </c>
      <c r="B422" t="inlineStr">
        <is>
          <t>925</t>
        </is>
      </c>
      <c r="C422" t="inlineStr">
        <is>
          <t>S2S Premium</t>
        </is>
      </c>
      <c r="D422" t="inlineStr">
        <is>
          <t>PCC_Forlin, Rocio</t>
        </is>
      </c>
      <c r="E422" t="inlineStr">
        <is>
          <t>628368</t>
        </is>
      </c>
      <c r="F422" s="2" t="inlineStr">
        <is>
          <t>09:30</t>
        </is>
      </c>
      <c r="G422" t="inlineStr">
        <is>
          <t>-</t>
        </is>
      </c>
      <c r="H422" s="2" t="inlineStr">
        <is>
          <t>10:00</t>
        </is>
      </c>
      <c r="I422" t="inlineStr">
        <is>
          <t>1011,000000000</t>
        </is>
      </c>
      <c r="J422" t="inlineStr">
        <is>
          <t>,000000000</t>
        </is>
      </c>
      <c r="K422" t="inlineStr">
        <is>
          <t>,000000000</t>
        </is>
      </c>
      <c r="L422" t="inlineStr">
        <is>
          <t>24,000000000</t>
        </is>
      </c>
      <c r="M422" t="inlineStr">
        <is>
          <t>,000000000</t>
        </is>
      </c>
      <c r="N422" t="inlineStr">
        <is>
          <t>,000000000</t>
        </is>
      </c>
      <c r="O422" t="inlineStr">
        <is>
          <t>,000000000</t>
        </is>
      </c>
      <c r="P422" t="inlineStr">
        <is>
          <t>6,000000000</t>
        </is>
      </c>
      <c r="Q422" t="inlineStr">
        <is>
          <t>,000000000</t>
        </is>
      </c>
      <c r="R422" t="inlineStr">
        <is>
          <t>,000000000</t>
        </is>
      </c>
      <c r="S422" t="inlineStr">
        <is>
          <t>,000000000</t>
        </is>
      </c>
      <c r="T422" t="inlineStr">
        <is>
          <t>,000000000</t>
        </is>
      </c>
      <c r="U422" t="inlineStr">
        <is>
          <t>,000000000</t>
        </is>
      </c>
      <c r="V422" t="inlineStr">
        <is>
          <t>,000000000</t>
        </is>
      </c>
      <c r="W422" t="inlineStr">
        <is>
          <t>,000000000</t>
        </is>
      </c>
      <c r="X422" t="inlineStr">
        <is>
          <t>,000000000</t>
        </is>
      </c>
      <c r="Y422" t="inlineStr">
        <is>
          <t>,000000000</t>
        </is>
      </c>
      <c r="Z422" t="inlineStr">
        <is>
          <t>,000000000</t>
        </is>
      </c>
      <c r="AA422" t="inlineStr">
        <is>
          <t>,000000000</t>
        </is>
      </c>
      <c r="AB422" t="inlineStr">
        <is>
          <t>6</t>
        </is>
      </c>
      <c r="AC422" t="inlineStr">
        <is>
          <t>6</t>
        </is>
      </c>
      <c r="AD422" s="3">
        <f>UPPER(C3)</f>
        <v/>
      </c>
      <c r="AE422" s="3">
        <f>VLOOKUP(E3,'[1]Nómina Agentes'!$C:$D,3,0)</f>
        <v/>
      </c>
      <c r="AF422" s="5">
        <f>F3</f>
        <v/>
      </c>
      <c r="AG422" s="5">
        <f>H3</f>
        <v/>
      </c>
    </row>
    <row r="423">
      <c r="A423" s="1" t="inlineStr">
        <is>
          <t>9/10/2024</t>
        </is>
      </c>
      <c r="B423" t="inlineStr">
        <is>
          <t>925</t>
        </is>
      </c>
      <c r="C423" t="inlineStr">
        <is>
          <t>S2S Premium</t>
        </is>
      </c>
      <c r="D423" t="inlineStr">
        <is>
          <t>PCC_Forlin, Rocio</t>
        </is>
      </c>
      <c r="E423" t="inlineStr">
        <is>
          <t>628368</t>
        </is>
      </c>
      <c r="F423" s="2" t="inlineStr">
        <is>
          <t>10:30</t>
        </is>
      </c>
      <c r="G423" t="inlineStr">
        <is>
          <t>-</t>
        </is>
      </c>
      <c r="H423" s="2" t="inlineStr">
        <is>
          <t>11:00</t>
        </is>
      </c>
      <c r="I423" t="inlineStr">
        <is>
          <t>1171,000000000</t>
        </is>
      </c>
      <c r="J423" t="inlineStr">
        <is>
          <t>,000000000</t>
        </is>
      </c>
      <c r="K423" t="inlineStr">
        <is>
          <t>,000000000</t>
        </is>
      </c>
      <c r="L423" t="inlineStr">
        <is>
          <t>24,000000000</t>
        </is>
      </c>
      <c r="M423" t="inlineStr">
        <is>
          <t>,000000000</t>
        </is>
      </c>
      <c r="N423" t="inlineStr">
        <is>
          <t>,000000000</t>
        </is>
      </c>
      <c r="O423" t="inlineStr">
        <is>
          <t>,000000000</t>
        </is>
      </c>
      <c r="P423" t="inlineStr">
        <is>
          <t>26,000000000</t>
        </is>
      </c>
      <c r="Q423" t="inlineStr">
        <is>
          <t>,000000000</t>
        </is>
      </c>
      <c r="R423" t="inlineStr">
        <is>
          <t>,000000000</t>
        </is>
      </c>
      <c r="S423" t="inlineStr">
        <is>
          <t>,000000000</t>
        </is>
      </c>
      <c r="T423" t="inlineStr">
        <is>
          <t>,000000000</t>
        </is>
      </c>
      <c r="U423" t="inlineStr">
        <is>
          <t>,000000000</t>
        </is>
      </c>
      <c r="V423" t="inlineStr">
        <is>
          <t>,000000000</t>
        </is>
      </c>
      <c r="W423" t="inlineStr">
        <is>
          <t>,000000000</t>
        </is>
      </c>
      <c r="X423" t="inlineStr">
        <is>
          <t>,000000000</t>
        </is>
      </c>
      <c r="Y423" t="inlineStr">
        <is>
          <t>,000000000</t>
        </is>
      </c>
      <c r="Z423" t="inlineStr">
        <is>
          <t>,000000000</t>
        </is>
      </c>
      <c r="AA423" t="inlineStr">
        <is>
          <t>,000000000</t>
        </is>
      </c>
      <c r="AB423" t="inlineStr">
        <is>
          <t>6</t>
        </is>
      </c>
      <c r="AC423" t="inlineStr">
        <is>
          <t>5</t>
        </is>
      </c>
      <c r="AD423" s="3">
        <f>UPPER(C3)</f>
        <v/>
      </c>
      <c r="AE423" s="3">
        <f>VLOOKUP(E3,'[1]Nómina Agentes'!$C:$D,3,0)</f>
        <v/>
      </c>
      <c r="AF423" s="5">
        <f>F3</f>
        <v/>
      </c>
      <c r="AG423" s="5">
        <f>H3</f>
        <v/>
      </c>
    </row>
    <row r="424">
      <c r="A424" s="1" t="inlineStr">
        <is>
          <t>9/10/2024</t>
        </is>
      </c>
      <c r="B424" t="inlineStr">
        <is>
          <t>924</t>
        </is>
      </c>
      <c r="C424" t="inlineStr">
        <is>
          <t>S2S No Premium</t>
        </is>
      </c>
      <c r="D424" t="inlineStr">
        <is>
          <t>*N2m_Maidana,Eliz</t>
        </is>
      </c>
      <c r="E424" t="inlineStr">
        <is>
          <t>628372</t>
        </is>
      </c>
      <c r="F424" s="2" t="inlineStr">
        <is>
          <t>09:00</t>
        </is>
      </c>
      <c r="G424" t="inlineStr">
        <is>
          <t>-</t>
        </is>
      </c>
      <c r="H424" s="2" t="inlineStr">
        <is>
          <t>09:30</t>
        </is>
      </c>
      <c r="I424" t="inlineStr">
        <is>
          <t>559,000000000</t>
        </is>
      </c>
      <c r="J424" t="inlineStr">
        <is>
          <t>,000000000</t>
        </is>
      </c>
      <c r="K424" t="inlineStr">
        <is>
          <t>,000000000</t>
        </is>
      </c>
      <c r="L424" t="inlineStr">
        <is>
          <t>11,000000000</t>
        </is>
      </c>
      <c r="M424" t="inlineStr">
        <is>
          <t>,000000000</t>
        </is>
      </c>
      <c r="N424" t="inlineStr">
        <is>
          <t>,000000000</t>
        </is>
      </c>
      <c r="O424" t="inlineStr">
        <is>
          <t>,000000000</t>
        </is>
      </c>
      <c r="P424" t="inlineStr">
        <is>
          <t>138,000000000</t>
        </is>
      </c>
      <c r="Q424" t="inlineStr">
        <is>
          <t>132,000000000</t>
        </is>
      </c>
      <c r="R424" t="inlineStr">
        <is>
          <t>,000000000</t>
        </is>
      </c>
      <c r="S424" t="inlineStr">
        <is>
          <t>,000000000</t>
        </is>
      </c>
      <c r="T424" t="inlineStr">
        <is>
          <t>,000000000</t>
        </is>
      </c>
      <c r="U424" t="inlineStr">
        <is>
          <t>,000000000</t>
        </is>
      </c>
      <c r="V424" t="inlineStr">
        <is>
          <t>,000000000</t>
        </is>
      </c>
      <c r="W424" t="inlineStr">
        <is>
          <t>,000000000</t>
        </is>
      </c>
      <c r="X424" t="inlineStr">
        <is>
          <t>,000000000</t>
        </is>
      </c>
      <c r="Y424" t="inlineStr">
        <is>
          <t>,000000000</t>
        </is>
      </c>
      <c r="Z424" t="inlineStr">
        <is>
          <t>,000000000</t>
        </is>
      </c>
      <c r="AA424" t="inlineStr">
        <is>
          <t>,000000000</t>
        </is>
      </c>
      <c r="AB424" t="inlineStr">
        <is>
          <t>3</t>
        </is>
      </c>
      <c r="AC424" t="inlineStr">
        <is>
          <t>3</t>
        </is>
      </c>
      <c r="AD424" s="3">
        <f>UPPER(C3)</f>
        <v/>
      </c>
      <c r="AE424" s="3">
        <f>VLOOKUP(E3,'[1]Nómina Agentes'!$C:$D,3,0)</f>
        <v/>
      </c>
      <c r="AF424" s="5">
        <f>F3</f>
        <v/>
      </c>
      <c r="AG424" s="5">
        <f>H3</f>
        <v/>
      </c>
    </row>
    <row r="425">
      <c r="A425" s="1" t="inlineStr">
        <is>
          <t>9/10/2024</t>
        </is>
      </c>
      <c r="B425" t="inlineStr">
        <is>
          <t>924</t>
        </is>
      </c>
      <c r="C425" t="inlineStr">
        <is>
          <t>S2S No Premium</t>
        </is>
      </c>
      <c r="D425" t="inlineStr">
        <is>
          <t>*N2m_Maidana,Eliz</t>
        </is>
      </c>
      <c r="E425" t="inlineStr">
        <is>
          <t>628372</t>
        </is>
      </c>
      <c r="F425" s="2" t="inlineStr">
        <is>
          <t>10:00</t>
        </is>
      </c>
      <c r="G425" t="inlineStr">
        <is>
          <t>-</t>
        </is>
      </c>
      <c r="H425" s="2" t="inlineStr">
        <is>
          <t>10:30</t>
        </is>
      </c>
      <c r="I425" t="inlineStr">
        <is>
          <t>676,000000000</t>
        </is>
      </c>
      <c r="J425" t="inlineStr">
        <is>
          <t>,000000000</t>
        </is>
      </c>
      <c r="K425" t="inlineStr">
        <is>
          <t>,000000000</t>
        </is>
      </c>
      <c r="L425" t="inlineStr">
        <is>
          <t>8,000000000</t>
        </is>
      </c>
      <c r="M425" t="inlineStr">
        <is>
          <t>,000000000</t>
        </is>
      </c>
      <c r="N425" t="inlineStr">
        <is>
          <t>,000000000</t>
        </is>
      </c>
      <c r="O425" t="inlineStr">
        <is>
          <t>,000000000</t>
        </is>
      </c>
      <c r="P425" t="inlineStr">
        <is>
          <t>651,000000000</t>
        </is>
      </c>
      <c r="Q425" t="inlineStr">
        <is>
          <t>564,000000000</t>
        </is>
      </c>
      <c r="R425" t="inlineStr">
        <is>
          <t>,000000000</t>
        </is>
      </c>
      <c r="S425" t="inlineStr">
        <is>
          <t>,000000000</t>
        </is>
      </c>
      <c r="T425" t="inlineStr">
        <is>
          <t>,000000000</t>
        </is>
      </c>
      <c r="U425" t="inlineStr">
        <is>
          <t>,000000000</t>
        </is>
      </c>
      <c r="V425" t="inlineStr">
        <is>
          <t>,000000000</t>
        </is>
      </c>
      <c r="W425" t="inlineStr">
        <is>
          <t>,000000000</t>
        </is>
      </c>
      <c r="X425" t="inlineStr">
        <is>
          <t>,000000000</t>
        </is>
      </c>
      <c r="Y425" t="inlineStr">
        <is>
          <t>,000000000</t>
        </is>
      </c>
      <c r="Z425" t="inlineStr">
        <is>
          <t>,000000000</t>
        </is>
      </c>
      <c r="AA425" t="inlineStr">
        <is>
          <t>,000000000</t>
        </is>
      </c>
      <c r="AB425" t="inlineStr">
        <is>
          <t>2</t>
        </is>
      </c>
      <c r="AC425" t="inlineStr">
        <is>
          <t>1</t>
        </is>
      </c>
      <c r="AD425" s="3">
        <f>UPPER(C3)</f>
        <v/>
      </c>
      <c r="AE425" s="3">
        <f>VLOOKUP(E3,'[1]Nómina Agentes'!$C:$D,3,0)</f>
        <v/>
      </c>
      <c r="AF425" s="5">
        <f>F3</f>
        <v/>
      </c>
      <c r="AG425" s="5">
        <f>H3</f>
        <v/>
      </c>
    </row>
    <row r="426">
      <c r="A426" s="1" t="inlineStr">
        <is>
          <t>9/10/2024</t>
        </is>
      </c>
      <c r="B426" t="inlineStr">
        <is>
          <t>924</t>
        </is>
      </c>
      <c r="C426" t="inlineStr">
        <is>
          <t>S2S No Premium</t>
        </is>
      </c>
      <c r="D426" t="inlineStr">
        <is>
          <t>*N2m_Maidana,Eliz</t>
        </is>
      </c>
      <c r="E426" t="inlineStr">
        <is>
          <t>628372</t>
        </is>
      </c>
      <c r="F426" s="2" t="inlineStr">
        <is>
          <t>10:30</t>
        </is>
      </c>
      <c r="G426" t="inlineStr">
        <is>
          <t>-</t>
        </is>
      </c>
      <c r="H426" s="2" t="inlineStr">
        <is>
          <t>11:00</t>
        </is>
      </c>
      <c r="I426" t="inlineStr">
        <is>
          <t>1245,000000000</t>
        </is>
      </c>
      <c r="J426" t="inlineStr">
        <is>
          <t>,000000000</t>
        </is>
      </c>
      <c r="K426" t="inlineStr">
        <is>
          <t>,000000000</t>
        </is>
      </c>
      <c r="L426" t="inlineStr">
        <is>
          <t>8,000000000</t>
        </is>
      </c>
      <c r="M426" t="inlineStr">
        <is>
          <t>,000000000</t>
        </is>
      </c>
      <c r="N426" t="inlineStr">
        <is>
          <t>,000000000</t>
        </is>
      </c>
      <c r="O426" t="inlineStr">
        <is>
          <t>,000000000</t>
        </is>
      </c>
      <c r="P426" t="inlineStr">
        <is>
          <t>1,000000000</t>
        </is>
      </c>
      <c r="Q426" t="inlineStr">
        <is>
          <t>,000000000</t>
        </is>
      </c>
      <c r="R426" t="inlineStr">
        <is>
          <t>,000000000</t>
        </is>
      </c>
      <c r="S426" t="inlineStr">
        <is>
          <t>,000000000</t>
        </is>
      </c>
      <c r="T426" t="inlineStr">
        <is>
          <t>,000000000</t>
        </is>
      </c>
      <c r="U426" t="inlineStr">
        <is>
          <t>,000000000</t>
        </is>
      </c>
      <c r="V426" t="inlineStr">
        <is>
          <t>,000000000</t>
        </is>
      </c>
      <c r="W426" t="inlineStr">
        <is>
          <t>,000000000</t>
        </is>
      </c>
      <c r="X426" t="inlineStr">
        <is>
          <t>,000000000</t>
        </is>
      </c>
      <c r="Y426" t="inlineStr">
        <is>
          <t>,000000000</t>
        </is>
      </c>
      <c r="Z426" t="inlineStr">
        <is>
          <t>,000000000</t>
        </is>
      </c>
      <c r="AA426" t="inlineStr">
        <is>
          <t>,000000000</t>
        </is>
      </c>
      <c r="AB426" t="inlineStr">
        <is>
          <t>2</t>
        </is>
      </c>
      <c r="AC426" t="inlineStr">
        <is>
          <t>1</t>
        </is>
      </c>
      <c r="AD426" s="3">
        <f>UPPER(C3)</f>
        <v/>
      </c>
      <c r="AE426" s="3">
        <f>VLOOKUP(E3,'[1]Nómina Agentes'!$C:$D,3,0)</f>
        <v/>
      </c>
      <c r="AF426" s="5">
        <f>F3</f>
        <v/>
      </c>
      <c r="AG426" s="5">
        <f>H3</f>
        <v/>
      </c>
    </row>
    <row r="427">
      <c r="A427" s="1" t="inlineStr">
        <is>
          <t>9/10/2024</t>
        </is>
      </c>
      <c r="B427" t="inlineStr">
        <is>
          <t>924</t>
        </is>
      </c>
      <c r="C427" t="inlineStr">
        <is>
          <t>S2S No Premium</t>
        </is>
      </c>
      <c r="D427" t="inlineStr">
        <is>
          <t>*N2m_Maidana,Eliz</t>
        </is>
      </c>
      <c r="E427" t="inlineStr">
        <is>
          <t>628372</t>
        </is>
      </c>
      <c r="F427" s="2" t="inlineStr">
        <is>
          <t>09:30</t>
        </is>
      </c>
      <c r="G427" t="inlineStr">
        <is>
          <t>-</t>
        </is>
      </c>
      <c r="H427" s="2" t="inlineStr">
        <is>
          <t>10:00</t>
        </is>
      </c>
      <c r="I427" t="inlineStr">
        <is>
          <t>1312,000000000</t>
        </is>
      </c>
      <c r="J427" t="inlineStr">
        <is>
          <t>,000000000</t>
        </is>
      </c>
      <c r="K427" t="inlineStr">
        <is>
          <t>,000000000</t>
        </is>
      </c>
      <c r="L427" t="inlineStr">
        <is>
          <t>19,000000000</t>
        </is>
      </c>
      <c r="M427" t="inlineStr">
        <is>
          <t>,000000000</t>
        </is>
      </c>
      <c r="N427" t="inlineStr">
        <is>
          <t>,000000000</t>
        </is>
      </c>
      <c r="O427" t="inlineStr">
        <is>
          <t>,000000000</t>
        </is>
      </c>
      <c r="P427" t="inlineStr">
        <is>
          <t>4,000000000</t>
        </is>
      </c>
      <c r="Q427" t="inlineStr">
        <is>
          <t>,000000000</t>
        </is>
      </c>
      <c r="R427" t="inlineStr">
        <is>
          <t>,000000000</t>
        </is>
      </c>
      <c r="S427" t="inlineStr">
        <is>
          <t>,000000000</t>
        </is>
      </c>
      <c r="T427" t="inlineStr">
        <is>
          <t>,000000000</t>
        </is>
      </c>
      <c r="U427" t="inlineStr">
        <is>
          <t>,000000000</t>
        </is>
      </c>
      <c r="V427" t="inlineStr">
        <is>
          <t>,000000000</t>
        </is>
      </c>
      <c r="W427" t="inlineStr">
        <is>
          <t>,000000000</t>
        </is>
      </c>
      <c r="X427" t="inlineStr">
        <is>
          <t>,000000000</t>
        </is>
      </c>
      <c r="Y427" t="inlineStr">
        <is>
          <t>,000000000</t>
        </is>
      </c>
      <c r="Z427" t="inlineStr">
        <is>
          <t>,000000000</t>
        </is>
      </c>
      <c r="AA427" t="inlineStr">
        <is>
          <t>,000000000</t>
        </is>
      </c>
      <c r="AB427" t="inlineStr">
        <is>
          <t>5</t>
        </is>
      </c>
      <c r="AC427" t="inlineStr">
        <is>
          <t>4</t>
        </is>
      </c>
      <c r="AD427" s="3">
        <f>UPPER(C3)</f>
        <v/>
      </c>
      <c r="AE427" s="3">
        <f>VLOOKUP(E3,'[1]Nómina Agentes'!$C:$D,3,0)</f>
        <v/>
      </c>
      <c r="AF427" s="5">
        <f>F3</f>
        <v/>
      </c>
      <c r="AG427" s="5">
        <f>H3</f>
        <v/>
      </c>
    </row>
    <row r="428">
      <c r="A428" s="1" t="inlineStr">
        <is>
          <t>9/10/2024</t>
        </is>
      </c>
      <c r="B428" t="inlineStr">
        <is>
          <t>925</t>
        </is>
      </c>
      <c r="C428" t="inlineStr">
        <is>
          <t>S2S Premium</t>
        </is>
      </c>
      <c r="D428" t="inlineStr">
        <is>
          <t>PCC_Garcia, Ludmila</t>
        </is>
      </c>
      <c r="E428" t="inlineStr">
        <is>
          <t>628373</t>
        </is>
      </c>
      <c r="F428" s="2" t="inlineStr">
        <is>
          <t>10:30</t>
        </is>
      </c>
      <c r="G428" t="inlineStr">
        <is>
          <t>-</t>
        </is>
      </c>
      <c r="H428" s="2" t="inlineStr">
        <is>
          <t>11:00</t>
        </is>
      </c>
      <c r="I428" t="inlineStr">
        <is>
          <t>576,000000000</t>
        </is>
      </c>
      <c r="J428" t="inlineStr">
        <is>
          <t>,000000000</t>
        </is>
      </c>
      <c r="K428" t="inlineStr">
        <is>
          <t>,000000000</t>
        </is>
      </c>
      <c r="L428" t="inlineStr">
        <is>
          <t>16,000000000</t>
        </is>
      </c>
      <c r="M428" t="inlineStr">
        <is>
          <t>,000000000</t>
        </is>
      </c>
      <c r="N428" t="inlineStr">
        <is>
          <t>,000000000</t>
        </is>
      </c>
      <c r="O428" t="inlineStr">
        <is>
          <t>,000000000</t>
        </is>
      </c>
      <c r="P428" t="inlineStr">
        <is>
          <t>60,000000000</t>
        </is>
      </c>
      <c r="Q428" t="inlineStr">
        <is>
          <t>472,000000000</t>
        </is>
      </c>
      <c r="R428" t="inlineStr">
        <is>
          <t>,000000000</t>
        </is>
      </c>
      <c r="S428" t="inlineStr">
        <is>
          <t>,000000000</t>
        </is>
      </c>
      <c r="T428" t="inlineStr">
        <is>
          <t>,000000000</t>
        </is>
      </c>
      <c r="U428" t="inlineStr">
        <is>
          <t>,000000000</t>
        </is>
      </c>
      <c r="V428" t="inlineStr">
        <is>
          <t>,000000000</t>
        </is>
      </c>
      <c r="W428" t="inlineStr">
        <is>
          <t>,000000000</t>
        </is>
      </c>
      <c r="X428" t="inlineStr">
        <is>
          <t>,000000000</t>
        </is>
      </c>
      <c r="Y428" t="inlineStr">
        <is>
          <t>,000000000</t>
        </is>
      </c>
      <c r="Z428" t="inlineStr">
        <is>
          <t>,000000000</t>
        </is>
      </c>
      <c r="AA428" t="inlineStr">
        <is>
          <t>,000000000</t>
        </is>
      </c>
      <c r="AB428" t="inlineStr">
        <is>
          <t>4</t>
        </is>
      </c>
      <c r="AC428" t="inlineStr">
        <is>
          <t>3</t>
        </is>
      </c>
      <c r="AD428" s="3">
        <f>UPPER(C3)</f>
        <v/>
      </c>
      <c r="AE428" s="3">
        <f>VLOOKUP(E3,'[1]Nómina Agentes'!$C:$D,3,0)</f>
        <v/>
      </c>
      <c r="AF428" s="5">
        <f>F3</f>
        <v/>
      </c>
      <c r="AG428" s="5">
        <f>H3</f>
        <v/>
      </c>
    </row>
    <row r="429">
      <c r="A429" s="1" t="inlineStr">
        <is>
          <t>9/10/2024</t>
        </is>
      </c>
      <c r="B429" t="inlineStr">
        <is>
          <t>925</t>
        </is>
      </c>
      <c r="C429" t="inlineStr">
        <is>
          <t>S2S Premium</t>
        </is>
      </c>
      <c r="D429" t="inlineStr">
        <is>
          <t>PCC_Garcia, Ludmila</t>
        </is>
      </c>
      <c r="E429" t="inlineStr">
        <is>
          <t>628373</t>
        </is>
      </c>
      <c r="F429" s="2" t="inlineStr">
        <is>
          <t>10:00</t>
        </is>
      </c>
      <c r="G429" t="inlineStr">
        <is>
          <t>-</t>
        </is>
      </c>
      <c r="H429" s="2" t="inlineStr">
        <is>
          <t>10:30</t>
        </is>
      </c>
      <c r="I429" t="inlineStr">
        <is>
          <t>725,000000000</t>
        </is>
      </c>
      <c r="J429" t="inlineStr">
        <is>
          <t>,000000000</t>
        </is>
      </c>
      <c r="K429" t="inlineStr">
        <is>
          <t>,000000000</t>
        </is>
      </c>
      <c r="L429" t="inlineStr">
        <is>
          <t>20,000000000</t>
        </is>
      </c>
      <c r="M429" t="inlineStr">
        <is>
          <t>,000000000</t>
        </is>
      </c>
      <c r="N429" t="inlineStr">
        <is>
          <t>,000000000</t>
        </is>
      </c>
      <c r="O429" t="inlineStr">
        <is>
          <t>,000000000</t>
        </is>
      </c>
      <c r="P429" t="inlineStr">
        <is>
          <t>1,000000000</t>
        </is>
      </c>
      <c r="Q429" t="inlineStr">
        <is>
          <t>,000000000</t>
        </is>
      </c>
      <c r="R429" t="inlineStr">
        <is>
          <t>,000000000</t>
        </is>
      </c>
      <c r="S429" t="inlineStr">
        <is>
          <t>,000000000</t>
        </is>
      </c>
      <c r="T429" t="inlineStr">
        <is>
          <t>,000000000</t>
        </is>
      </c>
      <c r="U429" t="inlineStr">
        <is>
          <t>,000000000</t>
        </is>
      </c>
      <c r="V429" t="inlineStr">
        <is>
          <t>,000000000</t>
        </is>
      </c>
      <c r="W429" t="inlineStr">
        <is>
          <t>,000000000</t>
        </is>
      </c>
      <c r="X429" t="inlineStr">
        <is>
          <t>,000000000</t>
        </is>
      </c>
      <c r="Y429" t="inlineStr">
        <is>
          <t>,000000000</t>
        </is>
      </c>
      <c r="Z429" t="inlineStr">
        <is>
          <t>,000000000</t>
        </is>
      </c>
      <c r="AA429" t="inlineStr">
        <is>
          <t>,000000000</t>
        </is>
      </c>
      <c r="AB429" t="inlineStr">
        <is>
          <t>4</t>
        </is>
      </c>
      <c r="AC429" t="inlineStr">
        <is>
          <t>1</t>
        </is>
      </c>
      <c r="AD429" s="3">
        <f>UPPER(C3)</f>
        <v/>
      </c>
      <c r="AE429" s="3">
        <f>VLOOKUP(E3,'[1]Nómina Agentes'!$C:$D,3,0)</f>
        <v/>
      </c>
      <c r="AF429" s="5">
        <f>F3</f>
        <v/>
      </c>
      <c r="AG429" s="5">
        <f>H3</f>
        <v/>
      </c>
    </row>
    <row r="430">
      <c r="A430" s="1" t="inlineStr">
        <is>
          <t>9/10/2024</t>
        </is>
      </c>
      <c r="B430" t="inlineStr">
        <is>
          <t>925</t>
        </is>
      </c>
      <c r="C430" t="inlineStr">
        <is>
          <t>S2S Premium</t>
        </is>
      </c>
      <c r="D430" t="inlineStr">
        <is>
          <t>Pm_Retamar Karen</t>
        </is>
      </c>
      <c r="E430" t="inlineStr">
        <is>
          <t>628375</t>
        </is>
      </c>
      <c r="F430" s="2" t="inlineStr">
        <is>
          <t>08:00</t>
        </is>
      </c>
      <c r="G430" t="inlineStr">
        <is>
          <t>-</t>
        </is>
      </c>
      <c r="H430" s="2" t="inlineStr">
        <is>
          <t>08:30</t>
        </is>
      </c>
      <c r="I430" t="inlineStr">
        <is>
          <t>,000000000</t>
        </is>
      </c>
      <c r="J430" t="inlineStr">
        <is>
          <t>,000000000</t>
        </is>
      </c>
      <c r="K430" t="inlineStr">
        <is>
          <t>,000000000</t>
        </is>
      </c>
      <c r="L430" t="inlineStr">
        <is>
          <t>,000000000</t>
        </is>
      </c>
      <c r="M430" t="inlineStr">
        <is>
          <t>,000000000</t>
        </is>
      </c>
      <c r="N430" t="inlineStr">
        <is>
          <t>,000000000</t>
        </is>
      </c>
      <c r="O430" t="inlineStr">
        <is>
          <t>,000000000</t>
        </is>
      </c>
      <c r="P430" t="inlineStr">
        <is>
          <t>,000000000</t>
        </is>
      </c>
      <c r="Q430" t="inlineStr">
        <is>
          <t>,000000000</t>
        </is>
      </c>
      <c r="R430" t="inlineStr">
        <is>
          <t>,000000000</t>
        </is>
      </c>
      <c r="S430" t="inlineStr">
        <is>
          <t>,000000000</t>
        </is>
      </c>
      <c r="T430" t="inlineStr">
        <is>
          <t>,000000000</t>
        </is>
      </c>
      <c r="U430" t="inlineStr">
        <is>
          <t>,000000000</t>
        </is>
      </c>
      <c r="V430" t="inlineStr">
        <is>
          <t>,000000000</t>
        </is>
      </c>
      <c r="W430" t="inlineStr">
        <is>
          <t>,000000000</t>
        </is>
      </c>
      <c r="X430" t="inlineStr">
        <is>
          <t>,000000000</t>
        </is>
      </c>
      <c r="Y430" t="inlineStr">
        <is>
          <t>,000000000</t>
        </is>
      </c>
      <c r="Z430" t="inlineStr">
        <is>
          <t>,000000000</t>
        </is>
      </c>
      <c r="AA430" t="inlineStr">
        <is>
          <t>,000000000</t>
        </is>
      </c>
      <c r="AB430" t="inlineStr">
        <is>
          <t>0</t>
        </is>
      </c>
      <c r="AC430" t="inlineStr">
        <is>
          <t>0</t>
        </is>
      </c>
      <c r="AD430" s="3">
        <f>UPPER(C3)</f>
        <v/>
      </c>
      <c r="AE430" s="3">
        <f>VLOOKUP(E3,'[1]Nómina Agentes'!$C:$D,3,0)</f>
        <v/>
      </c>
      <c r="AF430" s="5">
        <f>F3</f>
        <v/>
      </c>
      <c r="AG430" s="5">
        <f>H3</f>
        <v/>
      </c>
    </row>
    <row r="431">
      <c r="A431" s="1" t="inlineStr">
        <is>
          <t>9/10/2024</t>
        </is>
      </c>
      <c r="B431" t="inlineStr">
        <is>
          <t>925</t>
        </is>
      </c>
      <c r="C431" t="inlineStr">
        <is>
          <t>S2S Premium</t>
        </is>
      </c>
      <c r="D431" t="inlineStr">
        <is>
          <t>Pm_Retamar Karen</t>
        </is>
      </c>
      <c r="E431" t="inlineStr">
        <is>
          <t>628375</t>
        </is>
      </c>
      <c r="F431" s="2" t="inlineStr">
        <is>
          <t>08:30</t>
        </is>
      </c>
      <c r="G431" t="inlineStr">
        <is>
          <t>-</t>
        </is>
      </c>
      <c r="H431" s="2" t="inlineStr">
        <is>
          <t>09:00</t>
        </is>
      </c>
      <c r="I431" t="inlineStr">
        <is>
          <t>,000000000</t>
        </is>
      </c>
      <c r="J431" t="inlineStr">
        <is>
          <t>,000000000</t>
        </is>
      </c>
      <c r="K431" t="inlineStr">
        <is>
          <t>,000000000</t>
        </is>
      </c>
      <c r="L431" t="inlineStr">
        <is>
          <t>,000000000</t>
        </is>
      </c>
      <c r="M431" t="inlineStr">
        <is>
          <t>,000000000</t>
        </is>
      </c>
      <c r="N431" t="inlineStr">
        <is>
          <t>,000000000</t>
        </is>
      </c>
      <c r="O431" t="inlineStr">
        <is>
          <t>,000000000</t>
        </is>
      </c>
      <c r="P431" t="inlineStr">
        <is>
          <t>,000000000</t>
        </is>
      </c>
      <c r="Q431" t="inlineStr">
        <is>
          <t>,000000000</t>
        </is>
      </c>
      <c r="R431" t="inlineStr">
        <is>
          <t>,000000000</t>
        </is>
      </c>
      <c r="S431" t="inlineStr">
        <is>
          <t>,000000000</t>
        </is>
      </c>
      <c r="T431" t="inlineStr">
        <is>
          <t>,000000000</t>
        </is>
      </c>
      <c r="U431" t="inlineStr">
        <is>
          <t>,000000000</t>
        </is>
      </c>
      <c r="V431" t="inlineStr">
        <is>
          <t>,000000000</t>
        </is>
      </c>
      <c r="W431" t="inlineStr">
        <is>
          <t>,000000000</t>
        </is>
      </c>
      <c r="X431" t="inlineStr">
        <is>
          <t>,000000000</t>
        </is>
      </c>
      <c r="Y431" t="inlineStr">
        <is>
          <t>,000000000</t>
        </is>
      </c>
      <c r="Z431" t="inlineStr">
        <is>
          <t>,000000000</t>
        </is>
      </c>
      <c r="AA431" t="inlineStr">
        <is>
          <t>,000000000</t>
        </is>
      </c>
      <c r="AB431" t="inlineStr">
        <is>
          <t>0</t>
        </is>
      </c>
      <c r="AC431" t="inlineStr">
        <is>
          <t>0</t>
        </is>
      </c>
      <c r="AD431" s="3">
        <f>UPPER(C3)</f>
        <v/>
      </c>
      <c r="AE431" s="3">
        <f>VLOOKUP(E3,'[1]Nómina Agentes'!$C:$D,3,0)</f>
        <v/>
      </c>
      <c r="AF431" s="5">
        <f>F3</f>
        <v/>
      </c>
      <c r="AG431" s="5">
        <f>H3</f>
        <v/>
      </c>
    </row>
    <row r="432">
      <c r="A432" s="1" t="inlineStr">
        <is>
          <t>9/10/2024</t>
        </is>
      </c>
      <c r="B432" t="inlineStr">
        <is>
          <t>925</t>
        </is>
      </c>
      <c r="C432" t="inlineStr">
        <is>
          <t>S2S Premium</t>
        </is>
      </c>
      <c r="D432" t="inlineStr">
        <is>
          <t>Pm_Retamar Karen</t>
        </is>
      </c>
      <c r="E432" t="inlineStr">
        <is>
          <t>628375</t>
        </is>
      </c>
      <c r="F432" s="2" t="inlineStr">
        <is>
          <t>09:30</t>
        </is>
      </c>
      <c r="G432" t="inlineStr">
        <is>
          <t>-</t>
        </is>
      </c>
      <c r="H432" s="2" t="inlineStr">
        <is>
          <t>10:00</t>
        </is>
      </c>
      <c r="I432" t="inlineStr">
        <is>
          <t>,000000000</t>
        </is>
      </c>
      <c r="J432" t="inlineStr">
        <is>
          <t>,000000000</t>
        </is>
      </c>
      <c r="K432" t="inlineStr">
        <is>
          <t>,000000000</t>
        </is>
      </c>
      <c r="L432" t="inlineStr">
        <is>
          <t>,000000000</t>
        </is>
      </c>
      <c r="M432" t="inlineStr">
        <is>
          <t>,000000000</t>
        </is>
      </c>
      <c r="N432" t="inlineStr">
        <is>
          <t>,000000000</t>
        </is>
      </c>
      <c r="O432" t="inlineStr">
        <is>
          <t>,000000000</t>
        </is>
      </c>
      <c r="P432" t="inlineStr">
        <is>
          <t>,000000000</t>
        </is>
      </c>
      <c r="Q432" t="inlineStr">
        <is>
          <t>,000000000</t>
        </is>
      </c>
      <c r="R432" t="inlineStr">
        <is>
          <t>,000000000</t>
        </is>
      </c>
      <c r="S432" t="inlineStr">
        <is>
          <t>,000000000</t>
        </is>
      </c>
      <c r="T432" t="inlineStr">
        <is>
          <t>,000000000</t>
        </is>
      </c>
      <c r="U432" t="inlineStr">
        <is>
          <t>,000000000</t>
        </is>
      </c>
      <c r="V432" t="inlineStr">
        <is>
          <t>,000000000</t>
        </is>
      </c>
      <c r="W432" t="inlineStr">
        <is>
          <t>,000000000</t>
        </is>
      </c>
      <c r="X432" t="inlineStr">
        <is>
          <t>,000000000</t>
        </is>
      </c>
      <c r="Y432" t="inlineStr">
        <is>
          <t>,000000000</t>
        </is>
      </c>
      <c r="Z432" t="inlineStr">
        <is>
          <t>,000000000</t>
        </is>
      </c>
      <c r="AA432" t="inlineStr">
        <is>
          <t>,000000000</t>
        </is>
      </c>
      <c r="AB432" t="inlineStr">
        <is>
          <t>0</t>
        </is>
      </c>
      <c r="AC432" t="inlineStr">
        <is>
          <t>0</t>
        </is>
      </c>
      <c r="AD432" s="3">
        <f>UPPER(C3)</f>
        <v/>
      </c>
      <c r="AE432" s="3">
        <f>VLOOKUP(E3,'[1]Nómina Agentes'!$C:$D,3,0)</f>
        <v/>
      </c>
      <c r="AF432" s="5">
        <f>F3</f>
        <v/>
      </c>
      <c r="AG432" s="5">
        <f>H3</f>
        <v/>
      </c>
    </row>
    <row r="433">
      <c r="A433" s="1" t="inlineStr">
        <is>
          <t>9/10/2024</t>
        </is>
      </c>
      <c r="B433" t="inlineStr">
        <is>
          <t>925</t>
        </is>
      </c>
      <c r="C433" t="inlineStr">
        <is>
          <t>S2S Premium</t>
        </is>
      </c>
      <c r="D433" t="inlineStr">
        <is>
          <t>Pm_Retamar Karen</t>
        </is>
      </c>
      <c r="E433" t="inlineStr">
        <is>
          <t>628375</t>
        </is>
      </c>
      <c r="F433" s="2" t="inlineStr">
        <is>
          <t>09:00</t>
        </is>
      </c>
      <c r="G433" t="inlineStr">
        <is>
          <t>-</t>
        </is>
      </c>
      <c r="H433" s="2" t="inlineStr">
        <is>
          <t>09:30</t>
        </is>
      </c>
      <c r="I433" t="inlineStr">
        <is>
          <t>,000000000</t>
        </is>
      </c>
      <c r="J433" t="inlineStr">
        <is>
          <t>,000000000</t>
        </is>
      </c>
      <c r="K433" t="inlineStr">
        <is>
          <t>,000000000</t>
        </is>
      </c>
      <c r="L433" t="inlineStr">
        <is>
          <t>,000000000</t>
        </is>
      </c>
      <c r="M433" t="inlineStr">
        <is>
          <t>,000000000</t>
        </is>
      </c>
      <c r="N433" t="inlineStr">
        <is>
          <t>,000000000</t>
        </is>
      </c>
      <c r="O433" t="inlineStr">
        <is>
          <t>,000000000</t>
        </is>
      </c>
      <c r="P433" t="inlineStr">
        <is>
          <t>,000000000</t>
        </is>
      </c>
      <c r="Q433" t="inlineStr">
        <is>
          <t>,000000000</t>
        </is>
      </c>
      <c r="R433" t="inlineStr">
        <is>
          <t>,000000000</t>
        </is>
      </c>
      <c r="S433" t="inlineStr">
        <is>
          <t>,000000000</t>
        </is>
      </c>
      <c r="T433" t="inlineStr">
        <is>
          <t>,000000000</t>
        </is>
      </c>
      <c r="U433" t="inlineStr">
        <is>
          <t>,000000000</t>
        </is>
      </c>
      <c r="V433" t="inlineStr">
        <is>
          <t>,000000000</t>
        </is>
      </c>
      <c r="W433" t="inlineStr">
        <is>
          <t>,000000000</t>
        </is>
      </c>
      <c r="X433" t="inlineStr">
        <is>
          <t>,000000000</t>
        </is>
      </c>
      <c r="Y433" t="inlineStr">
        <is>
          <t>,000000000</t>
        </is>
      </c>
      <c r="Z433" t="inlineStr">
        <is>
          <t>,000000000</t>
        </is>
      </c>
      <c r="AA433" t="inlineStr">
        <is>
          <t>,000000000</t>
        </is>
      </c>
      <c r="AB433" t="inlineStr">
        <is>
          <t>0</t>
        </is>
      </c>
      <c r="AC433" t="inlineStr">
        <is>
          <t>0</t>
        </is>
      </c>
      <c r="AD433" s="3">
        <f>UPPER(C3)</f>
        <v/>
      </c>
      <c r="AE433" s="3">
        <f>VLOOKUP(E3,'[1]Nómina Agentes'!$C:$D,3,0)</f>
        <v/>
      </c>
      <c r="AF433" s="5">
        <f>F3</f>
        <v/>
      </c>
      <c r="AG433" s="5">
        <f>H3</f>
        <v/>
      </c>
    </row>
    <row r="434">
      <c r="A434" s="1" t="inlineStr">
        <is>
          <t>9/10/2024</t>
        </is>
      </c>
      <c r="B434" t="inlineStr">
        <is>
          <t>925</t>
        </is>
      </c>
      <c r="C434" t="inlineStr">
        <is>
          <t>S2S Premium</t>
        </is>
      </c>
      <c r="D434" t="inlineStr">
        <is>
          <t>Pm_Retamar Karen</t>
        </is>
      </c>
      <c r="E434" t="inlineStr">
        <is>
          <t>628375</t>
        </is>
      </c>
      <c r="F434" s="2" t="inlineStr">
        <is>
          <t>10:00</t>
        </is>
      </c>
      <c r="G434" t="inlineStr">
        <is>
          <t>-</t>
        </is>
      </c>
      <c r="H434" s="2" t="inlineStr">
        <is>
          <t>10:30</t>
        </is>
      </c>
      <c r="I434" t="inlineStr">
        <is>
          <t>,000000000</t>
        </is>
      </c>
      <c r="J434" t="inlineStr">
        <is>
          <t>,000000000</t>
        </is>
      </c>
      <c r="K434" t="inlineStr">
        <is>
          <t>,000000000</t>
        </is>
      </c>
      <c r="L434" t="inlineStr">
        <is>
          <t>,000000000</t>
        </is>
      </c>
      <c r="M434" t="inlineStr">
        <is>
          <t>,000000000</t>
        </is>
      </c>
      <c r="N434" t="inlineStr">
        <is>
          <t>,000000000</t>
        </is>
      </c>
      <c r="O434" t="inlineStr">
        <is>
          <t>,000000000</t>
        </is>
      </c>
      <c r="P434" t="inlineStr">
        <is>
          <t>,000000000</t>
        </is>
      </c>
      <c r="Q434" t="inlineStr">
        <is>
          <t>,000000000</t>
        </is>
      </c>
      <c r="R434" t="inlineStr">
        <is>
          <t>,000000000</t>
        </is>
      </c>
      <c r="S434" t="inlineStr">
        <is>
          <t>,000000000</t>
        </is>
      </c>
      <c r="T434" t="inlineStr">
        <is>
          <t>,000000000</t>
        </is>
      </c>
      <c r="U434" t="inlineStr">
        <is>
          <t>,000000000</t>
        </is>
      </c>
      <c r="V434" t="inlineStr">
        <is>
          <t>,000000000</t>
        </is>
      </c>
      <c r="W434" t="inlineStr">
        <is>
          <t>,000000000</t>
        </is>
      </c>
      <c r="X434" t="inlineStr">
        <is>
          <t>,000000000</t>
        </is>
      </c>
      <c r="Y434" t="inlineStr">
        <is>
          <t>,000000000</t>
        </is>
      </c>
      <c r="Z434" t="inlineStr">
        <is>
          <t>,000000000</t>
        </is>
      </c>
      <c r="AA434" t="inlineStr">
        <is>
          <t>,000000000</t>
        </is>
      </c>
      <c r="AB434" t="inlineStr">
        <is>
          <t>0</t>
        </is>
      </c>
      <c r="AC434" t="inlineStr">
        <is>
          <t>0</t>
        </is>
      </c>
      <c r="AD434" s="3">
        <f>UPPER(C3)</f>
        <v/>
      </c>
      <c r="AE434" s="3">
        <f>VLOOKUP(E3,'[1]Nómina Agentes'!$C:$D,3,0)</f>
        <v/>
      </c>
      <c r="AF434" s="5">
        <f>F3</f>
        <v/>
      </c>
      <c r="AG434" s="5">
        <f>H3</f>
        <v/>
      </c>
    </row>
    <row r="435">
      <c r="A435" s="1" t="inlineStr">
        <is>
          <t>9/10/2024</t>
        </is>
      </c>
      <c r="B435" t="inlineStr">
        <is>
          <t>925</t>
        </is>
      </c>
      <c r="C435" t="inlineStr">
        <is>
          <t>S2S Premium</t>
        </is>
      </c>
      <c r="D435" t="inlineStr">
        <is>
          <t>Pm_Retamar Karen</t>
        </is>
      </c>
      <c r="E435" t="inlineStr">
        <is>
          <t>628375</t>
        </is>
      </c>
      <c r="F435" s="2" t="inlineStr">
        <is>
          <t>10:30</t>
        </is>
      </c>
      <c r="G435" t="inlineStr">
        <is>
          <t>-</t>
        </is>
      </c>
      <c r="H435" s="2" t="inlineStr">
        <is>
          <t>11:00</t>
        </is>
      </c>
      <c r="I435" t="inlineStr">
        <is>
          <t>198,000000000</t>
        </is>
      </c>
      <c r="J435" t="inlineStr">
        <is>
          <t>,000000000</t>
        </is>
      </c>
      <c r="K435" t="inlineStr">
        <is>
          <t>,000000000</t>
        </is>
      </c>
      <c r="L435" t="inlineStr">
        <is>
          <t>4,000000000</t>
        </is>
      </c>
      <c r="M435" t="inlineStr">
        <is>
          <t>,000000000</t>
        </is>
      </c>
      <c r="N435" t="inlineStr">
        <is>
          <t>,000000000</t>
        </is>
      </c>
      <c r="O435" t="inlineStr">
        <is>
          <t>,000000000</t>
        </is>
      </c>
      <c r="P435" t="inlineStr">
        <is>
          <t>1,000000000</t>
        </is>
      </c>
      <c r="Q435" t="inlineStr">
        <is>
          <t>,000000000</t>
        </is>
      </c>
      <c r="R435" t="inlineStr">
        <is>
          <t>,000000000</t>
        </is>
      </c>
      <c r="S435" t="inlineStr">
        <is>
          <t>,000000000</t>
        </is>
      </c>
      <c r="T435" t="inlineStr">
        <is>
          <t>,000000000</t>
        </is>
      </c>
      <c r="U435" t="inlineStr">
        <is>
          <t>,000000000</t>
        </is>
      </c>
      <c r="V435" t="inlineStr">
        <is>
          <t>,000000000</t>
        </is>
      </c>
      <c r="W435" t="inlineStr">
        <is>
          <t>,000000000</t>
        </is>
      </c>
      <c r="X435" t="inlineStr">
        <is>
          <t>,000000000</t>
        </is>
      </c>
      <c r="Y435" t="inlineStr">
        <is>
          <t>,000000000</t>
        </is>
      </c>
      <c r="Z435" t="inlineStr">
        <is>
          <t>,000000000</t>
        </is>
      </c>
      <c r="AA435" t="inlineStr">
        <is>
          <t>,000000000</t>
        </is>
      </c>
      <c r="AB435" t="inlineStr">
        <is>
          <t>1</t>
        </is>
      </c>
      <c r="AC435" t="inlineStr">
        <is>
          <t>1</t>
        </is>
      </c>
      <c r="AD435" s="3">
        <f>UPPER(C3)</f>
        <v/>
      </c>
      <c r="AE435" s="3">
        <f>VLOOKUP(E3,'[1]Nómina Agentes'!$C:$D,3,0)</f>
        <v/>
      </c>
      <c r="AF435" s="5">
        <f>F3</f>
        <v/>
      </c>
      <c r="AG435" s="5">
        <f>H3</f>
        <v/>
      </c>
    </row>
    <row r="436">
      <c r="A436" s="1" t="inlineStr">
        <is>
          <t>9/10/2024</t>
        </is>
      </c>
      <c r="B436" t="inlineStr">
        <is>
          <t>924</t>
        </is>
      </c>
      <c r="C436" t="inlineStr">
        <is>
          <t>S2S No Premium</t>
        </is>
      </c>
      <c r="D436" t="inlineStr">
        <is>
          <t>*N2m_Arriola Juan</t>
        </is>
      </c>
      <c r="E436" t="inlineStr">
        <is>
          <t>628383</t>
        </is>
      </c>
      <c r="F436" s="2" t="inlineStr">
        <is>
          <t>09:00</t>
        </is>
      </c>
      <c r="G436" t="inlineStr">
        <is>
          <t>-</t>
        </is>
      </c>
      <c r="H436" s="2" t="inlineStr">
        <is>
          <t>09:30</t>
        </is>
      </c>
      <c r="I436" t="inlineStr">
        <is>
          <t>674,000000000</t>
        </is>
      </c>
      <c r="J436" t="inlineStr">
        <is>
          <t>,000000000</t>
        </is>
      </c>
      <c r="K436" t="inlineStr">
        <is>
          <t>,000000000</t>
        </is>
      </c>
      <c r="L436" t="inlineStr">
        <is>
          <t>16,000000000</t>
        </is>
      </c>
      <c r="M436" t="inlineStr">
        <is>
          <t>,000000000</t>
        </is>
      </c>
      <c r="N436" t="inlineStr">
        <is>
          <t>,000000000</t>
        </is>
      </c>
      <c r="O436" t="inlineStr">
        <is>
          <t>,000000000</t>
        </is>
      </c>
      <c r="P436" t="inlineStr">
        <is>
          <t>2,000000000</t>
        </is>
      </c>
      <c r="Q436" t="inlineStr">
        <is>
          <t>,000000000</t>
        </is>
      </c>
      <c r="R436" t="inlineStr">
        <is>
          <t>,000000000</t>
        </is>
      </c>
      <c r="S436" t="inlineStr">
        <is>
          <t>,000000000</t>
        </is>
      </c>
      <c r="T436" t="inlineStr">
        <is>
          <t>,000000000</t>
        </is>
      </c>
      <c r="U436" t="inlineStr">
        <is>
          <t>,000000000</t>
        </is>
      </c>
      <c r="V436" t="inlineStr">
        <is>
          <t>,000000000</t>
        </is>
      </c>
      <c r="W436" t="inlineStr">
        <is>
          <t>,000000000</t>
        </is>
      </c>
      <c r="X436" t="inlineStr">
        <is>
          <t>,000000000</t>
        </is>
      </c>
      <c r="Y436" t="inlineStr">
        <is>
          <t>,000000000</t>
        </is>
      </c>
      <c r="Z436" t="inlineStr">
        <is>
          <t>,000000000</t>
        </is>
      </c>
      <c r="AA436" t="inlineStr">
        <is>
          <t>,000000000</t>
        </is>
      </c>
      <c r="AB436" t="inlineStr">
        <is>
          <t>2</t>
        </is>
      </c>
      <c r="AC436" t="inlineStr">
        <is>
          <t>1</t>
        </is>
      </c>
      <c r="AD436" s="3">
        <f>UPPER(C3)</f>
        <v/>
      </c>
      <c r="AE436" s="3">
        <f>VLOOKUP(E3,'[1]Nómina Agentes'!$C:$D,3,0)</f>
        <v/>
      </c>
      <c r="AF436" s="5">
        <f>F3</f>
        <v/>
      </c>
      <c r="AG436" s="5">
        <f>H3</f>
        <v/>
      </c>
    </row>
    <row r="437">
      <c r="A437" s="1" t="inlineStr">
        <is>
          <t>9/10/2024</t>
        </is>
      </c>
      <c r="B437" t="inlineStr">
        <is>
          <t>924</t>
        </is>
      </c>
      <c r="C437" t="inlineStr">
        <is>
          <t>S2S No Premium</t>
        </is>
      </c>
      <c r="D437" t="inlineStr">
        <is>
          <t>*N2m_Arriola Juan</t>
        </is>
      </c>
      <c r="E437" t="inlineStr">
        <is>
          <t>628383</t>
        </is>
      </c>
      <c r="F437" s="2" t="inlineStr">
        <is>
          <t>10:00</t>
        </is>
      </c>
      <c r="G437" t="inlineStr">
        <is>
          <t>-</t>
        </is>
      </c>
      <c r="H437" s="2" t="inlineStr">
        <is>
          <t>10:30</t>
        </is>
      </c>
      <c r="I437" t="inlineStr">
        <is>
          <t>833,000000000</t>
        </is>
      </c>
      <c r="J437" t="inlineStr">
        <is>
          <t>,000000000</t>
        </is>
      </c>
      <c r="K437" t="inlineStr">
        <is>
          <t>,000000000</t>
        </is>
      </c>
      <c r="L437" t="inlineStr">
        <is>
          <t>12,000000000</t>
        </is>
      </c>
      <c r="M437" t="inlineStr">
        <is>
          <t>,000000000</t>
        </is>
      </c>
      <c r="N437" t="inlineStr">
        <is>
          <t>,000000000</t>
        </is>
      </c>
      <c r="O437" t="inlineStr">
        <is>
          <t>,000000000</t>
        </is>
      </c>
      <c r="P437" t="inlineStr">
        <is>
          <t>2,000000000</t>
        </is>
      </c>
      <c r="Q437" t="inlineStr">
        <is>
          <t>300,000000000</t>
        </is>
      </c>
      <c r="R437" t="inlineStr">
        <is>
          <t>,000000000</t>
        </is>
      </c>
      <c r="S437" t="inlineStr">
        <is>
          <t>,000000000</t>
        </is>
      </c>
      <c r="T437" t="inlineStr">
        <is>
          <t>,000000000</t>
        </is>
      </c>
      <c r="U437" t="inlineStr">
        <is>
          <t>,000000000</t>
        </is>
      </c>
      <c r="V437" t="inlineStr">
        <is>
          <t>,000000000</t>
        </is>
      </c>
      <c r="W437" t="inlineStr">
        <is>
          <t>,000000000</t>
        </is>
      </c>
      <c r="X437" t="inlineStr">
        <is>
          <t>,000000000</t>
        </is>
      </c>
      <c r="Y437" t="inlineStr">
        <is>
          <t>,000000000</t>
        </is>
      </c>
      <c r="Z437" t="inlineStr">
        <is>
          <t>,000000000</t>
        </is>
      </c>
      <c r="AA437" t="inlineStr">
        <is>
          <t>,000000000</t>
        </is>
      </c>
      <c r="AB437" t="inlineStr">
        <is>
          <t>3</t>
        </is>
      </c>
      <c r="AC437" t="inlineStr">
        <is>
          <t>2</t>
        </is>
      </c>
      <c r="AD437" s="3">
        <f>UPPER(C3)</f>
        <v/>
      </c>
      <c r="AE437" s="3">
        <f>VLOOKUP(E3,'[1]Nómina Agentes'!$C:$D,3,0)</f>
        <v/>
      </c>
      <c r="AF437" s="5">
        <f>F3</f>
        <v/>
      </c>
      <c r="AG437" s="5">
        <f>H3</f>
        <v/>
      </c>
    </row>
    <row r="438">
      <c r="A438" s="1" t="inlineStr">
        <is>
          <t>9/10/2024</t>
        </is>
      </c>
      <c r="B438" t="inlineStr">
        <is>
          <t>924</t>
        </is>
      </c>
      <c r="C438" t="inlineStr">
        <is>
          <t>S2S No Premium</t>
        </is>
      </c>
      <c r="D438" t="inlineStr">
        <is>
          <t>*N2m_Arriola Juan</t>
        </is>
      </c>
      <c r="E438" t="inlineStr">
        <is>
          <t>628383</t>
        </is>
      </c>
      <c r="F438" s="2" t="inlineStr">
        <is>
          <t>10:30</t>
        </is>
      </c>
      <c r="G438" t="inlineStr">
        <is>
          <t>-</t>
        </is>
      </c>
      <c r="H438" s="2" t="inlineStr">
        <is>
          <t>11:00</t>
        </is>
      </c>
      <c r="I438" t="inlineStr">
        <is>
          <t>1137,000000000</t>
        </is>
      </c>
      <c r="J438" t="inlineStr">
        <is>
          <t>,000000000</t>
        </is>
      </c>
      <c r="K438" t="inlineStr">
        <is>
          <t>,000000000</t>
        </is>
      </c>
      <c r="L438" t="inlineStr">
        <is>
          <t>11,000000000</t>
        </is>
      </c>
      <c r="M438" t="inlineStr">
        <is>
          <t>,000000000</t>
        </is>
      </c>
      <c r="N438" t="inlineStr">
        <is>
          <t>,000000000</t>
        </is>
      </c>
      <c r="O438" t="inlineStr">
        <is>
          <t>,000000000</t>
        </is>
      </c>
      <c r="P438" t="inlineStr">
        <is>
          <t>506,000000000</t>
        </is>
      </c>
      <c r="Q438" t="inlineStr">
        <is>
          <t>97,000000000</t>
        </is>
      </c>
      <c r="R438" t="inlineStr">
        <is>
          <t>,000000000</t>
        </is>
      </c>
      <c r="S438" t="inlineStr">
        <is>
          <t>,000000000</t>
        </is>
      </c>
      <c r="T438" t="inlineStr">
        <is>
          <t>,000000000</t>
        </is>
      </c>
      <c r="U438" t="inlineStr">
        <is>
          <t>,000000000</t>
        </is>
      </c>
      <c r="V438" t="inlineStr">
        <is>
          <t>,000000000</t>
        </is>
      </c>
      <c r="W438" t="inlineStr">
        <is>
          <t>,000000000</t>
        </is>
      </c>
      <c r="X438" t="inlineStr">
        <is>
          <t>,000000000</t>
        </is>
      </c>
      <c r="Y438" t="inlineStr">
        <is>
          <t>,000000000</t>
        </is>
      </c>
      <c r="Z438" t="inlineStr">
        <is>
          <t>,000000000</t>
        </is>
      </c>
      <c r="AA438" t="inlineStr">
        <is>
          <t>,000000000</t>
        </is>
      </c>
      <c r="AB438" t="inlineStr">
        <is>
          <t>4</t>
        </is>
      </c>
      <c r="AC438" t="inlineStr">
        <is>
          <t>4</t>
        </is>
      </c>
      <c r="AD438" s="3">
        <f>UPPER(C3)</f>
        <v/>
      </c>
      <c r="AE438" s="3">
        <f>VLOOKUP(E3,'[1]Nómina Agentes'!$C:$D,3,0)</f>
        <v/>
      </c>
      <c r="AF438" s="5">
        <f>F3</f>
        <v/>
      </c>
      <c r="AG438" s="5">
        <f>H3</f>
        <v/>
      </c>
    </row>
    <row r="439">
      <c r="A439" s="1" t="inlineStr">
        <is>
          <t>9/10/2024</t>
        </is>
      </c>
      <c r="B439" t="inlineStr">
        <is>
          <t>924</t>
        </is>
      </c>
      <c r="C439" t="inlineStr">
        <is>
          <t>S2S No Premium</t>
        </is>
      </c>
      <c r="D439" t="inlineStr">
        <is>
          <t>*N2m_Arriola Juan</t>
        </is>
      </c>
      <c r="E439" t="inlineStr">
        <is>
          <t>628383</t>
        </is>
      </c>
      <c r="F439" s="2" t="inlineStr">
        <is>
          <t>09:30</t>
        </is>
      </c>
      <c r="G439" t="inlineStr">
        <is>
          <t>-</t>
        </is>
      </c>
      <c r="H439" s="2" t="inlineStr">
        <is>
          <t>10:00</t>
        </is>
      </c>
      <c r="I439" t="inlineStr">
        <is>
          <t>1335,000000000</t>
        </is>
      </c>
      <c r="J439" t="inlineStr">
        <is>
          <t>,000000000</t>
        </is>
      </c>
      <c r="K439" t="inlineStr">
        <is>
          <t>,000000000</t>
        </is>
      </c>
      <c r="L439" t="inlineStr">
        <is>
          <t>20,000000000</t>
        </is>
      </c>
      <c r="M439" t="inlineStr">
        <is>
          <t>,000000000</t>
        </is>
      </c>
      <c r="N439" t="inlineStr">
        <is>
          <t>,000000000</t>
        </is>
      </c>
      <c r="O439" t="inlineStr">
        <is>
          <t>,000000000</t>
        </is>
      </c>
      <c r="P439" t="inlineStr">
        <is>
          <t>4,000000000</t>
        </is>
      </c>
      <c r="Q439" t="inlineStr">
        <is>
          <t>,000000000</t>
        </is>
      </c>
      <c r="R439" t="inlineStr">
        <is>
          <t>,000000000</t>
        </is>
      </c>
      <c r="S439" t="inlineStr">
        <is>
          <t>,000000000</t>
        </is>
      </c>
      <c r="T439" t="inlineStr">
        <is>
          <t>,000000000</t>
        </is>
      </c>
      <c r="U439" t="inlineStr">
        <is>
          <t>,000000000</t>
        </is>
      </c>
      <c r="V439" t="inlineStr">
        <is>
          <t>,000000000</t>
        </is>
      </c>
      <c r="W439" t="inlineStr">
        <is>
          <t>,000000000</t>
        </is>
      </c>
      <c r="X439" t="inlineStr">
        <is>
          <t>,000000000</t>
        </is>
      </c>
      <c r="Y439" t="inlineStr">
        <is>
          <t>,000000000</t>
        </is>
      </c>
      <c r="Z439" t="inlineStr">
        <is>
          <t>,000000000</t>
        </is>
      </c>
      <c r="AA439" t="inlineStr">
        <is>
          <t>,000000000</t>
        </is>
      </c>
      <c r="AB439" t="inlineStr">
        <is>
          <t>6</t>
        </is>
      </c>
      <c r="AC439" t="inlineStr">
        <is>
          <t>4</t>
        </is>
      </c>
      <c r="AD439" s="3">
        <f>UPPER(C3)</f>
        <v/>
      </c>
      <c r="AE439" s="3">
        <f>VLOOKUP(E3,'[1]Nómina Agentes'!$C:$D,3,0)</f>
        <v/>
      </c>
      <c r="AF439" s="5">
        <f>F3</f>
        <v/>
      </c>
      <c r="AG439" s="5">
        <f>H3</f>
        <v/>
      </c>
    </row>
    <row r="440">
      <c r="A440" s="1" t="inlineStr">
        <is>
          <t>9/10/2024</t>
        </is>
      </c>
      <c r="B440" t="inlineStr">
        <is>
          <t>924</t>
        </is>
      </c>
      <c r="C440" t="inlineStr">
        <is>
          <t>S2S No Premium</t>
        </is>
      </c>
      <c r="D440" t="inlineStr">
        <is>
          <t>N2m_Rios Lourdes</t>
        </is>
      </c>
      <c r="E440" t="inlineStr">
        <is>
          <t>628385</t>
        </is>
      </c>
      <c r="F440" s="2" t="inlineStr">
        <is>
          <t>09:00</t>
        </is>
      </c>
      <c r="G440" t="inlineStr">
        <is>
          <t>-</t>
        </is>
      </c>
      <c r="H440" s="2" t="inlineStr">
        <is>
          <t>09:30</t>
        </is>
      </c>
      <c r="I440" t="inlineStr">
        <is>
          <t>783,000000000</t>
        </is>
      </c>
      <c r="J440" t="inlineStr">
        <is>
          <t>,000000000</t>
        </is>
      </c>
      <c r="K440" t="inlineStr">
        <is>
          <t>,000000000</t>
        </is>
      </c>
      <c r="L440" t="inlineStr">
        <is>
          <t>15,000000000</t>
        </is>
      </c>
      <c r="M440" t="inlineStr">
        <is>
          <t>,000000000</t>
        </is>
      </c>
      <c r="N440" t="inlineStr">
        <is>
          <t>,000000000</t>
        </is>
      </c>
      <c r="O440" t="inlineStr">
        <is>
          <t>,000000000</t>
        </is>
      </c>
      <c r="P440" t="inlineStr">
        <is>
          <t>52,000000000</t>
        </is>
      </c>
      <c r="Q440" t="inlineStr">
        <is>
          <t>,000000000</t>
        </is>
      </c>
      <c r="R440" t="inlineStr">
        <is>
          <t>,000000000</t>
        </is>
      </c>
      <c r="S440" t="inlineStr">
        <is>
          <t>,000000000</t>
        </is>
      </c>
      <c r="T440" t="inlineStr">
        <is>
          <t>,000000000</t>
        </is>
      </c>
      <c r="U440" t="inlineStr">
        <is>
          <t>,000000000</t>
        </is>
      </c>
      <c r="V440" t="inlineStr">
        <is>
          <t>,000000000</t>
        </is>
      </c>
      <c r="W440" t="inlineStr">
        <is>
          <t>,000000000</t>
        </is>
      </c>
      <c r="X440" t="inlineStr">
        <is>
          <t>,000000000</t>
        </is>
      </c>
      <c r="Y440" t="inlineStr">
        <is>
          <t>,000000000</t>
        </is>
      </c>
      <c r="Z440" t="inlineStr">
        <is>
          <t>,000000000</t>
        </is>
      </c>
      <c r="AA440" t="inlineStr">
        <is>
          <t>,000000000</t>
        </is>
      </c>
      <c r="AB440" t="inlineStr">
        <is>
          <t>3</t>
        </is>
      </c>
      <c r="AC440" t="inlineStr">
        <is>
          <t>0</t>
        </is>
      </c>
      <c r="AD440" s="3">
        <f>UPPER(C3)</f>
        <v/>
      </c>
      <c r="AE440" s="3">
        <f>VLOOKUP(E3,'[1]Nómina Agentes'!$C:$D,3,0)</f>
        <v/>
      </c>
      <c r="AF440" s="5">
        <f>F3</f>
        <v/>
      </c>
      <c r="AG440" s="5">
        <f>H3</f>
        <v/>
      </c>
    </row>
    <row r="441">
      <c r="A441" s="1" t="inlineStr">
        <is>
          <t>9/10/2024</t>
        </is>
      </c>
      <c r="B441" t="inlineStr">
        <is>
          <t>924</t>
        </is>
      </c>
      <c r="C441" t="inlineStr">
        <is>
          <t>S2S No Premium</t>
        </is>
      </c>
      <c r="D441" t="inlineStr">
        <is>
          <t>N2m_Rios Lourdes</t>
        </is>
      </c>
      <c r="E441" t="inlineStr">
        <is>
          <t>628385</t>
        </is>
      </c>
      <c r="F441" s="2" t="inlineStr">
        <is>
          <t>10:00</t>
        </is>
      </c>
      <c r="G441" t="inlineStr">
        <is>
          <t>-</t>
        </is>
      </c>
      <c r="H441" s="2" t="inlineStr">
        <is>
          <t>10:30</t>
        </is>
      </c>
      <c r="I441" t="inlineStr">
        <is>
          <t>793,000000000</t>
        </is>
      </c>
      <c r="J441" t="inlineStr">
        <is>
          <t>,000000000</t>
        </is>
      </c>
      <c r="K441" t="inlineStr">
        <is>
          <t>,000000000</t>
        </is>
      </c>
      <c r="L441" t="inlineStr">
        <is>
          <t>20,000000000</t>
        </is>
      </c>
      <c r="M441" t="inlineStr">
        <is>
          <t>,000000000</t>
        </is>
      </c>
      <c r="N441" t="inlineStr">
        <is>
          <t>,000000000</t>
        </is>
      </c>
      <c r="O441" t="inlineStr">
        <is>
          <t>,000000000</t>
        </is>
      </c>
      <c r="P441" t="inlineStr">
        <is>
          <t>58,000000000</t>
        </is>
      </c>
      <c r="Q441" t="inlineStr">
        <is>
          <t>,000000000</t>
        </is>
      </c>
      <c r="R441" t="inlineStr">
        <is>
          <t>,000000000</t>
        </is>
      </c>
      <c r="S441" t="inlineStr">
        <is>
          <t>,000000000</t>
        </is>
      </c>
      <c r="T441" t="inlineStr">
        <is>
          <t>,000000000</t>
        </is>
      </c>
      <c r="U441" t="inlineStr">
        <is>
          <t>,000000000</t>
        </is>
      </c>
      <c r="V441" t="inlineStr">
        <is>
          <t>,000000000</t>
        </is>
      </c>
      <c r="W441" t="inlineStr">
        <is>
          <t>,000000000</t>
        </is>
      </c>
      <c r="X441" t="inlineStr">
        <is>
          <t>,000000000</t>
        </is>
      </c>
      <c r="Y441" t="inlineStr">
        <is>
          <t>,000000000</t>
        </is>
      </c>
      <c r="Z441" t="inlineStr">
        <is>
          <t>,000000000</t>
        </is>
      </c>
      <c r="AA441" t="inlineStr">
        <is>
          <t>,000000000</t>
        </is>
      </c>
      <c r="AB441" t="inlineStr">
        <is>
          <t>5</t>
        </is>
      </c>
      <c r="AC441" t="inlineStr">
        <is>
          <t>3</t>
        </is>
      </c>
      <c r="AD441" s="3">
        <f>UPPER(C3)</f>
        <v/>
      </c>
      <c r="AE441" s="3">
        <f>VLOOKUP(E3,'[1]Nómina Agentes'!$C:$D,3,0)</f>
        <v/>
      </c>
      <c r="AF441" s="5">
        <f>F3</f>
        <v/>
      </c>
      <c r="AG441" s="5">
        <f>H3</f>
        <v/>
      </c>
    </row>
    <row r="442">
      <c r="A442" s="1" t="inlineStr">
        <is>
          <t>9/10/2024</t>
        </is>
      </c>
      <c r="B442" t="inlineStr">
        <is>
          <t>924</t>
        </is>
      </c>
      <c r="C442" t="inlineStr">
        <is>
          <t>S2S No Premium</t>
        </is>
      </c>
      <c r="D442" t="inlineStr">
        <is>
          <t>N2m_Rios Lourdes</t>
        </is>
      </c>
      <c r="E442" t="inlineStr">
        <is>
          <t>628385</t>
        </is>
      </c>
      <c r="F442" s="2" t="inlineStr">
        <is>
          <t>10:30</t>
        </is>
      </c>
      <c r="G442" t="inlineStr">
        <is>
          <t>-</t>
        </is>
      </c>
      <c r="H442" s="2" t="inlineStr">
        <is>
          <t>11:00</t>
        </is>
      </c>
      <c r="I442" t="inlineStr">
        <is>
          <t>1341,000000000</t>
        </is>
      </c>
      <c r="J442" t="inlineStr">
        <is>
          <t>,000000000</t>
        </is>
      </c>
      <c r="K442" t="inlineStr">
        <is>
          <t>,000000000</t>
        </is>
      </c>
      <c r="L442" t="inlineStr">
        <is>
          <t>26,000000000</t>
        </is>
      </c>
      <c r="M442" t="inlineStr">
        <is>
          <t>,000000000</t>
        </is>
      </c>
      <c r="N442" t="inlineStr">
        <is>
          <t>,000000000</t>
        </is>
      </c>
      <c r="O442" t="inlineStr">
        <is>
          <t>,000000000</t>
        </is>
      </c>
      <c r="P442" t="inlineStr">
        <is>
          <t>5,000000000</t>
        </is>
      </c>
      <c r="Q442" t="inlineStr">
        <is>
          <t>,000000000</t>
        </is>
      </c>
      <c r="R442" t="inlineStr">
        <is>
          <t>,000000000</t>
        </is>
      </c>
      <c r="S442" t="inlineStr">
        <is>
          <t>,000000000</t>
        </is>
      </c>
      <c r="T442" t="inlineStr">
        <is>
          <t>,000000000</t>
        </is>
      </c>
      <c r="U442" t="inlineStr">
        <is>
          <t>,000000000</t>
        </is>
      </c>
      <c r="V442" t="inlineStr">
        <is>
          <t>,000000000</t>
        </is>
      </c>
      <c r="W442" t="inlineStr">
        <is>
          <t>,000000000</t>
        </is>
      </c>
      <c r="X442" t="inlineStr">
        <is>
          <t>,000000000</t>
        </is>
      </c>
      <c r="Y442" t="inlineStr">
        <is>
          <t>,000000000</t>
        </is>
      </c>
      <c r="Z442" t="inlineStr">
        <is>
          <t>,000000000</t>
        </is>
      </c>
      <c r="AA442" t="inlineStr">
        <is>
          <t>,000000000</t>
        </is>
      </c>
      <c r="AB442" t="inlineStr">
        <is>
          <t>7</t>
        </is>
      </c>
      <c r="AC442" t="inlineStr">
        <is>
          <t>5</t>
        </is>
      </c>
      <c r="AD442" s="3">
        <f>UPPER(C3)</f>
        <v/>
      </c>
      <c r="AE442" s="3">
        <f>VLOOKUP(E3,'[1]Nómina Agentes'!$C:$D,3,0)</f>
        <v/>
      </c>
      <c r="AF442" s="5">
        <f>F3</f>
        <v/>
      </c>
      <c r="AG442" s="5">
        <f>H3</f>
        <v/>
      </c>
    </row>
    <row r="443">
      <c r="A443" s="1" t="inlineStr">
        <is>
          <t>9/10/2024</t>
        </is>
      </c>
      <c r="B443" t="inlineStr">
        <is>
          <t>924</t>
        </is>
      </c>
      <c r="C443" t="inlineStr">
        <is>
          <t>S2S No Premium</t>
        </is>
      </c>
      <c r="D443" t="inlineStr">
        <is>
          <t>N2m_Rios Lourdes</t>
        </is>
      </c>
      <c r="E443" t="inlineStr">
        <is>
          <t>628385</t>
        </is>
      </c>
      <c r="F443" s="2" t="inlineStr">
        <is>
          <t>09:30</t>
        </is>
      </c>
      <c r="G443" t="inlineStr">
        <is>
          <t>-</t>
        </is>
      </c>
      <c r="H443" s="2" t="inlineStr">
        <is>
          <t>10:00</t>
        </is>
      </c>
      <c r="I443" t="inlineStr">
        <is>
          <t>1423,000000000</t>
        </is>
      </c>
      <c r="J443" t="inlineStr">
        <is>
          <t>,000000000</t>
        </is>
      </c>
      <c r="K443" t="inlineStr">
        <is>
          <t>,000000000</t>
        </is>
      </c>
      <c r="L443" t="inlineStr">
        <is>
          <t>16,000000000</t>
        </is>
      </c>
      <c r="M443" t="inlineStr">
        <is>
          <t>,000000000</t>
        </is>
      </c>
      <c r="N443" t="inlineStr">
        <is>
          <t>,000000000</t>
        </is>
      </c>
      <c r="O443" t="inlineStr">
        <is>
          <t>,000000000</t>
        </is>
      </c>
      <c r="P443" t="inlineStr">
        <is>
          <t>2,000000000</t>
        </is>
      </c>
      <c r="Q443" t="inlineStr">
        <is>
          <t>,000000000</t>
        </is>
      </c>
      <c r="R443" t="inlineStr">
        <is>
          <t>,000000000</t>
        </is>
      </c>
      <c r="S443" t="inlineStr">
        <is>
          <t>,000000000</t>
        </is>
      </c>
      <c r="T443" t="inlineStr">
        <is>
          <t>,000000000</t>
        </is>
      </c>
      <c r="U443" t="inlineStr">
        <is>
          <t>,000000000</t>
        </is>
      </c>
      <c r="V443" t="inlineStr">
        <is>
          <t>,000000000</t>
        </is>
      </c>
      <c r="W443" t="inlineStr">
        <is>
          <t>,000000000</t>
        </is>
      </c>
      <c r="X443" t="inlineStr">
        <is>
          <t>,000000000</t>
        </is>
      </c>
      <c r="Y443" t="inlineStr">
        <is>
          <t>,000000000</t>
        </is>
      </c>
      <c r="Z443" t="inlineStr">
        <is>
          <t>,000000000</t>
        </is>
      </c>
      <c r="AA443" t="inlineStr">
        <is>
          <t>,000000000</t>
        </is>
      </c>
      <c r="AB443" t="inlineStr">
        <is>
          <t>4</t>
        </is>
      </c>
      <c r="AC443" t="inlineStr">
        <is>
          <t>2</t>
        </is>
      </c>
      <c r="AD443" s="3">
        <f>UPPER(C3)</f>
        <v/>
      </c>
      <c r="AE443" s="3">
        <f>VLOOKUP(E3,'[1]Nómina Agentes'!$C:$D,3,0)</f>
        <v/>
      </c>
      <c r="AF443" s="5">
        <f>F3</f>
        <v/>
      </c>
      <c r="AG443" s="5">
        <f>H3</f>
        <v/>
      </c>
    </row>
    <row r="444">
      <c r="A444" s="1" t="inlineStr">
        <is>
          <t>9/10/2024</t>
        </is>
      </c>
      <c r="B444" t="inlineStr">
        <is>
          <t>924</t>
        </is>
      </c>
      <c r="C444" t="inlineStr">
        <is>
          <t>S2S No Premium</t>
        </is>
      </c>
      <c r="D444" t="inlineStr">
        <is>
          <t>*N2m_Katona, Sabrina</t>
        </is>
      </c>
      <c r="E444" t="inlineStr">
        <is>
          <t>628388</t>
        </is>
      </c>
      <c r="F444" s="2" t="inlineStr">
        <is>
          <t>09:30</t>
        </is>
      </c>
      <c r="G444" t="inlineStr">
        <is>
          <t>-</t>
        </is>
      </c>
      <c r="H444" s="2" t="inlineStr">
        <is>
          <t>10:00</t>
        </is>
      </c>
      <c r="I444" t="inlineStr">
        <is>
          <t>469,000000000</t>
        </is>
      </c>
      <c r="J444" t="inlineStr">
        <is>
          <t>,000000000</t>
        </is>
      </c>
      <c r="K444" t="inlineStr">
        <is>
          <t>,000000000</t>
        </is>
      </c>
      <c r="L444" t="inlineStr">
        <is>
          <t>12,000000000</t>
        </is>
      </c>
      <c r="M444" t="inlineStr">
        <is>
          <t>,000000000</t>
        </is>
      </c>
      <c r="N444" t="inlineStr">
        <is>
          <t>,000000000</t>
        </is>
      </c>
      <c r="O444" t="inlineStr">
        <is>
          <t>,000000000</t>
        </is>
      </c>
      <c r="P444" t="inlineStr">
        <is>
          <t>64,000000000</t>
        </is>
      </c>
      <c r="Q444" t="inlineStr">
        <is>
          <t>,000000000</t>
        </is>
      </c>
      <c r="R444" t="inlineStr">
        <is>
          <t>,000000000</t>
        </is>
      </c>
      <c r="S444" t="inlineStr">
        <is>
          <t>,000000000</t>
        </is>
      </c>
      <c r="T444" t="inlineStr">
        <is>
          <t>,000000000</t>
        </is>
      </c>
      <c r="U444" t="inlineStr">
        <is>
          <t>,000000000</t>
        </is>
      </c>
      <c r="V444" t="inlineStr">
        <is>
          <t>,000000000</t>
        </is>
      </c>
      <c r="W444" t="inlineStr">
        <is>
          <t>,000000000</t>
        </is>
      </c>
      <c r="X444" t="inlineStr">
        <is>
          <t>,000000000</t>
        </is>
      </c>
      <c r="Y444" t="inlineStr">
        <is>
          <t>,000000000</t>
        </is>
      </c>
      <c r="Z444" t="inlineStr">
        <is>
          <t>,000000000</t>
        </is>
      </c>
      <c r="AA444" t="inlineStr">
        <is>
          <t>,000000000</t>
        </is>
      </c>
      <c r="AB444" t="inlineStr">
        <is>
          <t>3</t>
        </is>
      </c>
      <c r="AC444" t="inlineStr">
        <is>
          <t>2</t>
        </is>
      </c>
      <c r="AD444" s="3">
        <f>UPPER(C3)</f>
        <v/>
      </c>
      <c r="AE444" s="3">
        <f>VLOOKUP(E3,'[1]Nómina Agentes'!$C:$D,3,0)</f>
        <v/>
      </c>
      <c r="AF444" s="5">
        <f>F3</f>
        <v/>
      </c>
      <c r="AG444" s="5">
        <f>H3</f>
        <v/>
      </c>
    </row>
    <row r="445">
      <c r="A445" s="1" t="inlineStr">
        <is>
          <t>9/10/2024</t>
        </is>
      </c>
      <c r="B445" t="inlineStr">
        <is>
          <t>924</t>
        </is>
      </c>
      <c r="C445" t="inlineStr">
        <is>
          <t>S2S No Premium</t>
        </is>
      </c>
      <c r="D445" t="inlineStr">
        <is>
          <t>*N2m_Katona, Sabrina</t>
        </is>
      </c>
      <c r="E445" t="inlineStr">
        <is>
          <t>628388</t>
        </is>
      </c>
      <c r="F445" s="2" t="inlineStr">
        <is>
          <t>09:00</t>
        </is>
      </c>
      <c r="G445" t="inlineStr">
        <is>
          <t>-</t>
        </is>
      </c>
      <c r="H445" s="2" t="inlineStr">
        <is>
          <t>09:30</t>
        </is>
      </c>
      <c r="I445" t="inlineStr">
        <is>
          <t>533,000000000</t>
        </is>
      </c>
      <c r="J445" t="inlineStr">
        <is>
          <t>,000000000</t>
        </is>
      </c>
      <c r="K445" t="inlineStr">
        <is>
          <t>,000000000</t>
        </is>
      </c>
      <c r="L445" t="inlineStr">
        <is>
          <t>16,000000000</t>
        </is>
      </c>
      <c r="M445" t="inlineStr">
        <is>
          <t>,000000000</t>
        </is>
      </c>
      <c r="N445" t="inlineStr">
        <is>
          <t>,000000000</t>
        </is>
      </c>
      <c r="O445" t="inlineStr">
        <is>
          <t>,000000000</t>
        </is>
      </c>
      <c r="P445" t="inlineStr">
        <is>
          <t>54,000000000</t>
        </is>
      </c>
      <c r="Q445" t="inlineStr">
        <is>
          <t>,000000000</t>
        </is>
      </c>
      <c r="R445" t="inlineStr">
        <is>
          <t>,000000000</t>
        </is>
      </c>
      <c r="S445" t="inlineStr">
        <is>
          <t>,000000000</t>
        </is>
      </c>
      <c r="T445" t="inlineStr">
        <is>
          <t>,000000000</t>
        </is>
      </c>
      <c r="U445" t="inlineStr">
        <is>
          <t>,000000000</t>
        </is>
      </c>
      <c r="V445" t="inlineStr">
        <is>
          <t>,000000000</t>
        </is>
      </c>
      <c r="W445" t="inlineStr">
        <is>
          <t>,000000000</t>
        </is>
      </c>
      <c r="X445" t="inlineStr">
        <is>
          <t>,000000000</t>
        </is>
      </c>
      <c r="Y445" t="inlineStr">
        <is>
          <t>,000000000</t>
        </is>
      </c>
      <c r="Z445" t="inlineStr">
        <is>
          <t>,000000000</t>
        </is>
      </c>
      <c r="AA445" t="inlineStr">
        <is>
          <t>,000000000</t>
        </is>
      </c>
      <c r="AB445" t="inlineStr">
        <is>
          <t>4</t>
        </is>
      </c>
      <c r="AC445" t="inlineStr">
        <is>
          <t>2</t>
        </is>
      </c>
      <c r="AD445" s="3">
        <f>UPPER(C3)</f>
        <v/>
      </c>
      <c r="AE445" s="3">
        <f>VLOOKUP(E3,'[1]Nómina Agentes'!$C:$D,3,0)</f>
        <v/>
      </c>
      <c r="AF445" s="5">
        <f>F3</f>
        <v/>
      </c>
      <c r="AG445" s="5">
        <f>H3</f>
        <v/>
      </c>
    </row>
    <row r="446">
      <c r="A446" s="1" t="inlineStr">
        <is>
          <t>9/10/2024</t>
        </is>
      </c>
      <c r="B446" t="inlineStr">
        <is>
          <t>924</t>
        </is>
      </c>
      <c r="C446" t="inlineStr">
        <is>
          <t>S2S No Premium</t>
        </is>
      </c>
      <c r="D446" t="inlineStr">
        <is>
          <t>*N2m_Katona, Sabrina</t>
        </is>
      </c>
      <c r="E446" t="inlineStr">
        <is>
          <t>628388</t>
        </is>
      </c>
      <c r="F446" s="2" t="inlineStr">
        <is>
          <t>10:00</t>
        </is>
      </c>
      <c r="G446" t="inlineStr">
        <is>
          <t>-</t>
        </is>
      </c>
      <c r="H446" s="2" t="inlineStr">
        <is>
          <t>10:30</t>
        </is>
      </c>
      <c r="I446" t="inlineStr">
        <is>
          <t>746,000000000</t>
        </is>
      </c>
      <c r="J446" t="inlineStr">
        <is>
          <t>,000000000</t>
        </is>
      </c>
      <c r="K446" t="inlineStr">
        <is>
          <t>,000000000</t>
        </is>
      </c>
      <c r="L446" t="inlineStr">
        <is>
          <t>12,000000000</t>
        </is>
      </c>
      <c r="M446" t="inlineStr">
        <is>
          <t>,000000000</t>
        </is>
      </c>
      <c r="N446" t="inlineStr">
        <is>
          <t>,000000000</t>
        </is>
      </c>
      <c r="O446" t="inlineStr">
        <is>
          <t>,000000000</t>
        </is>
      </c>
      <c r="P446" t="inlineStr">
        <is>
          <t>383,000000000</t>
        </is>
      </c>
      <c r="Q446" t="inlineStr">
        <is>
          <t>,000000000</t>
        </is>
      </c>
      <c r="R446" t="inlineStr">
        <is>
          <t>,000000000</t>
        </is>
      </c>
      <c r="S446" t="inlineStr">
        <is>
          <t>,000000000</t>
        </is>
      </c>
      <c r="T446" t="inlineStr">
        <is>
          <t>,000000000</t>
        </is>
      </c>
      <c r="U446" t="inlineStr">
        <is>
          <t>,000000000</t>
        </is>
      </c>
      <c r="V446" t="inlineStr">
        <is>
          <t>,000000000</t>
        </is>
      </c>
      <c r="W446" t="inlineStr">
        <is>
          <t>,000000000</t>
        </is>
      </c>
      <c r="X446" t="inlineStr">
        <is>
          <t>,000000000</t>
        </is>
      </c>
      <c r="Y446" t="inlineStr">
        <is>
          <t>,000000000</t>
        </is>
      </c>
      <c r="Z446" t="inlineStr">
        <is>
          <t>,000000000</t>
        </is>
      </c>
      <c r="AA446" t="inlineStr">
        <is>
          <t>,000000000</t>
        </is>
      </c>
      <c r="AB446" t="inlineStr">
        <is>
          <t>2</t>
        </is>
      </c>
      <c r="AC446" t="inlineStr">
        <is>
          <t>0</t>
        </is>
      </c>
      <c r="AD446" s="3">
        <f>UPPER(C3)</f>
        <v/>
      </c>
      <c r="AE446" s="3">
        <f>VLOOKUP(E3,'[1]Nómina Agentes'!$C:$D,3,0)</f>
        <v/>
      </c>
      <c r="AF446" s="5">
        <f>F3</f>
        <v/>
      </c>
      <c r="AG446" s="5">
        <f>H3</f>
        <v/>
      </c>
    </row>
    <row r="447">
      <c r="A447" s="1" t="inlineStr">
        <is>
          <t>9/10/2024</t>
        </is>
      </c>
      <c r="B447" t="inlineStr">
        <is>
          <t>924</t>
        </is>
      </c>
      <c r="C447" t="inlineStr">
        <is>
          <t>S2S No Premium</t>
        </is>
      </c>
      <c r="D447" t="inlineStr">
        <is>
          <t>*N2m_Katona, Sabrina</t>
        </is>
      </c>
      <c r="E447" t="inlineStr">
        <is>
          <t>628388</t>
        </is>
      </c>
      <c r="F447" s="2" t="inlineStr">
        <is>
          <t>10:30</t>
        </is>
      </c>
      <c r="G447" t="inlineStr">
        <is>
          <t>-</t>
        </is>
      </c>
      <c r="H447" s="2" t="inlineStr">
        <is>
          <t>11:00</t>
        </is>
      </c>
      <c r="I447" t="inlineStr">
        <is>
          <t>1021,000000000</t>
        </is>
      </c>
      <c r="J447" t="inlineStr">
        <is>
          <t>,000000000</t>
        </is>
      </c>
      <c r="K447" t="inlineStr">
        <is>
          <t>,000000000</t>
        </is>
      </c>
      <c r="L447" t="inlineStr">
        <is>
          <t>19,000000000</t>
        </is>
      </c>
      <c r="M447" t="inlineStr">
        <is>
          <t>,000000000</t>
        </is>
      </c>
      <c r="N447" t="inlineStr">
        <is>
          <t>,000000000</t>
        </is>
      </c>
      <c r="O447" t="inlineStr">
        <is>
          <t>,000000000</t>
        </is>
      </c>
      <c r="P447" t="inlineStr">
        <is>
          <t>161,000000000</t>
        </is>
      </c>
      <c r="Q447" t="inlineStr">
        <is>
          <t>236,000000000</t>
        </is>
      </c>
      <c r="R447" t="inlineStr">
        <is>
          <t>,000000000</t>
        </is>
      </c>
      <c r="S447" t="inlineStr">
        <is>
          <t>,000000000</t>
        </is>
      </c>
      <c r="T447" t="inlineStr">
        <is>
          <t>,000000000</t>
        </is>
      </c>
      <c r="U447" t="inlineStr">
        <is>
          <t>,000000000</t>
        </is>
      </c>
      <c r="V447" t="inlineStr">
        <is>
          <t>,000000000</t>
        </is>
      </c>
      <c r="W447" t="inlineStr">
        <is>
          <t>,000000000</t>
        </is>
      </c>
      <c r="X447" t="inlineStr">
        <is>
          <t>,000000000</t>
        </is>
      </c>
      <c r="Y447" t="inlineStr">
        <is>
          <t>,000000000</t>
        </is>
      </c>
      <c r="Z447" t="inlineStr">
        <is>
          <t>,000000000</t>
        </is>
      </c>
      <c r="AA447" t="inlineStr">
        <is>
          <t>,000000000</t>
        </is>
      </c>
      <c r="AB447" t="inlineStr">
        <is>
          <t>5</t>
        </is>
      </c>
      <c r="AC447" t="inlineStr">
        <is>
          <t>5</t>
        </is>
      </c>
      <c r="AD447" s="3">
        <f>UPPER(C3)</f>
        <v/>
      </c>
      <c r="AE447" s="3">
        <f>VLOOKUP(E3,'[1]Nómina Agentes'!$C:$D,3,0)</f>
        <v/>
      </c>
      <c r="AF447" s="5">
        <f>F3</f>
        <v/>
      </c>
      <c r="AG447" s="5">
        <f>H3</f>
        <v/>
      </c>
    </row>
    <row r="448">
      <c r="A448" s="1" t="inlineStr">
        <is>
          <t>9/10/2024</t>
        </is>
      </c>
      <c r="B448" t="inlineStr">
        <is>
          <t>925</t>
        </is>
      </c>
      <c r="C448" t="inlineStr">
        <is>
          <t>S2S Premium</t>
        </is>
      </c>
      <c r="D448" t="inlineStr">
        <is>
          <t>*Pm_Gutierrez, Laura</t>
        </is>
      </c>
      <c r="E448" t="inlineStr">
        <is>
          <t>628392</t>
        </is>
      </c>
      <c r="F448" s="2" t="inlineStr">
        <is>
          <t>09:00</t>
        </is>
      </c>
      <c r="G448" t="inlineStr">
        <is>
          <t>-</t>
        </is>
      </c>
      <c r="H448" s="2" t="inlineStr">
        <is>
          <t>09:30</t>
        </is>
      </c>
      <c r="I448" t="inlineStr">
        <is>
          <t>133,000000000</t>
        </is>
      </c>
      <c r="J448" t="inlineStr">
        <is>
          <t>,000000000</t>
        </is>
      </c>
      <c r="K448" t="inlineStr">
        <is>
          <t>,000000000</t>
        </is>
      </c>
      <c r="L448" t="inlineStr">
        <is>
          <t>4,000000000</t>
        </is>
      </c>
      <c r="M448" t="inlineStr">
        <is>
          <t>,000000000</t>
        </is>
      </c>
      <c r="N448" t="inlineStr">
        <is>
          <t>,000000000</t>
        </is>
      </c>
      <c r="O448" t="inlineStr">
        <is>
          <t>,000000000</t>
        </is>
      </c>
      <c r="P448" t="inlineStr">
        <is>
          <t>1,000000000</t>
        </is>
      </c>
      <c r="Q448" t="inlineStr">
        <is>
          <t>,000000000</t>
        </is>
      </c>
      <c r="R448" t="inlineStr">
        <is>
          <t>,000000000</t>
        </is>
      </c>
      <c r="S448" t="inlineStr">
        <is>
          <t>,000000000</t>
        </is>
      </c>
      <c r="T448" t="inlineStr">
        <is>
          <t>,000000000</t>
        </is>
      </c>
      <c r="U448" t="inlineStr">
        <is>
          <t>,000000000</t>
        </is>
      </c>
      <c r="V448" t="inlineStr">
        <is>
          <t>,000000000</t>
        </is>
      </c>
      <c r="W448" t="inlineStr">
        <is>
          <t>,000000000</t>
        </is>
      </c>
      <c r="X448" t="inlineStr">
        <is>
          <t>,000000000</t>
        </is>
      </c>
      <c r="Y448" t="inlineStr">
        <is>
          <t>,000000000</t>
        </is>
      </c>
      <c r="Z448" t="inlineStr">
        <is>
          <t>,000000000</t>
        </is>
      </c>
      <c r="AA448" t="inlineStr">
        <is>
          <t>,000000000</t>
        </is>
      </c>
      <c r="AB448" t="inlineStr">
        <is>
          <t>1</t>
        </is>
      </c>
      <c r="AC448" t="inlineStr">
        <is>
          <t>1</t>
        </is>
      </c>
      <c r="AD448" s="3">
        <f>UPPER(C3)</f>
        <v/>
      </c>
      <c r="AE448" s="3">
        <f>VLOOKUP(E3,'[1]Nómina Agentes'!$C:$D,3,0)</f>
        <v/>
      </c>
      <c r="AF448" s="5">
        <f>F3</f>
        <v/>
      </c>
      <c r="AG448" s="5">
        <f>H3</f>
        <v/>
      </c>
    </row>
    <row r="449">
      <c r="A449" s="1" t="inlineStr">
        <is>
          <t>9/10/2024</t>
        </is>
      </c>
      <c r="B449" t="inlineStr">
        <is>
          <t>924</t>
        </is>
      </c>
      <c r="C449" t="inlineStr">
        <is>
          <t>S2S No Premium</t>
        </is>
      </c>
      <c r="D449" t="inlineStr">
        <is>
          <t>*N2m_Noguera Maria</t>
        </is>
      </c>
      <c r="E449" t="inlineStr">
        <is>
          <t>628394</t>
        </is>
      </c>
      <c r="F449" s="2" t="inlineStr">
        <is>
          <t>10:00</t>
        </is>
      </c>
      <c r="G449" t="inlineStr">
        <is>
          <t>-</t>
        </is>
      </c>
      <c r="H449" s="2" t="inlineStr">
        <is>
          <t>10:30</t>
        </is>
      </c>
      <c r="I449" t="inlineStr">
        <is>
          <t>446,000000000</t>
        </is>
      </c>
      <c r="J449" t="inlineStr">
        <is>
          <t>,000000000</t>
        </is>
      </c>
      <c r="K449" t="inlineStr">
        <is>
          <t>,000000000</t>
        </is>
      </c>
      <c r="L449" t="inlineStr">
        <is>
          <t>9,000000000</t>
        </is>
      </c>
      <c r="M449" t="inlineStr">
        <is>
          <t>,000000000</t>
        </is>
      </c>
      <c r="N449" t="inlineStr">
        <is>
          <t>,000000000</t>
        </is>
      </c>
      <c r="O449" t="inlineStr">
        <is>
          <t>,000000000</t>
        </is>
      </c>
      <c r="P449" t="inlineStr">
        <is>
          <t>933,000000000</t>
        </is>
      </c>
      <c r="Q449" t="inlineStr">
        <is>
          <t>929,000000000</t>
        </is>
      </c>
      <c r="R449" t="inlineStr">
        <is>
          <t>,000000000</t>
        </is>
      </c>
      <c r="S449" t="inlineStr">
        <is>
          <t>,000000000</t>
        </is>
      </c>
      <c r="T449" t="inlineStr">
        <is>
          <t>,000000000</t>
        </is>
      </c>
      <c r="U449" t="inlineStr">
        <is>
          <t>,000000000</t>
        </is>
      </c>
      <c r="V449" t="inlineStr">
        <is>
          <t>,000000000</t>
        </is>
      </c>
      <c r="W449" t="inlineStr">
        <is>
          <t>,000000000</t>
        </is>
      </c>
      <c r="X449" t="inlineStr">
        <is>
          <t>,000000000</t>
        </is>
      </c>
      <c r="Y449" t="inlineStr">
        <is>
          <t>,000000000</t>
        </is>
      </c>
      <c r="Z449" t="inlineStr">
        <is>
          <t>,000000000</t>
        </is>
      </c>
      <c r="AA449" t="inlineStr">
        <is>
          <t>,000000000</t>
        </is>
      </c>
      <c r="AB449" t="inlineStr">
        <is>
          <t>2</t>
        </is>
      </c>
      <c r="AC449" t="inlineStr">
        <is>
          <t>1</t>
        </is>
      </c>
      <c r="AD449" s="3">
        <f>UPPER(C3)</f>
        <v/>
      </c>
      <c r="AE449" s="3">
        <f>VLOOKUP(E3,'[1]Nómina Agentes'!$C:$D,3,0)</f>
        <v/>
      </c>
      <c r="AF449" s="5">
        <f>F3</f>
        <v/>
      </c>
      <c r="AG449" s="5">
        <f>H3</f>
        <v/>
      </c>
    </row>
    <row r="450">
      <c r="A450" s="1" t="inlineStr">
        <is>
          <t>9/10/2024</t>
        </is>
      </c>
      <c r="B450" t="inlineStr">
        <is>
          <t>924</t>
        </is>
      </c>
      <c r="C450" t="inlineStr">
        <is>
          <t>S2S No Premium</t>
        </is>
      </c>
      <c r="D450" t="inlineStr">
        <is>
          <t>*N2m_Noguera Maria</t>
        </is>
      </c>
      <c r="E450" t="inlineStr">
        <is>
          <t>628394</t>
        </is>
      </c>
      <c r="F450" s="2" t="inlineStr">
        <is>
          <t>10:30</t>
        </is>
      </c>
      <c r="G450" t="inlineStr">
        <is>
          <t>-</t>
        </is>
      </c>
      <c r="H450" s="2" t="inlineStr">
        <is>
          <t>11:00</t>
        </is>
      </c>
      <c r="I450" t="inlineStr">
        <is>
          <t>1015,000000000</t>
        </is>
      </c>
      <c r="J450" t="inlineStr">
        <is>
          <t>,000000000</t>
        </is>
      </c>
      <c r="K450" t="inlineStr">
        <is>
          <t>,000000000</t>
        </is>
      </c>
      <c r="L450" t="inlineStr">
        <is>
          <t>19,000000000</t>
        </is>
      </c>
      <c r="M450" t="inlineStr">
        <is>
          <t>,000000000</t>
        </is>
      </c>
      <c r="N450" t="inlineStr">
        <is>
          <t>,000000000</t>
        </is>
      </c>
      <c r="O450" t="inlineStr">
        <is>
          <t>,000000000</t>
        </is>
      </c>
      <c r="P450" t="inlineStr">
        <is>
          <t>320,000000000</t>
        </is>
      </c>
      <c r="Q450" t="inlineStr">
        <is>
          <t>382,000000000</t>
        </is>
      </c>
      <c r="R450" t="inlineStr">
        <is>
          <t>,000000000</t>
        </is>
      </c>
      <c r="S450" t="inlineStr">
        <is>
          <t>,000000000</t>
        </is>
      </c>
      <c r="T450" t="inlineStr">
        <is>
          <t>,000000000</t>
        </is>
      </c>
      <c r="U450" t="inlineStr">
        <is>
          <t>,000000000</t>
        </is>
      </c>
      <c r="V450" t="inlineStr">
        <is>
          <t>,000000000</t>
        </is>
      </c>
      <c r="W450" t="inlineStr">
        <is>
          <t>,000000000</t>
        </is>
      </c>
      <c r="X450" t="inlineStr">
        <is>
          <t>,000000000</t>
        </is>
      </c>
      <c r="Y450" t="inlineStr">
        <is>
          <t>,000000000</t>
        </is>
      </c>
      <c r="Z450" t="inlineStr">
        <is>
          <t>,000000000</t>
        </is>
      </c>
      <c r="AA450" t="inlineStr">
        <is>
          <t>,000000000</t>
        </is>
      </c>
      <c r="AB450" t="inlineStr">
        <is>
          <t>4</t>
        </is>
      </c>
      <c r="AC450" t="inlineStr">
        <is>
          <t>4</t>
        </is>
      </c>
      <c r="AD450" s="3">
        <f>UPPER(C3)</f>
        <v/>
      </c>
      <c r="AE450" s="3">
        <f>VLOOKUP(E3,'[1]Nómina Agentes'!$C:$D,3,0)</f>
        <v/>
      </c>
      <c r="AF450" s="5">
        <f>F3</f>
        <v/>
      </c>
      <c r="AG450" s="5">
        <f>H3</f>
        <v/>
      </c>
    </row>
    <row r="451">
      <c r="A451" s="1" t="inlineStr">
        <is>
          <t>9/10/2024</t>
        </is>
      </c>
      <c r="B451" t="inlineStr">
        <is>
          <t>925</t>
        </is>
      </c>
      <c r="C451" t="inlineStr">
        <is>
          <t>S2S Premium</t>
        </is>
      </c>
      <c r="D451" t="inlineStr">
        <is>
          <t>*PWm_SanchezAnt</t>
        </is>
      </c>
      <c r="E451" t="inlineStr">
        <is>
          <t>628400</t>
        </is>
      </c>
      <c r="F451" s="2" t="inlineStr">
        <is>
          <t>09:00</t>
        </is>
      </c>
      <c r="G451" t="inlineStr">
        <is>
          <t>-</t>
        </is>
      </c>
      <c r="H451" s="2" t="inlineStr">
        <is>
          <t>09:30</t>
        </is>
      </c>
      <c r="I451" t="inlineStr">
        <is>
          <t>70,000000000</t>
        </is>
      </c>
      <c r="J451" t="inlineStr">
        <is>
          <t>,000000000</t>
        </is>
      </c>
      <c r="K451" t="inlineStr">
        <is>
          <t>,000000000</t>
        </is>
      </c>
      <c r="L451" t="inlineStr">
        <is>
          <t>4,000000000</t>
        </is>
      </c>
      <c r="M451" t="inlineStr">
        <is>
          <t>,000000000</t>
        </is>
      </c>
      <c r="N451" t="inlineStr">
        <is>
          <t>,000000000</t>
        </is>
      </c>
      <c r="O451" t="inlineStr">
        <is>
          <t>,000000000</t>
        </is>
      </c>
      <c r="P451" t="inlineStr">
        <is>
          <t>,000000000</t>
        </is>
      </c>
      <c r="Q451" t="inlineStr">
        <is>
          <t>,000000000</t>
        </is>
      </c>
      <c r="R451" t="inlineStr">
        <is>
          <t>,000000000</t>
        </is>
      </c>
      <c r="S451" t="inlineStr">
        <is>
          <t>,000000000</t>
        </is>
      </c>
      <c r="T451" t="inlineStr">
        <is>
          <t>,000000000</t>
        </is>
      </c>
      <c r="U451" t="inlineStr">
        <is>
          <t>,000000000</t>
        </is>
      </c>
      <c r="V451" t="inlineStr">
        <is>
          <t>,000000000</t>
        </is>
      </c>
      <c r="W451" t="inlineStr">
        <is>
          <t>,000000000</t>
        </is>
      </c>
      <c r="X451" t="inlineStr">
        <is>
          <t>,000000000</t>
        </is>
      </c>
      <c r="Y451" t="inlineStr">
        <is>
          <t>,000000000</t>
        </is>
      </c>
      <c r="Z451" t="inlineStr">
        <is>
          <t>,000000000</t>
        </is>
      </c>
      <c r="AA451" t="inlineStr">
        <is>
          <t>,000000000</t>
        </is>
      </c>
      <c r="AB451" t="inlineStr">
        <is>
          <t>1</t>
        </is>
      </c>
      <c r="AC451" t="inlineStr">
        <is>
          <t>0</t>
        </is>
      </c>
      <c r="AD451" s="3">
        <f>UPPER(C3)</f>
        <v/>
      </c>
      <c r="AE451" s="3">
        <f>VLOOKUP(E3,'[1]Nómina Agentes'!$C:$D,3,0)</f>
        <v/>
      </c>
      <c r="AF451" s="5">
        <f>F3</f>
        <v/>
      </c>
      <c r="AG451" s="5">
        <f>H3</f>
        <v/>
      </c>
    </row>
    <row r="452">
      <c r="A452" s="1" t="inlineStr">
        <is>
          <t>9/10/2024</t>
        </is>
      </c>
      <c r="B452" t="inlineStr">
        <is>
          <t>925</t>
        </is>
      </c>
      <c r="C452" t="inlineStr">
        <is>
          <t>S2S Premium</t>
        </is>
      </c>
      <c r="D452" t="inlineStr">
        <is>
          <t>*Pm_BenitezNicolas</t>
        </is>
      </c>
      <c r="E452" t="inlineStr">
        <is>
          <t>628406</t>
        </is>
      </c>
      <c r="F452" s="2" t="inlineStr">
        <is>
          <t>09:00</t>
        </is>
      </c>
      <c r="G452" t="inlineStr">
        <is>
          <t>-</t>
        </is>
      </c>
      <c r="H452" s="2" t="inlineStr">
        <is>
          <t>09:30</t>
        </is>
      </c>
      <c r="I452" t="inlineStr">
        <is>
          <t>,000000000</t>
        </is>
      </c>
      <c r="J452" t="inlineStr">
        <is>
          <t>,000000000</t>
        </is>
      </c>
      <c r="K452" t="inlineStr">
        <is>
          <t>,000000000</t>
        </is>
      </c>
      <c r="L452" t="inlineStr">
        <is>
          <t>,000000000</t>
        </is>
      </c>
      <c r="M452" t="inlineStr">
        <is>
          <t>,000000000</t>
        </is>
      </c>
      <c r="N452" t="inlineStr">
        <is>
          <t>,000000000</t>
        </is>
      </c>
      <c r="O452" t="inlineStr">
        <is>
          <t>,000000000</t>
        </is>
      </c>
      <c r="P452" t="inlineStr">
        <is>
          <t>,000000000</t>
        </is>
      </c>
      <c r="Q452" t="inlineStr">
        <is>
          <t>,000000000</t>
        </is>
      </c>
      <c r="R452" t="inlineStr">
        <is>
          <t>,000000000</t>
        </is>
      </c>
      <c r="S452" t="inlineStr">
        <is>
          <t>,000000000</t>
        </is>
      </c>
      <c r="T452" t="inlineStr">
        <is>
          <t>,000000000</t>
        </is>
      </c>
      <c r="U452" t="inlineStr">
        <is>
          <t>,000000000</t>
        </is>
      </c>
      <c r="V452" t="inlineStr">
        <is>
          <t>,000000000</t>
        </is>
      </c>
      <c r="W452" t="inlineStr">
        <is>
          <t>,000000000</t>
        </is>
      </c>
      <c r="X452" t="inlineStr">
        <is>
          <t>,000000000</t>
        </is>
      </c>
      <c r="Y452" t="inlineStr">
        <is>
          <t>,000000000</t>
        </is>
      </c>
      <c r="Z452" t="inlineStr">
        <is>
          <t>,000000000</t>
        </is>
      </c>
      <c r="AA452" t="inlineStr">
        <is>
          <t>,000000000</t>
        </is>
      </c>
      <c r="AB452" t="inlineStr">
        <is>
          <t>0</t>
        </is>
      </c>
      <c r="AC452" t="inlineStr">
        <is>
          <t>0</t>
        </is>
      </c>
      <c r="AD452" s="3">
        <f>UPPER(C3)</f>
        <v/>
      </c>
      <c r="AE452" s="3">
        <f>VLOOKUP(E3,'[1]Nómina Agentes'!$C:$D,3,0)</f>
        <v/>
      </c>
      <c r="AF452" s="5">
        <f>F3</f>
        <v/>
      </c>
      <c r="AG452" s="5">
        <f>H3</f>
        <v/>
      </c>
    </row>
    <row r="453">
      <c r="A453" s="1" t="inlineStr">
        <is>
          <t>9/10/2024</t>
        </is>
      </c>
      <c r="B453" t="inlineStr">
        <is>
          <t>925</t>
        </is>
      </c>
      <c r="C453" t="inlineStr">
        <is>
          <t>S2S Premium</t>
        </is>
      </c>
      <c r="D453" t="inlineStr">
        <is>
          <t>*Pm_BenitezNicolas</t>
        </is>
      </c>
      <c r="E453" t="inlineStr">
        <is>
          <t>628406</t>
        </is>
      </c>
      <c r="F453" s="2" t="inlineStr">
        <is>
          <t>08:30</t>
        </is>
      </c>
      <c r="G453" t="inlineStr">
        <is>
          <t>-</t>
        </is>
      </c>
      <c r="H453" s="2" t="inlineStr">
        <is>
          <t>09:00</t>
        </is>
      </c>
      <c r="I453" t="inlineStr">
        <is>
          <t>,000000000</t>
        </is>
      </c>
      <c r="J453" t="inlineStr">
        <is>
          <t>,000000000</t>
        </is>
      </c>
      <c r="K453" t="inlineStr">
        <is>
          <t>,000000000</t>
        </is>
      </c>
      <c r="L453" t="inlineStr">
        <is>
          <t>,000000000</t>
        </is>
      </c>
      <c r="M453" t="inlineStr">
        <is>
          <t>,000000000</t>
        </is>
      </c>
      <c r="N453" t="inlineStr">
        <is>
          <t>,000000000</t>
        </is>
      </c>
      <c r="O453" t="inlineStr">
        <is>
          <t>,000000000</t>
        </is>
      </c>
      <c r="P453" t="inlineStr">
        <is>
          <t>,000000000</t>
        </is>
      </c>
      <c r="Q453" t="inlineStr">
        <is>
          <t>,000000000</t>
        </is>
      </c>
      <c r="R453" t="inlineStr">
        <is>
          <t>,000000000</t>
        </is>
      </c>
      <c r="S453" t="inlineStr">
        <is>
          <t>,000000000</t>
        </is>
      </c>
      <c r="T453" t="inlineStr">
        <is>
          <t>,000000000</t>
        </is>
      </c>
      <c r="U453" t="inlineStr">
        <is>
          <t>,000000000</t>
        </is>
      </c>
      <c r="V453" t="inlineStr">
        <is>
          <t>,000000000</t>
        </is>
      </c>
      <c r="W453" t="inlineStr">
        <is>
          <t>,000000000</t>
        </is>
      </c>
      <c r="X453" t="inlineStr">
        <is>
          <t>,000000000</t>
        </is>
      </c>
      <c r="Y453" t="inlineStr">
        <is>
          <t>,000000000</t>
        </is>
      </c>
      <c r="Z453" t="inlineStr">
        <is>
          <t>,000000000</t>
        </is>
      </c>
      <c r="AA453" t="inlineStr">
        <is>
          <t>,000000000</t>
        </is>
      </c>
      <c r="AB453" t="inlineStr">
        <is>
          <t>0</t>
        </is>
      </c>
      <c r="AC453" t="inlineStr">
        <is>
          <t>0</t>
        </is>
      </c>
      <c r="AD453" s="3">
        <f>UPPER(C3)</f>
        <v/>
      </c>
      <c r="AE453" s="3">
        <f>VLOOKUP(E3,'[1]Nómina Agentes'!$C:$D,3,0)</f>
        <v/>
      </c>
      <c r="AF453" s="5">
        <f>F3</f>
        <v/>
      </c>
      <c r="AG453" s="5">
        <f>H3</f>
        <v/>
      </c>
    </row>
    <row r="454">
      <c r="A454" s="1" t="inlineStr">
        <is>
          <t>9/10/2024</t>
        </is>
      </c>
      <c r="B454" t="inlineStr">
        <is>
          <t>925</t>
        </is>
      </c>
      <c r="C454" t="inlineStr">
        <is>
          <t>S2S Premium</t>
        </is>
      </c>
      <c r="D454" t="inlineStr">
        <is>
          <t>*Pm_BenitezNicolas</t>
        </is>
      </c>
      <c r="E454" t="inlineStr">
        <is>
          <t>628406</t>
        </is>
      </c>
      <c r="F454" s="2" t="inlineStr">
        <is>
          <t>08:00</t>
        </is>
      </c>
      <c r="G454" t="inlineStr">
        <is>
          <t>-</t>
        </is>
      </c>
      <c r="H454" s="2" t="inlineStr">
        <is>
          <t>08:30</t>
        </is>
      </c>
      <c r="I454" t="inlineStr">
        <is>
          <t>,000000000</t>
        </is>
      </c>
      <c r="J454" t="inlineStr">
        <is>
          <t>,000000000</t>
        </is>
      </c>
      <c r="K454" t="inlineStr">
        <is>
          <t>,000000000</t>
        </is>
      </c>
      <c r="L454" t="inlineStr">
        <is>
          <t>,000000000</t>
        </is>
      </c>
      <c r="M454" t="inlineStr">
        <is>
          <t>,000000000</t>
        </is>
      </c>
      <c r="N454" t="inlineStr">
        <is>
          <t>,000000000</t>
        </is>
      </c>
      <c r="O454" t="inlineStr">
        <is>
          <t>,000000000</t>
        </is>
      </c>
      <c r="P454" t="inlineStr">
        <is>
          <t>,000000000</t>
        </is>
      </c>
      <c r="Q454" t="inlineStr">
        <is>
          <t>,000000000</t>
        </is>
      </c>
      <c r="R454" t="inlineStr">
        <is>
          <t>,000000000</t>
        </is>
      </c>
      <c r="S454" t="inlineStr">
        <is>
          <t>,000000000</t>
        </is>
      </c>
      <c r="T454" t="inlineStr">
        <is>
          <t>,000000000</t>
        </is>
      </c>
      <c r="U454" t="inlineStr">
        <is>
          <t>,000000000</t>
        </is>
      </c>
      <c r="V454" t="inlineStr">
        <is>
          <t>,000000000</t>
        </is>
      </c>
      <c r="W454" t="inlineStr">
        <is>
          <t>,000000000</t>
        </is>
      </c>
      <c r="X454" t="inlineStr">
        <is>
          <t>,000000000</t>
        </is>
      </c>
      <c r="Y454" t="inlineStr">
        <is>
          <t>,000000000</t>
        </is>
      </c>
      <c r="Z454" t="inlineStr">
        <is>
          <t>,000000000</t>
        </is>
      </c>
      <c r="AA454" t="inlineStr">
        <is>
          <t>,000000000</t>
        </is>
      </c>
      <c r="AB454" t="inlineStr">
        <is>
          <t>0</t>
        </is>
      </c>
      <c r="AC454" t="inlineStr">
        <is>
          <t>0</t>
        </is>
      </c>
      <c r="AD454" s="3">
        <f>UPPER(C3)</f>
        <v/>
      </c>
      <c r="AE454" s="3">
        <f>VLOOKUP(E3,'[1]Nómina Agentes'!$C:$D,3,0)</f>
        <v/>
      </c>
      <c r="AF454" s="5">
        <f>F3</f>
        <v/>
      </c>
      <c r="AG454" s="5">
        <f>H3</f>
        <v/>
      </c>
    </row>
    <row r="455">
      <c r="A455" s="1" t="inlineStr">
        <is>
          <t>9/10/2024</t>
        </is>
      </c>
      <c r="B455" t="inlineStr">
        <is>
          <t>925</t>
        </is>
      </c>
      <c r="C455" t="inlineStr">
        <is>
          <t>S2S Premium</t>
        </is>
      </c>
      <c r="D455" t="inlineStr">
        <is>
          <t>*Pm_BenitezNicolas</t>
        </is>
      </c>
      <c r="E455" t="inlineStr">
        <is>
          <t>628406</t>
        </is>
      </c>
      <c r="F455" s="2" t="inlineStr">
        <is>
          <t>10:00</t>
        </is>
      </c>
      <c r="G455" t="inlineStr">
        <is>
          <t>-</t>
        </is>
      </c>
      <c r="H455" s="2" t="inlineStr">
        <is>
          <t>10:30</t>
        </is>
      </c>
      <c r="I455" t="inlineStr">
        <is>
          <t>,000000000</t>
        </is>
      </c>
      <c r="J455" t="inlineStr">
        <is>
          <t>,000000000</t>
        </is>
      </c>
      <c r="K455" t="inlineStr">
        <is>
          <t>,000000000</t>
        </is>
      </c>
      <c r="L455" t="inlineStr">
        <is>
          <t>,000000000</t>
        </is>
      </c>
      <c r="M455" t="inlineStr">
        <is>
          <t>,000000000</t>
        </is>
      </c>
      <c r="N455" t="inlineStr">
        <is>
          <t>,000000000</t>
        </is>
      </c>
      <c r="O455" t="inlineStr">
        <is>
          <t>,000000000</t>
        </is>
      </c>
      <c r="P455" t="inlineStr">
        <is>
          <t>,000000000</t>
        </is>
      </c>
      <c r="Q455" t="inlineStr">
        <is>
          <t>,000000000</t>
        </is>
      </c>
      <c r="R455" t="inlineStr">
        <is>
          <t>,000000000</t>
        </is>
      </c>
      <c r="S455" t="inlineStr">
        <is>
          <t>,000000000</t>
        </is>
      </c>
      <c r="T455" t="inlineStr">
        <is>
          <t>,000000000</t>
        </is>
      </c>
      <c r="U455" t="inlineStr">
        <is>
          <t>,000000000</t>
        </is>
      </c>
      <c r="V455" t="inlineStr">
        <is>
          <t>,000000000</t>
        </is>
      </c>
      <c r="W455" t="inlineStr">
        <is>
          <t>,000000000</t>
        </is>
      </c>
      <c r="X455" t="inlineStr">
        <is>
          <t>,000000000</t>
        </is>
      </c>
      <c r="Y455" t="inlineStr">
        <is>
          <t>,000000000</t>
        </is>
      </c>
      <c r="Z455" t="inlineStr">
        <is>
          <t>,000000000</t>
        </is>
      </c>
      <c r="AA455" t="inlineStr">
        <is>
          <t>,000000000</t>
        </is>
      </c>
      <c r="AB455" t="inlineStr">
        <is>
          <t>0</t>
        </is>
      </c>
      <c r="AC455" t="inlineStr">
        <is>
          <t>0</t>
        </is>
      </c>
      <c r="AD455" s="3">
        <f>UPPER(C3)</f>
        <v/>
      </c>
      <c r="AE455" s="3">
        <f>VLOOKUP(E3,'[1]Nómina Agentes'!$C:$D,3,0)</f>
        <v/>
      </c>
      <c r="AF455" s="5">
        <f>F3</f>
        <v/>
      </c>
      <c r="AG455" s="5">
        <f>H3</f>
        <v/>
      </c>
    </row>
    <row r="456">
      <c r="A456" s="1" t="inlineStr">
        <is>
          <t>9/10/2024</t>
        </is>
      </c>
      <c r="B456" t="inlineStr">
        <is>
          <t>925</t>
        </is>
      </c>
      <c r="C456" t="inlineStr">
        <is>
          <t>S2S Premium</t>
        </is>
      </c>
      <c r="D456" t="inlineStr">
        <is>
          <t>*Pm_BenitezNicolas</t>
        </is>
      </c>
      <c r="E456" t="inlineStr">
        <is>
          <t>628406</t>
        </is>
      </c>
      <c r="F456" s="2" t="inlineStr">
        <is>
          <t>09:30</t>
        </is>
      </c>
      <c r="G456" t="inlineStr">
        <is>
          <t>-</t>
        </is>
      </c>
      <c r="H456" s="2" t="inlineStr">
        <is>
          <t>10:00</t>
        </is>
      </c>
      <c r="I456" t="inlineStr">
        <is>
          <t>,000000000</t>
        </is>
      </c>
      <c r="J456" t="inlineStr">
        <is>
          <t>,000000000</t>
        </is>
      </c>
      <c r="K456" t="inlineStr">
        <is>
          <t>,000000000</t>
        </is>
      </c>
      <c r="L456" t="inlineStr">
        <is>
          <t>,000000000</t>
        </is>
      </c>
      <c r="M456" t="inlineStr">
        <is>
          <t>,000000000</t>
        </is>
      </c>
      <c r="N456" t="inlineStr">
        <is>
          <t>,000000000</t>
        </is>
      </c>
      <c r="O456" t="inlineStr">
        <is>
          <t>,000000000</t>
        </is>
      </c>
      <c r="P456" t="inlineStr">
        <is>
          <t>,000000000</t>
        </is>
      </c>
      <c r="Q456" t="inlineStr">
        <is>
          <t>,000000000</t>
        </is>
      </c>
      <c r="R456" t="inlineStr">
        <is>
          <t>,000000000</t>
        </is>
      </c>
      <c r="S456" t="inlineStr">
        <is>
          <t>,000000000</t>
        </is>
      </c>
      <c r="T456" t="inlineStr">
        <is>
          <t>,000000000</t>
        </is>
      </c>
      <c r="U456" t="inlineStr">
        <is>
          <t>,000000000</t>
        </is>
      </c>
      <c r="V456" t="inlineStr">
        <is>
          <t>,000000000</t>
        </is>
      </c>
      <c r="W456" t="inlineStr">
        <is>
          <t>,000000000</t>
        </is>
      </c>
      <c r="X456" t="inlineStr">
        <is>
          <t>,000000000</t>
        </is>
      </c>
      <c r="Y456" t="inlineStr">
        <is>
          <t>,000000000</t>
        </is>
      </c>
      <c r="Z456" t="inlineStr">
        <is>
          <t>,000000000</t>
        </is>
      </c>
      <c r="AA456" t="inlineStr">
        <is>
          <t>,000000000</t>
        </is>
      </c>
      <c r="AB456" t="inlineStr">
        <is>
          <t>0</t>
        </is>
      </c>
      <c r="AC456" t="inlineStr">
        <is>
          <t>0</t>
        </is>
      </c>
      <c r="AD456" s="3">
        <f>UPPER(C3)</f>
        <v/>
      </c>
      <c r="AE456" s="3">
        <f>VLOOKUP(E3,'[1]Nómina Agentes'!$C:$D,3,0)</f>
        <v/>
      </c>
      <c r="AF456" s="5">
        <f>F3</f>
        <v/>
      </c>
      <c r="AG456" s="5">
        <f>H3</f>
        <v/>
      </c>
    </row>
    <row r="457">
      <c r="A457" s="1" t="inlineStr">
        <is>
          <t>9/10/2024</t>
        </is>
      </c>
      <c r="B457" t="inlineStr">
        <is>
          <t>925</t>
        </is>
      </c>
      <c r="C457" t="inlineStr">
        <is>
          <t>S2S Premium</t>
        </is>
      </c>
      <c r="D457" t="inlineStr">
        <is>
          <t>*Pm_BenitezNicolas</t>
        </is>
      </c>
      <c r="E457" t="inlineStr">
        <is>
          <t>628406</t>
        </is>
      </c>
      <c r="F457" s="2" t="inlineStr">
        <is>
          <t>10:30</t>
        </is>
      </c>
      <c r="G457" t="inlineStr">
        <is>
          <t>-</t>
        </is>
      </c>
      <c r="H457" s="2" t="inlineStr">
        <is>
          <t>11:00</t>
        </is>
      </c>
      <c r="I457" t="inlineStr">
        <is>
          <t>35,000000000</t>
        </is>
      </c>
      <c r="J457" t="inlineStr">
        <is>
          <t>,000000000</t>
        </is>
      </c>
      <c r="K457" t="inlineStr">
        <is>
          <t>,000000000</t>
        </is>
      </c>
      <c r="L457" t="inlineStr">
        <is>
          <t>4,000000000</t>
        </is>
      </c>
      <c r="M457" t="inlineStr">
        <is>
          <t>,000000000</t>
        </is>
      </c>
      <c r="N457" t="inlineStr">
        <is>
          <t>,000000000</t>
        </is>
      </c>
      <c r="O457" t="inlineStr">
        <is>
          <t>,000000000</t>
        </is>
      </c>
      <c r="P457" t="inlineStr">
        <is>
          <t>,000000000</t>
        </is>
      </c>
      <c r="Q457" t="inlineStr">
        <is>
          <t>,000000000</t>
        </is>
      </c>
      <c r="R457" t="inlineStr">
        <is>
          <t>,000000000</t>
        </is>
      </c>
      <c r="S457" t="inlineStr">
        <is>
          <t>,000000000</t>
        </is>
      </c>
      <c r="T457" t="inlineStr">
        <is>
          <t>,000000000</t>
        </is>
      </c>
      <c r="U457" t="inlineStr">
        <is>
          <t>,000000000</t>
        </is>
      </c>
      <c r="V457" t="inlineStr">
        <is>
          <t>,000000000</t>
        </is>
      </c>
      <c r="W457" t="inlineStr">
        <is>
          <t>,000000000</t>
        </is>
      </c>
      <c r="X457" t="inlineStr">
        <is>
          <t>,000000000</t>
        </is>
      </c>
      <c r="Y457" t="inlineStr">
        <is>
          <t>,000000000</t>
        </is>
      </c>
      <c r="Z457" t="inlineStr">
        <is>
          <t>,000000000</t>
        </is>
      </c>
      <c r="AA457" t="inlineStr">
        <is>
          <t>,000000000</t>
        </is>
      </c>
      <c r="AB457" t="inlineStr">
        <is>
          <t>0</t>
        </is>
      </c>
      <c r="AC457" t="inlineStr">
        <is>
          <t>0</t>
        </is>
      </c>
      <c r="AD457" s="3">
        <f>UPPER(C3)</f>
        <v/>
      </c>
      <c r="AE457" s="3">
        <f>VLOOKUP(E3,'[1]Nómina Agentes'!$C:$D,3,0)</f>
        <v/>
      </c>
      <c r="AF457" s="5">
        <f>F3</f>
        <v/>
      </c>
      <c r="AG457" s="5">
        <f>H3</f>
        <v/>
      </c>
    </row>
    <row r="458">
      <c r="A458" s="1" t="inlineStr">
        <is>
          <t>9/10/2024</t>
        </is>
      </c>
      <c r="B458" t="inlineStr">
        <is>
          <t>925</t>
        </is>
      </c>
      <c r="C458" t="inlineStr">
        <is>
          <t>S2S Premium</t>
        </is>
      </c>
      <c r="D458" t="inlineStr">
        <is>
          <t>XPm_Cabrera, Santi</t>
        </is>
      </c>
      <c r="E458" t="inlineStr">
        <is>
          <t>628410</t>
        </is>
      </c>
      <c r="F458" s="2" t="inlineStr">
        <is>
          <t>09:00</t>
        </is>
      </c>
      <c r="G458" t="inlineStr">
        <is>
          <t>-</t>
        </is>
      </c>
      <c r="H458" s="2" t="inlineStr">
        <is>
          <t>09:30</t>
        </is>
      </c>
      <c r="I458" t="inlineStr">
        <is>
          <t>137,000000000</t>
        </is>
      </c>
      <c r="J458" t="inlineStr">
        <is>
          <t>,000000000</t>
        </is>
      </c>
      <c r="K458" t="inlineStr">
        <is>
          <t>,000000000</t>
        </is>
      </c>
      <c r="L458" t="inlineStr">
        <is>
          <t>4,000000000</t>
        </is>
      </c>
      <c r="M458" t="inlineStr">
        <is>
          <t>,000000000</t>
        </is>
      </c>
      <c r="N458" t="inlineStr">
        <is>
          <t>,000000000</t>
        </is>
      </c>
      <c r="O458" t="inlineStr">
        <is>
          <t>,000000000</t>
        </is>
      </c>
      <c r="P458" t="inlineStr">
        <is>
          <t>71,000000000</t>
        </is>
      </c>
      <c r="Q458" t="inlineStr">
        <is>
          <t>,000000000</t>
        </is>
      </c>
      <c r="R458" t="inlineStr">
        <is>
          <t>,000000000</t>
        </is>
      </c>
      <c r="S458" t="inlineStr">
        <is>
          <t>,000000000</t>
        </is>
      </c>
      <c r="T458" t="inlineStr">
        <is>
          <t>,000000000</t>
        </is>
      </c>
      <c r="U458" t="inlineStr">
        <is>
          <t>,000000000</t>
        </is>
      </c>
      <c r="V458" t="inlineStr">
        <is>
          <t>,000000000</t>
        </is>
      </c>
      <c r="W458" t="inlineStr">
        <is>
          <t>,000000000</t>
        </is>
      </c>
      <c r="X458" t="inlineStr">
        <is>
          <t>,000000000</t>
        </is>
      </c>
      <c r="Y458" t="inlineStr">
        <is>
          <t>,000000000</t>
        </is>
      </c>
      <c r="Z458" t="inlineStr">
        <is>
          <t>,000000000</t>
        </is>
      </c>
      <c r="AA458" t="inlineStr">
        <is>
          <t>,000000000</t>
        </is>
      </c>
      <c r="AB458" t="inlineStr">
        <is>
          <t>1</t>
        </is>
      </c>
      <c r="AC458" t="inlineStr">
        <is>
          <t>1</t>
        </is>
      </c>
      <c r="AD458" s="3">
        <f>UPPER(C3)</f>
        <v/>
      </c>
      <c r="AE458" s="3">
        <f>VLOOKUP(E3,'[1]Nómina Agentes'!$C:$D,3,0)</f>
        <v/>
      </c>
      <c r="AF458" s="5">
        <f>F3</f>
        <v/>
      </c>
      <c r="AG458" s="5">
        <f>H3</f>
        <v/>
      </c>
    </row>
    <row r="459">
      <c r="A459" s="1" t="inlineStr">
        <is>
          <t>9/10/2024</t>
        </is>
      </c>
      <c r="B459" t="inlineStr">
        <is>
          <t>924</t>
        </is>
      </c>
      <c r="C459" t="inlineStr">
        <is>
          <t>S2S No Premium</t>
        </is>
      </c>
      <c r="D459" t="inlineStr">
        <is>
          <t>*N2m_Retamozo SofíaM</t>
        </is>
      </c>
      <c r="E459" t="inlineStr">
        <is>
          <t>628423</t>
        </is>
      </c>
      <c r="F459" s="2" t="inlineStr">
        <is>
          <t>09:00</t>
        </is>
      </c>
      <c r="G459" t="inlineStr">
        <is>
          <t>-</t>
        </is>
      </c>
      <c r="H459" s="2" t="inlineStr">
        <is>
          <t>09:30</t>
        </is>
      </c>
      <c r="I459" t="inlineStr">
        <is>
          <t>169,000000000</t>
        </is>
      </c>
      <c r="J459" t="inlineStr">
        <is>
          <t>,000000000</t>
        </is>
      </c>
      <c r="K459" t="inlineStr">
        <is>
          <t>,000000000</t>
        </is>
      </c>
      <c r="L459" t="inlineStr">
        <is>
          <t>4,000000000</t>
        </is>
      </c>
      <c r="M459" t="inlineStr">
        <is>
          <t>,000000000</t>
        </is>
      </c>
      <c r="N459" t="inlineStr">
        <is>
          <t>,000000000</t>
        </is>
      </c>
      <c r="O459" t="inlineStr">
        <is>
          <t>,000000000</t>
        </is>
      </c>
      <c r="P459" t="inlineStr">
        <is>
          <t>,000000000</t>
        </is>
      </c>
      <c r="Q459" t="inlineStr">
        <is>
          <t>12,000000000</t>
        </is>
      </c>
      <c r="R459" t="inlineStr">
        <is>
          <t>,000000000</t>
        </is>
      </c>
      <c r="S459" t="inlineStr">
        <is>
          <t>,000000000</t>
        </is>
      </c>
      <c r="T459" t="inlineStr">
        <is>
          <t>,000000000</t>
        </is>
      </c>
      <c r="U459" t="inlineStr">
        <is>
          <t>,000000000</t>
        </is>
      </c>
      <c r="V459" t="inlineStr">
        <is>
          <t>,000000000</t>
        </is>
      </c>
      <c r="W459" t="inlineStr">
        <is>
          <t>,000000000</t>
        </is>
      </c>
      <c r="X459" t="inlineStr">
        <is>
          <t>,000000000</t>
        </is>
      </c>
      <c r="Y459" t="inlineStr">
        <is>
          <t>,000000000</t>
        </is>
      </c>
      <c r="Z459" t="inlineStr">
        <is>
          <t>,000000000</t>
        </is>
      </c>
      <c r="AA459" t="inlineStr">
        <is>
          <t>,000000000</t>
        </is>
      </c>
      <c r="AB459" t="inlineStr">
        <is>
          <t>0</t>
        </is>
      </c>
      <c r="AC459" t="inlineStr">
        <is>
          <t>0</t>
        </is>
      </c>
      <c r="AD459" s="3">
        <f>UPPER(C3)</f>
        <v/>
      </c>
      <c r="AE459" s="3">
        <f>VLOOKUP(E3,'[1]Nómina Agentes'!$C:$D,3,0)</f>
        <v/>
      </c>
      <c r="AF459" s="5">
        <f>F3</f>
        <v/>
      </c>
      <c r="AG459" s="5">
        <f>H3</f>
        <v/>
      </c>
    </row>
    <row r="460">
      <c r="A460" s="1" t="inlineStr">
        <is>
          <t>9/10/2024</t>
        </is>
      </c>
      <c r="B460" t="inlineStr">
        <is>
          <t>924</t>
        </is>
      </c>
      <c r="C460" t="inlineStr">
        <is>
          <t>S2S No Premium</t>
        </is>
      </c>
      <c r="D460" t="inlineStr">
        <is>
          <t>*N2m_Retamozo SofíaM</t>
        </is>
      </c>
      <c r="E460" t="inlineStr">
        <is>
          <t>628423</t>
        </is>
      </c>
      <c r="F460" s="2" t="inlineStr">
        <is>
          <t>09:30</t>
        </is>
      </c>
      <c r="G460" t="inlineStr">
        <is>
          <t>-</t>
        </is>
      </c>
      <c r="H460" s="2" t="inlineStr">
        <is>
          <t>10:00</t>
        </is>
      </c>
      <c r="I460" t="inlineStr">
        <is>
          <t>556,000000000</t>
        </is>
      </c>
      <c r="J460" t="inlineStr">
        <is>
          <t>,000000000</t>
        </is>
      </c>
      <c r="K460" t="inlineStr">
        <is>
          <t>,000000000</t>
        </is>
      </c>
      <c r="L460" t="inlineStr">
        <is>
          <t>4,000000000</t>
        </is>
      </c>
      <c r="M460" t="inlineStr">
        <is>
          <t>,000000000</t>
        </is>
      </c>
      <c r="N460" t="inlineStr">
        <is>
          <t>,000000000</t>
        </is>
      </c>
      <c r="O460" t="inlineStr">
        <is>
          <t>,000000000</t>
        </is>
      </c>
      <c r="P460" t="inlineStr">
        <is>
          <t>84,000000000</t>
        </is>
      </c>
      <c r="Q460" t="inlineStr">
        <is>
          <t>499,000000000</t>
        </is>
      </c>
      <c r="R460" t="inlineStr">
        <is>
          <t>,000000000</t>
        </is>
      </c>
      <c r="S460" t="inlineStr">
        <is>
          <t>,000000000</t>
        </is>
      </c>
      <c r="T460" t="inlineStr">
        <is>
          <t>,000000000</t>
        </is>
      </c>
      <c r="U460" t="inlineStr">
        <is>
          <t>,000000000</t>
        </is>
      </c>
      <c r="V460" t="inlineStr">
        <is>
          <t>,000000000</t>
        </is>
      </c>
      <c r="W460" t="inlineStr">
        <is>
          <t>,000000000</t>
        </is>
      </c>
      <c r="X460" t="inlineStr">
        <is>
          <t>,000000000</t>
        </is>
      </c>
      <c r="Y460" t="inlineStr">
        <is>
          <t>,000000000</t>
        </is>
      </c>
      <c r="Z460" t="inlineStr">
        <is>
          <t>,000000000</t>
        </is>
      </c>
      <c r="AA460" t="inlineStr">
        <is>
          <t>,000000000</t>
        </is>
      </c>
      <c r="AB460" t="inlineStr">
        <is>
          <t>1</t>
        </is>
      </c>
      <c r="AC460" t="inlineStr">
        <is>
          <t>1</t>
        </is>
      </c>
      <c r="AD460" s="3">
        <f>UPPER(C3)</f>
        <v/>
      </c>
      <c r="AE460" s="3">
        <f>VLOOKUP(E3,'[1]Nómina Agentes'!$C:$D,3,0)</f>
        <v/>
      </c>
      <c r="AF460" s="5">
        <f>F3</f>
        <v/>
      </c>
      <c r="AG460" s="5">
        <f>H3</f>
        <v/>
      </c>
    </row>
    <row r="461">
      <c r="A461" s="1" t="inlineStr">
        <is>
          <t>9/10/2024</t>
        </is>
      </c>
      <c r="B461" t="inlineStr">
        <is>
          <t>924</t>
        </is>
      </c>
      <c r="C461" t="inlineStr">
        <is>
          <t>S2S No Premium</t>
        </is>
      </c>
      <c r="D461" t="inlineStr">
        <is>
          <t>*N2m_Retamozo SofíaM</t>
        </is>
      </c>
      <c r="E461" t="inlineStr">
        <is>
          <t>628423</t>
        </is>
      </c>
      <c r="F461" s="2" t="inlineStr">
        <is>
          <t>10:30</t>
        </is>
      </c>
      <c r="G461" t="inlineStr">
        <is>
          <t>-</t>
        </is>
      </c>
      <c r="H461" s="2" t="inlineStr">
        <is>
          <t>11:00</t>
        </is>
      </c>
      <c r="I461" t="inlineStr">
        <is>
          <t>996,000000000</t>
        </is>
      </c>
      <c r="J461" t="inlineStr">
        <is>
          <t>,000000000</t>
        </is>
      </c>
      <c r="K461" t="inlineStr">
        <is>
          <t>,000000000</t>
        </is>
      </c>
      <c r="L461" t="inlineStr">
        <is>
          <t>16,000000000</t>
        </is>
      </c>
      <c r="M461" t="inlineStr">
        <is>
          <t>,000000000</t>
        </is>
      </c>
      <c r="N461" t="inlineStr">
        <is>
          <t>,000000000</t>
        </is>
      </c>
      <c r="O461" t="inlineStr">
        <is>
          <t>,000000000</t>
        </is>
      </c>
      <c r="P461" t="inlineStr">
        <is>
          <t>123,000000000</t>
        </is>
      </c>
      <c r="Q461" t="inlineStr">
        <is>
          <t>117,000000000</t>
        </is>
      </c>
      <c r="R461" t="inlineStr">
        <is>
          <t>,000000000</t>
        </is>
      </c>
      <c r="S461" t="inlineStr">
        <is>
          <t>,000000000</t>
        </is>
      </c>
      <c r="T461" t="inlineStr">
        <is>
          <t>,000000000</t>
        </is>
      </c>
      <c r="U461" t="inlineStr">
        <is>
          <t>,000000000</t>
        </is>
      </c>
      <c r="V461" t="inlineStr">
        <is>
          <t>,000000000</t>
        </is>
      </c>
      <c r="W461" t="inlineStr">
        <is>
          <t>,000000000</t>
        </is>
      </c>
      <c r="X461" t="inlineStr">
        <is>
          <t>,000000000</t>
        </is>
      </c>
      <c r="Y461" t="inlineStr">
        <is>
          <t>,000000000</t>
        </is>
      </c>
      <c r="Z461" t="inlineStr">
        <is>
          <t>,000000000</t>
        </is>
      </c>
      <c r="AA461" t="inlineStr">
        <is>
          <t>,000000000</t>
        </is>
      </c>
      <c r="AB461" t="inlineStr">
        <is>
          <t>4</t>
        </is>
      </c>
      <c r="AC461" t="inlineStr">
        <is>
          <t>4</t>
        </is>
      </c>
      <c r="AD461" s="3">
        <f>UPPER(C3)</f>
        <v/>
      </c>
      <c r="AE461" s="3">
        <f>VLOOKUP(E3,'[1]Nómina Agentes'!$C:$D,3,0)</f>
        <v/>
      </c>
      <c r="AF461" s="5">
        <f>F3</f>
        <v/>
      </c>
      <c r="AG461" s="5">
        <f>H3</f>
        <v/>
      </c>
    </row>
    <row r="462">
      <c r="A462" s="1" t="inlineStr">
        <is>
          <t>9/10/2024</t>
        </is>
      </c>
      <c r="B462" t="inlineStr">
        <is>
          <t>924</t>
        </is>
      </c>
      <c r="C462" t="inlineStr">
        <is>
          <t>S2S No Premium</t>
        </is>
      </c>
      <c r="D462" t="inlineStr">
        <is>
          <t>*N2m_Retamozo SofíaM</t>
        </is>
      </c>
      <c r="E462" t="inlineStr">
        <is>
          <t>628423</t>
        </is>
      </c>
      <c r="F462" s="2" t="inlineStr">
        <is>
          <t>10:00</t>
        </is>
      </c>
      <c r="G462" t="inlineStr">
        <is>
          <t>-</t>
        </is>
      </c>
      <c r="H462" s="2" t="inlineStr">
        <is>
          <t>10:30</t>
        </is>
      </c>
      <c r="I462" t="inlineStr">
        <is>
          <t>1005,000000000</t>
        </is>
      </c>
      <c r="J462" t="inlineStr">
        <is>
          <t>,000000000</t>
        </is>
      </c>
      <c r="K462" t="inlineStr">
        <is>
          <t>,000000000</t>
        </is>
      </c>
      <c r="L462" t="inlineStr">
        <is>
          <t>4,000000000</t>
        </is>
      </c>
      <c r="M462" t="inlineStr">
        <is>
          <t>,000000000</t>
        </is>
      </c>
      <c r="N462" t="inlineStr">
        <is>
          <t>,000000000</t>
        </is>
      </c>
      <c r="O462" t="inlineStr">
        <is>
          <t>,000000000</t>
        </is>
      </c>
      <c r="P462" t="inlineStr">
        <is>
          <t>1363,000000000</t>
        </is>
      </c>
      <c r="Q462" t="inlineStr">
        <is>
          <t>494,000000000</t>
        </is>
      </c>
      <c r="R462" t="inlineStr">
        <is>
          <t>,000000000</t>
        </is>
      </c>
      <c r="S462" t="inlineStr">
        <is>
          <t>,000000000</t>
        </is>
      </c>
      <c r="T462" t="inlineStr">
        <is>
          <t>,000000000</t>
        </is>
      </c>
      <c r="U462" t="inlineStr">
        <is>
          <t>,000000000</t>
        </is>
      </c>
      <c r="V462" t="inlineStr">
        <is>
          <t>,000000000</t>
        </is>
      </c>
      <c r="W462" t="inlineStr">
        <is>
          <t>,000000000</t>
        </is>
      </c>
      <c r="X462" t="inlineStr">
        <is>
          <t>,000000000</t>
        </is>
      </c>
      <c r="Y462" t="inlineStr">
        <is>
          <t>,000000000</t>
        </is>
      </c>
      <c r="Z462" t="inlineStr">
        <is>
          <t>,000000000</t>
        </is>
      </c>
      <c r="AA462" t="inlineStr">
        <is>
          <t>,000000000</t>
        </is>
      </c>
      <c r="AB462" t="inlineStr">
        <is>
          <t>1</t>
        </is>
      </c>
      <c r="AC462" t="inlineStr">
        <is>
          <t>1</t>
        </is>
      </c>
      <c r="AD462" s="3">
        <f>UPPER(C3)</f>
        <v/>
      </c>
      <c r="AE462" s="3">
        <f>VLOOKUP(E3,'[1]Nómina Agentes'!$C:$D,3,0)</f>
        <v/>
      </c>
      <c r="AF462" s="5">
        <f>F3</f>
        <v/>
      </c>
      <c r="AG462" s="5">
        <f>H3</f>
        <v/>
      </c>
    </row>
    <row r="463">
      <c r="A463" s="1" t="inlineStr">
        <is>
          <t>9/10/2024</t>
        </is>
      </c>
      <c r="B463" t="inlineStr">
        <is>
          <t>924</t>
        </is>
      </c>
      <c r="C463" t="inlineStr">
        <is>
          <t>S2S No Premium</t>
        </is>
      </c>
      <c r="D463" t="inlineStr">
        <is>
          <t>N2m_Vallejos Tomas</t>
        </is>
      </c>
      <c r="E463" t="inlineStr">
        <is>
          <t>628427</t>
        </is>
      </c>
      <c r="F463" s="2" t="inlineStr">
        <is>
          <t>08:30</t>
        </is>
      </c>
      <c r="G463" t="inlineStr">
        <is>
          <t>-</t>
        </is>
      </c>
      <c r="H463" s="2" t="inlineStr">
        <is>
          <t>09:00</t>
        </is>
      </c>
      <c r="I463" t="inlineStr">
        <is>
          <t>,000000000</t>
        </is>
      </c>
      <c r="J463" t="inlineStr">
        <is>
          <t>,000000000</t>
        </is>
      </c>
      <c r="K463" t="inlineStr">
        <is>
          <t>,000000000</t>
        </is>
      </c>
      <c r="L463" t="inlineStr">
        <is>
          <t>,000000000</t>
        </is>
      </c>
      <c r="M463" t="inlineStr">
        <is>
          <t>,000000000</t>
        </is>
      </c>
      <c r="N463" t="inlineStr">
        <is>
          <t>,000000000</t>
        </is>
      </c>
      <c r="O463" t="inlineStr">
        <is>
          <t>,000000000</t>
        </is>
      </c>
      <c r="P463" t="inlineStr">
        <is>
          <t>,000000000</t>
        </is>
      </c>
      <c r="Q463" t="inlineStr">
        <is>
          <t>,000000000</t>
        </is>
      </c>
      <c r="R463" t="inlineStr">
        <is>
          <t>,000000000</t>
        </is>
      </c>
      <c r="S463" t="inlineStr">
        <is>
          <t>,000000000</t>
        </is>
      </c>
      <c r="T463" t="inlineStr">
        <is>
          <t>,000000000</t>
        </is>
      </c>
      <c r="U463" t="inlineStr">
        <is>
          <t>,000000000</t>
        </is>
      </c>
      <c r="V463" t="inlineStr">
        <is>
          <t>,000000000</t>
        </is>
      </c>
      <c r="W463" t="inlineStr">
        <is>
          <t>,000000000</t>
        </is>
      </c>
      <c r="X463" t="inlineStr">
        <is>
          <t>,000000000</t>
        </is>
      </c>
      <c r="Y463" t="inlineStr">
        <is>
          <t>,000000000</t>
        </is>
      </c>
      <c r="Z463" t="inlineStr">
        <is>
          <t>,000000000</t>
        </is>
      </c>
      <c r="AA463" t="inlineStr">
        <is>
          <t>,000000000</t>
        </is>
      </c>
      <c r="AB463" t="inlineStr">
        <is>
          <t>0</t>
        </is>
      </c>
      <c r="AC463" t="inlineStr">
        <is>
          <t>0</t>
        </is>
      </c>
      <c r="AD463" s="3">
        <f>UPPER(C3)</f>
        <v/>
      </c>
      <c r="AE463" s="3">
        <f>VLOOKUP(E3,'[1]Nómina Agentes'!$C:$D,3,0)</f>
        <v/>
      </c>
      <c r="AF463" s="5">
        <f>F3</f>
        <v/>
      </c>
      <c r="AG463" s="5">
        <f>H3</f>
        <v/>
      </c>
    </row>
    <row r="464">
      <c r="A464" s="1" t="inlineStr">
        <is>
          <t>9/10/2024</t>
        </is>
      </c>
      <c r="B464" t="inlineStr">
        <is>
          <t>924</t>
        </is>
      </c>
      <c r="C464" t="inlineStr">
        <is>
          <t>S2S No Premium</t>
        </is>
      </c>
      <c r="D464" t="inlineStr">
        <is>
          <t>N2m_Vallejos Tomas</t>
        </is>
      </c>
      <c r="E464" t="inlineStr">
        <is>
          <t>628427</t>
        </is>
      </c>
      <c r="F464" s="2" t="inlineStr">
        <is>
          <t>10:00</t>
        </is>
      </c>
      <c r="G464" t="inlineStr">
        <is>
          <t>-</t>
        </is>
      </c>
      <c r="H464" s="2" t="inlineStr">
        <is>
          <t>10:30</t>
        </is>
      </c>
      <c r="I464" t="inlineStr">
        <is>
          <t>160,000000000</t>
        </is>
      </c>
      <c r="J464" t="inlineStr">
        <is>
          <t>,000000000</t>
        </is>
      </c>
      <c r="K464" t="inlineStr">
        <is>
          <t>,000000000</t>
        </is>
      </c>
      <c r="L464" t="inlineStr">
        <is>
          <t>4,000000000</t>
        </is>
      </c>
      <c r="M464" t="inlineStr">
        <is>
          <t>,000000000</t>
        </is>
      </c>
      <c r="N464" t="inlineStr">
        <is>
          <t>,000000000</t>
        </is>
      </c>
      <c r="O464" t="inlineStr">
        <is>
          <t>,000000000</t>
        </is>
      </c>
      <c r="P464" t="inlineStr">
        <is>
          <t>8,000000000</t>
        </is>
      </c>
      <c r="Q464" t="inlineStr">
        <is>
          <t>,000000000</t>
        </is>
      </c>
      <c r="R464" t="inlineStr">
        <is>
          <t>,000000000</t>
        </is>
      </c>
      <c r="S464" t="inlineStr">
        <is>
          <t>,000000000</t>
        </is>
      </c>
      <c r="T464" t="inlineStr">
        <is>
          <t>,000000000</t>
        </is>
      </c>
      <c r="U464" t="inlineStr">
        <is>
          <t>,000000000</t>
        </is>
      </c>
      <c r="V464" t="inlineStr">
        <is>
          <t>,000000000</t>
        </is>
      </c>
      <c r="W464" t="inlineStr">
        <is>
          <t>,000000000</t>
        </is>
      </c>
      <c r="X464" t="inlineStr">
        <is>
          <t>,000000000</t>
        </is>
      </c>
      <c r="Y464" t="inlineStr">
        <is>
          <t>,000000000</t>
        </is>
      </c>
      <c r="Z464" t="inlineStr">
        <is>
          <t>,000000000</t>
        </is>
      </c>
      <c r="AA464" t="inlineStr">
        <is>
          <t>,000000000</t>
        </is>
      </c>
      <c r="AB464" t="inlineStr">
        <is>
          <t>1</t>
        </is>
      </c>
      <c r="AC464" t="inlineStr">
        <is>
          <t>1</t>
        </is>
      </c>
      <c r="AD464" s="3">
        <f>UPPER(C3)</f>
        <v/>
      </c>
      <c r="AE464" s="3">
        <f>VLOOKUP(E3,'[1]Nómina Agentes'!$C:$D,3,0)</f>
        <v/>
      </c>
      <c r="AF464" s="5">
        <f>F3</f>
        <v/>
      </c>
      <c r="AG464" s="5">
        <f>H3</f>
        <v/>
      </c>
    </row>
    <row r="465">
      <c r="A465" s="1" t="inlineStr">
        <is>
          <t>9/10/2024</t>
        </is>
      </c>
      <c r="B465" t="inlineStr">
        <is>
          <t>924</t>
        </is>
      </c>
      <c r="C465" t="inlineStr">
        <is>
          <t>S2S No Premium</t>
        </is>
      </c>
      <c r="D465" t="inlineStr">
        <is>
          <t>N2m_Vallejos Tomas</t>
        </is>
      </c>
      <c r="E465" t="inlineStr">
        <is>
          <t>628427</t>
        </is>
      </c>
      <c r="F465" s="2" t="inlineStr">
        <is>
          <t>10:30</t>
        </is>
      </c>
      <c r="G465" t="inlineStr">
        <is>
          <t>-</t>
        </is>
      </c>
      <c r="H465" s="2" t="inlineStr">
        <is>
          <t>11:00</t>
        </is>
      </c>
      <c r="I465" t="inlineStr">
        <is>
          <t>299,000000000</t>
        </is>
      </c>
      <c r="J465" t="inlineStr">
        <is>
          <t>,000000000</t>
        </is>
      </c>
      <c r="K465" t="inlineStr">
        <is>
          <t>,000000000</t>
        </is>
      </c>
      <c r="L465" t="inlineStr">
        <is>
          <t>4,000000000</t>
        </is>
      </c>
      <c r="M465" t="inlineStr">
        <is>
          <t>,000000000</t>
        </is>
      </c>
      <c r="N465" t="inlineStr">
        <is>
          <t>,000000000</t>
        </is>
      </c>
      <c r="O465" t="inlineStr">
        <is>
          <t>,000000000</t>
        </is>
      </c>
      <c r="P465" t="inlineStr">
        <is>
          <t>,000000000</t>
        </is>
      </c>
      <c r="Q465" t="inlineStr">
        <is>
          <t>,000000000</t>
        </is>
      </c>
      <c r="R465" t="inlineStr">
        <is>
          <t>,000000000</t>
        </is>
      </c>
      <c r="S465" t="inlineStr">
        <is>
          <t>,000000000</t>
        </is>
      </c>
      <c r="T465" t="inlineStr">
        <is>
          <t>,000000000</t>
        </is>
      </c>
      <c r="U465" t="inlineStr">
        <is>
          <t>,000000000</t>
        </is>
      </c>
      <c r="V465" t="inlineStr">
        <is>
          <t>,000000000</t>
        </is>
      </c>
      <c r="W465" t="inlineStr">
        <is>
          <t>,000000000</t>
        </is>
      </c>
      <c r="X465" t="inlineStr">
        <is>
          <t>,000000000</t>
        </is>
      </c>
      <c r="Y465" t="inlineStr">
        <is>
          <t>,000000000</t>
        </is>
      </c>
      <c r="Z465" t="inlineStr">
        <is>
          <t>,000000000</t>
        </is>
      </c>
      <c r="AA465" t="inlineStr">
        <is>
          <t>,000000000</t>
        </is>
      </c>
      <c r="AB465" t="inlineStr">
        <is>
          <t>0</t>
        </is>
      </c>
      <c r="AC465" t="inlineStr">
        <is>
          <t>0</t>
        </is>
      </c>
      <c r="AD465" s="3">
        <f>UPPER(C3)</f>
        <v/>
      </c>
      <c r="AE465" s="3">
        <f>VLOOKUP(E3,'[1]Nómina Agentes'!$C:$D,3,0)</f>
        <v/>
      </c>
      <c r="AF465" s="5">
        <f>F3</f>
        <v/>
      </c>
      <c r="AG465" s="5">
        <f>H3</f>
        <v/>
      </c>
    </row>
    <row r="466">
      <c r="A466" s="1" t="inlineStr">
        <is>
          <t>9/10/2024</t>
        </is>
      </c>
      <c r="B466" t="inlineStr">
        <is>
          <t>924</t>
        </is>
      </c>
      <c r="C466" t="inlineStr">
        <is>
          <t>S2S No Premium</t>
        </is>
      </c>
      <c r="D466" t="inlineStr">
        <is>
          <t>N2m_Vallejos Tomas</t>
        </is>
      </c>
      <c r="E466" t="inlineStr">
        <is>
          <t>628427</t>
        </is>
      </c>
      <c r="F466" s="2" t="inlineStr">
        <is>
          <t>09:30</t>
        </is>
      </c>
      <c r="G466" t="inlineStr">
        <is>
          <t>-</t>
        </is>
      </c>
      <c r="H466" s="2" t="inlineStr">
        <is>
          <t>10:00</t>
        </is>
      </c>
      <c r="I466" t="inlineStr">
        <is>
          <t>1188,000000000</t>
        </is>
      </c>
      <c r="J466" t="inlineStr">
        <is>
          <t>,000000000</t>
        </is>
      </c>
      <c r="K466" t="inlineStr">
        <is>
          <t>,000000000</t>
        </is>
      </c>
      <c r="L466" t="inlineStr">
        <is>
          <t>20,000000000</t>
        </is>
      </c>
      <c r="M466" t="inlineStr">
        <is>
          <t>,000000000</t>
        </is>
      </c>
      <c r="N466" t="inlineStr">
        <is>
          <t>,000000000</t>
        </is>
      </c>
      <c r="O466" t="inlineStr">
        <is>
          <t>,000000000</t>
        </is>
      </c>
      <c r="P466" t="inlineStr">
        <is>
          <t>2,000000000</t>
        </is>
      </c>
      <c r="Q466" t="inlineStr">
        <is>
          <t>,000000000</t>
        </is>
      </c>
      <c r="R466" t="inlineStr">
        <is>
          <t>,000000000</t>
        </is>
      </c>
      <c r="S466" t="inlineStr">
        <is>
          <t>,000000000</t>
        </is>
      </c>
      <c r="T466" t="inlineStr">
        <is>
          <t>,000000000</t>
        </is>
      </c>
      <c r="U466" t="inlineStr">
        <is>
          <t>,000000000</t>
        </is>
      </c>
      <c r="V466" t="inlineStr">
        <is>
          <t>,000000000</t>
        </is>
      </c>
      <c r="W466" t="inlineStr">
        <is>
          <t>,000000000</t>
        </is>
      </c>
      <c r="X466" t="inlineStr">
        <is>
          <t>,000000000</t>
        </is>
      </c>
      <c r="Y466" t="inlineStr">
        <is>
          <t>,000000000</t>
        </is>
      </c>
      <c r="Z466" t="inlineStr">
        <is>
          <t>,000000000</t>
        </is>
      </c>
      <c r="AA466" t="inlineStr">
        <is>
          <t>,000000000</t>
        </is>
      </c>
      <c r="AB466" t="inlineStr">
        <is>
          <t>6</t>
        </is>
      </c>
      <c r="AC466" t="inlineStr">
        <is>
          <t>3</t>
        </is>
      </c>
      <c r="AD466" s="3">
        <f>UPPER(C3)</f>
        <v/>
      </c>
      <c r="AE466" s="3">
        <f>VLOOKUP(E3,'[1]Nómina Agentes'!$C:$D,3,0)</f>
        <v/>
      </c>
      <c r="AF466" s="5">
        <f>F3</f>
        <v/>
      </c>
      <c r="AG466" s="5">
        <f>H3</f>
        <v/>
      </c>
    </row>
    <row r="467">
      <c r="A467" s="1" t="inlineStr">
        <is>
          <t>9/10/2024</t>
        </is>
      </c>
      <c r="B467" t="inlineStr">
        <is>
          <t>924</t>
        </is>
      </c>
      <c r="C467" t="inlineStr">
        <is>
          <t>S2S No Premium</t>
        </is>
      </c>
      <c r="D467" t="inlineStr">
        <is>
          <t>N2m_Vallejos Tomas</t>
        </is>
      </c>
      <c r="E467" t="inlineStr">
        <is>
          <t>628427</t>
        </is>
      </c>
      <c r="F467" s="2" t="inlineStr">
        <is>
          <t>09:00</t>
        </is>
      </c>
      <c r="G467" t="inlineStr">
        <is>
          <t>-</t>
        </is>
      </c>
      <c r="H467" s="2" t="inlineStr">
        <is>
          <t>09:30</t>
        </is>
      </c>
      <c r="I467" t="inlineStr">
        <is>
          <t>1224,000000000</t>
        </is>
      </c>
      <c r="J467" t="inlineStr">
        <is>
          <t>,000000000</t>
        </is>
      </c>
      <c r="K467" t="inlineStr">
        <is>
          <t>,000000000</t>
        </is>
      </c>
      <c r="L467" t="inlineStr">
        <is>
          <t>13,000000000</t>
        </is>
      </c>
      <c r="M467" t="inlineStr">
        <is>
          <t>,000000000</t>
        </is>
      </c>
      <c r="N467" t="inlineStr">
        <is>
          <t>,000000000</t>
        </is>
      </c>
      <c r="O467" t="inlineStr">
        <is>
          <t>,000000000</t>
        </is>
      </c>
      <c r="P467" t="inlineStr">
        <is>
          <t>8,000000000</t>
        </is>
      </c>
      <c r="Q467" t="inlineStr">
        <is>
          <t>,000000000</t>
        </is>
      </c>
      <c r="R467" t="inlineStr">
        <is>
          <t>,000000000</t>
        </is>
      </c>
      <c r="S467" t="inlineStr">
        <is>
          <t>,000000000</t>
        </is>
      </c>
      <c r="T467" t="inlineStr">
        <is>
          <t>,000000000</t>
        </is>
      </c>
      <c r="U467" t="inlineStr">
        <is>
          <t>,000000000</t>
        </is>
      </c>
      <c r="V467" t="inlineStr">
        <is>
          <t>,000000000</t>
        </is>
      </c>
      <c r="W467" t="inlineStr">
        <is>
          <t>,000000000</t>
        </is>
      </c>
      <c r="X467" t="inlineStr">
        <is>
          <t>,000000000</t>
        </is>
      </c>
      <c r="Y467" t="inlineStr">
        <is>
          <t>,000000000</t>
        </is>
      </c>
      <c r="Z467" t="inlineStr">
        <is>
          <t>,000000000</t>
        </is>
      </c>
      <c r="AA467" t="inlineStr">
        <is>
          <t>,000000000</t>
        </is>
      </c>
      <c r="AB467" t="inlineStr">
        <is>
          <t>2</t>
        </is>
      </c>
      <c r="AC467" t="inlineStr">
        <is>
          <t>1</t>
        </is>
      </c>
      <c r="AD467" s="3">
        <f>UPPER(C3)</f>
        <v/>
      </c>
      <c r="AE467" s="3">
        <f>VLOOKUP(E3,'[1]Nómina Agentes'!$C:$D,3,0)</f>
        <v/>
      </c>
      <c r="AF467" s="5">
        <f>F3</f>
        <v/>
      </c>
      <c r="AG467" s="5">
        <f>H3</f>
        <v/>
      </c>
    </row>
    <row r="468">
      <c r="A468" s="1" t="inlineStr">
        <is>
          <t>9/10/2024</t>
        </is>
      </c>
      <c r="B468" t="inlineStr">
        <is>
          <t>925</t>
        </is>
      </c>
      <c r="C468" t="inlineStr">
        <is>
          <t>S2S Premium</t>
        </is>
      </c>
      <c r="D468" t="inlineStr">
        <is>
          <t>*Pm_Vera Daiana M</t>
        </is>
      </c>
      <c r="E468" t="inlineStr">
        <is>
          <t>628428</t>
        </is>
      </c>
      <c r="F468" s="2" t="inlineStr">
        <is>
          <t>10:30</t>
        </is>
      </c>
      <c r="G468" t="inlineStr">
        <is>
          <t>-</t>
        </is>
      </c>
      <c r="H468" s="2" t="inlineStr">
        <is>
          <t>11:00</t>
        </is>
      </c>
      <c r="I468" t="inlineStr">
        <is>
          <t>97,000000000</t>
        </is>
      </c>
      <c r="J468" t="inlineStr">
        <is>
          <t>,000000000</t>
        </is>
      </c>
      <c r="K468" t="inlineStr">
        <is>
          <t>,000000000</t>
        </is>
      </c>
      <c r="L468" t="inlineStr">
        <is>
          <t>,000000000</t>
        </is>
      </c>
      <c r="M468" t="inlineStr">
        <is>
          <t>,000000000</t>
        </is>
      </c>
      <c r="N468" t="inlineStr">
        <is>
          <t>,000000000</t>
        </is>
      </c>
      <c r="O468" t="inlineStr">
        <is>
          <t>,000000000</t>
        </is>
      </c>
      <c r="P468" t="inlineStr">
        <is>
          <t>1,000000000</t>
        </is>
      </c>
      <c r="Q468" t="inlineStr">
        <is>
          <t>,000000000</t>
        </is>
      </c>
      <c r="R468" t="inlineStr">
        <is>
          <t>,000000000</t>
        </is>
      </c>
      <c r="S468" t="inlineStr">
        <is>
          <t>,000000000</t>
        </is>
      </c>
      <c r="T468" t="inlineStr">
        <is>
          <t>,000000000</t>
        </is>
      </c>
      <c r="U468" t="inlineStr">
        <is>
          <t>,000000000</t>
        </is>
      </c>
      <c r="V468" t="inlineStr">
        <is>
          <t>,000000000</t>
        </is>
      </c>
      <c r="W468" t="inlineStr">
        <is>
          <t>,000000000</t>
        </is>
      </c>
      <c r="X468" t="inlineStr">
        <is>
          <t>,000000000</t>
        </is>
      </c>
      <c r="Y468" t="inlineStr">
        <is>
          <t>,000000000</t>
        </is>
      </c>
      <c r="Z468" t="inlineStr">
        <is>
          <t>,000000000</t>
        </is>
      </c>
      <c r="AA468" t="inlineStr">
        <is>
          <t>,000000000</t>
        </is>
      </c>
      <c r="AB468" t="inlineStr">
        <is>
          <t>1</t>
        </is>
      </c>
      <c r="AC468" t="inlineStr">
        <is>
          <t>1</t>
        </is>
      </c>
      <c r="AD468" s="3">
        <f>UPPER(C3)</f>
        <v/>
      </c>
      <c r="AE468" s="3">
        <f>VLOOKUP(E3,'[1]Nómina Agentes'!$C:$D,3,0)</f>
        <v/>
      </c>
      <c r="AF468" s="5">
        <f>F3</f>
        <v/>
      </c>
      <c r="AG468" s="5">
        <f>H3</f>
        <v/>
      </c>
    </row>
    <row r="469">
      <c r="A469" s="1" t="inlineStr">
        <is>
          <t>9/10/2024</t>
        </is>
      </c>
      <c r="B469" t="inlineStr">
        <is>
          <t>925</t>
        </is>
      </c>
      <c r="C469" t="inlineStr">
        <is>
          <t>S2S Premium</t>
        </is>
      </c>
      <c r="D469" t="inlineStr">
        <is>
          <t>*Pm_Vera Daiana M</t>
        </is>
      </c>
      <c r="E469" t="inlineStr">
        <is>
          <t>628428</t>
        </is>
      </c>
      <c r="F469" s="2" t="inlineStr">
        <is>
          <t>09:00</t>
        </is>
      </c>
      <c r="G469" t="inlineStr">
        <is>
          <t>-</t>
        </is>
      </c>
      <c r="H469" s="2" t="inlineStr">
        <is>
          <t>09:30</t>
        </is>
      </c>
      <c r="I469" t="inlineStr">
        <is>
          <t>242,000000000</t>
        </is>
      </c>
      <c r="J469" t="inlineStr">
        <is>
          <t>,000000000</t>
        </is>
      </c>
      <c r="K469" t="inlineStr">
        <is>
          <t>,000000000</t>
        </is>
      </c>
      <c r="L469" t="inlineStr">
        <is>
          <t>8,000000000</t>
        </is>
      </c>
      <c r="M469" t="inlineStr">
        <is>
          <t>,000000000</t>
        </is>
      </c>
      <c r="N469" t="inlineStr">
        <is>
          <t>,000000000</t>
        </is>
      </c>
      <c r="O469" t="inlineStr">
        <is>
          <t>,000000000</t>
        </is>
      </c>
      <c r="P469" t="inlineStr">
        <is>
          <t>1,000000000</t>
        </is>
      </c>
      <c r="Q469" t="inlineStr">
        <is>
          <t>,000000000</t>
        </is>
      </c>
      <c r="R469" t="inlineStr">
        <is>
          <t>,000000000</t>
        </is>
      </c>
      <c r="S469" t="inlineStr">
        <is>
          <t>,000000000</t>
        </is>
      </c>
      <c r="T469" t="inlineStr">
        <is>
          <t>,000000000</t>
        </is>
      </c>
      <c r="U469" t="inlineStr">
        <is>
          <t>,000000000</t>
        </is>
      </c>
      <c r="V469" t="inlineStr">
        <is>
          <t>,000000000</t>
        </is>
      </c>
      <c r="W469" t="inlineStr">
        <is>
          <t>,000000000</t>
        </is>
      </c>
      <c r="X469" t="inlineStr">
        <is>
          <t>,000000000</t>
        </is>
      </c>
      <c r="Y469" t="inlineStr">
        <is>
          <t>,000000000</t>
        </is>
      </c>
      <c r="Z469" t="inlineStr">
        <is>
          <t>,000000000</t>
        </is>
      </c>
      <c r="AA469" t="inlineStr">
        <is>
          <t>,000000000</t>
        </is>
      </c>
      <c r="AB469" t="inlineStr">
        <is>
          <t>1</t>
        </is>
      </c>
      <c r="AC469" t="inlineStr">
        <is>
          <t>1</t>
        </is>
      </c>
      <c r="AD469" s="3">
        <f>UPPER(C3)</f>
        <v/>
      </c>
      <c r="AE469" s="3">
        <f>VLOOKUP(E3,'[1]Nómina Agentes'!$C:$D,3,0)</f>
        <v/>
      </c>
      <c r="AF469" s="5">
        <f>F3</f>
        <v/>
      </c>
      <c r="AG469" s="5">
        <f>H3</f>
        <v/>
      </c>
    </row>
    <row r="470">
      <c r="A470" s="1" t="inlineStr">
        <is>
          <t>9/10/2024</t>
        </is>
      </c>
      <c r="B470" t="inlineStr">
        <is>
          <t>925</t>
        </is>
      </c>
      <c r="C470" t="inlineStr">
        <is>
          <t>S2S Premium</t>
        </is>
      </c>
      <c r="D470" t="inlineStr">
        <is>
          <t>*Pm_Vera Daiana M</t>
        </is>
      </c>
      <c r="E470" t="inlineStr">
        <is>
          <t>628428</t>
        </is>
      </c>
      <c r="F470" s="2" t="inlineStr">
        <is>
          <t>09:30</t>
        </is>
      </c>
      <c r="G470" t="inlineStr">
        <is>
          <t>-</t>
        </is>
      </c>
      <c r="H470" s="2" t="inlineStr">
        <is>
          <t>10:00</t>
        </is>
      </c>
      <c r="I470" t="inlineStr">
        <is>
          <t>648,000000000</t>
        </is>
      </c>
      <c r="J470" t="inlineStr">
        <is>
          <t>,000000000</t>
        </is>
      </c>
      <c r="K470" t="inlineStr">
        <is>
          <t>,000000000</t>
        </is>
      </c>
      <c r="L470" t="inlineStr">
        <is>
          <t>8,000000000</t>
        </is>
      </c>
      <c r="M470" t="inlineStr">
        <is>
          <t>,000000000</t>
        </is>
      </c>
      <c r="N470" t="inlineStr">
        <is>
          <t>,000000000</t>
        </is>
      </c>
      <c r="O470" t="inlineStr">
        <is>
          <t>,000000000</t>
        </is>
      </c>
      <c r="P470" t="inlineStr">
        <is>
          <t>201,000000000</t>
        </is>
      </c>
      <c r="Q470" t="inlineStr">
        <is>
          <t>632,000000000</t>
        </is>
      </c>
      <c r="R470" t="inlineStr">
        <is>
          <t>,000000000</t>
        </is>
      </c>
      <c r="S470" t="inlineStr">
        <is>
          <t>,000000000</t>
        </is>
      </c>
      <c r="T470" t="inlineStr">
        <is>
          <t>,000000000</t>
        </is>
      </c>
      <c r="U470" t="inlineStr">
        <is>
          <t>,000000000</t>
        </is>
      </c>
      <c r="V470" t="inlineStr">
        <is>
          <t>,000000000</t>
        </is>
      </c>
      <c r="W470" t="inlineStr">
        <is>
          <t>,000000000</t>
        </is>
      </c>
      <c r="X470" t="inlineStr">
        <is>
          <t>,000000000</t>
        </is>
      </c>
      <c r="Y470" t="inlineStr">
        <is>
          <t>,000000000</t>
        </is>
      </c>
      <c r="Z470" t="inlineStr">
        <is>
          <t>,000000000</t>
        </is>
      </c>
      <c r="AA470" t="inlineStr">
        <is>
          <t>,000000000</t>
        </is>
      </c>
      <c r="AB470" t="inlineStr">
        <is>
          <t>2</t>
        </is>
      </c>
      <c r="AC470" t="inlineStr">
        <is>
          <t>2</t>
        </is>
      </c>
      <c r="AD470" s="3">
        <f>UPPER(C3)</f>
        <v/>
      </c>
      <c r="AE470" s="3">
        <f>VLOOKUP(E3,'[1]Nómina Agentes'!$C:$D,3,0)</f>
        <v/>
      </c>
      <c r="AF470" s="5">
        <f>F3</f>
        <v/>
      </c>
      <c r="AG470" s="5">
        <f>H3</f>
        <v/>
      </c>
    </row>
    <row r="471">
      <c r="A471" s="1" t="inlineStr">
        <is>
          <t>9/10/2024</t>
        </is>
      </c>
      <c r="B471" t="inlineStr">
        <is>
          <t>925</t>
        </is>
      </c>
      <c r="C471" t="inlineStr">
        <is>
          <t>S2S Premium</t>
        </is>
      </c>
      <c r="D471" t="inlineStr">
        <is>
          <t>*Pm_Vera Daiana M</t>
        </is>
      </c>
      <c r="E471" t="inlineStr">
        <is>
          <t>628428</t>
        </is>
      </c>
      <c r="F471" s="2" t="inlineStr">
        <is>
          <t>10:00</t>
        </is>
      </c>
      <c r="G471" t="inlineStr">
        <is>
          <t>-</t>
        </is>
      </c>
      <c r="H471" s="2" t="inlineStr">
        <is>
          <t>10:30</t>
        </is>
      </c>
      <c r="I471" t="inlineStr">
        <is>
          <t>960,000000000</t>
        </is>
      </c>
      <c r="J471" t="inlineStr">
        <is>
          <t>,000000000</t>
        </is>
      </c>
      <c r="K471" t="inlineStr">
        <is>
          <t>,000000000</t>
        </is>
      </c>
      <c r="L471" t="inlineStr">
        <is>
          <t>12,000000000</t>
        </is>
      </c>
      <c r="M471" t="inlineStr">
        <is>
          <t>,000000000</t>
        </is>
      </c>
      <c r="N471" t="inlineStr">
        <is>
          <t>,000000000</t>
        </is>
      </c>
      <c r="O471" t="inlineStr">
        <is>
          <t>,000000000</t>
        </is>
      </c>
      <c r="P471" t="inlineStr">
        <is>
          <t>469,000000000</t>
        </is>
      </c>
      <c r="Q471" t="inlineStr">
        <is>
          <t>,000000000</t>
        </is>
      </c>
      <c r="R471" t="inlineStr">
        <is>
          <t>,000000000</t>
        </is>
      </c>
      <c r="S471" t="inlineStr">
        <is>
          <t>,000000000</t>
        </is>
      </c>
      <c r="T471" t="inlineStr">
        <is>
          <t>,000000000</t>
        </is>
      </c>
      <c r="U471" t="inlineStr">
        <is>
          <t>,000000000</t>
        </is>
      </c>
      <c r="V471" t="inlineStr">
        <is>
          <t>,000000000</t>
        </is>
      </c>
      <c r="W471" t="inlineStr">
        <is>
          <t>,000000000</t>
        </is>
      </c>
      <c r="X471" t="inlineStr">
        <is>
          <t>,000000000</t>
        </is>
      </c>
      <c r="Y471" t="inlineStr">
        <is>
          <t>,000000000</t>
        </is>
      </c>
      <c r="Z471" t="inlineStr">
        <is>
          <t>,000000000</t>
        </is>
      </c>
      <c r="AA471" t="inlineStr">
        <is>
          <t>,000000000</t>
        </is>
      </c>
      <c r="AB471" t="inlineStr">
        <is>
          <t>3</t>
        </is>
      </c>
      <c r="AC471" t="inlineStr">
        <is>
          <t>3</t>
        </is>
      </c>
      <c r="AD471" s="3">
        <f>UPPER(C3)</f>
        <v/>
      </c>
      <c r="AE471" s="3">
        <f>VLOOKUP(E3,'[1]Nómina Agentes'!$C:$D,3,0)</f>
        <v/>
      </c>
      <c r="AF471" s="5">
        <f>F3</f>
        <v/>
      </c>
      <c r="AG471" s="5">
        <f>H3</f>
        <v/>
      </c>
    </row>
    <row r="472">
      <c r="A472" s="1" t="inlineStr">
        <is>
          <t>9/10/2024</t>
        </is>
      </c>
      <c r="B472" t="inlineStr">
        <is>
          <t>925</t>
        </is>
      </c>
      <c r="C472" t="inlineStr">
        <is>
          <t>S2S Premium</t>
        </is>
      </c>
      <c r="D472" t="inlineStr">
        <is>
          <t>Pm_Lencinas, Lucio</t>
        </is>
      </c>
      <c r="E472" t="inlineStr">
        <is>
          <t>628433</t>
        </is>
      </c>
      <c r="F472" s="2" t="inlineStr">
        <is>
          <t>08:30</t>
        </is>
      </c>
      <c r="G472" t="inlineStr">
        <is>
          <t>-</t>
        </is>
      </c>
      <c r="H472" s="2" t="inlineStr">
        <is>
          <t>09:00</t>
        </is>
      </c>
      <c r="I472" t="inlineStr">
        <is>
          <t>,000000000</t>
        </is>
      </c>
      <c r="J472" t="inlineStr">
        <is>
          <t>,000000000</t>
        </is>
      </c>
      <c r="K472" t="inlineStr">
        <is>
          <t>,000000000</t>
        </is>
      </c>
      <c r="L472" t="inlineStr">
        <is>
          <t>,000000000</t>
        </is>
      </c>
      <c r="M472" t="inlineStr">
        <is>
          <t>,000000000</t>
        </is>
      </c>
      <c r="N472" t="inlineStr">
        <is>
          <t>,000000000</t>
        </is>
      </c>
      <c r="O472" t="inlineStr">
        <is>
          <t>,000000000</t>
        </is>
      </c>
      <c r="P472" t="inlineStr">
        <is>
          <t>,000000000</t>
        </is>
      </c>
      <c r="Q472" t="inlineStr">
        <is>
          <t>,000000000</t>
        </is>
      </c>
      <c r="R472" t="inlineStr">
        <is>
          <t>,000000000</t>
        </is>
      </c>
      <c r="S472" t="inlineStr">
        <is>
          <t>,000000000</t>
        </is>
      </c>
      <c r="T472" t="inlineStr">
        <is>
          <t>,000000000</t>
        </is>
      </c>
      <c r="U472" t="inlineStr">
        <is>
          <t>,000000000</t>
        </is>
      </c>
      <c r="V472" t="inlineStr">
        <is>
          <t>,000000000</t>
        </is>
      </c>
      <c r="W472" t="inlineStr">
        <is>
          <t>,000000000</t>
        </is>
      </c>
      <c r="X472" t="inlineStr">
        <is>
          <t>,000000000</t>
        </is>
      </c>
      <c r="Y472" t="inlineStr">
        <is>
          <t>,000000000</t>
        </is>
      </c>
      <c r="Z472" t="inlineStr">
        <is>
          <t>,000000000</t>
        </is>
      </c>
      <c r="AA472" t="inlineStr">
        <is>
          <t>,000000000</t>
        </is>
      </c>
      <c r="AB472" t="inlineStr">
        <is>
          <t>0</t>
        </is>
      </c>
      <c r="AC472" t="inlineStr">
        <is>
          <t>0</t>
        </is>
      </c>
      <c r="AD472" s="3">
        <f>UPPER(C3)</f>
        <v/>
      </c>
      <c r="AE472" s="3">
        <f>VLOOKUP(E3,'[1]Nómina Agentes'!$C:$D,3,0)</f>
        <v/>
      </c>
      <c r="AF472" s="5">
        <f>F3</f>
        <v/>
      </c>
      <c r="AG472" s="5">
        <f>H3</f>
        <v/>
      </c>
    </row>
    <row r="473">
      <c r="A473" s="1" t="inlineStr">
        <is>
          <t>9/10/2024</t>
        </is>
      </c>
      <c r="B473" t="inlineStr">
        <is>
          <t>925</t>
        </is>
      </c>
      <c r="C473" t="inlineStr">
        <is>
          <t>S2S Premium</t>
        </is>
      </c>
      <c r="D473" t="inlineStr">
        <is>
          <t>Pm_Lencinas, Lucio</t>
        </is>
      </c>
      <c r="E473" t="inlineStr">
        <is>
          <t>628433</t>
        </is>
      </c>
      <c r="F473" s="2" t="inlineStr">
        <is>
          <t>09:00</t>
        </is>
      </c>
      <c r="G473" t="inlineStr">
        <is>
          <t>-</t>
        </is>
      </c>
      <c r="H473" s="2" t="inlineStr">
        <is>
          <t>09:30</t>
        </is>
      </c>
      <c r="I473" t="inlineStr">
        <is>
          <t>266,000000000</t>
        </is>
      </c>
      <c r="J473" t="inlineStr">
        <is>
          <t>13,000000000</t>
        </is>
      </c>
      <c r="K473" t="inlineStr">
        <is>
          <t>,000000000</t>
        </is>
      </c>
      <c r="L473" t="inlineStr">
        <is>
          <t>8,000000000</t>
        </is>
      </c>
      <c r="M473" t="inlineStr">
        <is>
          <t>,000000000</t>
        </is>
      </c>
      <c r="N473" t="inlineStr">
        <is>
          <t>,000000000</t>
        </is>
      </c>
      <c r="O473" t="inlineStr">
        <is>
          <t>,000000000</t>
        </is>
      </c>
      <c r="P473" t="inlineStr">
        <is>
          <t>20,000000000</t>
        </is>
      </c>
      <c r="Q473" t="inlineStr">
        <is>
          <t>,000000000</t>
        </is>
      </c>
      <c r="R473" t="inlineStr">
        <is>
          <t>,000000000</t>
        </is>
      </c>
      <c r="S473" t="inlineStr">
        <is>
          <t>,000000000</t>
        </is>
      </c>
      <c r="T473" t="inlineStr">
        <is>
          <t>,000000000</t>
        </is>
      </c>
      <c r="U473" t="inlineStr">
        <is>
          <t>,000000000</t>
        </is>
      </c>
      <c r="V473" t="inlineStr">
        <is>
          <t>,000000000</t>
        </is>
      </c>
      <c r="W473" t="inlineStr">
        <is>
          <t>,000000000</t>
        </is>
      </c>
      <c r="X473" t="inlineStr">
        <is>
          <t>,000000000</t>
        </is>
      </c>
      <c r="Y473" t="inlineStr">
        <is>
          <t>,000000000</t>
        </is>
      </c>
      <c r="Z473" t="inlineStr">
        <is>
          <t>,000000000</t>
        </is>
      </c>
      <c r="AA473" t="inlineStr">
        <is>
          <t>,000000000</t>
        </is>
      </c>
      <c r="AB473" t="inlineStr">
        <is>
          <t>2</t>
        </is>
      </c>
      <c r="AC473" t="inlineStr">
        <is>
          <t>1</t>
        </is>
      </c>
      <c r="AD473" s="3">
        <f>UPPER(C3)</f>
        <v/>
      </c>
      <c r="AE473" s="3">
        <f>VLOOKUP(E3,'[1]Nómina Agentes'!$C:$D,3,0)</f>
        <v/>
      </c>
      <c r="AF473" s="5">
        <f>F3</f>
        <v/>
      </c>
      <c r="AG473" s="5">
        <f>H3</f>
        <v/>
      </c>
    </row>
    <row r="474">
      <c r="A474" s="1" t="inlineStr">
        <is>
          <t>9/10/2024</t>
        </is>
      </c>
      <c r="B474" t="inlineStr">
        <is>
          <t>924</t>
        </is>
      </c>
      <c r="C474" t="inlineStr">
        <is>
          <t>S2S No Premium</t>
        </is>
      </c>
      <c r="D474" t="inlineStr">
        <is>
          <t>WN2m_Orrego,Nico</t>
        </is>
      </c>
      <c r="E474" t="inlineStr">
        <is>
          <t>628438</t>
        </is>
      </c>
      <c r="F474" s="2" t="inlineStr">
        <is>
          <t>09:00</t>
        </is>
      </c>
      <c r="G474" t="inlineStr">
        <is>
          <t>-</t>
        </is>
      </c>
      <c r="H474" s="2" t="inlineStr">
        <is>
          <t>09:30</t>
        </is>
      </c>
      <c r="I474" t="inlineStr">
        <is>
          <t>527,000000000</t>
        </is>
      </c>
      <c r="J474" t="inlineStr">
        <is>
          <t>,000000000</t>
        </is>
      </c>
      <c r="K474" t="inlineStr">
        <is>
          <t>,000000000</t>
        </is>
      </c>
      <c r="L474" t="inlineStr">
        <is>
          <t>12,000000000</t>
        </is>
      </c>
      <c r="M474" t="inlineStr">
        <is>
          <t>,000000000</t>
        </is>
      </c>
      <c r="N474" t="inlineStr">
        <is>
          <t>,000000000</t>
        </is>
      </c>
      <c r="O474" t="inlineStr">
        <is>
          <t>,000000000</t>
        </is>
      </c>
      <c r="P474" t="inlineStr">
        <is>
          <t>280,000000000</t>
        </is>
      </c>
      <c r="Q474" t="inlineStr">
        <is>
          <t>159,000000000</t>
        </is>
      </c>
      <c r="R474" t="inlineStr">
        <is>
          <t>,000000000</t>
        </is>
      </c>
      <c r="S474" t="inlineStr">
        <is>
          <t>,000000000</t>
        </is>
      </c>
      <c r="T474" t="inlineStr">
        <is>
          <t>,000000000</t>
        </is>
      </c>
      <c r="U474" t="inlineStr">
        <is>
          <t>,000000000</t>
        </is>
      </c>
      <c r="V474" t="inlineStr">
        <is>
          <t>,000000000</t>
        </is>
      </c>
      <c r="W474" t="inlineStr">
        <is>
          <t>,000000000</t>
        </is>
      </c>
      <c r="X474" t="inlineStr">
        <is>
          <t>,000000000</t>
        </is>
      </c>
      <c r="Y474" t="inlineStr">
        <is>
          <t>,000000000</t>
        </is>
      </c>
      <c r="Z474" t="inlineStr">
        <is>
          <t>,000000000</t>
        </is>
      </c>
      <c r="AA474" t="inlineStr">
        <is>
          <t>,000000000</t>
        </is>
      </c>
      <c r="AB474" t="inlineStr">
        <is>
          <t>2</t>
        </is>
      </c>
      <c r="AC474" t="inlineStr">
        <is>
          <t>2</t>
        </is>
      </c>
      <c r="AD474" s="3">
        <f>UPPER(C3)</f>
        <v/>
      </c>
      <c r="AE474" s="3">
        <f>VLOOKUP(E3,'[1]Nómina Agentes'!$C:$D,3,0)</f>
        <v/>
      </c>
      <c r="AF474" s="5">
        <f>F3</f>
        <v/>
      </c>
      <c r="AG474" s="5">
        <f>H3</f>
        <v/>
      </c>
    </row>
    <row r="475">
      <c r="A475" s="1" t="inlineStr">
        <is>
          <t>9/10/2024</t>
        </is>
      </c>
      <c r="B475" t="inlineStr">
        <is>
          <t>924</t>
        </is>
      </c>
      <c r="C475" t="inlineStr">
        <is>
          <t>S2S No Premium</t>
        </is>
      </c>
      <c r="D475" t="inlineStr">
        <is>
          <t>WN2m_Orrego,Nico</t>
        </is>
      </c>
      <c r="E475" t="inlineStr">
        <is>
          <t>628438</t>
        </is>
      </c>
      <c r="F475" s="2" t="inlineStr">
        <is>
          <t>09:30</t>
        </is>
      </c>
      <c r="G475" t="inlineStr">
        <is>
          <t>-</t>
        </is>
      </c>
      <c r="H475" s="2" t="inlineStr">
        <is>
          <t>10:00</t>
        </is>
      </c>
      <c r="I475" t="inlineStr">
        <is>
          <t>792,000000000</t>
        </is>
      </c>
      <c r="J475" t="inlineStr">
        <is>
          <t>,000000000</t>
        </is>
      </c>
      <c r="K475" t="inlineStr">
        <is>
          <t>,000000000</t>
        </is>
      </c>
      <c r="L475" t="inlineStr">
        <is>
          <t>20,000000000</t>
        </is>
      </c>
      <c r="M475" t="inlineStr">
        <is>
          <t>,000000000</t>
        </is>
      </c>
      <c r="N475" t="inlineStr">
        <is>
          <t>,000000000</t>
        </is>
      </c>
      <c r="O475" t="inlineStr">
        <is>
          <t>,000000000</t>
        </is>
      </c>
      <c r="P475" t="inlineStr">
        <is>
          <t>7,000000000</t>
        </is>
      </c>
      <c r="Q475" t="inlineStr">
        <is>
          <t>,000000000</t>
        </is>
      </c>
      <c r="R475" t="inlineStr">
        <is>
          <t>,000000000</t>
        </is>
      </c>
      <c r="S475" t="inlineStr">
        <is>
          <t>,000000000</t>
        </is>
      </c>
      <c r="T475" t="inlineStr">
        <is>
          <t>,000000000</t>
        </is>
      </c>
      <c r="U475" t="inlineStr">
        <is>
          <t>,000000000</t>
        </is>
      </c>
      <c r="V475" t="inlineStr">
        <is>
          <t>,000000000</t>
        </is>
      </c>
      <c r="W475" t="inlineStr">
        <is>
          <t>,000000000</t>
        </is>
      </c>
      <c r="X475" t="inlineStr">
        <is>
          <t>,000000000</t>
        </is>
      </c>
      <c r="Y475" t="inlineStr">
        <is>
          <t>,000000000</t>
        </is>
      </c>
      <c r="Z475" t="inlineStr">
        <is>
          <t>,000000000</t>
        </is>
      </c>
      <c r="AA475" t="inlineStr">
        <is>
          <t>,000000000</t>
        </is>
      </c>
      <c r="AB475" t="inlineStr">
        <is>
          <t>5</t>
        </is>
      </c>
      <c r="AC475" t="inlineStr">
        <is>
          <t>5</t>
        </is>
      </c>
      <c r="AD475" s="3">
        <f>UPPER(C3)</f>
        <v/>
      </c>
      <c r="AE475" s="3">
        <f>VLOOKUP(E3,'[1]Nómina Agentes'!$C:$D,3,0)</f>
        <v/>
      </c>
      <c r="AF475" s="5">
        <f>F3</f>
        <v/>
      </c>
      <c r="AG475" s="5">
        <f>H3</f>
        <v/>
      </c>
    </row>
    <row r="476">
      <c r="A476" s="1" t="inlineStr">
        <is>
          <t>9/10/2024</t>
        </is>
      </c>
      <c r="B476" t="inlineStr">
        <is>
          <t>924</t>
        </is>
      </c>
      <c r="C476" t="inlineStr">
        <is>
          <t>S2S No Premium</t>
        </is>
      </c>
      <c r="D476" t="inlineStr">
        <is>
          <t>WN2m_Orrego,Nico</t>
        </is>
      </c>
      <c r="E476" t="inlineStr">
        <is>
          <t>628438</t>
        </is>
      </c>
      <c r="F476" s="2" t="inlineStr">
        <is>
          <t>10:00</t>
        </is>
      </c>
      <c r="G476" t="inlineStr">
        <is>
          <t>-</t>
        </is>
      </c>
      <c r="H476" s="2" t="inlineStr">
        <is>
          <t>10:30</t>
        </is>
      </c>
      <c r="I476" t="inlineStr">
        <is>
          <t>808,000000000</t>
        </is>
      </c>
      <c r="J476" t="inlineStr">
        <is>
          <t>,000000000</t>
        </is>
      </c>
      <c r="K476" t="inlineStr">
        <is>
          <t>,000000000</t>
        </is>
      </c>
      <c r="L476" t="inlineStr">
        <is>
          <t>16,000000000</t>
        </is>
      </c>
      <c r="M476" t="inlineStr">
        <is>
          <t>,000000000</t>
        </is>
      </c>
      <c r="N476" t="inlineStr">
        <is>
          <t>,000000000</t>
        </is>
      </c>
      <c r="O476" t="inlineStr">
        <is>
          <t>,000000000</t>
        </is>
      </c>
      <c r="P476" t="inlineStr">
        <is>
          <t>4,000000000</t>
        </is>
      </c>
      <c r="Q476" t="inlineStr">
        <is>
          <t>,000000000</t>
        </is>
      </c>
      <c r="R476" t="inlineStr">
        <is>
          <t>,000000000</t>
        </is>
      </c>
      <c r="S476" t="inlineStr">
        <is>
          <t>,000000000</t>
        </is>
      </c>
      <c r="T476" t="inlineStr">
        <is>
          <t>,000000000</t>
        </is>
      </c>
      <c r="U476" t="inlineStr">
        <is>
          <t>,000000000</t>
        </is>
      </c>
      <c r="V476" t="inlineStr">
        <is>
          <t>,000000000</t>
        </is>
      </c>
      <c r="W476" t="inlineStr">
        <is>
          <t>,000000000</t>
        </is>
      </c>
      <c r="X476" t="inlineStr">
        <is>
          <t>,000000000</t>
        </is>
      </c>
      <c r="Y476" t="inlineStr">
        <is>
          <t>,000000000</t>
        </is>
      </c>
      <c r="Z476" t="inlineStr">
        <is>
          <t>,000000000</t>
        </is>
      </c>
      <c r="AA476" t="inlineStr">
        <is>
          <t>,000000000</t>
        </is>
      </c>
      <c r="AB476" t="inlineStr">
        <is>
          <t>4</t>
        </is>
      </c>
      <c r="AC476" t="inlineStr">
        <is>
          <t>3</t>
        </is>
      </c>
      <c r="AD476" s="3">
        <f>UPPER(C3)</f>
        <v/>
      </c>
      <c r="AE476" s="3">
        <f>VLOOKUP(E3,'[1]Nómina Agentes'!$C:$D,3,0)</f>
        <v/>
      </c>
      <c r="AF476" s="5">
        <f>F3</f>
        <v/>
      </c>
      <c r="AG476" s="5">
        <f>H3</f>
        <v/>
      </c>
    </row>
    <row r="477">
      <c r="A477" s="1" t="inlineStr">
        <is>
          <t>9/10/2024</t>
        </is>
      </c>
      <c r="B477" t="inlineStr">
        <is>
          <t>924</t>
        </is>
      </c>
      <c r="C477" t="inlineStr">
        <is>
          <t>S2S No Premium</t>
        </is>
      </c>
      <c r="D477" t="inlineStr">
        <is>
          <t>WN2m_Orrego,Nico</t>
        </is>
      </c>
      <c r="E477" t="inlineStr">
        <is>
          <t>628438</t>
        </is>
      </c>
      <c r="F477" s="2" t="inlineStr">
        <is>
          <t>10:30</t>
        </is>
      </c>
      <c r="G477" t="inlineStr">
        <is>
          <t>-</t>
        </is>
      </c>
      <c r="H477" s="2" t="inlineStr">
        <is>
          <t>11:00</t>
        </is>
      </c>
      <c r="I477" t="inlineStr">
        <is>
          <t>1019,000000000</t>
        </is>
      </c>
      <c r="J477" t="inlineStr">
        <is>
          <t>,000000000</t>
        </is>
      </c>
      <c r="K477" t="inlineStr">
        <is>
          <t>,000000000</t>
        </is>
      </c>
      <c r="L477" t="inlineStr">
        <is>
          <t>29,000000000</t>
        </is>
      </c>
      <c r="M477" t="inlineStr">
        <is>
          <t>,000000000</t>
        </is>
      </c>
      <c r="N477" t="inlineStr">
        <is>
          <t>,000000000</t>
        </is>
      </c>
      <c r="O477" t="inlineStr">
        <is>
          <t>,000000000</t>
        </is>
      </c>
      <c r="P477" t="inlineStr">
        <is>
          <t>5,000000000</t>
        </is>
      </c>
      <c r="Q477" t="inlineStr">
        <is>
          <t>,000000000</t>
        </is>
      </c>
      <c r="R477" t="inlineStr">
        <is>
          <t>,000000000</t>
        </is>
      </c>
      <c r="S477" t="inlineStr">
        <is>
          <t>,000000000</t>
        </is>
      </c>
      <c r="T477" t="inlineStr">
        <is>
          <t>,000000000</t>
        </is>
      </c>
      <c r="U477" t="inlineStr">
        <is>
          <t>,000000000</t>
        </is>
      </c>
      <c r="V477" t="inlineStr">
        <is>
          <t>,000000000</t>
        </is>
      </c>
      <c r="W477" t="inlineStr">
        <is>
          <t>,000000000</t>
        </is>
      </c>
      <c r="X477" t="inlineStr">
        <is>
          <t>,000000000</t>
        </is>
      </c>
      <c r="Y477" t="inlineStr">
        <is>
          <t>,000000000</t>
        </is>
      </c>
      <c r="Z477" t="inlineStr">
        <is>
          <t>,000000000</t>
        </is>
      </c>
      <c r="AA477" t="inlineStr">
        <is>
          <t>,000000000</t>
        </is>
      </c>
      <c r="AB477" t="inlineStr">
        <is>
          <t>7</t>
        </is>
      </c>
      <c r="AC477" t="inlineStr">
        <is>
          <t>5</t>
        </is>
      </c>
      <c r="AD477" s="3">
        <f>UPPER(C3)</f>
        <v/>
      </c>
      <c r="AE477" s="3">
        <f>VLOOKUP(E3,'[1]Nómina Agentes'!$C:$D,3,0)</f>
        <v/>
      </c>
      <c r="AF477" s="5">
        <f>F3</f>
        <v/>
      </c>
      <c r="AG477" s="5">
        <f>H3</f>
        <v/>
      </c>
    </row>
    <row r="478">
      <c r="A478" s="1" t="inlineStr">
        <is>
          <t>9/10/2024</t>
        </is>
      </c>
      <c r="B478" t="inlineStr">
        <is>
          <t>924</t>
        </is>
      </c>
      <c r="C478" t="inlineStr">
        <is>
          <t>S2S No Premium</t>
        </is>
      </c>
      <c r="D478" t="inlineStr">
        <is>
          <t>*N2m_Machuca,Lucreci</t>
        </is>
      </c>
      <c r="E478" t="inlineStr">
        <is>
          <t>628448</t>
        </is>
      </c>
      <c r="F478" s="2" t="inlineStr">
        <is>
          <t>09:00</t>
        </is>
      </c>
      <c r="G478" t="inlineStr">
        <is>
          <t>-</t>
        </is>
      </c>
      <c r="H478" s="2" t="inlineStr">
        <is>
          <t>09:30</t>
        </is>
      </c>
      <c r="I478" t="inlineStr">
        <is>
          <t>457,000000000</t>
        </is>
      </c>
      <c r="J478" t="inlineStr">
        <is>
          <t>,000000000</t>
        </is>
      </c>
      <c r="K478" t="inlineStr">
        <is>
          <t>,000000000</t>
        </is>
      </c>
      <c r="L478" t="inlineStr">
        <is>
          <t>8,000000000</t>
        </is>
      </c>
      <c r="M478" t="inlineStr">
        <is>
          <t>,000000000</t>
        </is>
      </c>
      <c r="N478" t="inlineStr">
        <is>
          <t>,000000000</t>
        </is>
      </c>
      <c r="O478" t="inlineStr">
        <is>
          <t>,000000000</t>
        </is>
      </c>
      <c r="P478" t="inlineStr">
        <is>
          <t>26,000000000</t>
        </is>
      </c>
      <c r="Q478" t="inlineStr">
        <is>
          <t>,000000000</t>
        </is>
      </c>
      <c r="R478" t="inlineStr">
        <is>
          <t>,000000000</t>
        </is>
      </c>
      <c r="S478" t="inlineStr">
        <is>
          <t>,000000000</t>
        </is>
      </c>
      <c r="T478" t="inlineStr">
        <is>
          <t>,000000000</t>
        </is>
      </c>
      <c r="U478" t="inlineStr">
        <is>
          <t>,000000000</t>
        </is>
      </c>
      <c r="V478" t="inlineStr">
        <is>
          <t>,000000000</t>
        </is>
      </c>
      <c r="W478" t="inlineStr">
        <is>
          <t>,000000000</t>
        </is>
      </c>
      <c r="X478" t="inlineStr">
        <is>
          <t>,000000000</t>
        </is>
      </c>
      <c r="Y478" t="inlineStr">
        <is>
          <t>,000000000</t>
        </is>
      </c>
      <c r="Z478" t="inlineStr">
        <is>
          <t>,000000000</t>
        </is>
      </c>
      <c r="AA478" t="inlineStr">
        <is>
          <t>,000000000</t>
        </is>
      </c>
      <c r="AB478" t="inlineStr">
        <is>
          <t>2</t>
        </is>
      </c>
      <c r="AC478" t="inlineStr">
        <is>
          <t>2</t>
        </is>
      </c>
      <c r="AD478" s="3">
        <f>UPPER(C3)</f>
        <v/>
      </c>
      <c r="AE478" s="3">
        <f>VLOOKUP(E3,'[1]Nómina Agentes'!$C:$D,3,0)</f>
        <v/>
      </c>
      <c r="AF478" s="5">
        <f>F3</f>
        <v/>
      </c>
      <c r="AG478" s="5">
        <f>H3</f>
        <v/>
      </c>
    </row>
    <row r="479">
      <c r="A479" s="1" t="inlineStr">
        <is>
          <t>9/10/2024</t>
        </is>
      </c>
      <c r="B479" t="inlineStr">
        <is>
          <t>924</t>
        </is>
      </c>
      <c r="C479" t="inlineStr">
        <is>
          <t>S2S No Premium</t>
        </is>
      </c>
      <c r="D479" t="inlineStr">
        <is>
          <t>*N2m_Machuca,Lucreci</t>
        </is>
      </c>
      <c r="E479" t="inlineStr">
        <is>
          <t>628448</t>
        </is>
      </c>
      <c r="F479" s="2" t="inlineStr">
        <is>
          <t>10:00</t>
        </is>
      </c>
      <c r="G479" t="inlineStr">
        <is>
          <t>-</t>
        </is>
      </c>
      <c r="H479" s="2" t="inlineStr">
        <is>
          <t>10:30</t>
        </is>
      </c>
      <c r="I479" t="inlineStr">
        <is>
          <t>463,000000000</t>
        </is>
      </c>
      <c r="J479" t="inlineStr">
        <is>
          <t>,000000000</t>
        </is>
      </c>
      <c r="K479" t="inlineStr">
        <is>
          <t>,000000000</t>
        </is>
      </c>
      <c r="L479" t="inlineStr">
        <is>
          <t>8,000000000</t>
        </is>
      </c>
      <c r="M479" t="inlineStr">
        <is>
          <t>,000000000</t>
        </is>
      </c>
      <c r="N479" t="inlineStr">
        <is>
          <t>,000000000</t>
        </is>
      </c>
      <c r="O479" t="inlineStr">
        <is>
          <t>,000000000</t>
        </is>
      </c>
      <c r="P479" t="inlineStr">
        <is>
          <t>7,000000000</t>
        </is>
      </c>
      <c r="Q479" t="inlineStr">
        <is>
          <t>,000000000</t>
        </is>
      </c>
      <c r="R479" t="inlineStr">
        <is>
          <t>,000000000</t>
        </is>
      </c>
      <c r="S479" t="inlineStr">
        <is>
          <t>,000000000</t>
        </is>
      </c>
      <c r="T479" t="inlineStr">
        <is>
          <t>,000000000</t>
        </is>
      </c>
      <c r="U479" t="inlineStr">
        <is>
          <t>,000000000</t>
        </is>
      </c>
      <c r="V479" t="inlineStr">
        <is>
          <t>,000000000</t>
        </is>
      </c>
      <c r="W479" t="inlineStr">
        <is>
          <t>,000000000</t>
        </is>
      </c>
      <c r="X479" t="inlineStr">
        <is>
          <t>,000000000</t>
        </is>
      </c>
      <c r="Y479" t="inlineStr">
        <is>
          <t>,000000000</t>
        </is>
      </c>
      <c r="Z479" t="inlineStr">
        <is>
          <t>,000000000</t>
        </is>
      </c>
      <c r="AA479" t="inlineStr">
        <is>
          <t>,000000000</t>
        </is>
      </c>
      <c r="AB479" t="inlineStr">
        <is>
          <t>3</t>
        </is>
      </c>
      <c r="AC479" t="inlineStr">
        <is>
          <t>2</t>
        </is>
      </c>
      <c r="AD479" s="3">
        <f>UPPER(C3)</f>
        <v/>
      </c>
      <c r="AE479" s="3">
        <f>VLOOKUP(E3,'[1]Nómina Agentes'!$C:$D,3,0)</f>
        <v/>
      </c>
      <c r="AF479" s="5">
        <f>F3</f>
        <v/>
      </c>
      <c r="AG479" s="5">
        <f>H3</f>
        <v/>
      </c>
    </row>
    <row r="480">
      <c r="A480" s="1" t="inlineStr">
        <is>
          <t>9/10/2024</t>
        </is>
      </c>
      <c r="B480" t="inlineStr">
        <is>
          <t>924</t>
        </is>
      </c>
      <c r="C480" t="inlineStr">
        <is>
          <t>S2S No Premium</t>
        </is>
      </c>
      <c r="D480" t="inlineStr">
        <is>
          <t>*N2m_Machuca,Lucreci</t>
        </is>
      </c>
      <c r="E480" t="inlineStr">
        <is>
          <t>628448</t>
        </is>
      </c>
      <c r="F480" s="2" t="inlineStr">
        <is>
          <t>10:30</t>
        </is>
      </c>
      <c r="G480" t="inlineStr">
        <is>
          <t>-</t>
        </is>
      </c>
      <c r="H480" s="2" t="inlineStr">
        <is>
          <t>11:00</t>
        </is>
      </c>
      <c r="I480" t="inlineStr">
        <is>
          <t>925,000000000</t>
        </is>
      </c>
      <c r="J480" t="inlineStr">
        <is>
          <t>,000000000</t>
        </is>
      </c>
      <c r="K480" t="inlineStr">
        <is>
          <t>,000000000</t>
        </is>
      </c>
      <c r="L480" t="inlineStr">
        <is>
          <t>16,000000000</t>
        </is>
      </c>
      <c r="M480" t="inlineStr">
        <is>
          <t>,000000000</t>
        </is>
      </c>
      <c r="N480" t="inlineStr">
        <is>
          <t>,000000000</t>
        </is>
      </c>
      <c r="O480" t="inlineStr">
        <is>
          <t>,000000000</t>
        </is>
      </c>
      <c r="P480" t="inlineStr">
        <is>
          <t>3,000000000</t>
        </is>
      </c>
      <c r="Q480" t="inlineStr">
        <is>
          <t>,000000000</t>
        </is>
      </c>
      <c r="R480" t="inlineStr">
        <is>
          <t>,000000000</t>
        </is>
      </c>
      <c r="S480" t="inlineStr">
        <is>
          <t>,000000000</t>
        </is>
      </c>
      <c r="T480" t="inlineStr">
        <is>
          <t>,000000000</t>
        </is>
      </c>
      <c r="U480" t="inlineStr">
        <is>
          <t>,000000000</t>
        </is>
      </c>
      <c r="V480" t="inlineStr">
        <is>
          <t>,000000000</t>
        </is>
      </c>
      <c r="W480" t="inlineStr">
        <is>
          <t>,000000000</t>
        </is>
      </c>
      <c r="X480" t="inlineStr">
        <is>
          <t>,000000000</t>
        </is>
      </c>
      <c r="Y480" t="inlineStr">
        <is>
          <t>,000000000</t>
        </is>
      </c>
      <c r="Z480" t="inlineStr">
        <is>
          <t>,000000000</t>
        </is>
      </c>
      <c r="AA480" t="inlineStr">
        <is>
          <t>,000000000</t>
        </is>
      </c>
      <c r="AB480" t="inlineStr">
        <is>
          <t>4</t>
        </is>
      </c>
      <c r="AC480" t="inlineStr">
        <is>
          <t>3</t>
        </is>
      </c>
      <c r="AD480" s="3">
        <f>UPPER(C3)</f>
        <v/>
      </c>
      <c r="AE480" s="3">
        <f>VLOOKUP(E3,'[1]Nómina Agentes'!$C:$D,3,0)</f>
        <v/>
      </c>
      <c r="AF480" s="5">
        <f>F3</f>
        <v/>
      </c>
      <c r="AG480" s="5">
        <f>H3</f>
        <v/>
      </c>
    </row>
    <row r="481">
      <c r="A481" s="1" t="inlineStr">
        <is>
          <t>9/10/2024</t>
        </is>
      </c>
      <c r="B481" t="inlineStr">
        <is>
          <t>924</t>
        </is>
      </c>
      <c r="C481" t="inlineStr">
        <is>
          <t>S2S No Premium</t>
        </is>
      </c>
      <c r="D481" t="inlineStr">
        <is>
          <t>*N2m_Machuca,Lucreci</t>
        </is>
      </c>
      <c r="E481" t="inlineStr">
        <is>
          <t>628448</t>
        </is>
      </c>
      <c r="F481" s="2" t="inlineStr">
        <is>
          <t>09:30</t>
        </is>
      </c>
      <c r="G481" t="inlineStr">
        <is>
          <t>-</t>
        </is>
      </c>
      <c r="H481" s="2" t="inlineStr">
        <is>
          <t>10:00</t>
        </is>
      </c>
      <c r="I481" t="inlineStr">
        <is>
          <t>953,000000000</t>
        </is>
      </c>
      <c r="J481" t="inlineStr">
        <is>
          <t>,000000000</t>
        </is>
      </c>
      <c r="K481" t="inlineStr">
        <is>
          <t>,000000000</t>
        </is>
      </c>
      <c r="L481" t="inlineStr">
        <is>
          <t>23,000000000</t>
        </is>
      </c>
      <c r="M481" t="inlineStr">
        <is>
          <t>,000000000</t>
        </is>
      </c>
      <c r="N481" t="inlineStr">
        <is>
          <t>,000000000</t>
        </is>
      </c>
      <c r="O481" t="inlineStr">
        <is>
          <t>,000000000</t>
        </is>
      </c>
      <c r="P481" t="inlineStr">
        <is>
          <t>5,000000000</t>
        </is>
      </c>
      <c r="Q481" t="inlineStr">
        <is>
          <t>1,000000000</t>
        </is>
      </c>
      <c r="R481" t="inlineStr">
        <is>
          <t>,000000000</t>
        </is>
      </c>
      <c r="S481" t="inlineStr">
        <is>
          <t>,000000000</t>
        </is>
      </c>
      <c r="T481" t="inlineStr">
        <is>
          <t>,000000000</t>
        </is>
      </c>
      <c r="U481" t="inlineStr">
        <is>
          <t>,000000000</t>
        </is>
      </c>
      <c r="V481" t="inlineStr">
        <is>
          <t>,000000000</t>
        </is>
      </c>
      <c r="W481" t="inlineStr">
        <is>
          <t>,000000000</t>
        </is>
      </c>
      <c r="X481" t="inlineStr">
        <is>
          <t>,000000000</t>
        </is>
      </c>
      <c r="Y481" t="inlineStr">
        <is>
          <t>,000000000</t>
        </is>
      </c>
      <c r="Z481" t="inlineStr">
        <is>
          <t>,000000000</t>
        </is>
      </c>
      <c r="AA481" t="inlineStr">
        <is>
          <t>,000000000</t>
        </is>
      </c>
      <c r="AB481" t="inlineStr">
        <is>
          <t>5</t>
        </is>
      </c>
      <c r="AC481" t="inlineStr">
        <is>
          <t>5</t>
        </is>
      </c>
      <c r="AD481" s="3">
        <f>UPPER(C3)</f>
        <v/>
      </c>
      <c r="AE481" s="3">
        <f>VLOOKUP(E3,'[1]Nómina Agentes'!$C:$D,3,0)</f>
        <v/>
      </c>
      <c r="AF481" s="5">
        <f>F3</f>
        <v/>
      </c>
      <c r="AG481" s="5">
        <f>H3</f>
        <v/>
      </c>
    </row>
    <row r="482">
      <c r="A482" s="1" t="inlineStr">
        <is>
          <t>9/10/2024</t>
        </is>
      </c>
      <c r="B482" t="inlineStr">
        <is>
          <t>925</t>
        </is>
      </c>
      <c r="C482" t="inlineStr">
        <is>
          <t>S2S Premium</t>
        </is>
      </c>
      <c r="D482" t="inlineStr">
        <is>
          <t>*Pm_Barrios,Facundo</t>
        </is>
      </c>
      <c r="E482" t="inlineStr">
        <is>
          <t>628455</t>
        </is>
      </c>
      <c r="F482" s="2" t="inlineStr">
        <is>
          <t>10:00</t>
        </is>
      </c>
      <c r="G482" t="inlineStr">
        <is>
          <t>-</t>
        </is>
      </c>
      <c r="H482" s="2" t="inlineStr">
        <is>
          <t>10:30</t>
        </is>
      </c>
      <c r="I482" t="inlineStr">
        <is>
          <t>34,000000000</t>
        </is>
      </c>
      <c r="J482" t="inlineStr">
        <is>
          <t>,000000000</t>
        </is>
      </c>
      <c r="K482" t="inlineStr">
        <is>
          <t>,000000000</t>
        </is>
      </c>
      <c r="L482" t="inlineStr">
        <is>
          <t>,000000000</t>
        </is>
      </c>
      <c r="M482" t="inlineStr">
        <is>
          <t>,000000000</t>
        </is>
      </c>
      <c r="N482" t="inlineStr">
        <is>
          <t>,000000000</t>
        </is>
      </c>
      <c r="O482" t="inlineStr">
        <is>
          <t>,000000000</t>
        </is>
      </c>
      <c r="P482" t="inlineStr">
        <is>
          <t>102,000000000</t>
        </is>
      </c>
      <c r="Q482" t="inlineStr">
        <is>
          <t>,000000000</t>
        </is>
      </c>
      <c r="R482" t="inlineStr">
        <is>
          <t>,000000000</t>
        </is>
      </c>
      <c r="S482" t="inlineStr">
        <is>
          <t>,000000000</t>
        </is>
      </c>
      <c r="T482" t="inlineStr">
        <is>
          <t>,000000000</t>
        </is>
      </c>
      <c r="U482" t="inlineStr">
        <is>
          <t>,000000000</t>
        </is>
      </c>
      <c r="V482" t="inlineStr">
        <is>
          <t>,000000000</t>
        </is>
      </c>
      <c r="W482" t="inlineStr">
        <is>
          <t>,000000000</t>
        </is>
      </c>
      <c r="X482" t="inlineStr">
        <is>
          <t>,000000000</t>
        </is>
      </c>
      <c r="Y482" t="inlineStr">
        <is>
          <t>,000000000</t>
        </is>
      </c>
      <c r="Z482" t="inlineStr">
        <is>
          <t>,000000000</t>
        </is>
      </c>
      <c r="AA482" t="inlineStr">
        <is>
          <t>,000000000</t>
        </is>
      </c>
      <c r="AB482" t="inlineStr">
        <is>
          <t>1</t>
        </is>
      </c>
      <c r="AC482" t="inlineStr">
        <is>
          <t>0</t>
        </is>
      </c>
      <c r="AD482" s="3">
        <f>UPPER(C3)</f>
        <v/>
      </c>
      <c r="AE482" s="3">
        <f>VLOOKUP(E3,'[1]Nómina Agentes'!$C:$D,3,0)</f>
        <v/>
      </c>
      <c r="AF482" s="5">
        <f>F3</f>
        <v/>
      </c>
      <c r="AG482" s="5">
        <f>H3</f>
        <v/>
      </c>
    </row>
    <row r="483">
      <c r="A483" s="1" t="inlineStr">
        <is>
          <t>9/10/2024</t>
        </is>
      </c>
      <c r="B483" t="inlineStr">
        <is>
          <t>925</t>
        </is>
      </c>
      <c r="C483" t="inlineStr">
        <is>
          <t>S2S Premium</t>
        </is>
      </c>
      <c r="D483" t="inlineStr">
        <is>
          <t>*Pm_Barrios,Facundo</t>
        </is>
      </c>
      <c r="E483" t="inlineStr">
        <is>
          <t>628455</t>
        </is>
      </c>
      <c r="F483" s="2" t="inlineStr">
        <is>
          <t>10:30</t>
        </is>
      </c>
      <c r="G483" t="inlineStr">
        <is>
          <t>-</t>
        </is>
      </c>
      <c r="H483" s="2" t="inlineStr">
        <is>
          <t>11:00</t>
        </is>
      </c>
      <c r="I483" t="inlineStr">
        <is>
          <t>188,000000000</t>
        </is>
      </c>
      <c r="J483" t="inlineStr">
        <is>
          <t>,000000000</t>
        </is>
      </c>
      <c r="K483" t="inlineStr">
        <is>
          <t>,000000000</t>
        </is>
      </c>
      <c r="L483" t="inlineStr">
        <is>
          <t>4,000000000</t>
        </is>
      </c>
      <c r="M483" t="inlineStr">
        <is>
          <t>,000000000</t>
        </is>
      </c>
      <c r="N483" t="inlineStr">
        <is>
          <t>,000000000</t>
        </is>
      </c>
      <c r="O483" t="inlineStr">
        <is>
          <t>,000000000</t>
        </is>
      </c>
      <c r="P483" t="inlineStr">
        <is>
          <t>,000000000</t>
        </is>
      </c>
      <c r="Q483" t="inlineStr">
        <is>
          <t>,000000000</t>
        </is>
      </c>
      <c r="R483" t="inlineStr">
        <is>
          <t>,000000000</t>
        </is>
      </c>
      <c r="S483" t="inlineStr">
        <is>
          <t>,000000000</t>
        </is>
      </c>
      <c r="T483" t="inlineStr">
        <is>
          <t>,000000000</t>
        </is>
      </c>
      <c r="U483" t="inlineStr">
        <is>
          <t>,000000000</t>
        </is>
      </c>
      <c r="V483" t="inlineStr">
        <is>
          <t>,000000000</t>
        </is>
      </c>
      <c r="W483" t="inlineStr">
        <is>
          <t>,000000000</t>
        </is>
      </c>
      <c r="X483" t="inlineStr">
        <is>
          <t>,000000000</t>
        </is>
      </c>
      <c r="Y483" t="inlineStr">
        <is>
          <t>,000000000</t>
        </is>
      </c>
      <c r="Z483" t="inlineStr">
        <is>
          <t>,000000000</t>
        </is>
      </c>
      <c r="AA483" t="inlineStr">
        <is>
          <t>,000000000</t>
        </is>
      </c>
      <c r="AB483" t="inlineStr">
        <is>
          <t>0</t>
        </is>
      </c>
      <c r="AC483" t="inlineStr">
        <is>
          <t>0</t>
        </is>
      </c>
      <c r="AD483" s="3">
        <f>UPPER(C3)</f>
        <v/>
      </c>
      <c r="AE483" s="3">
        <f>VLOOKUP(E3,'[1]Nómina Agentes'!$C:$D,3,0)</f>
        <v/>
      </c>
      <c r="AF483" s="5">
        <f>F3</f>
        <v/>
      </c>
      <c r="AG483" s="5">
        <f>H3</f>
        <v/>
      </c>
    </row>
    <row r="484">
      <c r="A484" s="1" t="inlineStr">
        <is>
          <t>9/10/2024</t>
        </is>
      </c>
      <c r="B484" t="inlineStr">
        <is>
          <t>925</t>
        </is>
      </c>
      <c r="C484" t="inlineStr">
        <is>
          <t>S2S Premium</t>
        </is>
      </c>
      <c r="D484" t="inlineStr">
        <is>
          <t>*Pm_Barrios,Facundo</t>
        </is>
      </c>
      <c r="E484" t="inlineStr">
        <is>
          <t>628455</t>
        </is>
      </c>
      <c r="F484" s="2" t="inlineStr">
        <is>
          <t>09:00</t>
        </is>
      </c>
      <c r="G484" t="inlineStr">
        <is>
          <t>-</t>
        </is>
      </c>
      <c r="H484" s="2" t="inlineStr">
        <is>
          <t>09:30</t>
        </is>
      </c>
      <c r="I484" t="inlineStr">
        <is>
          <t>367,000000000</t>
        </is>
      </c>
      <c r="J484" t="inlineStr">
        <is>
          <t>,000000000</t>
        </is>
      </c>
      <c r="K484" t="inlineStr">
        <is>
          <t>,000000000</t>
        </is>
      </c>
      <c r="L484" t="inlineStr">
        <is>
          <t>4,000000000</t>
        </is>
      </c>
      <c r="M484" t="inlineStr">
        <is>
          <t>,000000000</t>
        </is>
      </c>
      <c r="N484" t="inlineStr">
        <is>
          <t>,000000000</t>
        </is>
      </c>
      <c r="O484" t="inlineStr">
        <is>
          <t>,000000000</t>
        </is>
      </c>
      <c r="P484" t="inlineStr">
        <is>
          <t>,000000000</t>
        </is>
      </c>
      <c r="Q484" t="inlineStr">
        <is>
          <t>,000000000</t>
        </is>
      </c>
      <c r="R484" t="inlineStr">
        <is>
          <t>,000000000</t>
        </is>
      </c>
      <c r="S484" t="inlineStr">
        <is>
          <t>,000000000</t>
        </is>
      </c>
      <c r="T484" t="inlineStr">
        <is>
          <t>,000000000</t>
        </is>
      </c>
      <c r="U484" t="inlineStr">
        <is>
          <t>,000000000</t>
        </is>
      </c>
      <c r="V484" t="inlineStr">
        <is>
          <t>,000000000</t>
        </is>
      </c>
      <c r="W484" t="inlineStr">
        <is>
          <t>,000000000</t>
        </is>
      </c>
      <c r="X484" t="inlineStr">
        <is>
          <t>,000000000</t>
        </is>
      </c>
      <c r="Y484" t="inlineStr">
        <is>
          <t>,000000000</t>
        </is>
      </c>
      <c r="Z484" t="inlineStr">
        <is>
          <t>,000000000</t>
        </is>
      </c>
      <c r="AA484" t="inlineStr">
        <is>
          <t>,000000000</t>
        </is>
      </c>
      <c r="AB484" t="inlineStr">
        <is>
          <t>1</t>
        </is>
      </c>
      <c r="AC484" t="inlineStr">
        <is>
          <t>0</t>
        </is>
      </c>
      <c r="AD484" s="3">
        <f>UPPER(C3)</f>
        <v/>
      </c>
      <c r="AE484" s="3">
        <f>VLOOKUP(E3,'[1]Nómina Agentes'!$C:$D,3,0)</f>
        <v/>
      </c>
      <c r="AF484" s="5">
        <f>F3</f>
        <v/>
      </c>
      <c r="AG484" s="5">
        <f>H3</f>
        <v/>
      </c>
    </row>
    <row r="485">
      <c r="A485" s="1" t="inlineStr">
        <is>
          <t>9/10/2024</t>
        </is>
      </c>
      <c r="B485" t="inlineStr">
        <is>
          <t>925</t>
        </is>
      </c>
      <c r="C485" t="inlineStr">
        <is>
          <t>S2S Premium</t>
        </is>
      </c>
      <c r="D485" t="inlineStr">
        <is>
          <t>*Pm_Barrios,Facundo</t>
        </is>
      </c>
      <c r="E485" t="inlineStr">
        <is>
          <t>628455</t>
        </is>
      </c>
      <c r="F485" s="2" t="inlineStr">
        <is>
          <t>09:30</t>
        </is>
      </c>
      <c r="G485" t="inlineStr">
        <is>
          <t>-</t>
        </is>
      </c>
      <c r="H485" s="2" t="inlineStr">
        <is>
          <t>10:00</t>
        </is>
      </c>
      <c r="I485" t="inlineStr">
        <is>
          <t>1229,000000000</t>
        </is>
      </c>
      <c r="J485" t="inlineStr">
        <is>
          <t>,000000000</t>
        </is>
      </c>
      <c r="K485" t="inlineStr">
        <is>
          <t>,000000000</t>
        </is>
      </c>
      <c r="L485" t="inlineStr">
        <is>
          <t>16,000000000</t>
        </is>
      </c>
      <c r="M485" t="inlineStr">
        <is>
          <t>,000000000</t>
        </is>
      </c>
      <c r="N485" t="inlineStr">
        <is>
          <t>,000000000</t>
        </is>
      </c>
      <c r="O485" t="inlineStr">
        <is>
          <t>,000000000</t>
        </is>
      </c>
      <c r="P485" t="inlineStr">
        <is>
          <t>3,000000000</t>
        </is>
      </c>
      <c r="Q485" t="inlineStr">
        <is>
          <t>,000000000</t>
        </is>
      </c>
      <c r="R485" t="inlineStr">
        <is>
          <t>,000000000</t>
        </is>
      </c>
      <c r="S485" t="inlineStr">
        <is>
          <t>,000000000</t>
        </is>
      </c>
      <c r="T485" t="inlineStr">
        <is>
          <t>,000000000</t>
        </is>
      </c>
      <c r="U485" t="inlineStr">
        <is>
          <t>,000000000</t>
        </is>
      </c>
      <c r="V485" t="inlineStr">
        <is>
          <t>,000000000</t>
        </is>
      </c>
      <c r="W485" t="inlineStr">
        <is>
          <t>,000000000</t>
        </is>
      </c>
      <c r="X485" t="inlineStr">
        <is>
          <t>,000000000</t>
        </is>
      </c>
      <c r="Y485" t="inlineStr">
        <is>
          <t>,000000000</t>
        </is>
      </c>
      <c r="Z485" t="inlineStr">
        <is>
          <t>,000000000</t>
        </is>
      </c>
      <c r="AA485" t="inlineStr">
        <is>
          <t>,000000000</t>
        </is>
      </c>
      <c r="AB485" t="inlineStr">
        <is>
          <t>3</t>
        </is>
      </c>
      <c r="AC485" t="inlineStr">
        <is>
          <t>3</t>
        </is>
      </c>
      <c r="AD485" s="3">
        <f>UPPER(C3)</f>
        <v/>
      </c>
      <c r="AE485" s="3">
        <f>VLOOKUP(E3,'[1]Nómina Agentes'!$C:$D,3,0)</f>
        <v/>
      </c>
      <c r="AF485" s="5">
        <f>F3</f>
        <v/>
      </c>
      <c r="AG485" s="5">
        <f>H3</f>
        <v/>
      </c>
    </row>
    <row r="486">
      <c r="A486" s="1" t="inlineStr">
        <is>
          <t>9/10/2024</t>
        </is>
      </c>
      <c r="B486" t="inlineStr">
        <is>
          <t>925</t>
        </is>
      </c>
      <c r="C486" t="inlineStr">
        <is>
          <t>S2S Premium</t>
        </is>
      </c>
      <c r="D486" t="inlineStr">
        <is>
          <t>*Pm_Gonzalez, Rocio</t>
        </is>
      </c>
      <c r="E486" t="inlineStr">
        <is>
          <t>628459</t>
        </is>
      </c>
      <c r="F486" s="2" t="inlineStr">
        <is>
          <t>09:00</t>
        </is>
      </c>
      <c r="G486" t="inlineStr">
        <is>
          <t>-</t>
        </is>
      </c>
      <c r="H486" s="2" t="inlineStr">
        <is>
          <t>09:30</t>
        </is>
      </c>
      <c r="I486" t="inlineStr">
        <is>
          <t>,000000000</t>
        </is>
      </c>
      <c r="J486" t="inlineStr">
        <is>
          <t>,000000000</t>
        </is>
      </c>
      <c r="K486" t="inlineStr">
        <is>
          <t>,000000000</t>
        </is>
      </c>
      <c r="L486" t="inlineStr">
        <is>
          <t>,000000000</t>
        </is>
      </c>
      <c r="M486" t="inlineStr">
        <is>
          <t>,000000000</t>
        </is>
      </c>
      <c r="N486" t="inlineStr">
        <is>
          <t>,000000000</t>
        </is>
      </c>
      <c r="O486" t="inlineStr">
        <is>
          <t>,000000000</t>
        </is>
      </c>
      <c r="P486" t="inlineStr">
        <is>
          <t>,000000000</t>
        </is>
      </c>
      <c r="Q486" t="inlineStr">
        <is>
          <t>,000000000</t>
        </is>
      </c>
      <c r="R486" t="inlineStr">
        <is>
          <t>,000000000</t>
        </is>
      </c>
      <c r="S486" t="inlineStr">
        <is>
          <t>,000000000</t>
        </is>
      </c>
      <c r="T486" t="inlineStr">
        <is>
          <t>,000000000</t>
        </is>
      </c>
      <c r="U486" t="inlineStr">
        <is>
          <t>,000000000</t>
        </is>
      </c>
      <c r="V486" t="inlineStr">
        <is>
          <t>,000000000</t>
        </is>
      </c>
      <c r="W486" t="inlineStr">
        <is>
          <t>,000000000</t>
        </is>
      </c>
      <c r="X486" t="inlineStr">
        <is>
          <t>,000000000</t>
        </is>
      </c>
      <c r="Y486" t="inlineStr">
        <is>
          <t>,000000000</t>
        </is>
      </c>
      <c r="Z486" t="inlineStr">
        <is>
          <t>,000000000</t>
        </is>
      </c>
      <c r="AA486" t="inlineStr">
        <is>
          <t>,000000000</t>
        </is>
      </c>
      <c r="AB486" t="inlineStr">
        <is>
          <t>0</t>
        </is>
      </c>
      <c r="AC486" t="inlineStr">
        <is>
          <t>0</t>
        </is>
      </c>
      <c r="AD486" s="3">
        <f>UPPER(C3)</f>
        <v/>
      </c>
      <c r="AE486" s="3">
        <f>VLOOKUP(E3,'[1]Nómina Agentes'!$C:$D,3,0)</f>
        <v/>
      </c>
      <c r="AF486" s="5">
        <f>F3</f>
        <v/>
      </c>
      <c r="AG486" s="5">
        <f>H3</f>
        <v/>
      </c>
    </row>
    <row r="487">
      <c r="A487" s="1" t="inlineStr">
        <is>
          <t>9/10/2024</t>
        </is>
      </c>
      <c r="B487" t="inlineStr">
        <is>
          <t>925</t>
        </is>
      </c>
      <c r="C487" t="inlineStr">
        <is>
          <t>S2S Premium</t>
        </is>
      </c>
      <c r="D487" t="inlineStr">
        <is>
          <t>*Pm_Gonzalez, Rocio</t>
        </is>
      </c>
      <c r="E487" t="inlineStr">
        <is>
          <t>628459</t>
        </is>
      </c>
      <c r="F487" s="2" t="inlineStr">
        <is>
          <t>08:00</t>
        </is>
      </c>
      <c r="G487" t="inlineStr">
        <is>
          <t>-</t>
        </is>
      </c>
      <c r="H487" s="2" t="inlineStr">
        <is>
          <t>08:30</t>
        </is>
      </c>
      <c r="I487" t="inlineStr">
        <is>
          <t>,000000000</t>
        </is>
      </c>
      <c r="J487" t="inlineStr">
        <is>
          <t>,000000000</t>
        </is>
      </c>
      <c r="K487" t="inlineStr">
        <is>
          <t>,000000000</t>
        </is>
      </c>
      <c r="L487" t="inlineStr">
        <is>
          <t>,000000000</t>
        </is>
      </c>
      <c r="M487" t="inlineStr">
        <is>
          <t>,000000000</t>
        </is>
      </c>
      <c r="N487" t="inlineStr">
        <is>
          <t>,000000000</t>
        </is>
      </c>
      <c r="O487" t="inlineStr">
        <is>
          <t>,000000000</t>
        </is>
      </c>
      <c r="P487" t="inlineStr">
        <is>
          <t>,000000000</t>
        </is>
      </c>
      <c r="Q487" t="inlineStr">
        <is>
          <t>,000000000</t>
        </is>
      </c>
      <c r="R487" t="inlineStr">
        <is>
          <t>,000000000</t>
        </is>
      </c>
      <c r="S487" t="inlineStr">
        <is>
          <t>,000000000</t>
        </is>
      </c>
      <c r="T487" t="inlineStr">
        <is>
          <t>,000000000</t>
        </is>
      </c>
      <c r="U487" t="inlineStr">
        <is>
          <t>,000000000</t>
        </is>
      </c>
      <c r="V487" t="inlineStr">
        <is>
          <t>,000000000</t>
        </is>
      </c>
      <c r="W487" t="inlineStr">
        <is>
          <t>,000000000</t>
        </is>
      </c>
      <c r="X487" t="inlineStr">
        <is>
          <t>,000000000</t>
        </is>
      </c>
      <c r="Y487" t="inlineStr">
        <is>
          <t>,000000000</t>
        </is>
      </c>
      <c r="Z487" t="inlineStr">
        <is>
          <t>,000000000</t>
        </is>
      </c>
      <c r="AA487" t="inlineStr">
        <is>
          <t>,000000000</t>
        </is>
      </c>
      <c r="AB487" t="inlineStr">
        <is>
          <t>0</t>
        </is>
      </c>
      <c r="AC487" t="inlineStr">
        <is>
          <t>0</t>
        </is>
      </c>
      <c r="AD487" s="3">
        <f>UPPER(C3)</f>
        <v/>
      </c>
      <c r="AE487" s="3">
        <f>VLOOKUP(E3,'[1]Nómina Agentes'!$C:$D,3,0)</f>
        <v/>
      </c>
      <c r="AF487" s="5">
        <f>F3</f>
        <v/>
      </c>
      <c r="AG487" s="5">
        <f>H3</f>
        <v/>
      </c>
    </row>
    <row r="488">
      <c r="A488" s="1" t="inlineStr">
        <is>
          <t>9/10/2024</t>
        </is>
      </c>
      <c r="B488" t="inlineStr">
        <is>
          <t>925</t>
        </is>
      </c>
      <c r="C488" t="inlineStr">
        <is>
          <t>S2S Premium</t>
        </is>
      </c>
      <c r="D488" t="inlineStr">
        <is>
          <t>*Pm_Gonzalez, Rocio</t>
        </is>
      </c>
      <c r="E488" t="inlineStr">
        <is>
          <t>628459</t>
        </is>
      </c>
      <c r="F488" s="2" t="inlineStr">
        <is>
          <t>10:00</t>
        </is>
      </c>
      <c r="G488" t="inlineStr">
        <is>
          <t>-</t>
        </is>
      </c>
      <c r="H488" s="2" t="inlineStr">
        <is>
          <t>10:30</t>
        </is>
      </c>
      <c r="I488" t="inlineStr">
        <is>
          <t>,000000000</t>
        </is>
      </c>
      <c r="J488" t="inlineStr">
        <is>
          <t>,000000000</t>
        </is>
      </c>
      <c r="K488" t="inlineStr">
        <is>
          <t>,000000000</t>
        </is>
      </c>
      <c r="L488" t="inlineStr">
        <is>
          <t>,000000000</t>
        </is>
      </c>
      <c r="M488" t="inlineStr">
        <is>
          <t>,000000000</t>
        </is>
      </c>
      <c r="N488" t="inlineStr">
        <is>
          <t>,000000000</t>
        </is>
      </c>
      <c r="O488" t="inlineStr">
        <is>
          <t>,000000000</t>
        </is>
      </c>
      <c r="P488" t="inlineStr">
        <is>
          <t>,000000000</t>
        </is>
      </c>
      <c r="Q488" t="inlineStr">
        <is>
          <t>,000000000</t>
        </is>
      </c>
      <c r="R488" t="inlineStr">
        <is>
          <t>,000000000</t>
        </is>
      </c>
      <c r="S488" t="inlineStr">
        <is>
          <t>,000000000</t>
        </is>
      </c>
      <c r="T488" t="inlineStr">
        <is>
          <t>,000000000</t>
        </is>
      </c>
      <c r="U488" t="inlineStr">
        <is>
          <t>,000000000</t>
        </is>
      </c>
      <c r="V488" t="inlineStr">
        <is>
          <t>,000000000</t>
        </is>
      </c>
      <c r="W488" t="inlineStr">
        <is>
          <t>,000000000</t>
        </is>
      </c>
      <c r="X488" t="inlineStr">
        <is>
          <t>,000000000</t>
        </is>
      </c>
      <c r="Y488" t="inlineStr">
        <is>
          <t>,000000000</t>
        </is>
      </c>
      <c r="Z488" t="inlineStr">
        <is>
          <t>,000000000</t>
        </is>
      </c>
      <c r="AA488" t="inlineStr">
        <is>
          <t>,000000000</t>
        </is>
      </c>
      <c r="AB488" t="inlineStr">
        <is>
          <t>0</t>
        </is>
      </c>
      <c r="AC488" t="inlineStr">
        <is>
          <t>0</t>
        </is>
      </c>
      <c r="AD488" s="3">
        <f>UPPER(C3)</f>
        <v/>
      </c>
      <c r="AE488" s="3">
        <f>VLOOKUP(E3,'[1]Nómina Agentes'!$C:$D,3,0)</f>
        <v/>
      </c>
      <c r="AF488" s="5">
        <f>F3</f>
        <v/>
      </c>
      <c r="AG488" s="5">
        <f>H3</f>
        <v/>
      </c>
    </row>
    <row r="489">
      <c r="A489" s="1" t="inlineStr">
        <is>
          <t>9/10/2024</t>
        </is>
      </c>
      <c r="B489" t="inlineStr">
        <is>
          <t>925</t>
        </is>
      </c>
      <c r="C489" t="inlineStr">
        <is>
          <t>S2S Premium</t>
        </is>
      </c>
      <c r="D489" t="inlineStr">
        <is>
          <t>*Pm_Gonzalez, Rocio</t>
        </is>
      </c>
      <c r="E489" t="inlineStr">
        <is>
          <t>628459</t>
        </is>
      </c>
      <c r="F489" s="2" t="inlineStr">
        <is>
          <t>10:30</t>
        </is>
      </c>
      <c r="G489" t="inlineStr">
        <is>
          <t>-</t>
        </is>
      </c>
      <c r="H489" s="2" t="inlineStr">
        <is>
          <t>11:00</t>
        </is>
      </c>
      <c r="I489" t="inlineStr">
        <is>
          <t>33,000000000</t>
        </is>
      </c>
      <c r="J489" t="inlineStr">
        <is>
          <t>,000000000</t>
        </is>
      </c>
      <c r="K489" t="inlineStr">
        <is>
          <t>,000000000</t>
        </is>
      </c>
      <c r="L489" t="inlineStr">
        <is>
          <t>4,000000000</t>
        </is>
      </c>
      <c r="M489" t="inlineStr">
        <is>
          <t>,000000000</t>
        </is>
      </c>
      <c r="N489" t="inlineStr">
        <is>
          <t>,000000000</t>
        </is>
      </c>
      <c r="O489" t="inlineStr">
        <is>
          <t>,000000000</t>
        </is>
      </c>
      <c r="P489" t="inlineStr">
        <is>
          <t>,000000000</t>
        </is>
      </c>
      <c r="Q489" t="inlineStr">
        <is>
          <t>,000000000</t>
        </is>
      </c>
      <c r="R489" t="inlineStr">
        <is>
          <t>,000000000</t>
        </is>
      </c>
      <c r="S489" t="inlineStr">
        <is>
          <t>,000000000</t>
        </is>
      </c>
      <c r="T489" t="inlineStr">
        <is>
          <t>,000000000</t>
        </is>
      </c>
      <c r="U489" t="inlineStr">
        <is>
          <t>,000000000</t>
        </is>
      </c>
      <c r="V489" t="inlineStr">
        <is>
          <t>,000000000</t>
        </is>
      </c>
      <c r="W489" t="inlineStr">
        <is>
          <t>,000000000</t>
        </is>
      </c>
      <c r="X489" t="inlineStr">
        <is>
          <t>,000000000</t>
        </is>
      </c>
      <c r="Y489" t="inlineStr">
        <is>
          <t>,000000000</t>
        </is>
      </c>
      <c r="Z489" t="inlineStr">
        <is>
          <t>,000000000</t>
        </is>
      </c>
      <c r="AA489" t="inlineStr">
        <is>
          <t>,000000000</t>
        </is>
      </c>
      <c r="AB489" t="inlineStr">
        <is>
          <t>0</t>
        </is>
      </c>
      <c r="AC489" t="inlineStr">
        <is>
          <t>0</t>
        </is>
      </c>
      <c r="AD489" s="3">
        <f>UPPER(C3)</f>
        <v/>
      </c>
      <c r="AE489" s="3">
        <f>VLOOKUP(E3,'[1]Nómina Agentes'!$C:$D,3,0)</f>
        <v/>
      </c>
      <c r="AF489" s="5">
        <f>F3</f>
        <v/>
      </c>
      <c r="AG489" s="5">
        <f>H3</f>
        <v/>
      </c>
    </row>
    <row r="490">
      <c r="A490" s="1" t="inlineStr">
        <is>
          <t>9/10/2024</t>
        </is>
      </c>
      <c r="B490" t="inlineStr">
        <is>
          <t>925</t>
        </is>
      </c>
      <c r="C490" t="inlineStr">
        <is>
          <t>S2S Premium</t>
        </is>
      </c>
      <c r="D490" t="inlineStr">
        <is>
          <t>*Pm_Gonzalez, Rocio</t>
        </is>
      </c>
      <c r="E490" t="inlineStr">
        <is>
          <t>628459</t>
        </is>
      </c>
      <c r="F490" s="2" t="inlineStr">
        <is>
          <t>09:30</t>
        </is>
      </c>
      <c r="G490" t="inlineStr">
        <is>
          <t>-</t>
        </is>
      </c>
      <c r="H490" s="2" t="inlineStr">
        <is>
          <t>10:00</t>
        </is>
      </c>
      <c r="I490" t="inlineStr">
        <is>
          <t>135,000000000</t>
        </is>
      </c>
      <c r="J490" t="inlineStr">
        <is>
          <t>,000000000</t>
        </is>
      </c>
      <c r="K490" t="inlineStr">
        <is>
          <t>,000000000</t>
        </is>
      </c>
      <c r="L490" t="inlineStr">
        <is>
          <t>4,000000000</t>
        </is>
      </c>
      <c r="M490" t="inlineStr">
        <is>
          <t>,000000000</t>
        </is>
      </c>
      <c r="N490" t="inlineStr">
        <is>
          <t>,000000000</t>
        </is>
      </c>
      <c r="O490" t="inlineStr">
        <is>
          <t>,000000000</t>
        </is>
      </c>
      <c r="P490" t="inlineStr">
        <is>
          <t>1,000000000</t>
        </is>
      </c>
      <c r="Q490" t="inlineStr">
        <is>
          <t>,000000000</t>
        </is>
      </c>
      <c r="R490" t="inlineStr">
        <is>
          <t>,000000000</t>
        </is>
      </c>
      <c r="S490" t="inlineStr">
        <is>
          <t>,000000000</t>
        </is>
      </c>
      <c r="T490" t="inlineStr">
        <is>
          <t>,000000000</t>
        </is>
      </c>
      <c r="U490" t="inlineStr">
        <is>
          <t>,000000000</t>
        </is>
      </c>
      <c r="V490" t="inlineStr">
        <is>
          <t>,000000000</t>
        </is>
      </c>
      <c r="W490" t="inlineStr">
        <is>
          <t>,000000000</t>
        </is>
      </c>
      <c r="X490" t="inlineStr">
        <is>
          <t>,000000000</t>
        </is>
      </c>
      <c r="Y490" t="inlineStr">
        <is>
          <t>,000000000</t>
        </is>
      </c>
      <c r="Z490" t="inlineStr">
        <is>
          <t>,000000000</t>
        </is>
      </c>
      <c r="AA490" t="inlineStr">
        <is>
          <t>,000000000</t>
        </is>
      </c>
      <c r="AB490" t="inlineStr">
        <is>
          <t>1</t>
        </is>
      </c>
      <c r="AC490" t="inlineStr">
        <is>
          <t>1</t>
        </is>
      </c>
      <c r="AD490" s="3">
        <f>UPPER(C3)</f>
        <v/>
      </c>
      <c r="AE490" s="3">
        <f>VLOOKUP(E3,'[1]Nómina Agentes'!$C:$D,3,0)</f>
        <v/>
      </c>
      <c r="AF490" s="5">
        <f>F3</f>
        <v/>
      </c>
      <c r="AG490" s="5">
        <f>H3</f>
        <v/>
      </c>
    </row>
    <row r="491">
      <c r="A491" s="1" t="inlineStr">
        <is>
          <t>9/10/2024</t>
        </is>
      </c>
      <c r="B491" t="inlineStr">
        <is>
          <t>925</t>
        </is>
      </c>
      <c r="C491" t="inlineStr">
        <is>
          <t>S2S Premium</t>
        </is>
      </c>
      <c r="D491" t="inlineStr">
        <is>
          <t>*Pm_Gonzalez, Rocio</t>
        </is>
      </c>
      <c r="E491" t="inlineStr">
        <is>
          <t>628459</t>
        </is>
      </c>
      <c r="F491" s="2" t="inlineStr">
        <is>
          <t>08:30</t>
        </is>
      </c>
      <c r="G491" t="inlineStr">
        <is>
          <t>-</t>
        </is>
      </c>
      <c r="H491" s="2" t="inlineStr">
        <is>
          <t>09:00</t>
        </is>
      </c>
      <c r="I491" t="inlineStr">
        <is>
          <t>241,000000000</t>
        </is>
      </c>
      <c r="J491" t="inlineStr">
        <is>
          <t>,000000000</t>
        </is>
      </c>
      <c r="K491" t="inlineStr">
        <is>
          <t>,000000000</t>
        </is>
      </c>
      <c r="L491" t="inlineStr">
        <is>
          <t>4,000000000</t>
        </is>
      </c>
      <c r="M491" t="inlineStr">
        <is>
          <t>,000000000</t>
        </is>
      </c>
      <c r="N491" t="inlineStr">
        <is>
          <t>,000000000</t>
        </is>
      </c>
      <c r="O491" t="inlineStr">
        <is>
          <t>,000000000</t>
        </is>
      </c>
      <c r="P491" t="inlineStr">
        <is>
          <t>1,000000000</t>
        </is>
      </c>
      <c r="Q491" t="inlineStr">
        <is>
          <t>,000000000</t>
        </is>
      </c>
      <c r="R491" t="inlineStr">
        <is>
          <t>,000000000</t>
        </is>
      </c>
      <c r="S491" t="inlineStr">
        <is>
          <t>,000000000</t>
        </is>
      </c>
      <c r="T491" t="inlineStr">
        <is>
          <t>,000000000</t>
        </is>
      </c>
      <c r="U491" t="inlineStr">
        <is>
          <t>,000000000</t>
        </is>
      </c>
      <c r="V491" t="inlineStr">
        <is>
          <t>,000000000</t>
        </is>
      </c>
      <c r="W491" t="inlineStr">
        <is>
          <t>,000000000</t>
        </is>
      </c>
      <c r="X491" t="inlineStr">
        <is>
          <t>,000000000</t>
        </is>
      </c>
      <c r="Y491" t="inlineStr">
        <is>
          <t>,000000000</t>
        </is>
      </c>
      <c r="Z491" t="inlineStr">
        <is>
          <t>,000000000</t>
        </is>
      </c>
      <c r="AA491" t="inlineStr">
        <is>
          <t>,000000000</t>
        </is>
      </c>
      <c r="AB491" t="inlineStr">
        <is>
          <t>1</t>
        </is>
      </c>
      <c r="AC491" t="inlineStr">
        <is>
          <t>1</t>
        </is>
      </c>
      <c r="AD491" s="3">
        <f>UPPER(C3)</f>
        <v/>
      </c>
      <c r="AE491" s="3">
        <f>VLOOKUP(E3,'[1]Nómina Agentes'!$C:$D,3,0)</f>
        <v/>
      </c>
      <c r="AF491" s="5">
        <f>F3</f>
        <v/>
      </c>
      <c r="AG491" s="5">
        <f>H3</f>
        <v/>
      </c>
    </row>
    <row r="492">
      <c r="A492" s="1" t="inlineStr">
        <is>
          <t>9/10/2024</t>
        </is>
      </c>
      <c r="B492" t="inlineStr">
        <is>
          <t>925</t>
        </is>
      </c>
      <c r="C492" t="inlineStr">
        <is>
          <t>S2S Premium</t>
        </is>
      </c>
      <c r="D492" t="inlineStr">
        <is>
          <t>*Pm_Godoy, Luis</t>
        </is>
      </c>
      <c r="E492" t="inlineStr">
        <is>
          <t>628482</t>
        </is>
      </c>
      <c r="F492" s="2" t="inlineStr">
        <is>
          <t>06:00</t>
        </is>
      </c>
      <c r="G492" t="inlineStr">
        <is>
          <t>-</t>
        </is>
      </c>
      <c r="H492" s="2" t="inlineStr">
        <is>
          <t>06:30</t>
        </is>
      </c>
      <c r="I492" t="inlineStr">
        <is>
          <t>,000000000</t>
        </is>
      </c>
      <c r="J492" t="inlineStr">
        <is>
          <t>,000000000</t>
        </is>
      </c>
      <c r="K492" t="inlineStr">
        <is>
          <t>,000000000</t>
        </is>
      </c>
      <c r="L492" t="inlineStr">
        <is>
          <t>,000000000</t>
        </is>
      </c>
      <c r="M492" t="inlineStr">
        <is>
          <t>,000000000</t>
        </is>
      </c>
      <c r="N492" t="inlineStr">
        <is>
          <t>,000000000</t>
        </is>
      </c>
      <c r="O492" t="inlineStr">
        <is>
          <t>,000000000</t>
        </is>
      </c>
      <c r="P492" t="inlineStr">
        <is>
          <t>,000000000</t>
        </is>
      </c>
      <c r="Q492" t="inlineStr">
        <is>
          <t>,000000000</t>
        </is>
      </c>
      <c r="R492" t="inlineStr">
        <is>
          <t>,000000000</t>
        </is>
      </c>
      <c r="S492" t="inlineStr">
        <is>
          <t>,000000000</t>
        </is>
      </c>
      <c r="T492" t="inlineStr">
        <is>
          <t>,000000000</t>
        </is>
      </c>
      <c r="U492" t="inlineStr">
        <is>
          <t>,000000000</t>
        </is>
      </c>
      <c r="V492" t="inlineStr">
        <is>
          <t>,000000000</t>
        </is>
      </c>
      <c r="W492" t="inlineStr">
        <is>
          <t>,000000000</t>
        </is>
      </c>
      <c r="X492" t="inlineStr">
        <is>
          <t>,000000000</t>
        </is>
      </c>
      <c r="Y492" t="inlineStr">
        <is>
          <t>,000000000</t>
        </is>
      </c>
      <c r="Z492" t="inlineStr">
        <is>
          <t>,000000000</t>
        </is>
      </c>
      <c r="AA492" t="inlineStr">
        <is>
          <t>,000000000</t>
        </is>
      </c>
      <c r="AB492" t="inlineStr">
        <is>
          <t>0</t>
        </is>
      </c>
      <c r="AC492" t="inlineStr">
        <is>
          <t>0</t>
        </is>
      </c>
      <c r="AD492" s="3">
        <f>UPPER(C3)</f>
        <v/>
      </c>
      <c r="AE492" s="3">
        <f>VLOOKUP(E3,'[1]Nómina Agentes'!$C:$D,3,0)</f>
        <v/>
      </c>
      <c r="AF492" s="5">
        <f>F3</f>
        <v/>
      </c>
      <c r="AG492" s="5">
        <f>H3</f>
        <v/>
      </c>
    </row>
    <row r="493">
      <c r="A493" s="1" t="inlineStr">
        <is>
          <t>9/10/2024</t>
        </is>
      </c>
      <c r="B493" t="inlineStr">
        <is>
          <t>925</t>
        </is>
      </c>
      <c r="C493" t="inlineStr">
        <is>
          <t>S2S Premium</t>
        </is>
      </c>
      <c r="D493" t="inlineStr">
        <is>
          <t>XPm_Riquelme Ale</t>
        </is>
      </c>
      <c r="E493" t="inlineStr">
        <is>
          <t>628507</t>
        </is>
      </c>
      <c r="F493" s="2" t="inlineStr">
        <is>
          <t>09:00</t>
        </is>
      </c>
      <c r="G493" t="inlineStr">
        <is>
          <t>-</t>
        </is>
      </c>
      <c r="H493" s="2" t="inlineStr">
        <is>
          <t>09:30</t>
        </is>
      </c>
      <c r="I493" t="inlineStr">
        <is>
          <t>132,000000000</t>
        </is>
      </c>
      <c r="J493" t="inlineStr">
        <is>
          <t>,000000000</t>
        </is>
      </c>
      <c r="K493" t="inlineStr">
        <is>
          <t>,000000000</t>
        </is>
      </c>
      <c r="L493" t="inlineStr">
        <is>
          <t>4,000000000</t>
        </is>
      </c>
      <c r="M493" t="inlineStr">
        <is>
          <t>,000000000</t>
        </is>
      </c>
      <c r="N493" t="inlineStr">
        <is>
          <t>,000000000</t>
        </is>
      </c>
      <c r="O493" t="inlineStr">
        <is>
          <t>,000000000</t>
        </is>
      </c>
      <c r="P493" t="inlineStr">
        <is>
          <t>1,000000000</t>
        </is>
      </c>
      <c r="Q493" t="inlineStr">
        <is>
          <t>,000000000</t>
        </is>
      </c>
      <c r="R493" t="inlineStr">
        <is>
          <t>,000000000</t>
        </is>
      </c>
      <c r="S493" t="inlineStr">
        <is>
          <t>,000000000</t>
        </is>
      </c>
      <c r="T493" t="inlineStr">
        <is>
          <t>,000000000</t>
        </is>
      </c>
      <c r="U493" t="inlineStr">
        <is>
          <t>,000000000</t>
        </is>
      </c>
      <c r="V493" t="inlineStr">
        <is>
          <t>,000000000</t>
        </is>
      </c>
      <c r="W493" t="inlineStr">
        <is>
          <t>,000000000</t>
        </is>
      </c>
      <c r="X493" t="inlineStr">
        <is>
          <t>,000000000</t>
        </is>
      </c>
      <c r="Y493" t="inlineStr">
        <is>
          <t>,000000000</t>
        </is>
      </c>
      <c r="Z493" t="inlineStr">
        <is>
          <t>,000000000</t>
        </is>
      </c>
      <c r="AA493" t="inlineStr">
        <is>
          <t>,000000000</t>
        </is>
      </c>
      <c r="AB493" t="inlineStr">
        <is>
          <t>1</t>
        </is>
      </c>
      <c r="AC493" t="inlineStr">
        <is>
          <t>1</t>
        </is>
      </c>
      <c r="AD493" s="3">
        <f>UPPER(C3)</f>
        <v/>
      </c>
      <c r="AE493" s="3">
        <f>VLOOKUP(E3,'[1]Nómina Agentes'!$C:$D,3,0)</f>
        <v/>
      </c>
      <c r="AF493" s="5">
        <f>F3</f>
        <v/>
      </c>
      <c r="AG493" s="5">
        <f>H3</f>
        <v/>
      </c>
    </row>
    <row r="494">
      <c r="A494" s="1" t="inlineStr">
        <is>
          <t>9/10/2024</t>
        </is>
      </c>
      <c r="B494" t="inlineStr">
        <is>
          <t>925</t>
        </is>
      </c>
      <c r="C494" t="inlineStr">
        <is>
          <t>S2S Premium</t>
        </is>
      </c>
      <c r="D494" t="inlineStr">
        <is>
          <t>*Pm_Espinel, Bianca</t>
        </is>
      </c>
      <c r="E494" t="inlineStr">
        <is>
          <t>628557</t>
        </is>
      </c>
      <c r="F494" s="2" t="inlineStr">
        <is>
          <t>09:00</t>
        </is>
      </c>
      <c r="G494" t="inlineStr">
        <is>
          <t>-</t>
        </is>
      </c>
      <c r="H494" s="2" t="inlineStr">
        <is>
          <t>09:30</t>
        </is>
      </c>
      <c r="I494" t="inlineStr">
        <is>
          <t>,000000000</t>
        </is>
      </c>
      <c r="J494" t="inlineStr">
        <is>
          <t>,000000000</t>
        </is>
      </c>
      <c r="K494" t="inlineStr">
        <is>
          <t>,000000000</t>
        </is>
      </c>
      <c r="L494" t="inlineStr">
        <is>
          <t>,000000000</t>
        </is>
      </c>
      <c r="M494" t="inlineStr">
        <is>
          <t>,000000000</t>
        </is>
      </c>
      <c r="N494" t="inlineStr">
        <is>
          <t>,000000000</t>
        </is>
      </c>
      <c r="O494" t="inlineStr">
        <is>
          <t>,000000000</t>
        </is>
      </c>
      <c r="P494" t="inlineStr">
        <is>
          <t>,000000000</t>
        </is>
      </c>
      <c r="Q494" t="inlineStr">
        <is>
          <t>,000000000</t>
        </is>
      </c>
      <c r="R494" t="inlineStr">
        <is>
          <t>,000000000</t>
        </is>
      </c>
      <c r="S494" t="inlineStr">
        <is>
          <t>,000000000</t>
        </is>
      </c>
      <c r="T494" t="inlineStr">
        <is>
          <t>,000000000</t>
        </is>
      </c>
      <c r="U494" t="inlineStr">
        <is>
          <t>,000000000</t>
        </is>
      </c>
      <c r="V494" t="inlineStr">
        <is>
          <t>,000000000</t>
        </is>
      </c>
      <c r="W494" t="inlineStr">
        <is>
          <t>,000000000</t>
        </is>
      </c>
      <c r="X494" t="inlineStr">
        <is>
          <t>,000000000</t>
        </is>
      </c>
      <c r="Y494" t="inlineStr">
        <is>
          <t>,000000000</t>
        </is>
      </c>
      <c r="Z494" t="inlineStr">
        <is>
          <t>,000000000</t>
        </is>
      </c>
      <c r="AA494" t="inlineStr">
        <is>
          <t>,000000000</t>
        </is>
      </c>
      <c r="AB494" t="inlineStr">
        <is>
          <t>0</t>
        </is>
      </c>
      <c r="AC494" t="inlineStr">
        <is>
          <t>0</t>
        </is>
      </c>
      <c r="AD494" s="3">
        <f>UPPER(C3)</f>
        <v/>
      </c>
      <c r="AE494" s="3">
        <f>VLOOKUP(E3,'[1]Nómina Agentes'!$C:$D,3,0)</f>
        <v/>
      </c>
      <c r="AF494" s="5">
        <f>F3</f>
        <v/>
      </c>
      <c r="AG494" s="5">
        <f>H3</f>
        <v/>
      </c>
    </row>
    <row r="495">
      <c r="A495" s="1" t="inlineStr">
        <is>
          <t>9/10/2024</t>
        </is>
      </c>
      <c r="B495" t="inlineStr">
        <is>
          <t>925</t>
        </is>
      </c>
      <c r="C495" t="inlineStr">
        <is>
          <t>S2S Premium</t>
        </is>
      </c>
      <c r="D495" t="inlineStr">
        <is>
          <t>*Pm_Espinel, Bianca</t>
        </is>
      </c>
      <c r="E495" t="inlineStr">
        <is>
          <t>628557</t>
        </is>
      </c>
      <c r="F495" s="2" t="inlineStr">
        <is>
          <t>10:30</t>
        </is>
      </c>
      <c r="G495" t="inlineStr">
        <is>
          <t>-</t>
        </is>
      </c>
      <c r="H495" s="2" t="inlineStr">
        <is>
          <t>11:00</t>
        </is>
      </c>
      <c r="I495" t="inlineStr">
        <is>
          <t>,000000000</t>
        </is>
      </c>
      <c r="J495" t="inlineStr">
        <is>
          <t>,000000000</t>
        </is>
      </c>
      <c r="K495" t="inlineStr">
        <is>
          <t>,000000000</t>
        </is>
      </c>
      <c r="L495" t="inlineStr">
        <is>
          <t>,000000000</t>
        </is>
      </c>
      <c r="M495" t="inlineStr">
        <is>
          <t>,000000000</t>
        </is>
      </c>
      <c r="N495" t="inlineStr">
        <is>
          <t>,000000000</t>
        </is>
      </c>
      <c r="O495" t="inlineStr">
        <is>
          <t>,000000000</t>
        </is>
      </c>
      <c r="P495" t="inlineStr">
        <is>
          <t>,000000000</t>
        </is>
      </c>
      <c r="Q495" t="inlineStr">
        <is>
          <t>,000000000</t>
        </is>
      </c>
      <c r="R495" t="inlineStr">
        <is>
          <t>,000000000</t>
        </is>
      </c>
      <c r="S495" t="inlineStr">
        <is>
          <t>,000000000</t>
        </is>
      </c>
      <c r="T495" t="inlineStr">
        <is>
          <t>,000000000</t>
        </is>
      </c>
      <c r="U495" t="inlineStr">
        <is>
          <t>,000000000</t>
        </is>
      </c>
      <c r="V495" t="inlineStr">
        <is>
          <t>,000000000</t>
        </is>
      </c>
      <c r="W495" t="inlineStr">
        <is>
          <t>,000000000</t>
        </is>
      </c>
      <c r="X495" t="inlineStr">
        <is>
          <t>,000000000</t>
        </is>
      </c>
      <c r="Y495" t="inlineStr">
        <is>
          <t>,000000000</t>
        </is>
      </c>
      <c r="Z495" t="inlineStr">
        <is>
          <t>,000000000</t>
        </is>
      </c>
      <c r="AA495" t="inlineStr">
        <is>
          <t>,000000000</t>
        </is>
      </c>
      <c r="AB495" t="inlineStr">
        <is>
          <t>0</t>
        </is>
      </c>
      <c r="AC495" t="inlineStr">
        <is>
          <t>0</t>
        </is>
      </c>
      <c r="AD495" s="3">
        <f>UPPER(C3)</f>
        <v/>
      </c>
      <c r="AE495" s="3">
        <f>VLOOKUP(E3,'[1]Nómina Agentes'!$C:$D,3,0)</f>
        <v/>
      </c>
      <c r="AF495" s="5">
        <f>F3</f>
        <v/>
      </c>
      <c r="AG495" s="5">
        <f>H3</f>
        <v/>
      </c>
    </row>
    <row r="496">
      <c r="A496" s="1" t="inlineStr">
        <is>
          <t>9/10/2024</t>
        </is>
      </c>
      <c r="B496" t="inlineStr">
        <is>
          <t>925</t>
        </is>
      </c>
      <c r="C496" t="inlineStr">
        <is>
          <t>S2S Premium</t>
        </is>
      </c>
      <c r="D496" t="inlineStr">
        <is>
          <t>*Pm_Espinel, Bianca</t>
        </is>
      </c>
      <c r="E496" t="inlineStr">
        <is>
          <t>628557</t>
        </is>
      </c>
      <c r="F496" s="2" t="inlineStr">
        <is>
          <t>08:00</t>
        </is>
      </c>
      <c r="G496" t="inlineStr">
        <is>
          <t>-</t>
        </is>
      </c>
      <c r="H496" s="2" t="inlineStr">
        <is>
          <t>08:30</t>
        </is>
      </c>
      <c r="I496" t="inlineStr">
        <is>
          <t>,000000000</t>
        </is>
      </c>
      <c r="J496" t="inlineStr">
        <is>
          <t>,000000000</t>
        </is>
      </c>
      <c r="K496" t="inlineStr">
        <is>
          <t>,000000000</t>
        </is>
      </c>
      <c r="L496" t="inlineStr">
        <is>
          <t>,000000000</t>
        </is>
      </c>
      <c r="M496" t="inlineStr">
        <is>
          <t>,000000000</t>
        </is>
      </c>
      <c r="N496" t="inlineStr">
        <is>
          <t>,000000000</t>
        </is>
      </c>
      <c r="O496" t="inlineStr">
        <is>
          <t>,000000000</t>
        </is>
      </c>
      <c r="P496" t="inlineStr">
        <is>
          <t>,000000000</t>
        </is>
      </c>
      <c r="Q496" t="inlineStr">
        <is>
          <t>,000000000</t>
        </is>
      </c>
      <c r="R496" t="inlineStr">
        <is>
          <t>,000000000</t>
        </is>
      </c>
      <c r="S496" t="inlineStr">
        <is>
          <t>,000000000</t>
        </is>
      </c>
      <c r="T496" t="inlineStr">
        <is>
          <t>,000000000</t>
        </is>
      </c>
      <c r="U496" t="inlineStr">
        <is>
          <t>,000000000</t>
        </is>
      </c>
      <c r="V496" t="inlineStr">
        <is>
          <t>,000000000</t>
        </is>
      </c>
      <c r="W496" t="inlineStr">
        <is>
          <t>,000000000</t>
        </is>
      </c>
      <c r="X496" t="inlineStr">
        <is>
          <t>,000000000</t>
        </is>
      </c>
      <c r="Y496" t="inlineStr">
        <is>
          <t>,000000000</t>
        </is>
      </c>
      <c r="Z496" t="inlineStr">
        <is>
          <t>,000000000</t>
        </is>
      </c>
      <c r="AA496" t="inlineStr">
        <is>
          <t>,000000000</t>
        </is>
      </c>
      <c r="AB496" t="inlineStr">
        <is>
          <t>0</t>
        </is>
      </c>
      <c r="AC496" t="inlineStr">
        <is>
          <t>0</t>
        </is>
      </c>
      <c r="AD496" s="3">
        <f>UPPER(C3)</f>
        <v/>
      </c>
      <c r="AE496" s="3">
        <f>VLOOKUP(E3,'[1]Nómina Agentes'!$C:$D,3,0)</f>
        <v/>
      </c>
      <c r="AF496" s="5">
        <f>F3</f>
        <v/>
      </c>
      <c r="AG496" s="5">
        <f>H3</f>
        <v/>
      </c>
    </row>
    <row r="497">
      <c r="A497" s="1" t="inlineStr">
        <is>
          <t>9/10/2024</t>
        </is>
      </c>
      <c r="B497" t="inlineStr">
        <is>
          <t>925</t>
        </is>
      </c>
      <c r="C497" t="inlineStr">
        <is>
          <t>S2S Premium</t>
        </is>
      </c>
      <c r="D497" t="inlineStr">
        <is>
          <t>*Pm_Espinel, Bianca</t>
        </is>
      </c>
      <c r="E497" t="inlineStr">
        <is>
          <t>628557</t>
        </is>
      </c>
      <c r="F497" s="2" t="inlineStr">
        <is>
          <t>09:30</t>
        </is>
      </c>
      <c r="G497" t="inlineStr">
        <is>
          <t>-</t>
        </is>
      </c>
      <c r="H497" s="2" t="inlineStr">
        <is>
          <t>10:00</t>
        </is>
      </c>
      <c r="I497" t="inlineStr">
        <is>
          <t>132,000000000</t>
        </is>
      </c>
      <c r="J497" t="inlineStr">
        <is>
          <t>,000000000</t>
        </is>
      </c>
      <c r="K497" t="inlineStr">
        <is>
          <t>,000000000</t>
        </is>
      </c>
      <c r="L497" t="inlineStr">
        <is>
          <t>4,000000000</t>
        </is>
      </c>
      <c r="M497" t="inlineStr">
        <is>
          <t>,000000000</t>
        </is>
      </c>
      <c r="N497" t="inlineStr">
        <is>
          <t>,000000000</t>
        </is>
      </c>
      <c r="O497" t="inlineStr">
        <is>
          <t>,000000000</t>
        </is>
      </c>
      <c r="P497" t="inlineStr">
        <is>
          <t>,000000000</t>
        </is>
      </c>
      <c r="Q497" t="inlineStr">
        <is>
          <t>,000000000</t>
        </is>
      </c>
      <c r="R497" t="inlineStr">
        <is>
          <t>,000000000</t>
        </is>
      </c>
      <c r="S497" t="inlineStr">
        <is>
          <t>,000000000</t>
        </is>
      </c>
      <c r="T497" t="inlineStr">
        <is>
          <t>,000000000</t>
        </is>
      </c>
      <c r="U497" t="inlineStr">
        <is>
          <t>,000000000</t>
        </is>
      </c>
      <c r="V497" t="inlineStr">
        <is>
          <t>,000000000</t>
        </is>
      </c>
      <c r="W497" t="inlineStr">
        <is>
          <t>,000000000</t>
        </is>
      </c>
      <c r="X497" t="inlineStr">
        <is>
          <t>,000000000</t>
        </is>
      </c>
      <c r="Y497" t="inlineStr">
        <is>
          <t>,000000000</t>
        </is>
      </c>
      <c r="Z497" t="inlineStr">
        <is>
          <t>,000000000</t>
        </is>
      </c>
      <c r="AA497" t="inlineStr">
        <is>
          <t>,000000000</t>
        </is>
      </c>
      <c r="AB497" t="inlineStr">
        <is>
          <t>0</t>
        </is>
      </c>
      <c r="AC497" t="inlineStr">
        <is>
          <t>0</t>
        </is>
      </c>
      <c r="AD497" s="3">
        <f>UPPER(C3)</f>
        <v/>
      </c>
      <c r="AE497" s="3">
        <f>VLOOKUP(E3,'[1]Nómina Agentes'!$C:$D,3,0)</f>
        <v/>
      </c>
      <c r="AF497" s="5">
        <f>F3</f>
        <v/>
      </c>
      <c r="AG497" s="5">
        <f>H3</f>
        <v/>
      </c>
    </row>
    <row r="498">
      <c r="A498" s="1" t="inlineStr">
        <is>
          <t>9/10/2024</t>
        </is>
      </c>
      <c r="B498" t="inlineStr">
        <is>
          <t>925</t>
        </is>
      </c>
      <c r="C498" t="inlineStr">
        <is>
          <t>S2S Premium</t>
        </is>
      </c>
      <c r="D498" t="inlineStr">
        <is>
          <t>*Pm_Espinel, Bianca</t>
        </is>
      </c>
      <c r="E498" t="inlineStr">
        <is>
          <t>628557</t>
        </is>
      </c>
      <c r="F498" s="2" t="inlineStr">
        <is>
          <t>08:30</t>
        </is>
      </c>
      <c r="G498" t="inlineStr">
        <is>
          <t>-</t>
        </is>
      </c>
      <c r="H498" s="2" t="inlineStr">
        <is>
          <t>09:00</t>
        </is>
      </c>
      <c r="I498" t="inlineStr">
        <is>
          <t>290,000000000</t>
        </is>
      </c>
      <c r="J498" t="inlineStr">
        <is>
          <t>,000000000</t>
        </is>
      </c>
      <c r="K498" t="inlineStr">
        <is>
          <t>,000000000</t>
        </is>
      </c>
      <c r="L498" t="inlineStr">
        <is>
          <t>4,000000000</t>
        </is>
      </c>
      <c r="M498" t="inlineStr">
        <is>
          <t>,000000000</t>
        </is>
      </c>
      <c r="N498" t="inlineStr">
        <is>
          <t>,000000000</t>
        </is>
      </c>
      <c r="O498" t="inlineStr">
        <is>
          <t>,000000000</t>
        </is>
      </c>
      <c r="P498" t="inlineStr">
        <is>
          <t>244,000000000</t>
        </is>
      </c>
      <c r="Q498" t="inlineStr">
        <is>
          <t>181,000000000</t>
        </is>
      </c>
      <c r="R498" t="inlineStr">
        <is>
          <t>,000000000</t>
        </is>
      </c>
      <c r="S498" t="inlineStr">
        <is>
          <t>,000000000</t>
        </is>
      </c>
      <c r="T498" t="inlineStr">
        <is>
          <t>,000000000</t>
        </is>
      </c>
      <c r="U498" t="inlineStr">
        <is>
          <t>,000000000</t>
        </is>
      </c>
      <c r="V498" t="inlineStr">
        <is>
          <t>,000000000</t>
        </is>
      </c>
      <c r="W498" t="inlineStr">
        <is>
          <t>,000000000</t>
        </is>
      </c>
      <c r="X498" t="inlineStr">
        <is>
          <t>,000000000</t>
        </is>
      </c>
      <c r="Y498" t="inlineStr">
        <is>
          <t>,000000000</t>
        </is>
      </c>
      <c r="Z498" t="inlineStr">
        <is>
          <t>,000000000</t>
        </is>
      </c>
      <c r="AA498" t="inlineStr">
        <is>
          <t>,000000000</t>
        </is>
      </c>
      <c r="AB498" t="inlineStr">
        <is>
          <t>1</t>
        </is>
      </c>
      <c r="AC498" t="inlineStr">
        <is>
          <t>1</t>
        </is>
      </c>
      <c r="AD498" s="3">
        <f>UPPER(C3)</f>
        <v/>
      </c>
      <c r="AE498" s="3">
        <f>VLOOKUP(E3,'[1]Nómina Agentes'!$C:$D,3,0)</f>
        <v/>
      </c>
      <c r="AF498" s="5">
        <f>F3</f>
        <v/>
      </c>
      <c r="AG498" s="5">
        <f>H3</f>
        <v/>
      </c>
    </row>
    <row r="499">
      <c r="A499" s="1" t="inlineStr">
        <is>
          <t>9/10/2024</t>
        </is>
      </c>
      <c r="B499" t="inlineStr">
        <is>
          <t>925</t>
        </is>
      </c>
      <c r="C499" t="inlineStr">
        <is>
          <t>S2S Premium</t>
        </is>
      </c>
      <c r="D499" t="inlineStr">
        <is>
          <t>*Pm_Espinel, Bianca</t>
        </is>
      </c>
      <c r="E499" t="inlineStr">
        <is>
          <t>628557</t>
        </is>
      </c>
      <c r="F499" s="2" t="inlineStr">
        <is>
          <t>10:00</t>
        </is>
      </c>
      <c r="G499" t="inlineStr">
        <is>
          <t>-</t>
        </is>
      </c>
      <c r="H499" s="2" t="inlineStr">
        <is>
          <t>10:30</t>
        </is>
      </c>
      <c r="I499" t="inlineStr">
        <is>
          <t>299,000000000</t>
        </is>
      </c>
      <c r="J499" t="inlineStr">
        <is>
          <t>,000000000</t>
        </is>
      </c>
      <c r="K499" t="inlineStr">
        <is>
          <t>,000000000</t>
        </is>
      </c>
      <c r="L499" t="inlineStr">
        <is>
          <t>,000000000</t>
        </is>
      </c>
      <c r="M499" t="inlineStr">
        <is>
          <t>,000000000</t>
        </is>
      </c>
      <c r="N499" t="inlineStr">
        <is>
          <t>,000000000</t>
        </is>
      </c>
      <c r="O499" t="inlineStr">
        <is>
          <t>,000000000</t>
        </is>
      </c>
      <c r="P499" t="inlineStr">
        <is>
          <t>1,000000000</t>
        </is>
      </c>
      <c r="Q499" t="inlineStr">
        <is>
          <t>,000000000</t>
        </is>
      </c>
      <c r="R499" t="inlineStr">
        <is>
          <t>,000000000</t>
        </is>
      </c>
      <c r="S499" t="inlineStr">
        <is>
          <t>,000000000</t>
        </is>
      </c>
      <c r="T499" t="inlineStr">
        <is>
          <t>,000000000</t>
        </is>
      </c>
      <c r="U499" t="inlineStr">
        <is>
          <t>,000000000</t>
        </is>
      </c>
      <c r="V499" t="inlineStr">
        <is>
          <t>,000000000</t>
        </is>
      </c>
      <c r="W499" t="inlineStr">
        <is>
          <t>,000000000</t>
        </is>
      </c>
      <c r="X499" t="inlineStr">
        <is>
          <t>,000000000</t>
        </is>
      </c>
      <c r="Y499" t="inlineStr">
        <is>
          <t>,000000000</t>
        </is>
      </c>
      <c r="Z499" t="inlineStr">
        <is>
          <t>,000000000</t>
        </is>
      </c>
      <c r="AA499" t="inlineStr">
        <is>
          <t>,000000000</t>
        </is>
      </c>
      <c r="AB499" t="inlineStr">
        <is>
          <t>1</t>
        </is>
      </c>
      <c r="AC499" t="inlineStr">
        <is>
          <t>1</t>
        </is>
      </c>
      <c r="AD499" s="3">
        <f>UPPER(C3)</f>
        <v/>
      </c>
      <c r="AE499" s="3">
        <f>VLOOKUP(E3,'[1]Nómina Agentes'!$C:$D,3,0)</f>
        <v/>
      </c>
      <c r="AF499" s="5">
        <f>F3</f>
        <v/>
      </c>
      <c r="AG499" s="5">
        <f>H3</f>
        <v/>
      </c>
    </row>
    <row r="500">
      <c r="A500" s="1" t="inlineStr">
        <is>
          <t>9/10/2024</t>
        </is>
      </c>
      <c r="B500" t="inlineStr">
        <is>
          <t>925</t>
        </is>
      </c>
      <c r="C500" t="inlineStr">
        <is>
          <t>S2S Premium</t>
        </is>
      </c>
      <c r="D500" t="inlineStr">
        <is>
          <t>*Pm_Moran, Bruno</t>
        </is>
      </c>
      <c r="E500" t="inlineStr">
        <is>
          <t>628558</t>
        </is>
      </c>
      <c r="F500" s="2" t="inlineStr">
        <is>
          <t>09:00</t>
        </is>
      </c>
      <c r="G500" t="inlineStr">
        <is>
          <t>-</t>
        </is>
      </c>
      <c r="H500" s="2" t="inlineStr">
        <is>
          <t>09:30</t>
        </is>
      </c>
      <c r="I500" t="inlineStr">
        <is>
          <t>,000000000</t>
        </is>
      </c>
      <c r="J500" t="inlineStr">
        <is>
          <t>,000000000</t>
        </is>
      </c>
      <c r="K500" t="inlineStr">
        <is>
          <t>,000000000</t>
        </is>
      </c>
      <c r="L500" t="inlineStr">
        <is>
          <t>,000000000</t>
        </is>
      </c>
      <c r="M500" t="inlineStr">
        <is>
          <t>,000000000</t>
        </is>
      </c>
      <c r="N500" t="inlineStr">
        <is>
          <t>,000000000</t>
        </is>
      </c>
      <c r="O500" t="inlineStr">
        <is>
          <t>,000000000</t>
        </is>
      </c>
      <c r="P500" t="inlineStr">
        <is>
          <t>,000000000</t>
        </is>
      </c>
      <c r="Q500" t="inlineStr">
        <is>
          <t>,000000000</t>
        </is>
      </c>
      <c r="R500" t="inlineStr">
        <is>
          <t>,000000000</t>
        </is>
      </c>
      <c r="S500" t="inlineStr">
        <is>
          <t>,000000000</t>
        </is>
      </c>
      <c r="T500" t="inlineStr">
        <is>
          <t>,000000000</t>
        </is>
      </c>
      <c r="U500" t="inlineStr">
        <is>
          <t>,000000000</t>
        </is>
      </c>
      <c r="V500" t="inlineStr">
        <is>
          <t>,000000000</t>
        </is>
      </c>
      <c r="W500" t="inlineStr">
        <is>
          <t>,000000000</t>
        </is>
      </c>
      <c r="X500" t="inlineStr">
        <is>
          <t>,000000000</t>
        </is>
      </c>
      <c r="Y500" t="inlineStr">
        <is>
          <t>,000000000</t>
        </is>
      </c>
      <c r="Z500" t="inlineStr">
        <is>
          <t>,000000000</t>
        </is>
      </c>
      <c r="AA500" t="inlineStr">
        <is>
          <t>,000000000</t>
        </is>
      </c>
      <c r="AB500" t="inlineStr">
        <is>
          <t>0</t>
        </is>
      </c>
      <c r="AC500" t="inlineStr">
        <is>
          <t>0</t>
        </is>
      </c>
      <c r="AD500" s="3">
        <f>UPPER(C3)</f>
        <v/>
      </c>
      <c r="AE500" s="3">
        <f>VLOOKUP(E3,'[1]Nómina Agentes'!$C:$D,3,0)</f>
        <v/>
      </c>
      <c r="AF500" s="5">
        <f>F3</f>
        <v/>
      </c>
      <c r="AG500" s="5">
        <f>H3</f>
        <v/>
      </c>
    </row>
    <row r="501">
      <c r="A501" s="1" t="inlineStr">
        <is>
          <t>9/10/2024</t>
        </is>
      </c>
      <c r="B501" t="inlineStr">
        <is>
          <t>925</t>
        </is>
      </c>
      <c r="C501" t="inlineStr">
        <is>
          <t>S2S Premium</t>
        </is>
      </c>
      <c r="D501" t="inlineStr">
        <is>
          <t>*Pm_Moran, Bruno</t>
        </is>
      </c>
      <c r="E501" t="inlineStr">
        <is>
          <t>628558</t>
        </is>
      </c>
      <c r="F501" s="2" t="inlineStr">
        <is>
          <t>10:00</t>
        </is>
      </c>
      <c r="G501" t="inlineStr">
        <is>
          <t>-</t>
        </is>
      </c>
      <c r="H501" s="2" t="inlineStr">
        <is>
          <t>10:30</t>
        </is>
      </c>
      <c r="I501" t="inlineStr">
        <is>
          <t>,000000000</t>
        </is>
      </c>
      <c r="J501" t="inlineStr">
        <is>
          <t>,000000000</t>
        </is>
      </c>
      <c r="K501" t="inlineStr">
        <is>
          <t>,000000000</t>
        </is>
      </c>
      <c r="L501" t="inlineStr">
        <is>
          <t>,000000000</t>
        </is>
      </c>
      <c r="M501" t="inlineStr">
        <is>
          <t>,000000000</t>
        </is>
      </c>
      <c r="N501" t="inlineStr">
        <is>
          <t>,000000000</t>
        </is>
      </c>
      <c r="O501" t="inlineStr">
        <is>
          <t>,000000000</t>
        </is>
      </c>
      <c r="P501" t="inlineStr">
        <is>
          <t>,000000000</t>
        </is>
      </c>
      <c r="Q501" t="inlineStr">
        <is>
          <t>,000000000</t>
        </is>
      </c>
      <c r="R501" t="inlineStr">
        <is>
          <t>,000000000</t>
        </is>
      </c>
      <c r="S501" t="inlineStr">
        <is>
          <t>,000000000</t>
        </is>
      </c>
      <c r="T501" t="inlineStr">
        <is>
          <t>,000000000</t>
        </is>
      </c>
      <c r="U501" t="inlineStr">
        <is>
          <t>,000000000</t>
        </is>
      </c>
      <c r="V501" t="inlineStr">
        <is>
          <t>,000000000</t>
        </is>
      </c>
      <c r="W501" t="inlineStr">
        <is>
          <t>,000000000</t>
        </is>
      </c>
      <c r="X501" t="inlineStr">
        <is>
          <t>,000000000</t>
        </is>
      </c>
      <c r="Y501" t="inlineStr">
        <is>
          <t>,000000000</t>
        </is>
      </c>
      <c r="Z501" t="inlineStr">
        <is>
          <t>,000000000</t>
        </is>
      </c>
      <c r="AA501" t="inlineStr">
        <is>
          <t>,000000000</t>
        </is>
      </c>
      <c r="AB501" t="inlineStr">
        <is>
          <t>0</t>
        </is>
      </c>
      <c r="AC501" t="inlineStr">
        <is>
          <t>0</t>
        </is>
      </c>
      <c r="AD501" s="3">
        <f>UPPER(C3)</f>
        <v/>
      </c>
      <c r="AE501" s="3">
        <f>VLOOKUP(E3,'[1]Nómina Agentes'!$C:$D,3,0)</f>
        <v/>
      </c>
      <c r="AF501" s="5">
        <f>F3</f>
        <v/>
      </c>
      <c r="AG501" s="5">
        <f>H3</f>
        <v/>
      </c>
    </row>
    <row r="502">
      <c r="A502" s="1" t="inlineStr">
        <is>
          <t>9/10/2024</t>
        </is>
      </c>
      <c r="B502" t="inlineStr">
        <is>
          <t>925</t>
        </is>
      </c>
      <c r="C502" t="inlineStr">
        <is>
          <t>S2S Premium</t>
        </is>
      </c>
      <c r="D502" t="inlineStr">
        <is>
          <t>*Pm_Moran, Bruno</t>
        </is>
      </c>
      <c r="E502" t="inlineStr">
        <is>
          <t>628558</t>
        </is>
      </c>
      <c r="F502" s="2" t="inlineStr">
        <is>
          <t>09:30</t>
        </is>
      </c>
      <c r="G502" t="inlineStr">
        <is>
          <t>-</t>
        </is>
      </c>
      <c r="H502" s="2" t="inlineStr">
        <is>
          <t>10:00</t>
        </is>
      </c>
      <c r="I502" t="inlineStr">
        <is>
          <t>,000000000</t>
        </is>
      </c>
      <c r="J502" t="inlineStr">
        <is>
          <t>,000000000</t>
        </is>
      </c>
      <c r="K502" t="inlineStr">
        <is>
          <t>,000000000</t>
        </is>
      </c>
      <c r="L502" t="inlineStr">
        <is>
          <t>,000000000</t>
        </is>
      </c>
      <c r="M502" t="inlineStr">
        <is>
          <t>,000000000</t>
        </is>
      </c>
      <c r="N502" t="inlineStr">
        <is>
          <t>,000000000</t>
        </is>
      </c>
      <c r="O502" t="inlineStr">
        <is>
          <t>,000000000</t>
        </is>
      </c>
      <c r="P502" t="inlineStr">
        <is>
          <t>,000000000</t>
        </is>
      </c>
      <c r="Q502" t="inlineStr">
        <is>
          <t>,000000000</t>
        </is>
      </c>
      <c r="R502" t="inlineStr">
        <is>
          <t>,000000000</t>
        </is>
      </c>
      <c r="S502" t="inlineStr">
        <is>
          <t>,000000000</t>
        </is>
      </c>
      <c r="T502" t="inlineStr">
        <is>
          <t>,000000000</t>
        </is>
      </c>
      <c r="U502" t="inlineStr">
        <is>
          <t>,000000000</t>
        </is>
      </c>
      <c r="V502" t="inlineStr">
        <is>
          <t>,000000000</t>
        </is>
      </c>
      <c r="W502" t="inlineStr">
        <is>
          <t>,000000000</t>
        </is>
      </c>
      <c r="X502" t="inlineStr">
        <is>
          <t>,000000000</t>
        </is>
      </c>
      <c r="Y502" t="inlineStr">
        <is>
          <t>,000000000</t>
        </is>
      </c>
      <c r="Z502" t="inlineStr">
        <is>
          <t>,000000000</t>
        </is>
      </c>
      <c r="AA502" t="inlineStr">
        <is>
          <t>,000000000</t>
        </is>
      </c>
      <c r="AB502" t="inlineStr">
        <is>
          <t>0</t>
        </is>
      </c>
      <c r="AC502" t="inlineStr">
        <is>
          <t>0</t>
        </is>
      </c>
      <c r="AD502" s="3">
        <f>UPPER(C3)</f>
        <v/>
      </c>
      <c r="AE502" s="3">
        <f>VLOOKUP(E3,'[1]Nómina Agentes'!$C:$D,3,0)</f>
        <v/>
      </c>
      <c r="AF502" s="5">
        <f>F3</f>
        <v/>
      </c>
      <c r="AG502" s="5">
        <f>H3</f>
        <v/>
      </c>
    </row>
    <row r="503">
      <c r="A503" s="1" t="inlineStr">
        <is>
          <t>9/10/2024</t>
        </is>
      </c>
      <c r="B503" t="inlineStr">
        <is>
          <t>925</t>
        </is>
      </c>
      <c r="C503" t="inlineStr">
        <is>
          <t>S2S Premium</t>
        </is>
      </c>
      <c r="D503" t="inlineStr">
        <is>
          <t>*Pm_Moran, Bruno</t>
        </is>
      </c>
      <c r="E503" t="inlineStr">
        <is>
          <t>628558</t>
        </is>
      </c>
      <c r="F503" s="2" t="inlineStr">
        <is>
          <t>08:30</t>
        </is>
      </c>
      <c r="G503" t="inlineStr">
        <is>
          <t>-</t>
        </is>
      </c>
      <c r="H503" s="2" t="inlineStr">
        <is>
          <t>09:00</t>
        </is>
      </c>
      <c r="I503" t="inlineStr">
        <is>
          <t>,000000000</t>
        </is>
      </c>
      <c r="J503" t="inlineStr">
        <is>
          <t>,000000000</t>
        </is>
      </c>
      <c r="K503" t="inlineStr">
        <is>
          <t>,000000000</t>
        </is>
      </c>
      <c r="L503" t="inlineStr">
        <is>
          <t>,000000000</t>
        </is>
      </c>
      <c r="M503" t="inlineStr">
        <is>
          <t>,000000000</t>
        </is>
      </c>
      <c r="N503" t="inlineStr">
        <is>
          <t>,000000000</t>
        </is>
      </c>
      <c r="O503" t="inlineStr">
        <is>
          <t>,000000000</t>
        </is>
      </c>
      <c r="P503" t="inlineStr">
        <is>
          <t>,000000000</t>
        </is>
      </c>
      <c r="Q503" t="inlineStr">
        <is>
          <t>,000000000</t>
        </is>
      </c>
      <c r="R503" t="inlineStr">
        <is>
          <t>,000000000</t>
        </is>
      </c>
      <c r="S503" t="inlineStr">
        <is>
          <t>,000000000</t>
        </is>
      </c>
      <c r="T503" t="inlineStr">
        <is>
          <t>,000000000</t>
        </is>
      </c>
      <c r="U503" t="inlineStr">
        <is>
          <t>,000000000</t>
        </is>
      </c>
      <c r="V503" t="inlineStr">
        <is>
          <t>,000000000</t>
        </is>
      </c>
      <c r="W503" t="inlineStr">
        <is>
          <t>,000000000</t>
        </is>
      </c>
      <c r="X503" t="inlineStr">
        <is>
          <t>,000000000</t>
        </is>
      </c>
      <c r="Y503" t="inlineStr">
        <is>
          <t>,000000000</t>
        </is>
      </c>
      <c r="Z503" t="inlineStr">
        <is>
          <t>,000000000</t>
        </is>
      </c>
      <c r="AA503" t="inlineStr">
        <is>
          <t>,000000000</t>
        </is>
      </c>
      <c r="AB503" t="inlineStr">
        <is>
          <t>0</t>
        </is>
      </c>
      <c r="AC503" t="inlineStr">
        <is>
          <t>0</t>
        </is>
      </c>
      <c r="AD503" s="3">
        <f>UPPER(C3)</f>
        <v/>
      </c>
      <c r="AE503" s="3">
        <f>VLOOKUP(E3,'[1]Nómina Agentes'!$C:$D,3,0)</f>
        <v/>
      </c>
      <c r="AF503" s="5">
        <f>F3</f>
        <v/>
      </c>
      <c r="AG503" s="5">
        <f>H3</f>
        <v/>
      </c>
    </row>
    <row r="504">
      <c r="A504" s="1" t="inlineStr">
        <is>
          <t>9/10/2024</t>
        </is>
      </c>
      <c r="B504" t="inlineStr">
        <is>
          <t>925</t>
        </is>
      </c>
      <c r="C504" t="inlineStr">
        <is>
          <t>S2S Premium</t>
        </is>
      </c>
      <c r="D504" t="inlineStr">
        <is>
          <t>*Pm_Moran, Bruno</t>
        </is>
      </c>
      <c r="E504" t="inlineStr">
        <is>
          <t>628558</t>
        </is>
      </c>
      <c r="F504" s="2" t="inlineStr">
        <is>
          <t>08:00</t>
        </is>
      </c>
      <c r="G504" t="inlineStr">
        <is>
          <t>-</t>
        </is>
      </c>
      <c r="H504" s="2" t="inlineStr">
        <is>
          <t>08:30</t>
        </is>
      </c>
      <c r="I504" t="inlineStr">
        <is>
          <t>,000000000</t>
        </is>
      </c>
      <c r="J504" t="inlineStr">
        <is>
          <t>,000000000</t>
        </is>
      </c>
      <c r="K504" t="inlineStr">
        <is>
          <t>,000000000</t>
        </is>
      </c>
      <c r="L504" t="inlineStr">
        <is>
          <t>,000000000</t>
        </is>
      </c>
      <c r="M504" t="inlineStr">
        <is>
          <t>,000000000</t>
        </is>
      </c>
      <c r="N504" t="inlineStr">
        <is>
          <t>,000000000</t>
        </is>
      </c>
      <c r="O504" t="inlineStr">
        <is>
          <t>,000000000</t>
        </is>
      </c>
      <c r="P504" t="inlineStr">
        <is>
          <t>,000000000</t>
        </is>
      </c>
      <c r="Q504" t="inlineStr">
        <is>
          <t>,000000000</t>
        </is>
      </c>
      <c r="R504" t="inlineStr">
        <is>
          <t>,000000000</t>
        </is>
      </c>
      <c r="S504" t="inlineStr">
        <is>
          <t>,000000000</t>
        </is>
      </c>
      <c r="T504" t="inlineStr">
        <is>
          <t>,000000000</t>
        </is>
      </c>
      <c r="U504" t="inlineStr">
        <is>
          <t>,000000000</t>
        </is>
      </c>
      <c r="V504" t="inlineStr">
        <is>
          <t>,000000000</t>
        </is>
      </c>
      <c r="W504" t="inlineStr">
        <is>
          <t>,000000000</t>
        </is>
      </c>
      <c r="X504" t="inlineStr">
        <is>
          <t>,000000000</t>
        </is>
      </c>
      <c r="Y504" t="inlineStr">
        <is>
          <t>,000000000</t>
        </is>
      </c>
      <c r="Z504" t="inlineStr">
        <is>
          <t>,000000000</t>
        </is>
      </c>
      <c r="AA504" t="inlineStr">
        <is>
          <t>,000000000</t>
        </is>
      </c>
      <c r="AB504" t="inlineStr">
        <is>
          <t>0</t>
        </is>
      </c>
      <c r="AC504" t="inlineStr">
        <is>
          <t>0</t>
        </is>
      </c>
      <c r="AD504" s="3">
        <f>UPPER(C3)</f>
        <v/>
      </c>
      <c r="AE504" s="3">
        <f>VLOOKUP(E3,'[1]Nómina Agentes'!$C:$D,3,0)</f>
        <v/>
      </c>
      <c r="AF504" s="5">
        <f>F3</f>
        <v/>
      </c>
      <c r="AG504" s="5">
        <f>H3</f>
        <v/>
      </c>
    </row>
    <row r="505">
      <c r="A505" s="1" t="inlineStr">
        <is>
          <t>9/10/2024</t>
        </is>
      </c>
      <c r="B505" t="inlineStr">
        <is>
          <t>925</t>
        </is>
      </c>
      <c r="C505" t="inlineStr">
        <is>
          <t>S2S Premium</t>
        </is>
      </c>
      <c r="D505" t="inlineStr">
        <is>
          <t>*Pm_Moran, Bruno</t>
        </is>
      </c>
      <c r="E505" t="inlineStr">
        <is>
          <t>628558</t>
        </is>
      </c>
      <c r="F505" s="2" t="inlineStr">
        <is>
          <t>10:30</t>
        </is>
      </c>
      <c r="G505" t="inlineStr">
        <is>
          <t>-</t>
        </is>
      </c>
      <c r="H505" s="2" t="inlineStr">
        <is>
          <t>11:00</t>
        </is>
      </c>
      <c r="I505" t="inlineStr">
        <is>
          <t>250,000000000</t>
        </is>
      </c>
      <c r="J505" t="inlineStr">
        <is>
          <t>,000000000</t>
        </is>
      </c>
      <c r="K505" t="inlineStr">
        <is>
          <t>,000000000</t>
        </is>
      </c>
      <c r="L505" t="inlineStr">
        <is>
          <t>4,000000000</t>
        </is>
      </c>
      <c r="M505" t="inlineStr">
        <is>
          <t>,000000000</t>
        </is>
      </c>
      <c r="N505" t="inlineStr">
        <is>
          <t>,000000000</t>
        </is>
      </c>
      <c r="O505" t="inlineStr">
        <is>
          <t>,000000000</t>
        </is>
      </c>
      <c r="P505" t="inlineStr">
        <is>
          <t>,000000000</t>
        </is>
      </c>
      <c r="Q505" t="inlineStr">
        <is>
          <t>,000000000</t>
        </is>
      </c>
      <c r="R505" t="inlineStr">
        <is>
          <t>,000000000</t>
        </is>
      </c>
      <c r="S505" t="inlineStr">
        <is>
          <t>,000000000</t>
        </is>
      </c>
      <c r="T505" t="inlineStr">
        <is>
          <t>,000000000</t>
        </is>
      </c>
      <c r="U505" t="inlineStr">
        <is>
          <t>,000000000</t>
        </is>
      </c>
      <c r="V505" t="inlineStr">
        <is>
          <t>,000000000</t>
        </is>
      </c>
      <c r="W505" t="inlineStr">
        <is>
          <t>,000000000</t>
        </is>
      </c>
      <c r="X505" t="inlineStr">
        <is>
          <t>,000000000</t>
        </is>
      </c>
      <c r="Y505" t="inlineStr">
        <is>
          <t>,000000000</t>
        </is>
      </c>
      <c r="Z505" t="inlineStr">
        <is>
          <t>,000000000</t>
        </is>
      </c>
      <c r="AA505" t="inlineStr">
        <is>
          <t>,000000000</t>
        </is>
      </c>
      <c r="AB505" t="inlineStr">
        <is>
          <t>0</t>
        </is>
      </c>
      <c r="AC505" t="inlineStr">
        <is>
          <t>0</t>
        </is>
      </c>
      <c r="AD505" s="3">
        <f>UPPER(C3)</f>
        <v/>
      </c>
      <c r="AE505" s="3">
        <f>VLOOKUP(E3,'[1]Nómina Agentes'!$C:$D,3,0)</f>
        <v/>
      </c>
      <c r="AF505" s="5">
        <f>F3</f>
        <v/>
      </c>
      <c r="AG505" s="5">
        <f>H3</f>
        <v/>
      </c>
    </row>
    <row r="506">
      <c r="A506" s="1" t="inlineStr">
        <is>
          <t>9/10/2024</t>
        </is>
      </c>
      <c r="B506" t="inlineStr">
        <is>
          <t>924</t>
        </is>
      </c>
      <c r="C506" t="inlineStr">
        <is>
          <t>S2S No Premium</t>
        </is>
      </c>
      <c r="D506" t="inlineStr">
        <is>
          <t>*N2_Gonzalez,Fabiana</t>
        </is>
      </c>
      <c r="E506" t="inlineStr">
        <is>
          <t>628597</t>
        </is>
      </c>
      <c r="F506" s="2" t="inlineStr">
        <is>
          <t>10:00</t>
        </is>
      </c>
      <c r="G506" t="inlineStr">
        <is>
          <t>-</t>
        </is>
      </c>
      <c r="H506" s="2" t="inlineStr">
        <is>
          <t>10:30</t>
        </is>
      </c>
      <c r="I506" t="inlineStr">
        <is>
          <t>,000000000</t>
        </is>
      </c>
      <c r="J506" t="inlineStr">
        <is>
          <t>,000000000</t>
        </is>
      </c>
      <c r="K506" t="inlineStr">
        <is>
          <t>,000000000</t>
        </is>
      </c>
      <c r="L506" t="inlineStr">
        <is>
          <t>,000000000</t>
        </is>
      </c>
      <c r="M506" t="inlineStr">
        <is>
          <t>,000000000</t>
        </is>
      </c>
      <c r="N506" t="inlineStr">
        <is>
          <t>,000000000</t>
        </is>
      </c>
      <c r="O506" t="inlineStr">
        <is>
          <t>,000000000</t>
        </is>
      </c>
      <c r="P506" t="inlineStr">
        <is>
          <t>,000000000</t>
        </is>
      </c>
      <c r="Q506" t="inlineStr">
        <is>
          <t>,000000000</t>
        </is>
      </c>
      <c r="R506" t="inlineStr">
        <is>
          <t>,000000000</t>
        </is>
      </c>
      <c r="S506" t="inlineStr">
        <is>
          <t>,000000000</t>
        </is>
      </c>
      <c r="T506" t="inlineStr">
        <is>
          <t>,000000000</t>
        </is>
      </c>
      <c r="U506" t="inlineStr">
        <is>
          <t>,000000000</t>
        </is>
      </c>
      <c r="V506" t="inlineStr">
        <is>
          <t>,000000000</t>
        </is>
      </c>
      <c r="W506" t="inlineStr">
        <is>
          <t>,000000000</t>
        </is>
      </c>
      <c r="X506" t="inlineStr">
        <is>
          <t>,000000000</t>
        </is>
      </c>
      <c r="Y506" t="inlineStr">
        <is>
          <t>,000000000</t>
        </is>
      </c>
      <c r="Z506" t="inlineStr">
        <is>
          <t>,000000000</t>
        </is>
      </c>
      <c r="AA506" t="inlineStr">
        <is>
          <t>,000000000</t>
        </is>
      </c>
      <c r="AB506" t="inlineStr">
        <is>
          <t>0</t>
        </is>
      </c>
      <c r="AC506" t="inlineStr">
        <is>
          <t>0</t>
        </is>
      </c>
      <c r="AD506" s="3">
        <f>UPPER(C3)</f>
        <v/>
      </c>
      <c r="AE506" s="3">
        <f>VLOOKUP(E3,'[1]Nómina Agentes'!$C:$D,3,0)</f>
        <v/>
      </c>
      <c r="AF506" s="5">
        <f>F3</f>
        <v/>
      </c>
      <c r="AG506" s="5">
        <f>H3</f>
        <v/>
      </c>
    </row>
    <row r="507">
      <c r="A507" s="1" t="inlineStr">
        <is>
          <t>9/10/2024</t>
        </is>
      </c>
      <c r="B507" t="inlineStr">
        <is>
          <t>924</t>
        </is>
      </c>
      <c r="C507" t="inlineStr">
        <is>
          <t>S2S No Premium</t>
        </is>
      </c>
      <c r="D507" t="inlineStr">
        <is>
          <t>*N2_Gonzalez,Fabiana</t>
        </is>
      </c>
      <c r="E507" t="inlineStr">
        <is>
          <t>628597</t>
        </is>
      </c>
      <c r="F507" s="2" t="inlineStr">
        <is>
          <t>09:00</t>
        </is>
      </c>
      <c r="G507" t="inlineStr">
        <is>
          <t>-</t>
        </is>
      </c>
      <c r="H507" s="2" t="inlineStr">
        <is>
          <t>09:30</t>
        </is>
      </c>
      <c r="I507" t="inlineStr">
        <is>
          <t>,000000000</t>
        </is>
      </c>
      <c r="J507" t="inlineStr">
        <is>
          <t>,000000000</t>
        </is>
      </c>
      <c r="K507" t="inlineStr">
        <is>
          <t>,000000000</t>
        </is>
      </c>
      <c r="L507" t="inlineStr">
        <is>
          <t>,000000000</t>
        </is>
      </c>
      <c r="M507" t="inlineStr">
        <is>
          <t>,000000000</t>
        </is>
      </c>
      <c r="N507" t="inlineStr">
        <is>
          <t>,000000000</t>
        </is>
      </c>
      <c r="O507" t="inlineStr">
        <is>
          <t>,000000000</t>
        </is>
      </c>
      <c r="P507" t="inlineStr">
        <is>
          <t>,000000000</t>
        </is>
      </c>
      <c r="Q507" t="inlineStr">
        <is>
          <t>,000000000</t>
        </is>
      </c>
      <c r="R507" t="inlineStr">
        <is>
          <t>,000000000</t>
        </is>
      </c>
      <c r="S507" t="inlineStr">
        <is>
          <t>,000000000</t>
        </is>
      </c>
      <c r="T507" t="inlineStr">
        <is>
          <t>,000000000</t>
        </is>
      </c>
      <c r="U507" t="inlineStr">
        <is>
          <t>,000000000</t>
        </is>
      </c>
      <c r="V507" t="inlineStr">
        <is>
          <t>,000000000</t>
        </is>
      </c>
      <c r="W507" t="inlineStr">
        <is>
          <t>,000000000</t>
        </is>
      </c>
      <c r="X507" t="inlineStr">
        <is>
          <t>,000000000</t>
        </is>
      </c>
      <c r="Y507" t="inlineStr">
        <is>
          <t>,000000000</t>
        </is>
      </c>
      <c r="Z507" t="inlineStr">
        <is>
          <t>,000000000</t>
        </is>
      </c>
      <c r="AA507" t="inlineStr">
        <is>
          <t>,000000000</t>
        </is>
      </c>
      <c r="AB507" t="inlineStr">
        <is>
          <t>0</t>
        </is>
      </c>
      <c r="AC507" t="inlineStr">
        <is>
          <t>0</t>
        </is>
      </c>
      <c r="AD507" s="3">
        <f>UPPER(C3)</f>
        <v/>
      </c>
      <c r="AE507" s="3">
        <f>VLOOKUP(E3,'[1]Nómina Agentes'!$C:$D,3,0)</f>
        <v/>
      </c>
      <c r="AF507" s="5">
        <f>F3</f>
        <v/>
      </c>
      <c r="AG507" s="5">
        <f>H3</f>
        <v/>
      </c>
    </row>
    <row r="508">
      <c r="A508" s="1" t="inlineStr">
        <is>
          <t>9/10/2024</t>
        </is>
      </c>
      <c r="B508" t="inlineStr">
        <is>
          <t>924</t>
        </is>
      </c>
      <c r="C508" t="inlineStr">
        <is>
          <t>S2S No Premium</t>
        </is>
      </c>
      <c r="D508" t="inlineStr">
        <is>
          <t>*N2_Gonzalez,Fabiana</t>
        </is>
      </c>
      <c r="E508" t="inlineStr">
        <is>
          <t>628597</t>
        </is>
      </c>
      <c r="F508" s="2" t="inlineStr">
        <is>
          <t>08:00</t>
        </is>
      </c>
      <c r="G508" t="inlineStr">
        <is>
          <t>-</t>
        </is>
      </c>
      <c r="H508" s="2" t="inlineStr">
        <is>
          <t>08:30</t>
        </is>
      </c>
      <c r="I508" t="inlineStr">
        <is>
          <t>,000000000</t>
        </is>
      </c>
      <c r="J508" t="inlineStr">
        <is>
          <t>,000000000</t>
        </is>
      </c>
      <c r="K508" t="inlineStr">
        <is>
          <t>,000000000</t>
        </is>
      </c>
      <c r="L508" t="inlineStr">
        <is>
          <t>,000000000</t>
        </is>
      </c>
      <c r="M508" t="inlineStr">
        <is>
          <t>,000000000</t>
        </is>
      </c>
      <c r="N508" t="inlineStr">
        <is>
          <t>,000000000</t>
        </is>
      </c>
      <c r="O508" t="inlineStr">
        <is>
          <t>,000000000</t>
        </is>
      </c>
      <c r="P508" t="inlineStr">
        <is>
          <t>,000000000</t>
        </is>
      </c>
      <c r="Q508" t="inlineStr">
        <is>
          <t>,000000000</t>
        </is>
      </c>
      <c r="R508" t="inlineStr">
        <is>
          <t>,000000000</t>
        </is>
      </c>
      <c r="S508" t="inlineStr">
        <is>
          <t>,000000000</t>
        </is>
      </c>
      <c r="T508" t="inlineStr">
        <is>
          <t>,000000000</t>
        </is>
      </c>
      <c r="U508" t="inlineStr">
        <is>
          <t>,000000000</t>
        </is>
      </c>
      <c r="V508" t="inlineStr">
        <is>
          <t>,000000000</t>
        </is>
      </c>
      <c r="W508" t="inlineStr">
        <is>
          <t>,000000000</t>
        </is>
      </c>
      <c r="X508" t="inlineStr">
        <is>
          <t>,000000000</t>
        </is>
      </c>
      <c r="Y508" t="inlineStr">
        <is>
          <t>,000000000</t>
        </is>
      </c>
      <c r="Z508" t="inlineStr">
        <is>
          <t>,000000000</t>
        </is>
      </c>
      <c r="AA508" t="inlineStr">
        <is>
          <t>,000000000</t>
        </is>
      </c>
      <c r="AB508" t="inlineStr">
        <is>
          <t>0</t>
        </is>
      </c>
      <c r="AC508" t="inlineStr">
        <is>
          <t>0</t>
        </is>
      </c>
      <c r="AD508" s="3">
        <f>UPPER(C3)</f>
        <v/>
      </c>
      <c r="AE508" s="3">
        <f>VLOOKUP(E3,'[1]Nómina Agentes'!$C:$D,3,0)</f>
        <v/>
      </c>
      <c r="AF508" s="5">
        <f>F3</f>
        <v/>
      </c>
      <c r="AG508" s="5">
        <f>H3</f>
        <v/>
      </c>
    </row>
    <row r="509">
      <c r="A509" s="1" t="inlineStr">
        <is>
          <t>9/10/2024</t>
        </is>
      </c>
      <c r="B509" t="inlineStr">
        <is>
          <t>924</t>
        </is>
      </c>
      <c r="C509" t="inlineStr">
        <is>
          <t>S2S No Premium</t>
        </is>
      </c>
      <c r="D509" t="inlineStr">
        <is>
          <t>*N2_Gonzalez,Fabiana</t>
        </is>
      </c>
      <c r="E509" t="inlineStr">
        <is>
          <t>628597</t>
        </is>
      </c>
      <c r="F509" s="2" t="inlineStr">
        <is>
          <t>09:30</t>
        </is>
      </c>
      <c r="G509" t="inlineStr">
        <is>
          <t>-</t>
        </is>
      </c>
      <c r="H509" s="2" t="inlineStr">
        <is>
          <t>10:00</t>
        </is>
      </c>
      <c r="I509" t="inlineStr">
        <is>
          <t>,000000000</t>
        </is>
      </c>
      <c r="J509" t="inlineStr">
        <is>
          <t>,000000000</t>
        </is>
      </c>
      <c r="K509" t="inlineStr">
        <is>
          <t>,000000000</t>
        </is>
      </c>
      <c r="L509" t="inlineStr">
        <is>
          <t>,000000000</t>
        </is>
      </c>
      <c r="M509" t="inlineStr">
        <is>
          <t>,000000000</t>
        </is>
      </c>
      <c r="N509" t="inlineStr">
        <is>
          <t>,000000000</t>
        </is>
      </c>
      <c r="O509" t="inlineStr">
        <is>
          <t>,000000000</t>
        </is>
      </c>
      <c r="P509" t="inlineStr">
        <is>
          <t>,000000000</t>
        </is>
      </c>
      <c r="Q509" t="inlineStr">
        <is>
          <t>,000000000</t>
        </is>
      </c>
      <c r="R509" t="inlineStr">
        <is>
          <t>,000000000</t>
        </is>
      </c>
      <c r="S509" t="inlineStr">
        <is>
          <t>,000000000</t>
        </is>
      </c>
      <c r="T509" t="inlineStr">
        <is>
          <t>,000000000</t>
        </is>
      </c>
      <c r="U509" t="inlineStr">
        <is>
          <t>,000000000</t>
        </is>
      </c>
      <c r="V509" t="inlineStr">
        <is>
          <t>,000000000</t>
        </is>
      </c>
      <c r="W509" t="inlineStr">
        <is>
          <t>,000000000</t>
        </is>
      </c>
      <c r="X509" t="inlineStr">
        <is>
          <t>,000000000</t>
        </is>
      </c>
      <c r="Y509" t="inlineStr">
        <is>
          <t>,000000000</t>
        </is>
      </c>
      <c r="Z509" t="inlineStr">
        <is>
          <t>,000000000</t>
        </is>
      </c>
      <c r="AA509" t="inlineStr">
        <is>
          <t>,000000000</t>
        </is>
      </c>
      <c r="AB509" t="inlineStr">
        <is>
          <t>0</t>
        </is>
      </c>
      <c r="AC509" t="inlineStr">
        <is>
          <t>0</t>
        </is>
      </c>
      <c r="AD509" s="3">
        <f>UPPER(C3)</f>
        <v/>
      </c>
      <c r="AE509" s="3">
        <f>VLOOKUP(E3,'[1]Nómina Agentes'!$C:$D,3,0)</f>
        <v/>
      </c>
      <c r="AF509" s="5">
        <f>F3</f>
        <v/>
      </c>
      <c r="AG509" s="5">
        <f>H3</f>
        <v/>
      </c>
    </row>
    <row r="510">
      <c r="A510" s="1" t="inlineStr">
        <is>
          <t>9/10/2024</t>
        </is>
      </c>
      <c r="B510" t="inlineStr">
        <is>
          <t>924</t>
        </is>
      </c>
      <c r="C510" t="inlineStr">
        <is>
          <t>S2S No Premium</t>
        </is>
      </c>
      <c r="D510" t="inlineStr">
        <is>
          <t>*N2_Gonzalez,Fabiana</t>
        </is>
      </c>
      <c r="E510" t="inlineStr">
        <is>
          <t>628597</t>
        </is>
      </c>
      <c r="F510" s="2" t="inlineStr">
        <is>
          <t>08:30</t>
        </is>
      </c>
      <c r="G510" t="inlineStr">
        <is>
          <t>-</t>
        </is>
      </c>
      <c r="H510" s="2" t="inlineStr">
        <is>
          <t>09:00</t>
        </is>
      </c>
      <c r="I510" t="inlineStr">
        <is>
          <t>,000000000</t>
        </is>
      </c>
      <c r="J510" t="inlineStr">
        <is>
          <t>,000000000</t>
        </is>
      </c>
      <c r="K510" t="inlineStr">
        <is>
          <t>,000000000</t>
        </is>
      </c>
      <c r="L510" t="inlineStr">
        <is>
          <t>,000000000</t>
        </is>
      </c>
      <c r="M510" t="inlineStr">
        <is>
          <t>,000000000</t>
        </is>
      </c>
      <c r="N510" t="inlineStr">
        <is>
          <t>,000000000</t>
        </is>
      </c>
      <c r="O510" t="inlineStr">
        <is>
          <t>,000000000</t>
        </is>
      </c>
      <c r="P510" t="inlineStr">
        <is>
          <t>,000000000</t>
        </is>
      </c>
      <c r="Q510" t="inlineStr">
        <is>
          <t>,000000000</t>
        </is>
      </c>
      <c r="R510" t="inlineStr">
        <is>
          <t>,000000000</t>
        </is>
      </c>
      <c r="S510" t="inlineStr">
        <is>
          <t>,000000000</t>
        </is>
      </c>
      <c r="T510" t="inlineStr">
        <is>
          <t>,000000000</t>
        </is>
      </c>
      <c r="U510" t="inlineStr">
        <is>
          <t>,000000000</t>
        </is>
      </c>
      <c r="V510" t="inlineStr">
        <is>
          <t>,000000000</t>
        </is>
      </c>
      <c r="W510" t="inlineStr">
        <is>
          <t>,000000000</t>
        </is>
      </c>
      <c r="X510" t="inlineStr">
        <is>
          <t>,000000000</t>
        </is>
      </c>
      <c r="Y510" t="inlineStr">
        <is>
          <t>,000000000</t>
        </is>
      </c>
      <c r="Z510" t="inlineStr">
        <is>
          <t>,000000000</t>
        </is>
      </c>
      <c r="AA510" t="inlineStr">
        <is>
          <t>,000000000</t>
        </is>
      </c>
      <c r="AB510" t="inlineStr">
        <is>
          <t>0</t>
        </is>
      </c>
      <c r="AC510" t="inlineStr">
        <is>
          <t>0</t>
        </is>
      </c>
      <c r="AD510" s="3">
        <f>UPPER(C3)</f>
        <v/>
      </c>
      <c r="AE510" s="3">
        <f>VLOOKUP(E3,'[1]Nómina Agentes'!$C:$D,3,0)</f>
        <v/>
      </c>
      <c r="AF510" s="5">
        <f>F3</f>
        <v/>
      </c>
      <c r="AG510" s="5">
        <f>H3</f>
        <v/>
      </c>
    </row>
    <row r="511">
      <c r="A511" s="1" t="inlineStr">
        <is>
          <t>9/10/2024</t>
        </is>
      </c>
      <c r="B511" t="inlineStr">
        <is>
          <t>924</t>
        </is>
      </c>
      <c r="C511" t="inlineStr">
        <is>
          <t>S2S No Premium</t>
        </is>
      </c>
      <c r="D511" t="inlineStr">
        <is>
          <t>*N2_Gonzalez,Fabiana</t>
        </is>
      </c>
      <c r="E511" t="inlineStr">
        <is>
          <t>628597</t>
        </is>
      </c>
      <c r="F511" s="2" t="inlineStr">
        <is>
          <t>10:30</t>
        </is>
      </c>
      <c r="G511" t="inlineStr">
        <is>
          <t>-</t>
        </is>
      </c>
      <c r="H511" s="2" t="inlineStr">
        <is>
          <t>11:00</t>
        </is>
      </c>
      <c r="I511" t="inlineStr">
        <is>
          <t>472,000000000</t>
        </is>
      </c>
      <c r="J511" t="inlineStr">
        <is>
          <t>,000000000</t>
        </is>
      </c>
      <c r="K511" t="inlineStr">
        <is>
          <t>,000000000</t>
        </is>
      </c>
      <c r="L511" t="inlineStr">
        <is>
          <t>4,000000000</t>
        </is>
      </c>
      <c r="M511" t="inlineStr">
        <is>
          <t>,000000000</t>
        </is>
      </c>
      <c r="N511" t="inlineStr">
        <is>
          <t>,000000000</t>
        </is>
      </c>
      <c r="O511" t="inlineStr">
        <is>
          <t>,000000000</t>
        </is>
      </c>
      <c r="P511" t="inlineStr">
        <is>
          <t>1,000000000</t>
        </is>
      </c>
      <c r="Q511" t="inlineStr">
        <is>
          <t>,000000000</t>
        </is>
      </c>
      <c r="R511" t="inlineStr">
        <is>
          <t>,000000000</t>
        </is>
      </c>
      <c r="S511" t="inlineStr">
        <is>
          <t>,000000000</t>
        </is>
      </c>
      <c r="T511" t="inlineStr">
        <is>
          <t>,000000000</t>
        </is>
      </c>
      <c r="U511" t="inlineStr">
        <is>
          <t>,000000000</t>
        </is>
      </c>
      <c r="V511" t="inlineStr">
        <is>
          <t>,000000000</t>
        </is>
      </c>
      <c r="W511" t="inlineStr">
        <is>
          <t>,000000000</t>
        </is>
      </c>
      <c r="X511" t="inlineStr">
        <is>
          <t>,000000000</t>
        </is>
      </c>
      <c r="Y511" t="inlineStr">
        <is>
          <t>,000000000</t>
        </is>
      </c>
      <c r="Z511" t="inlineStr">
        <is>
          <t>,000000000</t>
        </is>
      </c>
      <c r="AA511" t="inlineStr">
        <is>
          <t>,000000000</t>
        </is>
      </c>
      <c r="AB511" t="inlineStr">
        <is>
          <t>1</t>
        </is>
      </c>
      <c r="AC511" t="inlineStr">
        <is>
          <t>1</t>
        </is>
      </c>
      <c r="AD511" s="3">
        <f>UPPER(C3)</f>
        <v/>
      </c>
      <c r="AE511" s="3">
        <f>VLOOKUP(E3,'[1]Nómina Agentes'!$C:$D,3,0)</f>
        <v/>
      </c>
      <c r="AF511" s="5">
        <f>F3</f>
        <v/>
      </c>
      <c r="AG511" s="5">
        <f>H3</f>
        <v/>
      </c>
    </row>
    <row r="512">
      <c r="A512" s="1" t="inlineStr">
        <is>
          <t>9/10/2024</t>
        </is>
      </c>
      <c r="B512" t="inlineStr">
        <is>
          <t>925</t>
        </is>
      </c>
      <c r="C512" t="inlineStr">
        <is>
          <t>S2S Premium</t>
        </is>
      </c>
      <c r="D512" t="inlineStr">
        <is>
          <t>DE_Benitez Daiana</t>
        </is>
      </c>
      <c r="E512" t="inlineStr">
        <is>
          <t>663133</t>
        </is>
      </c>
      <c r="F512" s="2" t="inlineStr">
        <is>
          <t>09:00</t>
        </is>
      </c>
      <c r="G512" t="inlineStr">
        <is>
          <t>-</t>
        </is>
      </c>
      <c r="H512" s="2" t="inlineStr">
        <is>
          <t>09:30</t>
        </is>
      </c>
      <c r="I512" t="inlineStr">
        <is>
          <t>,000000000</t>
        </is>
      </c>
      <c r="J512" t="inlineStr">
        <is>
          <t>,000000000</t>
        </is>
      </c>
      <c r="K512" t="inlineStr">
        <is>
          <t>,000000000</t>
        </is>
      </c>
      <c r="L512" t="inlineStr">
        <is>
          <t>,000000000</t>
        </is>
      </c>
      <c r="M512" t="inlineStr">
        <is>
          <t>,000000000</t>
        </is>
      </c>
      <c r="N512" t="inlineStr">
        <is>
          <t>,000000000</t>
        </is>
      </c>
      <c r="O512" t="inlineStr">
        <is>
          <t>,000000000</t>
        </is>
      </c>
      <c r="P512" t="inlineStr">
        <is>
          <t>,000000000</t>
        </is>
      </c>
      <c r="Q512" t="inlineStr">
        <is>
          <t>,000000000</t>
        </is>
      </c>
      <c r="R512" t="inlineStr">
        <is>
          <t>,000000000</t>
        </is>
      </c>
      <c r="S512" t="inlineStr">
        <is>
          <t>,000000000</t>
        </is>
      </c>
      <c r="T512" t="inlineStr">
        <is>
          <t>,000000000</t>
        </is>
      </c>
      <c r="U512" t="inlineStr">
        <is>
          <t>,000000000</t>
        </is>
      </c>
      <c r="V512" t="inlineStr">
        <is>
          <t>,000000000</t>
        </is>
      </c>
      <c r="W512" t="inlineStr">
        <is>
          <t>,000000000</t>
        </is>
      </c>
      <c r="X512" t="inlineStr">
        <is>
          <t>,000000000</t>
        </is>
      </c>
      <c r="Y512" t="inlineStr">
        <is>
          <t>,000000000</t>
        </is>
      </c>
      <c r="Z512" t="inlineStr">
        <is>
          <t>,000000000</t>
        </is>
      </c>
      <c r="AA512" t="inlineStr">
        <is>
          <t>,000000000</t>
        </is>
      </c>
      <c r="AB512" t="inlineStr">
        <is>
          <t>0</t>
        </is>
      </c>
      <c r="AC512" t="inlineStr">
        <is>
          <t>0</t>
        </is>
      </c>
      <c r="AD512" s="3">
        <f>UPPER(C3)</f>
        <v/>
      </c>
      <c r="AE512" s="3">
        <f>VLOOKUP(E3,'[1]Nómina Agentes'!$C:$D,3,0)</f>
        <v/>
      </c>
      <c r="AF512" s="5">
        <f>F3</f>
        <v/>
      </c>
      <c r="AG512" s="5">
        <f>H3</f>
        <v/>
      </c>
    </row>
    <row r="513">
      <c r="A513" s="1" t="inlineStr">
        <is>
          <t>9/10/2024</t>
        </is>
      </c>
      <c r="B513" t="inlineStr">
        <is>
          <t>925</t>
        </is>
      </c>
      <c r="C513" t="inlineStr">
        <is>
          <t>S2S Premium</t>
        </is>
      </c>
      <c r="D513" t="inlineStr">
        <is>
          <t>DE_Benitez Daiana</t>
        </is>
      </c>
      <c r="E513" t="inlineStr">
        <is>
          <t>663133</t>
        </is>
      </c>
      <c r="F513" s="2" t="inlineStr">
        <is>
          <t>06:30</t>
        </is>
      </c>
      <c r="G513" t="inlineStr">
        <is>
          <t>-</t>
        </is>
      </c>
      <c r="H513" s="2" t="inlineStr">
        <is>
          <t>07:00</t>
        </is>
      </c>
      <c r="I513" t="inlineStr">
        <is>
          <t>,000000000</t>
        </is>
      </c>
      <c r="J513" t="inlineStr">
        <is>
          <t>,000000000</t>
        </is>
      </c>
      <c r="K513" t="inlineStr">
        <is>
          <t>,000000000</t>
        </is>
      </c>
      <c r="L513" t="inlineStr">
        <is>
          <t>,000000000</t>
        </is>
      </c>
      <c r="M513" t="inlineStr">
        <is>
          <t>,000000000</t>
        </is>
      </c>
      <c r="N513" t="inlineStr">
        <is>
          <t>,000000000</t>
        </is>
      </c>
      <c r="O513" t="inlineStr">
        <is>
          <t>,000000000</t>
        </is>
      </c>
      <c r="P513" t="inlineStr">
        <is>
          <t>,000000000</t>
        </is>
      </c>
      <c r="Q513" t="inlineStr">
        <is>
          <t>,000000000</t>
        </is>
      </c>
      <c r="R513" t="inlineStr">
        <is>
          <t>,000000000</t>
        </is>
      </c>
      <c r="S513" t="inlineStr">
        <is>
          <t>,000000000</t>
        </is>
      </c>
      <c r="T513" t="inlineStr">
        <is>
          <t>,000000000</t>
        </is>
      </c>
      <c r="U513" t="inlineStr">
        <is>
          <t>,000000000</t>
        </is>
      </c>
      <c r="V513" t="inlineStr">
        <is>
          <t>,000000000</t>
        </is>
      </c>
      <c r="W513" t="inlineStr">
        <is>
          <t>,000000000</t>
        </is>
      </c>
      <c r="X513" t="inlineStr">
        <is>
          <t>,000000000</t>
        </is>
      </c>
      <c r="Y513" t="inlineStr">
        <is>
          <t>,000000000</t>
        </is>
      </c>
      <c r="Z513" t="inlineStr">
        <is>
          <t>,000000000</t>
        </is>
      </c>
      <c r="AA513" t="inlineStr">
        <is>
          <t>,000000000</t>
        </is>
      </c>
      <c r="AB513" t="inlineStr">
        <is>
          <t>0</t>
        </is>
      </c>
      <c r="AC513" t="inlineStr">
        <is>
          <t>0</t>
        </is>
      </c>
      <c r="AD513" s="3">
        <f>UPPER(C3)</f>
        <v/>
      </c>
      <c r="AE513" s="3">
        <f>VLOOKUP(E3,'[1]Nómina Agentes'!$C:$D,3,0)</f>
        <v/>
      </c>
      <c r="AF513" s="5">
        <f>F3</f>
        <v/>
      </c>
      <c r="AG513" s="5">
        <f>H3</f>
        <v/>
      </c>
    </row>
    <row r="514">
      <c r="A514" s="1" t="inlineStr">
        <is>
          <t>9/10/2024</t>
        </is>
      </c>
      <c r="B514" t="inlineStr">
        <is>
          <t>925</t>
        </is>
      </c>
      <c r="C514" t="inlineStr">
        <is>
          <t>S2S Premium</t>
        </is>
      </c>
      <c r="D514" t="inlineStr">
        <is>
          <t>DE_Benitez Daiana</t>
        </is>
      </c>
      <c r="E514" t="inlineStr">
        <is>
          <t>663133</t>
        </is>
      </c>
      <c r="F514" s="2" t="inlineStr">
        <is>
          <t>11:00</t>
        </is>
      </c>
      <c r="G514" t="inlineStr">
        <is>
          <t>-</t>
        </is>
      </c>
      <c r="H514" s="2" t="inlineStr">
        <is>
          <t>11:30</t>
        </is>
      </c>
      <c r="I514" t="inlineStr">
        <is>
          <t>,000000000</t>
        </is>
      </c>
      <c r="J514" t="inlineStr">
        <is>
          <t>,000000000</t>
        </is>
      </c>
      <c r="K514" t="inlineStr">
        <is>
          <t>,000000000</t>
        </is>
      </c>
      <c r="L514" t="inlineStr">
        <is>
          <t>,000000000</t>
        </is>
      </c>
      <c r="M514" t="inlineStr">
        <is>
          <t>,000000000</t>
        </is>
      </c>
      <c r="N514" t="inlineStr">
        <is>
          <t>,000000000</t>
        </is>
      </c>
      <c r="O514" t="inlineStr">
        <is>
          <t>,000000000</t>
        </is>
      </c>
      <c r="P514" t="inlineStr">
        <is>
          <t>,000000000</t>
        </is>
      </c>
      <c r="Q514" t="inlineStr">
        <is>
          <t>,000000000</t>
        </is>
      </c>
      <c r="R514" t="inlineStr">
        <is>
          <t>,000000000</t>
        </is>
      </c>
      <c r="S514" t="inlineStr">
        <is>
          <t>,000000000</t>
        </is>
      </c>
      <c r="T514" t="inlineStr">
        <is>
          <t>,000000000</t>
        </is>
      </c>
      <c r="U514" t="inlineStr">
        <is>
          <t>,000000000</t>
        </is>
      </c>
      <c r="V514" t="inlineStr">
        <is>
          <t>,000000000</t>
        </is>
      </c>
      <c r="W514" t="inlineStr">
        <is>
          <t>,000000000</t>
        </is>
      </c>
      <c r="X514" t="inlineStr">
        <is>
          <t>,000000000</t>
        </is>
      </c>
      <c r="Y514" t="inlineStr">
        <is>
          <t>,000000000</t>
        </is>
      </c>
      <c r="Z514" t="inlineStr">
        <is>
          <t>,000000000</t>
        </is>
      </c>
      <c r="AA514" t="inlineStr">
        <is>
          <t>,000000000</t>
        </is>
      </c>
      <c r="AB514" t="inlineStr">
        <is>
          <t>0</t>
        </is>
      </c>
      <c r="AC514" t="inlineStr">
        <is>
          <t>0</t>
        </is>
      </c>
      <c r="AD514" s="3">
        <f>UPPER(C3)</f>
        <v/>
      </c>
      <c r="AE514" s="3">
        <f>VLOOKUP(E3,'[1]Nómina Agentes'!$C:$D,3,0)</f>
        <v/>
      </c>
      <c r="AF514" s="5">
        <f>F3</f>
        <v/>
      </c>
      <c r="AG514" s="5">
        <f>H3</f>
        <v/>
      </c>
    </row>
    <row r="515">
      <c r="A515" s="1" t="inlineStr">
        <is>
          <t>9/10/2024</t>
        </is>
      </c>
      <c r="B515" t="inlineStr">
        <is>
          <t>925</t>
        </is>
      </c>
      <c r="C515" t="inlineStr">
        <is>
          <t>S2S Premium</t>
        </is>
      </c>
      <c r="D515" t="inlineStr">
        <is>
          <t>DE_Benitez Daiana</t>
        </is>
      </c>
      <c r="E515" t="inlineStr">
        <is>
          <t>663133</t>
        </is>
      </c>
      <c r="F515" s="2" t="inlineStr">
        <is>
          <t>06:00</t>
        </is>
      </c>
      <c r="G515" t="inlineStr">
        <is>
          <t>-</t>
        </is>
      </c>
      <c r="H515" s="2" t="inlineStr">
        <is>
          <t>06:30</t>
        </is>
      </c>
      <c r="I515" t="inlineStr">
        <is>
          <t>,000000000</t>
        </is>
      </c>
      <c r="J515" t="inlineStr">
        <is>
          <t>,000000000</t>
        </is>
      </c>
      <c r="K515" t="inlineStr">
        <is>
          <t>,000000000</t>
        </is>
      </c>
      <c r="L515" t="inlineStr">
        <is>
          <t>,000000000</t>
        </is>
      </c>
      <c r="M515" t="inlineStr">
        <is>
          <t>,000000000</t>
        </is>
      </c>
      <c r="N515" t="inlineStr">
        <is>
          <t>,000000000</t>
        </is>
      </c>
      <c r="O515" t="inlineStr">
        <is>
          <t>,000000000</t>
        </is>
      </c>
      <c r="P515" t="inlineStr">
        <is>
          <t>,000000000</t>
        </is>
      </c>
      <c r="Q515" t="inlineStr">
        <is>
          <t>,000000000</t>
        </is>
      </c>
      <c r="R515" t="inlineStr">
        <is>
          <t>,000000000</t>
        </is>
      </c>
      <c r="S515" t="inlineStr">
        <is>
          <t>,000000000</t>
        </is>
      </c>
      <c r="T515" t="inlineStr">
        <is>
          <t>,000000000</t>
        </is>
      </c>
      <c r="U515" t="inlineStr">
        <is>
          <t>,000000000</t>
        </is>
      </c>
      <c r="V515" t="inlineStr">
        <is>
          <t>,000000000</t>
        </is>
      </c>
      <c r="W515" t="inlineStr">
        <is>
          <t>,000000000</t>
        </is>
      </c>
      <c r="X515" t="inlineStr">
        <is>
          <t>,000000000</t>
        </is>
      </c>
      <c r="Y515" t="inlineStr">
        <is>
          <t>,000000000</t>
        </is>
      </c>
      <c r="Z515" t="inlineStr">
        <is>
          <t>,000000000</t>
        </is>
      </c>
      <c r="AA515" t="inlineStr">
        <is>
          <t>,000000000</t>
        </is>
      </c>
      <c r="AB515" t="inlineStr">
        <is>
          <t>0</t>
        </is>
      </c>
      <c r="AC515" t="inlineStr">
        <is>
          <t>0</t>
        </is>
      </c>
      <c r="AD515" s="3">
        <f>UPPER(C3)</f>
        <v/>
      </c>
      <c r="AE515" s="3">
        <f>VLOOKUP(E3,'[1]Nómina Agentes'!$C:$D,3,0)</f>
        <v/>
      </c>
      <c r="AF515" s="5">
        <f>F3</f>
        <v/>
      </c>
      <c r="AG515" s="5">
        <f>H3</f>
        <v/>
      </c>
    </row>
    <row r="516">
      <c r="A516" s="1" t="inlineStr">
        <is>
          <t>9/10/2024</t>
        </is>
      </c>
      <c r="B516" t="inlineStr">
        <is>
          <t>925</t>
        </is>
      </c>
      <c r="C516" t="inlineStr">
        <is>
          <t>S2S Premium</t>
        </is>
      </c>
      <c r="D516" t="inlineStr">
        <is>
          <t>DE_Benitez Daiana</t>
        </is>
      </c>
      <c r="E516" t="inlineStr">
        <is>
          <t>663133</t>
        </is>
      </c>
      <c r="F516" s="2" t="inlineStr">
        <is>
          <t>10:30</t>
        </is>
      </c>
      <c r="G516" t="inlineStr">
        <is>
          <t>-</t>
        </is>
      </c>
      <c r="H516" s="2" t="inlineStr">
        <is>
          <t>11:00</t>
        </is>
      </c>
      <c r="I516" t="inlineStr">
        <is>
          <t>,000000000</t>
        </is>
      </c>
      <c r="J516" t="inlineStr">
        <is>
          <t>,000000000</t>
        </is>
      </c>
      <c r="K516" t="inlineStr">
        <is>
          <t>,000000000</t>
        </is>
      </c>
      <c r="L516" t="inlineStr">
        <is>
          <t>,000000000</t>
        </is>
      </c>
      <c r="M516" t="inlineStr">
        <is>
          <t>,000000000</t>
        </is>
      </c>
      <c r="N516" t="inlineStr">
        <is>
          <t>,000000000</t>
        </is>
      </c>
      <c r="O516" t="inlineStr">
        <is>
          <t>,000000000</t>
        </is>
      </c>
      <c r="P516" t="inlineStr">
        <is>
          <t>,000000000</t>
        </is>
      </c>
      <c r="Q516" t="inlineStr">
        <is>
          <t>,000000000</t>
        </is>
      </c>
      <c r="R516" t="inlineStr">
        <is>
          <t>,000000000</t>
        </is>
      </c>
      <c r="S516" t="inlineStr">
        <is>
          <t>,000000000</t>
        </is>
      </c>
      <c r="T516" t="inlineStr">
        <is>
          <t>,000000000</t>
        </is>
      </c>
      <c r="U516" t="inlineStr">
        <is>
          <t>,000000000</t>
        </is>
      </c>
      <c r="V516" t="inlineStr">
        <is>
          <t>,000000000</t>
        </is>
      </c>
      <c r="W516" t="inlineStr">
        <is>
          <t>,000000000</t>
        </is>
      </c>
      <c r="X516" t="inlineStr">
        <is>
          <t>,000000000</t>
        </is>
      </c>
      <c r="Y516" t="inlineStr">
        <is>
          <t>,000000000</t>
        </is>
      </c>
      <c r="Z516" t="inlineStr">
        <is>
          <t>,000000000</t>
        </is>
      </c>
      <c r="AA516" t="inlineStr">
        <is>
          <t>,000000000</t>
        </is>
      </c>
      <c r="AB516" t="inlineStr">
        <is>
          <t>0</t>
        </is>
      </c>
      <c r="AC516" t="inlineStr">
        <is>
          <t>0</t>
        </is>
      </c>
      <c r="AD516" s="3">
        <f>UPPER(C3)</f>
        <v/>
      </c>
      <c r="AE516" s="3">
        <f>VLOOKUP(E3,'[1]Nómina Agentes'!$C:$D,3,0)</f>
        <v/>
      </c>
      <c r="AF516" s="5">
        <f>F3</f>
        <v/>
      </c>
      <c r="AG516" s="5">
        <f>H3</f>
        <v/>
      </c>
    </row>
    <row r="517">
      <c r="A517" s="1" t="inlineStr">
        <is>
          <t>9/10/2024</t>
        </is>
      </c>
      <c r="B517" t="inlineStr">
        <is>
          <t>925</t>
        </is>
      </c>
      <c r="C517" t="inlineStr">
        <is>
          <t>S2S Premium</t>
        </is>
      </c>
      <c r="D517" t="inlineStr">
        <is>
          <t>DE_Benitez Daiana</t>
        </is>
      </c>
      <c r="E517" t="inlineStr">
        <is>
          <t>663133</t>
        </is>
      </c>
      <c r="F517" s="2" t="inlineStr">
        <is>
          <t>10:00</t>
        </is>
      </c>
      <c r="G517" t="inlineStr">
        <is>
          <t>-</t>
        </is>
      </c>
      <c r="H517" s="2" t="inlineStr">
        <is>
          <t>10:30</t>
        </is>
      </c>
      <c r="I517" t="inlineStr">
        <is>
          <t>,000000000</t>
        </is>
      </c>
      <c r="J517" t="inlineStr">
        <is>
          <t>,000000000</t>
        </is>
      </c>
      <c r="K517" t="inlineStr">
        <is>
          <t>,000000000</t>
        </is>
      </c>
      <c r="L517" t="inlineStr">
        <is>
          <t>,000000000</t>
        </is>
      </c>
      <c r="M517" t="inlineStr">
        <is>
          <t>,000000000</t>
        </is>
      </c>
      <c r="N517" t="inlineStr">
        <is>
          <t>,000000000</t>
        </is>
      </c>
      <c r="O517" t="inlineStr">
        <is>
          <t>,000000000</t>
        </is>
      </c>
      <c r="P517" t="inlineStr">
        <is>
          <t>,000000000</t>
        </is>
      </c>
      <c r="Q517" t="inlineStr">
        <is>
          <t>,000000000</t>
        </is>
      </c>
      <c r="R517" t="inlineStr">
        <is>
          <t>,000000000</t>
        </is>
      </c>
      <c r="S517" t="inlineStr">
        <is>
          <t>,000000000</t>
        </is>
      </c>
      <c r="T517" t="inlineStr">
        <is>
          <t>,000000000</t>
        </is>
      </c>
      <c r="U517" t="inlineStr">
        <is>
          <t>,000000000</t>
        </is>
      </c>
      <c r="V517" t="inlineStr">
        <is>
          <t>,000000000</t>
        </is>
      </c>
      <c r="W517" t="inlineStr">
        <is>
          <t>,000000000</t>
        </is>
      </c>
      <c r="X517" t="inlineStr">
        <is>
          <t>,000000000</t>
        </is>
      </c>
      <c r="Y517" t="inlineStr">
        <is>
          <t>,000000000</t>
        </is>
      </c>
      <c r="Z517" t="inlineStr">
        <is>
          <t>,000000000</t>
        </is>
      </c>
      <c r="AA517" t="inlineStr">
        <is>
          <t>,000000000</t>
        </is>
      </c>
      <c r="AB517" t="inlineStr">
        <is>
          <t>0</t>
        </is>
      </c>
      <c r="AC517" t="inlineStr">
        <is>
          <t>0</t>
        </is>
      </c>
      <c r="AD517" s="3">
        <f>UPPER(C3)</f>
        <v/>
      </c>
      <c r="AE517" s="3">
        <f>VLOOKUP(E3,'[1]Nómina Agentes'!$C:$D,3,0)</f>
        <v/>
      </c>
      <c r="AF517" s="5">
        <f>F3</f>
        <v/>
      </c>
      <c r="AG517" s="5">
        <f>H3</f>
        <v/>
      </c>
    </row>
    <row r="518">
      <c r="A518" s="1" t="inlineStr">
        <is>
          <t>9/10/2024</t>
        </is>
      </c>
      <c r="B518" t="inlineStr">
        <is>
          <t>925</t>
        </is>
      </c>
      <c r="C518" t="inlineStr">
        <is>
          <t>S2S Premium</t>
        </is>
      </c>
      <c r="D518" t="inlineStr">
        <is>
          <t>DE_Benitez Daiana</t>
        </is>
      </c>
      <c r="E518" t="inlineStr">
        <is>
          <t>663133</t>
        </is>
      </c>
      <c r="F518" s="2" t="inlineStr">
        <is>
          <t>08:00</t>
        </is>
      </c>
      <c r="G518" t="inlineStr">
        <is>
          <t>-</t>
        </is>
      </c>
      <c r="H518" s="2" t="inlineStr">
        <is>
          <t>08:30</t>
        </is>
      </c>
      <c r="I518" t="inlineStr">
        <is>
          <t>,000000000</t>
        </is>
      </c>
      <c r="J518" t="inlineStr">
        <is>
          <t>,000000000</t>
        </is>
      </c>
      <c r="K518" t="inlineStr">
        <is>
          <t>,000000000</t>
        </is>
      </c>
      <c r="L518" t="inlineStr">
        <is>
          <t>,000000000</t>
        </is>
      </c>
      <c r="M518" t="inlineStr">
        <is>
          <t>,000000000</t>
        </is>
      </c>
      <c r="N518" t="inlineStr">
        <is>
          <t>,000000000</t>
        </is>
      </c>
      <c r="O518" t="inlineStr">
        <is>
          <t>,000000000</t>
        </is>
      </c>
      <c r="P518" t="inlineStr">
        <is>
          <t>1,000000000</t>
        </is>
      </c>
      <c r="Q518" t="inlineStr">
        <is>
          <t>,000000000</t>
        </is>
      </c>
      <c r="R518" t="inlineStr">
        <is>
          <t>,000000000</t>
        </is>
      </c>
      <c r="S518" t="inlineStr">
        <is>
          <t>,000000000</t>
        </is>
      </c>
      <c r="T518" t="inlineStr">
        <is>
          <t>,000000000</t>
        </is>
      </c>
      <c r="U518" t="inlineStr">
        <is>
          <t>,000000000</t>
        </is>
      </c>
      <c r="V518" t="inlineStr">
        <is>
          <t>,000000000</t>
        </is>
      </c>
      <c r="W518" t="inlineStr">
        <is>
          <t>,000000000</t>
        </is>
      </c>
      <c r="X518" t="inlineStr">
        <is>
          <t>,000000000</t>
        </is>
      </c>
      <c r="Y518" t="inlineStr">
        <is>
          <t>,000000000</t>
        </is>
      </c>
      <c r="Z518" t="inlineStr">
        <is>
          <t>,000000000</t>
        </is>
      </c>
      <c r="AA518" t="inlineStr">
        <is>
          <t>,000000000</t>
        </is>
      </c>
      <c r="AB518" t="inlineStr">
        <is>
          <t>1</t>
        </is>
      </c>
      <c r="AC518" t="inlineStr">
        <is>
          <t>1</t>
        </is>
      </c>
      <c r="AD518" s="3">
        <f>UPPER(C3)</f>
        <v/>
      </c>
      <c r="AE518" s="3">
        <f>VLOOKUP(E3,'[1]Nómina Agentes'!$C:$D,3,0)</f>
        <v/>
      </c>
      <c r="AF518" s="5">
        <f>F3</f>
        <v/>
      </c>
      <c r="AG518" s="5">
        <f>H3</f>
        <v/>
      </c>
    </row>
    <row r="519">
      <c r="A519" s="1" t="inlineStr">
        <is>
          <t>9/10/2024</t>
        </is>
      </c>
      <c r="B519" t="inlineStr">
        <is>
          <t>925</t>
        </is>
      </c>
      <c r="C519" t="inlineStr">
        <is>
          <t>S2S Premium</t>
        </is>
      </c>
      <c r="D519" t="inlineStr">
        <is>
          <t>DE_Benitez Daiana</t>
        </is>
      </c>
      <c r="E519" t="inlineStr">
        <is>
          <t>663133</t>
        </is>
      </c>
      <c r="F519" s="2" t="inlineStr">
        <is>
          <t>09:30</t>
        </is>
      </c>
      <c r="G519" t="inlineStr">
        <is>
          <t>-</t>
        </is>
      </c>
      <c r="H519" s="2" t="inlineStr">
        <is>
          <t>10:00</t>
        </is>
      </c>
      <c r="I519" t="inlineStr">
        <is>
          <t>,000000000</t>
        </is>
      </c>
      <c r="J519" t="inlineStr">
        <is>
          <t>,000000000</t>
        </is>
      </c>
      <c r="K519" t="inlineStr">
        <is>
          <t>,000000000</t>
        </is>
      </c>
      <c r="L519" t="inlineStr">
        <is>
          <t>,000000000</t>
        </is>
      </c>
      <c r="M519" t="inlineStr">
        <is>
          <t>,000000000</t>
        </is>
      </c>
      <c r="N519" t="inlineStr">
        <is>
          <t>,000000000</t>
        </is>
      </c>
      <c r="O519" t="inlineStr">
        <is>
          <t>,000000000</t>
        </is>
      </c>
      <c r="P519" t="inlineStr">
        <is>
          <t>,000000000</t>
        </is>
      </c>
      <c r="Q519" t="inlineStr">
        <is>
          <t>,000000000</t>
        </is>
      </c>
      <c r="R519" t="inlineStr">
        <is>
          <t>,000000000</t>
        </is>
      </c>
      <c r="S519" t="inlineStr">
        <is>
          <t>,000000000</t>
        </is>
      </c>
      <c r="T519" t="inlineStr">
        <is>
          <t>,000000000</t>
        </is>
      </c>
      <c r="U519" t="inlineStr">
        <is>
          <t>,000000000</t>
        </is>
      </c>
      <c r="V519" t="inlineStr">
        <is>
          <t>,000000000</t>
        </is>
      </c>
      <c r="W519" t="inlineStr">
        <is>
          <t>,000000000</t>
        </is>
      </c>
      <c r="X519" t="inlineStr">
        <is>
          <t>,000000000</t>
        </is>
      </c>
      <c r="Y519" t="inlineStr">
        <is>
          <t>,000000000</t>
        </is>
      </c>
      <c r="Z519" t="inlineStr">
        <is>
          <t>,000000000</t>
        </is>
      </c>
      <c r="AA519" t="inlineStr">
        <is>
          <t>,000000000</t>
        </is>
      </c>
      <c r="AB519" t="inlineStr">
        <is>
          <t>0</t>
        </is>
      </c>
      <c r="AC519" t="inlineStr">
        <is>
          <t>0</t>
        </is>
      </c>
      <c r="AD519" s="3">
        <f>UPPER(C3)</f>
        <v/>
      </c>
      <c r="AE519" s="3">
        <f>VLOOKUP(E3,'[1]Nómina Agentes'!$C:$D,3,0)</f>
        <v/>
      </c>
      <c r="AF519" s="5">
        <f>F3</f>
        <v/>
      </c>
      <c r="AG519" s="5">
        <f>H3</f>
        <v/>
      </c>
    </row>
    <row r="520">
      <c r="A520" s="1" t="inlineStr">
        <is>
          <t>9/10/2024</t>
        </is>
      </c>
      <c r="B520" t="inlineStr">
        <is>
          <t>925</t>
        </is>
      </c>
      <c r="C520" t="inlineStr">
        <is>
          <t>S2S Premium</t>
        </is>
      </c>
      <c r="D520" t="inlineStr">
        <is>
          <t>DE_Benitez Daiana</t>
        </is>
      </c>
      <c r="E520" t="inlineStr">
        <is>
          <t>663133</t>
        </is>
      </c>
      <c r="F520" s="2" t="inlineStr">
        <is>
          <t>07:00</t>
        </is>
      </c>
      <c r="G520" t="inlineStr">
        <is>
          <t>-</t>
        </is>
      </c>
      <c r="H520" s="2" t="inlineStr">
        <is>
          <t>07:30</t>
        </is>
      </c>
      <c r="I520" t="inlineStr">
        <is>
          <t>,000000000</t>
        </is>
      </c>
      <c r="J520" t="inlineStr">
        <is>
          <t>,000000000</t>
        </is>
      </c>
      <c r="K520" t="inlineStr">
        <is>
          <t>,000000000</t>
        </is>
      </c>
      <c r="L520" t="inlineStr">
        <is>
          <t>,000000000</t>
        </is>
      </c>
      <c r="M520" t="inlineStr">
        <is>
          <t>,000000000</t>
        </is>
      </c>
      <c r="N520" t="inlineStr">
        <is>
          <t>,000000000</t>
        </is>
      </c>
      <c r="O520" t="inlineStr">
        <is>
          <t>,000000000</t>
        </is>
      </c>
      <c r="P520" t="inlineStr">
        <is>
          <t>,000000000</t>
        </is>
      </c>
      <c r="Q520" t="inlineStr">
        <is>
          <t>,000000000</t>
        </is>
      </c>
      <c r="R520" t="inlineStr">
        <is>
          <t>,000000000</t>
        </is>
      </c>
      <c r="S520" t="inlineStr">
        <is>
          <t>,000000000</t>
        </is>
      </c>
      <c r="T520" t="inlineStr">
        <is>
          <t>,000000000</t>
        </is>
      </c>
      <c r="U520" t="inlineStr">
        <is>
          <t>,000000000</t>
        </is>
      </c>
      <c r="V520" t="inlineStr">
        <is>
          <t>,000000000</t>
        </is>
      </c>
      <c r="W520" t="inlineStr">
        <is>
          <t>,000000000</t>
        </is>
      </c>
      <c r="X520" t="inlineStr">
        <is>
          <t>,000000000</t>
        </is>
      </c>
      <c r="Y520" t="inlineStr">
        <is>
          <t>,000000000</t>
        </is>
      </c>
      <c r="Z520" t="inlineStr">
        <is>
          <t>,000000000</t>
        </is>
      </c>
      <c r="AA520" t="inlineStr">
        <is>
          <t>,000000000</t>
        </is>
      </c>
      <c r="AB520" t="inlineStr">
        <is>
          <t>0</t>
        </is>
      </c>
      <c r="AC520" t="inlineStr">
        <is>
          <t>0</t>
        </is>
      </c>
      <c r="AD520" s="3">
        <f>UPPER(C3)</f>
        <v/>
      </c>
      <c r="AE520" s="3">
        <f>VLOOKUP(E3,'[1]Nómina Agentes'!$C:$D,3,0)</f>
        <v/>
      </c>
      <c r="AF520" s="5">
        <f>F3</f>
        <v/>
      </c>
      <c r="AG520" s="5">
        <f>H3</f>
        <v/>
      </c>
    </row>
    <row r="521">
      <c r="A521" s="1" t="inlineStr">
        <is>
          <t>9/10/2024</t>
        </is>
      </c>
      <c r="B521" t="inlineStr">
        <is>
          <t>925</t>
        </is>
      </c>
      <c r="C521" t="inlineStr">
        <is>
          <t>S2S Premium</t>
        </is>
      </c>
      <c r="D521" t="inlineStr">
        <is>
          <t>DE_Benitez Daiana</t>
        </is>
      </c>
      <c r="E521" t="inlineStr">
        <is>
          <t>663133</t>
        </is>
      </c>
      <c r="F521" s="2" t="inlineStr">
        <is>
          <t>08:30</t>
        </is>
      </c>
      <c r="G521" t="inlineStr">
        <is>
          <t>-</t>
        </is>
      </c>
      <c r="H521" s="2" t="inlineStr">
        <is>
          <t>09:00</t>
        </is>
      </c>
      <c r="I521" t="inlineStr">
        <is>
          <t>109,000000000</t>
        </is>
      </c>
      <c r="J521" t="inlineStr">
        <is>
          <t>,000000000</t>
        </is>
      </c>
      <c r="K521" t="inlineStr">
        <is>
          <t>,000000000</t>
        </is>
      </c>
      <c r="L521" t="inlineStr">
        <is>
          <t>4,000000000</t>
        </is>
      </c>
      <c r="M521" t="inlineStr">
        <is>
          <t>,000000000</t>
        </is>
      </c>
      <c r="N521" t="inlineStr">
        <is>
          <t>,000000000</t>
        </is>
      </c>
      <c r="O521" t="inlineStr">
        <is>
          <t>,000000000</t>
        </is>
      </c>
      <c r="P521" t="inlineStr">
        <is>
          <t>65,000000000</t>
        </is>
      </c>
      <c r="Q521" t="inlineStr">
        <is>
          <t>,000000000</t>
        </is>
      </c>
      <c r="R521" t="inlineStr">
        <is>
          <t>,000000000</t>
        </is>
      </c>
      <c r="S521" t="inlineStr">
        <is>
          <t>,000000000</t>
        </is>
      </c>
      <c r="T521" t="inlineStr">
        <is>
          <t>,000000000</t>
        </is>
      </c>
      <c r="U521" t="inlineStr">
        <is>
          <t>,000000000</t>
        </is>
      </c>
      <c r="V521" t="inlineStr">
        <is>
          <t>,000000000</t>
        </is>
      </c>
      <c r="W521" t="inlineStr">
        <is>
          <t>,000000000</t>
        </is>
      </c>
      <c r="X521" t="inlineStr">
        <is>
          <t>,000000000</t>
        </is>
      </c>
      <c r="Y521" t="inlineStr">
        <is>
          <t>,000000000</t>
        </is>
      </c>
      <c r="Z521" t="inlineStr">
        <is>
          <t>,000000000</t>
        </is>
      </c>
      <c r="AA521" t="inlineStr">
        <is>
          <t>,000000000</t>
        </is>
      </c>
      <c r="AB521" t="inlineStr">
        <is>
          <t>1</t>
        </is>
      </c>
      <c r="AC521" t="inlineStr">
        <is>
          <t>1</t>
        </is>
      </c>
      <c r="AD521" s="3">
        <f>UPPER(C3)</f>
        <v/>
      </c>
      <c r="AE521" s="3">
        <f>VLOOKUP(E3,'[1]Nómina Agentes'!$C:$D,3,0)</f>
        <v/>
      </c>
      <c r="AF521" s="5">
        <f>F3</f>
        <v/>
      </c>
      <c r="AG521" s="5">
        <f>H3</f>
        <v/>
      </c>
    </row>
    <row r="522">
      <c r="A522" s="1" t="inlineStr">
        <is>
          <t>9/10/2024</t>
        </is>
      </c>
      <c r="B522" t="inlineStr">
        <is>
          <t>925</t>
        </is>
      </c>
      <c r="C522" t="inlineStr">
        <is>
          <t>S2S Premium</t>
        </is>
      </c>
      <c r="D522" t="inlineStr">
        <is>
          <t>DE_Benitez Daiana</t>
        </is>
      </c>
      <c r="E522" t="inlineStr">
        <is>
          <t>663133</t>
        </is>
      </c>
      <c r="F522" s="2" t="inlineStr">
        <is>
          <t>07:30</t>
        </is>
      </c>
      <c r="G522" t="inlineStr">
        <is>
          <t>-</t>
        </is>
      </c>
      <c r="H522" s="2" t="inlineStr">
        <is>
          <t>08:00</t>
        </is>
      </c>
      <c r="I522" t="inlineStr">
        <is>
          <t>540,000000000</t>
        </is>
      </c>
      <c r="J522" t="inlineStr">
        <is>
          <t>,000000000</t>
        </is>
      </c>
      <c r="K522" t="inlineStr">
        <is>
          <t>,000000000</t>
        </is>
      </c>
      <c r="L522" t="inlineStr">
        <is>
          <t>8,000000000</t>
        </is>
      </c>
      <c r="M522" t="inlineStr">
        <is>
          <t>,000000000</t>
        </is>
      </c>
      <c r="N522" t="inlineStr">
        <is>
          <t>,000000000</t>
        </is>
      </c>
      <c r="O522" t="inlineStr">
        <is>
          <t>,000000000</t>
        </is>
      </c>
      <c r="P522" t="inlineStr">
        <is>
          <t>,000000000</t>
        </is>
      </c>
      <c r="Q522" t="inlineStr">
        <is>
          <t>1,000000000</t>
        </is>
      </c>
      <c r="R522" t="inlineStr">
        <is>
          <t>,000000000</t>
        </is>
      </c>
      <c r="S522" t="inlineStr">
        <is>
          <t>,000000000</t>
        </is>
      </c>
      <c r="T522" t="inlineStr">
        <is>
          <t>,000000000</t>
        </is>
      </c>
      <c r="U522" t="inlineStr">
        <is>
          <t>,000000000</t>
        </is>
      </c>
      <c r="V522" t="inlineStr">
        <is>
          <t>,000000000</t>
        </is>
      </c>
      <c r="W522" t="inlineStr">
        <is>
          <t>,000000000</t>
        </is>
      </c>
      <c r="X522" t="inlineStr">
        <is>
          <t>,000000000</t>
        </is>
      </c>
      <c r="Y522" t="inlineStr">
        <is>
          <t>,000000000</t>
        </is>
      </c>
      <c r="Z522" t="inlineStr">
        <is>
          <t>,000000000</t>
        </is>
      </c>
      <c r="AA522" t="inlineStr">
        <is>
          <t>,000000000</t>
        </is>
      </c>
      <c r="AB522" t="inlineStr">
        <is>
          <t>1</t>
        </is>
      </c>
      <c r="AC522" t="inlineStr">
        <is>
          <t>1</t>
        </is>
      </c>
      <c r="AD522" s="3">
        <f>UPPER(C3)</f>
        <v/>
      </c>
      <c r="AE522" s="3">
        <f>VLOOKUP(E3,'[1]Nómina Agentes'!$C:$D,3,0)</f>
        <v/>
      </c>
      <c r="AF522" s="5">
        <f>F3</f>
        <v/>
      </c>
      <c r="AG522" s="5">
        <f>H3</f>
        <v/>
      </c>
    </row>
    <row r="523">
      <c r="A523" s="1" t="inlineStr">
        <is>
          <t>9/10/2024</t>
        </is>
      </c>
      <c r="B523" t="inlineStr">
        <is>
          <t>924</t>
        </is>
      </c>
      <c r="C523" t="inlineStr">
        <is>
          <t>S2S No Premium</t>
        </is>
      </c>
      <c r="D523" t="inlineStr">
        <is>
          <t>DW*N2m_Polich_Ma</t>
        </is>
      </c>
      <c r="E523" t="inlineStr">
        <is>
          <t>663141</t>
        </is>
      </c>
      <c r="F523" s="2" t="inlineStr">
        <is>
          <t>10:00</t>
        </is>
      </c>
      <c r="G523" t="inlineStr">
        <is>
          <t>-</t>
        </is>
      </c>
      <c r="H523" s="2" t="inlineStr">
        <is>
          <t>10:30</t>
        </is>
      </c>
      <c r="I523" t="inlineStr">
        <is>
          <t>,000000000</t>
        </is>
      </c>
      <c r="J523" t="inlineStr">
        <is>
          <t>,000000000</t>
        </is>
      </c>
      <c r="K523" t="inlineStr">
        <is>
          <t>,000000000</t>
        </is>
      </c>
      <c r="L523" t="inlineStr">
        <is>
          <t>,000000000</t>
        </is>
      </c>
      <c r="M523" t="inlineStr">
        <is>
          <t>,000000000</t>
        </is>
      </c>
      <c r="N523" t="inlineStr">
        <is>
          <t>,000000000</t>
        </is>
      </c>
      <c r="O523" t="inlineStr">
        <is>
          <t>,000000000</t>
        </is>
      </c>
      <c r="P523" t="inlineStr">
        <is>
          <t>,000000000</t>
        </is>
      </c>
      <c r="Q523" t="inlineStr">
        <is>
          <t>,000000000</t>
        </is>
      </c>
      <c r="R523" t="inlineStr">
        <is>
          <t>,000000000</t>
        </is>
      </c>
      <c r="S523" t="inlineStr">
        <is>
          <t>,000000000</t>
        </is>
      </c>
      <c r="T523" t="inlineStr">
        <is>
          <t>,000000000</t>
        </is>
      </c>
      <c r="U523" t="inlineStr">
        <is>
          <t>,000000000</t>
        </is>
      </c>
      <c r="V523" t="inlineStr">
        <is>
          <t>,000000000</t>
        </is>
      </c>
      <c r="W523" t="inlineStr">
        <is>
          <t>,000000000</t>
        </is>
      </c>
      <c r="X523" t="inlineStr">
        <is>
          <t>,000000000</t>
        </is>
      </c>
      <c r="Y523" t="inlineStr">
        <is>
          <t>,000000000</t>
        </is>
      </c>
      <c r="Z523" t="inlineStr">
        <is>
          <t>,000000000</t>
        </is>
      </c>
      <c r="AA523" t="inlineStr">
        <is>
          <t>,000000000</t>
        </is>
      </c>
      <c r="AB523" t="inlineStr">
        <is>
          <t>0</t>
        </is>
      </c>
      <c r="AC523" t="inlineStr">
        <is>
          <t>0</t>
        </is>
      </c>
      <c r="AD523" s="3">
        <f>UPPER(C3)</f>
        <v/>
      </c>
      <c r="AE523" s="3">
        <f>VLOOKUP(E3,'[1]Nómina Agentes'!$C:$D,3,0)</f>
        <v/>
      </c>
      <c r="AF523" s="5">
        <f>F3</f>
        <v/>
      </c>
      <c r="AG523" s="5">
        <f>H3</f>
        <v/>
      </c>
    </row>
    <row r="524">
      <c r="A524" s="1" t="inlineStr">
        <is>
          <t>9/10/2024</t>
        </is>
      </c>
      <c r="B524" t="inlineStr">
        <is>
          <t>924</t>
        </is>
      </c>
      <c r="C524" t="inlineStr">
        <is>
          <t>S2S No Premium</t>
        </is>
      </c>
      <c r="D524" t="inlineStr">
        <is>
          <t>DW*N2m_Polich_Ma</t>
        </is>
      </c>
      <c r="E524" t="inlineStr">
        <is>
          <t>663141</t>
        </is>
      </c>
      <c r="F524" s="2" t="inlineStr">
        <is>
          <t>09:00</t>
        </is>
      </c>
      <c r="G524" t="inlineStr">
        <is>
          <t>-</t>
        </is>
      </c>
      <c r="H524" s="2" t="inlineStr">
        <is>
          <t>09:30</t>
        </is>
      </c>
      <c r="I524" t="inlineStr">
        <is>
          <t>,000000000</t>
        </is>
      </c>
      <c r="J524" t="inlineStr">
        <is>
          <t>,000000000</t>
        </is>
      </c>
      <c r="K524" t="inlineStr">
        <is>
          <t>,000000000</t>
        </is>
      </c>
      <c r="L524" t="inlineStr">
        <is>
          <t>,000000000</t>
        </is>
      </c>
      <c r="M524" t="inlineStr">
        <is>
          <t>,000000000</t>
        </is>
      </c>
      <c r="N524" t="inlineStr">
        <is>
          <t>,000000000</t>
        </is>
      </c>
      <c r="O524" t="inlineStr">
        <is>
          <t>,000000000</t>
        </is>
      </c>
      <c r="P524" t="inlineStr">
        <is>
          <t>,000000000</t>
        </is>
      </c>
      <c r="Q524" t="inlineStr">
        <is>
          <t>,000000000</t>
        </is>
      </c>
      <c r="R524" t="inlineStr">
        <is>
          <t>,000000000</t>
        </is>
      </c>
      <c r="S524" t="inlineStr">
        <is>
          <t>,000000000</t>
        </is>
      </c>
      <c r="T524" t="inlineStr">
        <is>
          <t>,000000000</t>
        </is>
      </c>
      <c r="U524" t="inlineStr">
        <is>
          <t>,000000000</t>
        </is>
      </c>
      <c r="V524" t="inlineStr">
        <is>
          <t>,000000000</t>
        </is>
      </c>
      <c r="W524" t="inlineStr">
        <is>
          <t>,000000000</t>
        </is>
      </c>
      <c r="X524" t="inlineStr">
        <is>
          <t>,000000000</t>
        </is>
      </c>
      <c r="Y524" t="inlineStr">
        <is>
          <t>,000000000</t>
        </is>
      </c>
      <c r="Z524" t="inlineStr">
        <is>
          <t>,000000000</t>
        </is>
      </c>
      <c r="AA524" t="inlineStr">
        <is>
          <t>,000000000</t>
        </is>
      </c>
      <c r="AB524" t="inlineStr">
        <is>
          <t>0</t>
        </is>
      </c>
      <c r="AC524" t="inlineStr">
        <is>
          <t>0</t>
        </is>
      </c>
      <c r="AD524" s="3">
        <f>UPPER(C3)</f>
        <v/>
      </c>
      <c r="AE524" s="3">
        <f>VLOOKUP(E3,'[1]Nómina Agentes'!$C:$D,3,0)</f>
        <v/>
      </c>
      <c r="AF524" s="5">
        <f>F3</f>
        <v/>
      </c>
      <c r="AG524" s="5">
        <f>H3</f>
        <v/>
      </c>
    </row>
    <row r="525">
      <c r="A525" s="1" t="inlineStr">
        <is>
          <t>9/10/2024</t>
        </is>
      </c>
      <c r="B525" t="inlineStr">
        <is>
          <t>924</t>
        </is>
      </c>
      <c r="C525" t="inlineStr">
        <is>
          <t>S2S No Premium</t>
        </is>
      </c>
      <c r="D525" t="inlineStr">
        <is>
          <t>DW*N2m_Polich_Ma</t>
        </is>
      </c>
      <c r="E525" t="inlineStr">
        <is>
          <t>663141</t>
        </is>
      </c>
      <c r="F525" s="2" t="inlineStr">
        <is>
          <t>08:00</t>
        </is>
      </c>
      <c r="G525" t="inlineStr">
        <is>
          <t>-</t>
        </is>
      </c>
      <c r="H525" s="2" t="inlineStr">
        <is>
          <t>08:30</t>
        </is>
      </c>
      <c r="I525" t="inlineStr">
        <is>
          <t>,000000000</t>
        </is>
      </c>
      <c r="J525" t="inlineStr">
        <is>
          <t>,000000000</t>
        </is>
      </c>
      <c r="K525" t="inlineStr">
        <is>
          <t>,000000000</t>
        </is>
      </c>
      <c r="L525" t="inlineStr">
        <is>
          <t>,000000000</t>
        </is>
      </c>
      <c r="M525" t="inlineStr">
        <is>
          <t>,000000000</t>
        </is>
      </c>
      <c r="N525" t="inlineStr">
        <is>
          <t>,000000000</t>
        </is>
      </c>
      <c r="O525" t="inlineStr">
        <is>
          <t>,000000000</t>
        </is>
      </c>
      <c r="P525" t="inlineStr">
        <is>
          <t>,000000000</t>
        </is>
      </c>
      <c r="Q525" t="inlineStr">
        <is>
          <t>,000000000</t>
        </is>
      </c>
      <c r="R525" t="inlineStr">
        <is>
          <t>,000000000</t>
        </is>
      </c>
      <c r="S525" t="inlineStr">
        <is>
          <t>,000000000</t>
        </is>
      </c>
      <c r="T525" t="inlineStr">
        <is>
          <t>,000000000</t>
        </is>
      </c>
      <c r="U525" t="inlineStr">
        <is>
          <t>,000000000</t>
        </is>
      </c>
      <c r="V525" t="inlineStr">
        <is>
          <t>,000000000</t>
        </is>
      </c>
      <c r="W525" t="inlineStr">
        <is>
          <t>,000000000</t>
        </is>
      </c>
      <c r="X525" t="inlineStr">
        <is>
          <t>,000000000</t>
        </is>
      </c>
      <c r="Y525" t="inlineStr">
        <is>
          <t>,000000000</t>
        </is>
      </c>
      <c r="Z525" t="inlineStr">
        <is>
          <t>,000000000</t>
        </is>
      </c>
      <c r="AA525" t="inlineStr">
        <is>
          <t>,000000000</t>
        </is>
      </c>
      <c r="AB525" t="inlineStr">
        <is>
          <t>0</t>
        </is>
      </c>
      <c r="AC525" t="inlineStr">
        <is>
          <t>0</t>
        </is>
      </c>
      <c r="AD525" s="3">
        <f>UPPER(C3)</f>
        <v/>
      </c>
      <c r="AE525" s="3">
        <f>VLOOKUP(E3,'[1]Nómina Agentes'!$C:$D,3,0)</f>
        <v/>
      </c>
      <c r="AF525" s="5">
        <f>F3</f>
        <v/>
      </c>
      <c r="AG525" s="5">
        <f>H3</f>
        <v/>
      </c>
    </row>
    <row r="526">
      <c r="A526" s="1" t="inlineStr">
        <is>
          <t>9/10/2024</t>
        </is>
      </c>
      <c r="B526" t="inlineStr">
        <is>
          <t>924</t>
        </is>
      </c>
      <c r="C526" t="inlineStr">
        <is>
          <t>S2S No Premium</t>
        </is>
      </c>
      <c r="D526" t="inlineStr">
        <is>
          <t>DW*N2m_Polich_Ma</t>
        </is>
      </c>
      <c r="E526" t="inlineStr">
        <is>
          <t>663141</t>
        </is>
      </c>
      <c r="F526" s="2" t="inlineStr">
        <is>
          <t>09:30</t>
        </is>
      </c>
      <c r="G526" t="inlineStr">
        <is>
          <t>-</t>
        </is>
      </c>
      <c r="H526" s="2" t="inlineStr">
        <is>
          <t>10:00</t>
        </is>
      </c>
      <c r="I526" t="inlineStr">
        <is>
          <t>,000000000</t>
        </is>
      </c>
      <c r="J526" t="inlineStr">
        <is>
          <t>,000000000</t>
        </is>
      </c>
      <c r="K526" t="inlineStr">
        <is>
          <t>,000000000</t>
        </is>
      </c>
      <c r="L526" t="inlineStr">
        <is>
          <t>,000000000</t>
        </is>
      </c>
      <c r="M526" t="inlineStr">
        <is>
          <t>,000000000</t>
        </is>
      </c>
      <c r="N526" t="inlineStr">
        <is>
          <t>,000000000</t>
        </is>
      </c>
      <c r="O526" t="inlineStr">
        <is>
          <t>,000000000</t>
        </is>
      </c>
      <c r="P526" t="inlineStr">
        <is>
          <t>,000000000</t>
        </is>
      </c>
      <c r="Q526" t="inlineStr">
        <is>
          <t>,000000000</t>
        </is>
      </c>
      <c r="R526" t="inlineStr">
        <is>
          <t>,000000000</t>
        </is>
      </c>
      <c r="S526" t="inlineStr">
        <is>
          <t>,000000000</t>
        </is>
      </c>
      <c r="T526" t="inlineStr">
        <is>
          <t>,000000000</t>
        </is>
      </c>
      <c r="U526" t="inlineStr">
        <is>
          <t>,000000000</t>
        </is>
      </c>
      <c r="V526" t="inlineStr">
        <is>
          <t>,000000000</t>
        </is>
      </c>
      <c r="W526" t="inlineStr">
        <is>
          <t>,000000000</t>
        </is>
      </c>
      <c r="X526" t="inlineStr">
        <is>
          <t>,000000000</t>
        </is>
      </c>
      <c r="Y526" t="inlineStr">
        <is>
          <t>,000000000</t>
        </is>
      </c>
      <c r="Z526" t="inlineStr">
        <is>
          <t>,000000000</t>
        </is>
      </c>
      <c r="AA526" t="inlineStr">
        <is>
          <t>,000000000</t>
        </is>
      </c>
      <c r="AB526" t="inlineStr">
        <is>
          <t>0</t>
        </is>
      </c>
      <c r="AC526" t="inlineStr">
        <is>
          <t>0</t>
        </is>
      </c>
      <c r="AD526" s="3">
        <f>UPPER(C3)</f>
        <v/>
      </c>
      <c r="AE526" s="3">
        <f>VLOOKUP(E3,'[1]Nómina Agentes'!$C:$D,3,0)</f>
        <v/>
      </c>
      <c r="AF526" s="5">
        <f>F3</f>
        <v/>
      </c>
      <c r="AG526" s="5">
        <f>H3</f>
        <v/>
      </c>
    </row>
    <row r="527">
      <c r="A527" s="1" t="inlineStr">
        <is>
          <t>9/10/2024</t>
        </is>
      </c>
      <c r="B527" t="inlineStr">
        <is>
          <t>924</t>
        </is>
      </c>
      <c r="C527" t="inlineStr">
        <is>
          <t>S2S No Premium</t>
        </is>
      </c>
      <c r="D527" t="inlineStr">
        <is>
          <t>DW*N2m_Polich_Ma</t>
        </is>
      </c>
      <c r="E527" t="inlineStr">
        <is>
          <t>663141</t>
        </is>
      </c>
      <c r="F527" s="2" t="inlineStr">
        <is>
          <t>08:30</t>
        </is>
      </c>
      <c r="G527" t="inlineStr">
        <is>
          <t>-</t>
        </is>
      </c>
      <c r="H527" s="2" t="inlineStr">
        <is>
          <t>09:00</t>
        </is>
      </c>
      <c r="I527" t="inlineStr">
        <is>
          <t>,000000000</t>
        </is>
      </c>
      <c r="J527" t="inlineStr">
        <is>
          <t>,000000000</t>
        </is>
      </c>
      <c r="K527" t="inlineStr">
        <is>
          <t>,000000000</t>
        </is>
      </c>
      <c r="L527" t="inlineStr">
        <is>
          <t>,000000000</t>
        </is>
      </c>
      <c r="M527" t="inlineStr">
        <is>
          <t>,000000000</t>
        </is>
      </c>
      <c r="N527" t="inlineStr">
        <is>
          <t>,000000000</t>
        </is>
      </c>
      <c r="O527" t="inlineStr">
        <is>
          <t>,000000000</t>
        </is>
      </c>
      <c r="P527" t="inlineStr">
        <is>
          <t>,000000000</t>
        </is>
      </c>
      <c r="Q527" t="inlineStr">
        <is>
          <t>,000000000</t>
        </is>
      </c>
      <c r="R527" t="inlineStr">
        <is>
          <t>,000000000</t>
        </is>
      </c>
      <c r="S527" t="inlineStr">
        <is>
          <t>,000000000</t>
        </is>
      </c>
      <c r="T527" t="inlineStr">
        <is>
          <t>,000000000</t>
        </is>
      </c>
      <c r="U527" t="inlineStr">
        <is>
          <t>,000000000</t>
        </is>
      </c>
      <c r="V527" t="inlineStr">
        <is>
          <t>,000000000</t>
        </is>
      </c>
      <c r="W527" t="inlineStr">
        <is>
          <t>,000000000</t>
        </is>
      </c>
      <c r="X527" t="inlineStr">
        <is>
          <t>,000000000</t>
        </is>
      </c>
      <c r="Y527" t="inlineStr">
        <is>
          <t>,000000000</t>
        </is>
      </c>
      <c r="Z527" t="inlineStr">
        <is>
          <t>,000000000</t>
        </is>
      </c>
      <c r="AA527" t="inlineStr">
        <is>
          <t>,000000000</t>
        </is>
      </c>
      <c r="AB527" t="inlineStr">
        <is>
          <t>0</t>
        </is>
      </c>
      <c r="AC527" t="inlineStr">
        <is>
          <t>0</t>
        </is>
      </c>
      <c r="AD527" s="3">
        <f>UPPER(C3)</f>
        <v/>
      </c>
      <c r="AE527" s="3">
        <f>VLOOKUP(E3,'[1]Nómina Agentes'!$C:$D,3,0)</f>
        <v/>
      </c>
      <c r="AF527" s="5">
        <f>F3</f>
        <v/>
      </c>
      <c r="AG527" s="5">
        <f>H3</f>
        <v/>
      </c>
    </row>
    <row r="528">
      <c r="A528" s="1" t="inlineStr">
        <is>
          <t>9/10/2024</t>
        </is>
      </c>
      <c r="B528" t="inlineStr">
        <is>
          <t>925</t>
        </is>
      </c>
      <c r="C528" t="inlineStr">
        <is>
          <t>S2S Premium</t>
        </is>
      </c>
      <c r="D528" t="inlineStr">
        <is>
          <t>PCC_Bullon Jose</t>
        </is>
      </c>
      <c r="E528" t="inlineStr">
        <is>
          <t>663226</t>
        </is>
      </c>
      <c r="F528" s="2" t="inlineStr">
        <is>
          <t>09:00</t>
        </is>
      </c>
      <c r="G528" t="inlineStr">
        <is>
          <t>-</t>
        </is>
      </c>
      <c r="H528" s="2" t="inlineStr">
        <is>
          <t>09:30</t>
        </is>
      </c>
      <c r="I528" t="inlineStr">
        <is>
          <t>,000000000</t>
        </is>
      </c>
      <c r="J528" t="inlineStr">
        <is>
          <t>,000000000</t>
        </is>
      </c>
      <c r="K528" t="inlineStr">
        <is>
          <t>,000000000</t>
        </is>
      </c>
      <c r="L528" t="inlineStr">
        <is>
          <t>,000000000</t>
        </is>
      </c>
      <c r="M528" t="inlineStr">
        <is>
          <t>,000000000</t>
        </is>
      </c>
      <c r="N528" t="inlineStr">
        <is>
          <t>,000000000</t>
        </is>
      </c>
      <c r="O528" t="inlineStr">
        <is>
          <t>,000000000</t>
        </is>
      </c>
      <c r="P528" t="inlineStr">
        <is>
          <t>,000000000</t>
        </is>
      </c>
      <c r="Q528" t="inlineStr">
        <is>
          <t>,000000000</t>
        </is>
      </c>
      <c r="R528" t="inlineStr">
        <is>
          <t>,000000000</t>
        </is>
      </c>
      <c r="S528" t="inlineStr">
        <is>
          <t>,000000000</t>
        </is>
      </c>
      <c r="T528" t="inlineStr">
        <is>
          <t>,000000000</t>
        </is>
      </c>
      <c r="U528" t="inlineStr">
        <is>
          <t>,000000000</t>
        </is>
      </c>
      <c r="V528" t="inlineStr">
        <is>
          <t>,000000000</t>
        </is>
      </c>
      <c r="W528" t="inlineStr">
        <is>
          <t>,000000000</t>
        </is>
      </c>
      <c r="X528" t="inlineStr">
        <is>
          <t>,000000000</t>
        </is>
      </c>
      <c r="Y528" t="inlineStr">
        <is>
          <t>,000000000</t>
        </is>
      </c>
      <c r="Z528" t="inlineStr">
        <is>
          <t>,000000000</t>
        </is>
      </c>
      <c r="AA528" t="inlineStr">
        <is>
          <t>,000000000</t>
        </is>
      </c>
      <c r="AB528" t="inlineStr">
        <is>
          <t>0</t>
        </is>
      </c>
      <c r="AC528" t="inlineStr">
        <is>
          <t>0</t>
        </is>
      </c>
      <c r="AD528" s="3">
        <f>UPPER(C3)</f>
        <v/>
      </c>
      <c r="AE528" s="3">
        <f>VLOOKUP(E3,'[1]Nómina Agentes'!$C:$D,3,0)</f>
        <v/>
      </c>
      <c r="AF528" s="5">
        <f>F3</f>
        <v/>
      </c>
      <c r="AG528" s="5">
        <f>H3</f>
        <v/>
      </c>
    </row>
    <row r="529">
      <c r="A529" s="1" t="inlineStr">
        <is>
          <t>9/10/2024</t>
        </is>
      </c>
      <c r="B529" t="inlineStr">
        <is>
          <t>925</t>
        </is>
      </c>
      <c r="C529" t="inlineStr">
        <is>
          <t>S2S Premium</t>
        </is>
      </c>
      <c r="D529" t="inlineStr">
        <is>
          <t>PCC_Bullon Jose</t>
        </is>
      </c>
      <c r="E529" t="inlineStr">
        <is>
          <t>663226</t>
        </is>
      </c>
      <c r="F529" s="2" t="inlineStr">
        <is>
          <t>10:30</t>
        </is>
      </c>
      <c r="G529" t="inlineStr">
        <is>
          <t>-</t>
        </is>
      </c>
      <c r="H529" s="2" t="inlineStr">
        <is>
          <t>11:00</t>
        </is>
      </c>
      <c r="I529" t="inlineStr">
        <is>
          <t>90,000000000</t>
        </is>
      </c>
      <c r="J529" t="inlineStr">
        <is>
          <t>,000000000</t>
        </is>
      </c>
      <c r="K529" t="inlineStr">
        <is>
          <t>,000000000</t>
        </is>
      </c>
      <c r="L529" t="inlineStr">
        <is>
          <t>,000000000</t>
        </is>
      </c>
      <c r="M529" t="inlineStr">
        <is>
          <t>,000000000</t>
        </is>
      </c>
      <c r="N529" t="inlineStr">
        <is>
          <t>,000000000</t>
        </is>
      </c>
      <c r="O529" t="inlineStr">
        <is>
          <t>,000000000</t>
        </is>
      </c>
      <c r="P529" t="inlineStr">
        <is>
          <t>1,000000000</t>
        </is>
      </c>
      <c r="Q529" t="inlineStr">
        <is>
          <t>,000000000</t>
        </is>
      </c>
      <c r="R529" t="inlineStr">
        <is>
          <t>,000000000</t>
        </is>
      </c>
      <c r="S529" t="inlineStr">
        <is>
          <t>,000000000</t>
        </is>
      </c>
      <c r="T529" t="inlineStr">
        <is>
          <t>,000000000</t>
        </is>
      </c>
      <c r="U529" t="inlineStr">
        <is>
          <t>,000000000</t>
        </is>
      </c>
      <c r="V529" t="inlineStr">
        <is>
          <t>,000000000</t>
        </is>
      </c>
      <c r="W529" t="inlineStr">
        <is>
          <t>,000000000</t>
        </is>
      </c>
      <c r="X529" t="inlineStr">
        <is>
          <t>,000000000</t>
        </is>
      </c>
      <c r="Y529" t="inlineStr">
        <is>
          <t>,000000000</t>
        </is>
      </c>
      <c r="Z529" t="inlineStr">
        <is>
          <t>,000000000</t>
        </is>
      </c>
      <c r="AA529" t="inlineStr">
        <is>
          <t>,000000000</t>
        </is>
      </c>
      <c r="AB529" t="inlineStr">
        <is>
          <t>1</t>
        </is>
      </c>
      <c r="AC529" t="inlineStr">
        <is>
          <t>1</t>
        </is>
      </c>
      <c r="AD529" s="3">
        <f>UPPER(C3)</f>
        <v/>
      </c>
      <c r="AE529" s="3">
        <f>VLOOKUP(E3,'[1]Nómina Agentes'!$C:$D,3,0)</f>
        <v/>
      </c>
      <c r="AF529" s="5">
        <f>F3</f>
        <v/>
      </c>
      <c r="AG529" s="5">
        <f>H3</f>
        <v/>
      </c>
    </row>
    <row r="530">
      <c r="A530" s="1" t="inlineStr">
        <is>
          <t>9/10/2024</t>
        </is>
      </c>
      <c r="B530" t="inlineStr">
        <is>
          <t>925</t>
        </is>
      </c>
      <c r="C530" t="inlineStr">
        <is>
          <t>S2S Premium</t>
        </is>
      </c>
      <c r="D530" t="inlineStr">
        <is>
          <t>PCC_Bullon Jose</t>
        </is>
      </c>
      <c r="E530" t="inlineStr">
        <is>
          <t>663226</t>
        </is>
      </c>
      <c r="F530" s="2" t="inlineStr">
        <is>
          <t>08:00</t>
        </is>
      </c>
      <c r="G530" t="inlineStr">
        <is>
          <t>-</t>
        </is>
      </c>
      <c r="H530" s="2" t="inlineStr">
        <is>
          <t>08:30</t>
        </is>
      </c>
      <c r="I530" t="inlineStr">
        <is>
          <t>151,000000000</t>
        </is>
      </c>
      <c r="J530" t="inlineStr">
        <is>
          <t>,000000000</t>
        </is>
      </c>
      <c r="K530" t="inlineStr">
        <is>
          <t>,000000000</t>
        </is>
      </c>
      <c r="L530" t="inlineStr">
        <is>
          <t>4,000000000</t>
        </is>
      </c>
      <c r="M530" t="inlineStr">
        <is>
          <t>,000000000</t>
        </is>
      </c>
      <c r="N530" t="inlineStr">
        <is>
          <t>,000000000</t>
        </is>
      </c>
      <c r="O530" t="inlineStr">
        <is>
          <t>,000000000</t>
        </is>
      </c>
      <c r="P530" t="inlineStr">
        <is>
          <t>34,000000000</t>
        </is>
      </c>
      <c r="Q530" t="inlineStr">
        <is>
          <t>,000000000</t>
        </is>
      </c>
      <c r="R530" t="inlineStr">
        <is>
          <t>,000000000</t>
        </is>
      </c>
      <c r="S530" t="inlineStr">
        <is>
          <t>,000000000</t>
        </is>
      </c>
      <c r="T530" t="inlineStr">
        <is>
          <t>,000000000</t>
        </is>
      </c>
      <c r="U530" t="inlineStr">
        <is>
          <t>,000000000</t>
        </is>
      </c>
      <c r="V530" t="inlineStr">
        <is>
          <t>,000000000</t>
        </is>
      </c>
      <c r="W530" t="inlineStr">
        <is>
          <t>,000000000</t>
        </is>
      </c>
      <c r="X530" t="inlineStr">
        <is>
          <t>,000000000</t>
        </is>
      </c>
      <c r="Y530" t="inlineStr">
        <is>
          <t>,000000000</t>
        </is>
      </c>
      <c r="Z530" t="inlineStr">
        <is>
          <t>,000000000</t>
        </is>
      </c>
      <c r="AA530" t="inlineStr">
        <is>
          <t>,000000000</t>
        </is>
      </c>
      <c r="AB530" t="inlineStr">
        <is>
          <t>1</t>
        </is>
      </c>
      <c r="AC530" t="inlineStr">
        <is>
          <t>1</t>
        </is>
      </c>
      <c r="AD530" s="3">
        <f>UPPER(C3)</f>
        <v/>
      </c>
      <c r="AE530" s="3">
        <f>VLOOKUP(E3,'[1]Nómina Agentes'!$C:$D,3,0)</f>
        <v/>
      </c>
      <c r="AF530" s="5">
        <f>F3</f>
        <v/>
      </c>
      <c r="AG530" s="5">
        <f>H3</f>
        <v/>
      </c>
    </row>
    <row r="531">
      <c r="A531" s="1" t="inlineStr">
        <is>
          <t>9/10/2024</t>
        </is>
      </c>
      <c r="B531" t="inlineStr">
        <is>
          <t>925</t>
        </is>
      </c>
      <c r="C531" t="inlineStr">
        <is>
          <t>S2S Premium</t>
        </is>
      </c>
      <c r="D531" t="inlineStr">
        <is>
          <t>PCC_Bullon Jose</t>
        </is>
      </c>
      <c r="E531" t="inlineStr">
        <is>
          <t>663226</t>
        </is>
      </c>
      <c r="F531" s="2" t="inlineStr">
        <is>
          <t>08:30</t>
        </is>
      </c>
      <c r="G531" t="inlineStr">
        <is>
          <t>-</t>
        </is>
      </c>
      <c r="H531" s="2" t="inlineStr">
        <is>
          <t>09:00</t>
        </is>
      </c>
      <c r="I531" t="inlineStr">
        <is>
          <t>232,000000000</t>
        </is>
      </c>
      <c r="J531" t="inlineStr">
        <is>
          <t>,000000000</t>
        </is>
      </c>
      <c r="K531" t="inlineStr">
        <is>
          <t>,000000000</t>
        </is>
      </c>
      <c r="L531" t="inlineStr">
        <is>
          <t>4,000000000</t>
        </is>
      </c>
      <c r="M531" t="inlineStr">
        <is>
          <t>,000000000</t>
        </is>
      </c>
      <c r="N531" t="inlineStr">
        <is>
          <t>,000000000</t>
        </is>
      </c>
      <c r="O531" t="inlineStr">
        <is>
          <t>,000000000</t>
        </is>
      </c>
      <c r="P531" t="inlineStr">
        <is>
          <t>285,000000000</t>
        </is>
      </c>
      <c r="Q531" t="inlineStr">
        <is>
          <t>53,000000000</t>
        </is>
      </c>
      <c r="R531" t="inlineStr">
        <is>
          <t>,000000000</t>
        </is>
      </c>
      <c r="S531" t="inlineStr">
        <is>
          <t>,000000000</t>
        </is>
      </c>
      <c r="T531" t="inlineStr">
        <is>
          <t>,000000000</t>
        </is>
      </c>
      <c r="U531" t="inlineStr">
        <is>
          <t>,000000000</t>
        </is>
      </c>
      <c r="V531" t="inlineStr">
        <is>
          <t>,000000000</t>
        </is>
      </c>
      <c r="W531" t="inlineStr">
        <is>
          <t>,000000000</t>
        </is>
      </c>
      <c r="X531" t="inlineStr">
        <is>
          <t>,000000000</t>
        </is>
      </c>
      <c r="Y531" t="inlineStr">
        <is>
          <t>,000000000</t>
        </is>
      </c>
      <c r="Z531" t="inlineStr">
        <is>
          <t>,000000000</t>
        </is>
      </c>
      <c r="AA531" t="inlineStr">
        <is>
          <t>,000000000</t>
        </is>
      </c>
      <c r="AB531" t="inlineStr">
        <is>
          <t>1</t>
        </is>
      </c>
      <c r="AC531" t="inlineStr">
        <is>
          <t>1</t>
        </is>
      </c>
      <c r="AD531" s="3">
        <f>UPPER(C3)</f>
        <v/>
      </c>
      <c r="AE531" s="3">
        <f>VLOOKUP(E3,'[1]Nómina Agentes'!$C:$D,3,0)</f>
        <v/>
      </c>
      <c r="AF531" s="5">
        <f>F3</f>
        <v/>
      </c>
      <c r="AG531" s="5">
        <f>H3</f>
        <v/>
      </c>
    </row>
    <row r="532">
      <c r="A532" s="1" t="inlineStr">
        <is>
          <t>9/10/2024</t>
        </is>
      </c>
      <c r="B532" t="inlineStr">
        <is>
          <t>925</t>
        </is>
      </c>
      <c r="C532" t="inlineStr">
        <is>
          <t>S2S Premium</t>
        </is>
      </c>
      <c r="D532" t="inlineStr">
        <is>
          <t>PCC_Bullon Jose</t>
        </is>
      </c>
      <c r="E532" t="inlineStr">
        <is>
          <t>663226</t>
        </is>
      </c>
      <c r="F532" s="2" t="inlineStr">
        <is>
          <t>10:00</t>
        </is>
      </c>
      <c r="G532" t="inlineStr">
        <is>
          <t>-</t>
        </is>
      </c>
      <c r="H532" s="2" t="inlineStr">
        <is>
          <t>10:30</t>
        </is>
      </c>
      <c r="I532" t="inlineStr">
        <is>
          <t>246,000000000</t>
        </is>
      </c>
      <c r="J532" t="inlineStr">
        <is>
          <t>,000000000</t>
        </is>
      </c>
      <c r="K532" t="inlineStr">
        <is>
          <t>,000000000</t>
        </is>
      </c>
      <c r="L532" t="inlineStr">
        <is>
          <t>4,000000000</t>
        </is>
      </c>
      <c r="M532" t="inlineStr">
        <is>
          <t>,000000000</t>
        </is>
      </c>
      <c r="N532" t="inlineStr">
        <is>
          <t>,000000000</t>
        </is>
      </c>
      <c r="O532" t="inlineStr">
        <is>
          <t>,000000000</t>
        </is>
      </c>
      <c r="P532" t="inlineStr">
        <is>
          <t>1,000000000</t>
        </is>
      </c>
      <c r="Q532" t="inlineStr">
        <is>
          <t>,000000000</t>
        </is>
      </c>
      <c r="R532" t="inlineStr">
        <is>
          <t>,000000000</t>
        </is>
      </c>
      <c r="S532" t="inlineStr">
        <is>
          <t>,000000000</t>
        </is>
      </c>
      <c r="T532" t="inlineStr">
        <is>
          <t>,000000000</t>
        </is>
      </c>
      <c r="U532" t="inlineStr">
        <is>
          <t>,000000000</t>
        </is>
      </c>
      <c r="V532" t="inlineStr">
        <is>
          <t>,000000000</t>
        </is>
      </c>
      <c r="W532" t="inlineStr">
        <is>
          <t>,000000000</t>
        </is>
      </c>
      <c r="X532" t="inlineStr">
        <is>
          <t>,000000000</t>
        </is>
      </c>
      <c r="Y532" t="inlineStr">
        <is>
          <t>,000000000</t>
        </is>
      </c>
      <c r="Z532" t="inlineStr">
        <is>
          <t>,000000000</t>
        </is>
      </c>
      <c r="AA532" t="inlineStr">
        <is>
          <t>,000000000</t>
        </is>
      </c>
      <c r="AB532" t="inlineStr">
        <is>
          <t>1</t>
        </is>
      </c>
      <c r="AC532" t="inlineStr">
        <is>
          <t>1</t>
        </is>
      </c>
      <c r="AD532" s="3">
        <f>UPPER(C3)</f>
        <v/>
      </c>
      <c r="AE532" s="3">
        <f>VLOOKUP(E3,'[1]Nómina Agentes'!$C:$D,3,0)</f>
        <v/>
      </c>
      <c r="AF532" s="5">
        <f>F3</f>
        <v/>
      </c>
      <c r="AG532" s="5">
        <f>H3</f>
        <v/>
      </c>
    </row>
    <row r="533">
      <c r="A533" s="1" t="inlineStr">
        <is>
          <t>9/10/2024</t>
        </is>
      </c>
      <c r="B533" t="inlineStr">
        <is>
          <t>925</t>
        </is>
      </c>
      <c r="C533" t="inlineStr">
        <is>
          <t>S2S Premium</t>
        </is>
      </c>
      <c r="D533" t="inlineStr">
        <is>
          <t>PCC_Bullon Jose</t>
        </is>
      </c>
      <c r="E533" t="inlineStr">
        <is>
          <t>663226</t>
        </is>
      </c>
      <c r="F533" s="2" t="inlineStr">
        <is>
          <t>09:30</t>
        </is>
      </c>
      <c r="G533" t="inlineStr">
        <is>
          <t>-</t>
        </is>
      </c>
      <c r="H533" s="2" t="inlineStr">
        <is>
          <t>10:00</t>
        </is>
      </c>
      <c r="I533" t="inlineStr">
        <is>
          <t>302,000000000</t>
        </is>
      </c>
      <c r="J533" t="inlineStr">
        <is>
          <t>,000000000</t>
        </is>
      </c>
      <c r="K533" t="inlineStr">
        <is>
          <t>,000000000</t>
        </is>
      </c>
      <c r="L533" t="inlineStr">
        <is>
          <t>8,000000000</t>
        </is>
      </c>
      <c r="M533" t="inlineStr">
        <is>
          <t>,000000000</t>
        </is>
      </c>
      <c r="N533" t="inlineStr">
        <is>
          <t>,000000000</t>
        </is>
      </c>
      <c r="O533" t="inlineStr">
        <is>
          <t>,000000000</t>
        </is>
      </c>
      <c r="P533" t="inlineStr">
        <is>
          <t>21,000000000</t>
        </is>
      </c>
      <c r="Q533" t="inlineStr">
        <is>
          <t>,000000000</t>
        </is>
      </c>
      <c r="R533" t="inlineStr">
        <is>
          <t>,000000000</t>
        </is>
      </c>
      <c r="S533" t="inlineStr">
        <is>
          <t>,000000000</t>
        </is>
      </c>
      <c r="T533" t="inlineStr">
        <is>
          <t>,000000000</t>
        </is>
      </c>
      <c r="U533" t="inlineStr">
        <is>
          <t>,000000000</t>
        </is>
      </c>
      <c r="V533" t="inlineStr">
        <is>
          <t>,000000000</t>
        </is>
      </c>
      <c r="W533" t="inlineStr">
        <is>
          <t>,000000000</t>
        </is>
      </c>
      <c r="X533" t="inlineStr">
        <is>
          <t>,000000000</t>
        </is>
      </c>
      <c r="Y533" t="inlineStr">
        <is>
          <t>,000000000</t>
        </is>
      </c>
      <c r="Z533" t="inlineStr">
        <is>
          <t>,000000000</t>
        </is>
      </c>
      <c r="AA533" t="inlineStr">
        <is>
          <t>,000000000</t>
        </is>
      </c>
      <c r="AB533" t="inlineStr">
        <is>
          <t>1</t>
        </is>
      </c>
      <c r="AC533" t="inlineStr">
        <is>
          <t>1</t>
        </is>
      </c>
      <c r="AD533" s="3">
        <f>UPPER(C3)</f>
        <v/>
      </c>
      <c r="AE533" s="3">
        <f>VLOOKUP(E3,'[1]Nómina Agentes'!$C:$D,3,0)</f>
        <v/>
      </c>
      <c r="AF533" s="5">
        <f>F3</f>
        <v/>
      </c>
      <c r="AG533" s="5">
        <f>H3</f>
        <v/>
      </c>
    </row>
    <row r="534">
      <c r="A534" s="1" t="inlineStr">
        <is>
          <t>9/10/2024</t>
        </is>
      </c>
      <c r="B534" t="inlineStr">
        <is>
          <t>925</t>
        </is>
      </c>
      <c r="C534" t="inlineStr">
        <is>
          <t>S2S Premium</t>
        </is>
      </c>
      <c r="D534" t="inlineStr">
        <is>
          <t>PCC_Schubert Ingrid</t>
        </is>
      </c>
      <c r="E534" t="inlineStr">
        <is>
          <t>663252</t>
        </is>
      </c>
      <c r="F534" s="2" t="inlineStr">
        <is>
          <t>10:30</t>
        </is>
      </c>
      <c r="G534" t="inlineStr">
        <is>
          <t>-</t>
        </is>
      </c>
      <c r="H534" s="2" t="inlineStr">
        <is>
          <t>11:00</t>
        </is>
      </c>
      <c r="I534" t="inlineStr">
        <is>
          <t>393,000000000</t>
        </is>
      </c>
      <c r="J534" t="inlineStr">
        <is>
          <t>,000000000</t>
        </is>
      </c>
      <c r="K534" t="inlineStr">
        <is>
          <t>,000000000</t>
        </is>
      </c>
      <c r="L534" t="inlineStr">
        <is>
          <t>8,000000000</t>
        </is>
      </c>
      <c r="M534" t="inlineStr">
        <is>
          <t>,000000000</t>
        </is>
      </c>
      <c r="N534" t="inlineStr">
        <is>
          <t>,000000000</t>
        </is>
      </c>
      <c r="O534" t="inlineStr">
        <is>
          <t>,000000000</t>
        </is>
      </c>
      <c r="P534" t="inlineStr">
        <is>
          <t>2,000000000</t>
        </is>
      </c>
      <c r="Q534" t="inlineStr">
        <is>
          <t>195,000000000</t>
        </is>
      </c>
      <c r="R534" t="inlineStr">
        <is>
          <t>,000000000</t>
        </is>
      </c>
      <c r="S534" t="inlineStr">
        <is>
          <t>,000000000</t>
        </is>
      </c>
      <c r="T534" t="inlineStr">
        <is>
          <t>,000000000</t>
        </is>
      </c>
      <c r="U534" t="inlineStr">
        <is>
          <t>,000000000</t>
        </is>
      </c>
      <c r="V534" t="inlineStr">
        <is>
          <t>,000000000</t>
        </is>
      </c>
      <c r="W534" t="inlineStr">
        <is>
          <t>,000000000</t>
        </is>
      </c>
      <c r="X534" t="inlineStr">
        <is>
          <t>,000000000</t>
        </is>
      </c>
      <c r="Y534" t="inlineStr">
        <is>
          <t>,000000000</t>
        </is>
      </c>
      <c r="Z534" t="inlineStr">
        <is>
          <t>,000000000</t>
        </is>
      </c>
      <c r="AA534" t="inlineStr">
        <is>
          <t>,000000000</t>
        </is>
      </c>
      <c r="AB534" t="inlineStr">
        <is>
          <t>1</t>
        </is>
      </c>
      <c r="AC534" t="inlineStr">
        <is>
          <t>1</t>
        </is>
      </c>
      <c r="AD534" s="3">
        <f>UPPER(C3)</f>
        <v/>
      </c>
      <c r="AE534" s="3">
        <f>VLOOKUP(E3,'[1]Nómina Agentes'!$C:$D,3,0)</f>
        <v/>
      </c>
      <c r="AF534" s="5">
        <f>F3</f>
        <v/>
      </c>
      <c r="AG534" s="5">
        <f>H3</f>
        <v/>
      </c>
    </row>
    <row r="535">
      <c r="A535" s="1" t="inlineStr">
        <is>
          <t>9/10/2024</t>
        </is>
      </c>
      <c r="B535" t="inlineStr">
        <is>
          <t>925</t>
        </is>
      </c>
      <c r="C535" t="inlineStr">
        <is>
          <t>S2S Premium</t>
        </is>
      </c>
      <c r="D535" t="inlineStr">
        <is>
          <t>PCC_Schubert Ingrid</t>
        </is>
      </c>
      <c r="E535" t="inlineStr">
        <is>
          <t>663252</t>
        </is>
      </c>
      <c r="F535" s="2" t="inlineStr">
        <is>
          <t>09:00</t>
        </is>
      </c>
      <c r="G535" t="inlineStr">
        <is>
          <t>-</t>
        </is>
      </c>
      <c r="H535" s="2" t="inlineStr">
        <is>
          <t>09:30</t>
        </is>
      </c>
      <c r="I535" t="inlineStr">
        <is>
          <t>424,000000000</t>
        </is>
      </c>
      <c r="J535" t="inlineStr">
        <is>
          <t>,000000000</t>
        </is>
      </c>
      <c r="K535" t="inlineStr">
        <is>
          <t>,000000000</t>
        </is>
      </c>
      <c r="L535" t="inlineStr">
        <is>
          <t>12,000000000</t>
        </is>
      </c>
      <c r="M535" t="inlineStr">
        <is>
          <t>,000000000</t>
        </is>
      </c>
      <c r="N535" t="inlineStr">
        <is>
          <t>,000000000</t>
        </is>
      </c>
      <c r="O535" t="inlineStr">
        <is>
          <t>,000000000</t>
        </is>
      </c>
      <c r="P535" t="inlineStr">
        <is>
          <t>209,000000000</t>
        </is>
      </c>
      <c r="Q535" t="inlineStr">
        <is>
          <t>,000000000</t>
        </is>
      </c>
      <c r="R535" t="inlineStr">
        <is>
          <t>,000000000</t>
        </is>
      </c>
      <c r="S535" t="inlineStr">
        <is>
          <t>,000000000</t>
        </is>
      </c>
      <c r="T535" t="inlineStr">
        <is>
          <t>,000000000</t>
        </is>
      </c>
      <c r="U535" t="inlineStr">
        <is>
          <t>,000000000</t>
        </is>
      </c>
      <c r="V535" t="inlineStr">
        <is>
          <t>,000000000</t>
        </is>
      </c>
      <c r="W535" t="inlineStr">
        <is>
          <t>,000000000</t>
        </is>
      </c>
      <c r="X535" t="inlineStr">
        <is>
          <t>,000000000</t>
        </is>
      </c>
      <c r="Y535" t="inlineStr">
        <is>
          <t>,000000000</t>
        </is>
      </c>
      <c r="Z535" t="inlineStr">
        <is>
          <t>,000000000</t>
        </is>
      </c>
      <c r="AA535" t="inlineStr">
        <is>
          <t>,000000000</t>
        </is>
      </c>
      <c r="AB535" t="inlineStr">
        <is>
          <t>3</t>
        </is>
      </c>
      <c r="AC535" t="inlineStr">
        <is>
          <t>1</t>
        </is>
      </c>
      <c r="AD535" s="3">
        <f>UPPER(C3)</f>
        <v/>
      </c>
      <c r="AE535" s="3">
        <f>VLOOKUP(E3,'[1]Nómina Agentes'!$C:$D,3,0)</f>
        <v/>
      </c>
      <c r="AF535" s="5">
        <f>F3</f>
        <v/>
      </c>
      <c r="AG535" s="5">
        <f>H3</f>
        <v/>
      </c>
    </row>
    <row r="536">
      <c r="A536" s="1" t="inlineStr">
        <is>
          <t>9/10/2024</t>
        </is>
      </c>
      <c r="B536" t="inlineStr">
        <is>
          <t>925</t>
        </is>
      </c>
      <c r="C536" t="inlineStr">
        <is>
          <t>S2S Premium</t>
        </is>
      </c>
      <c r="D536" t="inlineStr">
        <is>
          <t>PCC_Schubert Ingrid</t>
        </is>
      </c>
      <c r="E536" t="inlineStr">
        <is>
          <t>663252</t>
        </is>
      </c>
      <c r="F536" s="2" t="inlineStr">
        <is>
          <t>10:00</t>
        </is>
      </c>
      <c r="G536" t="inlineStr">
        <is>
          <t>-</t>
        </is>
      </c>
      <c r="H536" s="2" t="inlineStr">
        <is>
          <t>10:30</t>
        </is>
      </c>
      <c r="I536" t="inlineStr">
        <is>
          <t>466,000000000</t>
        </is>
      </c>
      <c r="J536" t="inlineStr">
        <is>
          <t>,000000000</t>
        </is>
      </c>
      <c r="K536" t="inlineStr">
        <is>
          <t>,000000000</t>
        </is>
      </c>
      <c r="L536" t="inlineStr">
        <is>
          <t>24,000000000</t>
        </is>
      </c>
      <c r="M536" t="inlineStr">
        <is>
          <t>,000000000</t>
        </is>
      </c>
      <c r="N536" t="inlineStr">
        <is>
          <t>,000000000</t>
        </is>
      </c>
      <c r="O536" t="inlineStr">
        <is>
          <t>,000000000</t>
        </is>
      </c>
      <c r="P536" t="inlineStr">
        <is>
          <t>2,000000000</t>
        </is>
      </c>
      <c r="Q536" t="inlineStr">
        <is>
          <t>1,000000000</t>
        </is>
      </c>
      <c r="R536" t="inlineStr">
        <is>
          <t>,000000000</t>
        </is>
      </c>
      <c r="S536" t="inlineStr">
        <is>
          <t>,000000000</t>
        </is>
      </c>
      <c r="T536" t="inlineStr">
        <is>
          <t>,000000000</t>
        </is>
      </c>
      <c r="U536" t="inlineStr">
        <is>
          <t>,000000000</t>
        </is>
      </c>
      <c r="V536" t="inlineStr">
        <is>
          <t>,000000000</t>
        </is>
      </c>
      <c r="W536" t="inlineStr">
        <is>
          <t>,000000000</t>
        </is>
      </c>
      <c r="X536" t="inlineStr">
        <is>
          <t>,000000000</t>
        </is>
      </c>
      <c r="Y536" t="inlineStr">
        <is>
          <t>,000000000</t>
        </is>
      </c>
      <c r="Z536" t="inlineStr">
        <is>
          <t>,000000000</t>
        </is>
      </c>
      <c r="AA536" t="inlineStr">
        <is>
          <t>,000000000</t>
        </is>
      </c>
      <c r="AB536" t="inlineStr">
        <is>
          <t>6</t>
        </is>
      </c>
      <c r="AC536" t="inlineStr">
        <is>
          <t>4</t>
        </is>
      </c>
      <c r="AD536" s="3">
        <f>UPPER(C3)</f>
        <v/>
      </c>
      <c r="AE536" s="3">
        <f>VLOOKUP(E3,'[1]Nómina Agentes'!$C:$D,3,0)</f>
        <v/>
      </c>
      <c r="AF536" s="5">
        <f>F3</f>
        <v/>
      </c>
      <c r="AG536" s="5">
        <f>H3</f>
        <v/>
      </c>
    </row>
    <row r="537">
      <c r="A537" s="1" t="inlineStr">
        <is>
          <t>9/10/2024</t>
        </is>
      </c>
      <c r="B537" t="inlineStr">
        <is>
          <t>925</t>
        </is>
      </c>
      <c r="C537" t="inlineStr">
        <is>
          <t>S2S Premium</t>
        </is>
      </c>
      <c r="D537" t="inlineStr">
        <is>
          <t>PCC_Schubert Ingrid</t>
        </is>
      </c>
      <c r="E537" t="inlineStr">
        <is>
          <t>663252</t>
        </is>
      </c>
      <c r="F537" s="2" t="inlineStr">
        <is>
          <t>09:30</t>
        </is>
      </c>
      <c r="G537" t="inlineStr">
        <is>
          <t>-</t>
        </is>
      </c>
      <c r="H537" s="2" t="inlineStr">
        <is>
          <t>10:00</t>
        </is>
      </c>
      <c r="I537" t="inlineStr">
        <is>
          <t>659,000000000</t>
        </is>
      </c>
      <c r="J537" t="inlineStr">
        <is>
          <t>,000000000</t>
        </is>
      </c>
      <c r="K537" t="inlineStr">
        <is>
          <t>,000000000</t>
        </is>
      </c>
      <c r="L537" t="inlineStr">
        <is>
          <t>27,000000000</t>
        </is>
      </c>
      <c r="M537" t="inlineStr">
        <is>
          <t>,000000000</t>
        </is>
      </c>
      <c r="N537" t="inlineStr">
        <is>
          <t>,000000000</t>
        </is>
      </c>
      <c r="O537" t="inlineStr">
        <is>
          <t>,000000000</t>
        </is>
      </c>
      <c r="P537" t="inlineStr">
        <is>
          <t>6,000000000</t>
        </is>
      </c>
      <c r="Q537" t="inlineStr">
        <is>
          <t>,000000000</t>
        </is>
      </c>
      <c r="R537" t="inlineStr">
        <is>
          <t>,000000000</t>
        </is>
      </c>
      <c r="S537" t="inlineStr">
        <is>
          <t>,000000000</t>
        </is>
      </c>
      <c r="T537" t="inlineStr">
        <is>
          <t>,000000000</t>
        </is>
      </c>
      <c r="U537" t="inlineStr">
        <is>
          <t>,000000000</t>
        </is>
      </c>
      <c r="V537" t="inlineStr">
        <is>
          <t>,000000000</t>
        </is>
      </c>
      <c r="W537" t="inlineStr">
        <is>
          <t>,000000000</t>
        </is>
      </c>
      <c r="X537" t="inlineStr">
        <is>
          <t>,000000000</t>
        </is>
      </c>
      <c r="Y537" t="inlineStr">
        <is>
          <t>,000000000</t>
        </is>
      </c>
      <c r="Z537" t="inlineStr">
        <is>
          <t>,000000000</t>
        </is>
      </c>
      <c r="AA537" t="inlineStr">
        <is>
          <t>,000000000</t>
        </is>
      </c>
      <c r="AB537" t="inlineStr">
        <is>
          <t>7</t>
        </is>
      </c>
      <c r="AC537" t="inlineStr">
        <is>
          <t>7</t>
        </is>
      </c>
      <c r="AD537" s="3">
        <f>UPPER(C3)</f>
        <v/>
      </c>
      <c r="AE537" s="3">
        <f>VLOOKUP(E3,'[1]Nómina Agentes'!$C:$D,3,0)</f>
        <v/>
      </c>
      <c r="AF537" s="5">
        <f>F3</f>
        <v/>
      </c>
      <c r="AG537" s="5">
        <f>H3</f>
        <v/>
      </c>
    </row>
    <row r="538">
      <c r="A538" s="1" t="inlineStr">
        <is>
          <t>9/10/2024</t>
        </is>
      </c>
      <c r="B538" t="inlineStr">
        <is>
          <t>924</t>
        </is>
      </c>
      <c r="C538" t="inlineStr">
        <is>
          <t>S2S No Premium</t>
        </is>
      </c>
      <c r="D538" t="inlineStr">
        <is>
          <t>X*N2m_BernacheaAriel</t>
        </is>
      </c>
      <c r="E538" t="inlineStr">
        <is>
          <t>663273</t>
        </is>
      </c>
      <c r="F538" s="2" t="inlineStr">
        <is>
          <t>08:00</t>
        </is>
      </c>
      <c r="G538" t="inlineStr">
        <is>
          <t>-</t>
        </is>
      </c>
      <c r="H538" s="2" t="inlineStr">
        <is>
          <t>08:30</t>
        </is>
      </c>
      <c r="I538" t="inlineStr">
        <is>
          <t>,000000000</t>
        </is>
      </c>
      <c r="J538" t="inlineStr">
        <is>
          <t>,000000000</t>
        </is>
      </c>
      <c r="K538" t="inlineStr">
        <is>
          <t>,000000000</t>
        </is>
      </c>
      <c r="L538" t="inlineStr">
        <is>
          <t>,000000000</t>
        </is>
      </c>
      <c r="M538" t="inlineStr">
        <is>
          <t>,000000000</t>
        </is>
      </c>
      <c r="N538" t="inlineStr">
        <is>
          <t>,000000000</t>
        </is>
      </c>
      <c r="O538" t="inlineStr">
        <is>
          <t>,000000000</t>
        </is>
      </c>
      <c r="P538" t="inlineStr">
        <is>
          <t>,000000000</t>
        </is>
      </c>
      <c r="Q538" t="inlineStr">
        <is>
          <t>,000000000</t>
        </is>
      </c>
      <c r="R538" t="inlineStr">
        <is>
          <t>,000000000</t>
        </is>
      </c>
      <c r="S538" t="inlineStr">
        <is>
          <t>,000000000</t>
        </is>
      </c>
      <c r="T538" t="inlineStr">
        <is>
          <t>,000000000</t>
        </is>
      </c>
      <c r="U538" t="inlineStr">
        <is>
          <t>,000000000</t>
        </is>
      </c>
      <c r="V538" t="inlineStr">
        <is>
          <t>,000000000</t>
        </is>
      </c>
      <c r="W538" t="inlineStr">
        <is>
          <t>,000000000</t>
        </is>
      </c>
      <c r="X538" t="inlineStr">
        <is>
          <t>,000000000</t>
        </is>
      </c>
      <c r="Y538" t="inlineStr">
        <is>
          <t>,000000000</t>
        </is>
      </c>
      <c r="Z538" t="inlineStr">
        <is>
          <t>,000000000</t>
        </is>
      </c>
      <c r="AA538" t="inlineStr">
        <is>
          <t>,000000000</t>
        </is>
      </c>
      <c r="AB538" t="inlineStr">
        <is>
          <t>0</t>
        </is>
      </c>
      <c r="AC538" t="inlineStr">
        <is>
          <t>0</t>
        </is>
      </c>
      <c r="AD538" s="3">
        <f>UPPER(C3)</f>
        <v/>
      </c>
      <c r="AE538" s="3">
        <f>VLOOKUP(E3,'[1]Nómina Agentes'!$C:$D,3,0)</f>
        <v/>
      </c>
      <c r="AF538" s="5">
        <f>F3</f>
        <v/>
      </c>
      <c r="AG538" s="5">
        <f>H3</f>
        <v/>
      </c>
    </row>
    <row r="539">
      <c r="A539" s="1" t="inlineStr">
        <is>
          <t>9/10/2024</t>
        </is>
      </c>
      <c r="B539" t="inlineStr">
        <is>
          <t>924</t>
        </is>
      </c>
      <c r="C539" t="inlineStr">
        <is>
          <t>S2S No Premium</t>
        </is>
      </c>
      <c r="D539" t="inlineStr">
        <is>
          <t>X*N2m_BernacheaAriel</t>
        </is>
      </c>
      <c r="E539" t="inlineStr">
        <is>
          <t>663273</t>
        </is>
      </c>
      <c r="F539" s="2" t="inlineStr">
        <is>
          <t>10:30</t>
        </is>
      </c>
      <c r="G539" t="inlineStr">
        <is>
          <t>-</t>
        </is>
      </c>
      <c r="H539" s="2" t="inlineStr">
        <is>
          <t>11:00</t>
        </is>
      </c>
      <c r="I539" t="inlineStr">
        <is>
          <t>,000000000</t>
        </is>
      </c>
      <c r="J539" t="inlineStr">
        <is>
          <t>,000000000</t>
        </is>
      </c>
      <c r="K539" t="inlineStr">
        <is>
          <t>,000000000</t>
        </is>
      </c>
      <c r="L539" t="inlineStr">
        <is>
          <t>,000000000</t>
        </is>
      </c>
      <c r="M539" t="inlineStr">
        <is>
          <t>,000000000</t>
        </is>
      </c>
      <c r="N539" t="inlineStr">
        <is>
          <t>,000000000</t>
        </is>
      </c>
      <c r="O539" t="inlineStr">
        <is>
          <t>,000000000</t>
        </is>
      </c>
      <c r="P539" t="inlineStr">
        <is>
          <t>,000000000</t>
        </is>
      </c>
      <c r="Q539" t="inlineStr">
        <is>
          <t>,000000000</t>
        </is>
      </c>
      <c r="R539" t="inlineStr">
        <is>
          <t>,000000000</t>
        </is>
      </c>
      <c r="S539" t="inlineStr">
        <is>
          <t>,000000000</t>
        </is>
      </c>
      <c r="T539" t="inlineStr">
        <is>
          <t>,000000000</t>
        </is>
      </c>
      <c r="U539" t="inlineStr">
        <is>
          <t>,000000000</t>
        </is>
      </c>
      <c r="V539" t="inlineStr">
        <is>
          <t>,000000000</t>
        </is>
      </c>
      <c r="W539" t="inlineStr">
        <is>
          <t>,000000000</t>
        </is>
      </c>
      <c r="X539" t="inlineStr">
        <is>
          <t>,000000000</t>
        </is>
      </c>
      <c r="Y539" t="inlineStr">
        <is>
          <t>,000000000</t>
        </is>
      </c>
      <c r="Z539" t="inlineStr">
        <is>
          <t>,000000000</t>
        </is>
      </c>
      <c r="AA539" t="inlineStr">
        <is>
          <t>,000000000</t>
        </is>
      </c>
      <c r="AB539" t="inlineStr">
        <is>
          <t>0</t>
        </is>
      </c>
      <c r="AC539" t="inlineStr">
        <is>
          <t>0</t>
        </is>
      </c>
      <c r="AD539" s="3">
        <f>UPPER(C3)</f>
        <v/>
      </c>
      <c r="AE539" s="3">
        <f>VLOOKUP(E3,'[1]Nómina Agentes'!$C:$D,3,0)</f>
        <v/>
      </c>
      <c r="AF539" s="5">
        <f>F3</f>
        <v/>
      </c>
      <c r="AG539" s="5">
        <f>H3</f>
        <v/>
      </c>
    </row>
    <row r="540">
      <c r="A540" s="1" t="inlineStr">
        <is>
          <t>9/10/2024</t>
        </is>
      </c>
      <c r="B540" t="inlineStr">
        <is>
          <t>924</t>
        </is>
      </c>
      <c r="C540" t="inlineStr">
        <is>
          <t>S2S No Premium</t>
        </is>
      </c>
      <c r="D540" t="inlineStr">
        <is>
          <t>X*N2m_BernacheaAriel</t>
        </is>
      </c>
      <c r="E540" t="inlineStr">
        <is>
          <t>663273</t>
        </is>
      </c>
      <c r="F540" s="2" t="inlineStr">
        <is>
          <t>06:00</t>
        </is>
      </c>
      <c r="G540" t="inlineStr">
        <is>
          <t>-</t>
        </is>
      </c>
      <c r="H540" s="2" t="inlineStr">
        <is>
          <t>06:30</t>
        </is>
      </c>
      <c r="I540" t="inlineStr">
        <is>
          <t>,000000000</t>
        </is>
      </c>
      <c r="J540" t="inlineStr">
        <is>
          <t>,000000000</t>
        </is>
      </c>
      <c r="K540" t="inlineStr">
        <is>
          <t>,000000000</t>
        </is>
      </c>
      <c r="L540" t="inlineStr">
        <is>
          <t>,000000000</t>
        </is>
      </c>
      <c r="M540" t="inlineStr">
        <is>
          <t>,000000000</t>
        </is>
      </c>
      <c r="N540" t="inlineStr">
        <is>
          <t>,000000000</t>
        </is>
      </c>
      <c r="O540" t="inlineStr">
        <is>
          <t>,000000000</t>
        </is>
      </c>
      <c r="P540" t="inlineStr">
        <is>
          <t>,000000000</t>
        </is>
      </c>
      <c r="Q540" t="inlineStr">
        <is>
          <t>,000000000</t>
        </is>
      </c>
      <c r="R540" t="inlineStr">
        <is>
          <t>,000000000</t>
        </is>
      </c>
      <c r="S540" t="inlineStr">
        <is>
          <t>,000000000</t>
        </is>
      </c>
      <c r="T540" t="inlineStr">
        <is>
          <t>,000000000</t>
        </is>
      </c>
      <c r="U540" t="inlineStr">
        <is>
          <t>,000000000</t>
        </is>
      </c>
      <c r="V540" t="inlineStr">
        <is>
          <t>,000000000</t>
        </is>
      </c>
      <c r="W540" t="inlineStr">
        <is>
          <t>,000000000</t>
        </is>
      </c>
      <c r="X540" t="inlineStr">
        <is>
          <t>,000000000</t>
        </is>
      </c>
      <c r="Y540" t="inlineStr">
        <is>
          <t>,000000000</t>
        </is>
      </c>
      <c r="Z540" t="inlineStr">
        <is>
          <t>,000000000</t>
        </is>
      </c>
      <c r="AA540" t="inlineStr">
        <is>
          <t>,000000000</t>
        </is>
      </c>
      <c r="AB540" t="inlineStr">
        <is>
          <t>0</t>
        </is>
      </c>
      <c r="AC540" t="inlineStr">
        <is>
          <t>0</t>
        </is>
      </c>
      <c r="AD540" s="3">
        <f>UPPER(C3)</f>
        <v/>
      </c>
      <c r="AE540" s="3">
        <f>VLOOKUP(E3,'[1]Nómina Agentes'!$C:$D,3,0)</f>
        <v/>
      </c>
      <c r="AF540" s="5">
        <f>F3</f>
        <v/>
      </c>
      <c r="AG540" s="5">
        <f>H3</f>
        <v/>
      </c>
    </row>
    <row r="541">
      <c r="A541" s="1" t="inlineStr">
        <is>
          <t>9/10/2024</t>
        </is>
      </c>
      <c r="B541" t="inlineStr">
        <is>
          <t>924</t>
        </is>
      </c>
      <c r="C541" t="inlineStr">
        <is>
          <t>S2S No Premium</t>
        </is>
      </c>
      <c r="D541" t="inlineStr">
        <is>
          <t>X*N2m_BernacheaAriel</t>
        </is>
      </c>
      <c r="E541" t="inlineStr">
        <is>
          <t>663273</t>
        </is>
      </c>
      <c r="F541" s="2" t="inlineStr">
        <is>
          <t>06:30</t>
        </is>
      </c>
      <c r="G541" t="inlineStr">
        <is>
          <t>-</t>
        </is>
      </c>
      <c r="H541" s="2" t="inlineStr">
        <is>
          <t>07:00</t>
        </is>
      </c>
      <c r="I541" t="inlineStr">
        <is>
          <t>,000000000</t>
        </is>
      </c>
      <c r="J541" t="inlineStr">
        <is>
          <t>,000000000</t>
        </is>
      </c>
      <c r="K541" t="inlineStr">
        <is>
          <t>,000000000</t>
        </is>
      </c>
      <c r="L541" t="inlineStr">
        <is>
          <t>,000000000</t>
        </is>
      </c>
      <c r="M541" t="inlineStr">
        <is>
          <t>,000000000</t>
        </is>
      </c>
      <c r="N541" t="inlineStr">
        <is>
          <t>,000000000</t>
        </is>
      </c>
      <c r="O541" t="inlineStr">
        <is>
          <t>,000000000</t>
        </is>
      </c>
      <c r="P541" t="inlineStr">
        <is>
          <t>,000000000</t>
        </is>
      </c>
      <c r="Q541" t="inlineStr">
        <is>
          <t>,000000000</t>
        </is>
      </c>
      <c r="R541" t="inlineStr">
        <is>
          <t>,000000000</t>
        </is>
      </c>
      <c r="S541" t="inlineStr">
        <is>
          <t>,000000000</t>
        </is>
      </c>
      <c r="T541" t="inlineStr">
        <is>
          <t>,000000000</t>
        </is>
      </c>
      <c r="U541" t="inlineStr">
        <is>
          <t>,000000000</t>
        </is>
      </c>
      <c r="V541" t="inlineStr">
        <is>
          <t>,000000000</t>
        </is>
      </c>
      <c r="W541" t="inlineStr">
        <is>
          <t>,000000000</t>
        </is>
      </c>
      <c r="X541" t="inlineStr">
        <is>
          <t>,000000000</t>
        </is>
      </c>
      <c r="Y541" t="inlineStr">
        <is>
          <t>,000000000</t>
        </is>
      </c>
      <c r="Z541" t="inlineStr">
        <is>
          <t>,000000000</t>
        </is>
      </c>
      <c r="AA541" t="inlineStr">
        <is>
          <t>,000000000</t>
        </is>
      </c>
      <c r="AB541" t="inlineStr">
        <is>
          <t>0</t>
        </is>
      </c>
      <c r="AC541" t="inlineStr">
        <is>
          <t>0</t>
        </is>
      </c>
      <c r="AD541" s="3">
        <f>UPPER(C3)</f>
        <v/>
      </c>
      <c r="AE541" s="3">
        <f>VLOOKUP(E3,'[1]Nómina Agentes'!$C:$D,3,0)</f>
        <v/>
      </c>
      <c r="AF541" s="5">
        <f>F3</f>
        <v/>
      </c>
      <c r="AG541" s="5">
        <f>H3</f>
        <v/>
      </c>
    </row>
    <row r="542">
      <c r="A542" s="1" t="inlineStr">
        <is>
          <t>9/10/2024</t>
        </is>
      </c>
      <c r="B542" t="inlineStr">
        <is>
          <t>924</t>
        </is>
      </c>
      <c r="C542" t="inlineStr">
        <is>
          <t>S2S No Premium</t>
        </is>
      </c>
      <c r="D542" t="inlineStr">
        <is>
          <t>X*N2m_BernacheaAriel</t>
        </is>
      </c>
      <c r="E542" t="inlineStr">
        <is>
          <t>663273</t>
        </is>
      </c>
      <c r="F542" s="2" t="inlineStr">
        <is>
          <t>10:00</t>
        </is>
      </c>
      <c r="G542" t="inlineStr">
        <is>
          <t>-</t>
        </is>
      </c>
      <c r="H542" s="2" t="inlineStr">
        <is>
          <t>10:30</t>
        </is>
      </c>
      <c r="I542" t="inlineStr">
        <is>
          <t>,000000000</t>
        </is>
      </c>
      <c r="J542" t="inlineStr">
        <is>
          <t>,000000000</t>
        </is>
      </c>
      <c r="K542" t="inlineStr">
        <is>
          <t>,000000000</t>
        </is>
      </c>
      <c r="L542" t="inlineStr">
        <is>
          <t>,000000000</t>
        </is>
      </c>
      <c r="M542" t="inlineStr">
        <is>
          <t>,000000000</t>
        </is>
      </c>
      <c r="N542" t="inlineStr">
        <is>
          <t>,000000000</t>
        </is>
      </c>
      <c r="O542" t="inlineStr">
        <is>
          <t>,000000000</t>
        </is>
      </c>
      <c r="P542" t="inlineStr">
        <is>
          <t>,000000000</t>
        </is>
      </c>
      <c r="Q542" t="inlineStr">
        <is>
          <t>,000000000</t>
        </is>
      </c>
      <c r="R542" t="inlineStr">
        <is>
          <t>,000000000</t>
        </is>
      </c>
      <c r="S542" t="inlineStr">
        <is>
          <t>,000000000</t>
        </is>
      </c>
      <c r="T542" t="inlineStr">
        <is>
          <t>,000000000</t>
        </is>
      </c>
      <c r="U542" t="inlineStr">
        <is>
          <t>,000000000</t>
        </is>
      </c>
      <c r="V542" t="inlineStr">
        <is>
          <t>,000000000</t>
        </is>
      </c>
      <c r="W542" t="inlineStr">
        <is>
          <t>,000000000</t>
        </is>
      </c>
      <c r="X542" t="inlineStr">
        <is>
          <t>,000000000</t>
        </is>
      </c>
      <c r="Y542" t="inlineStr">
        <is>
          <t>,000000000</t>
        </is>
      </c>
      <c r="Z542" t="inlineStr">
        <is>
          <t>,000000000</t>
        </is>
      </c>
      <c r="AA542" t="inlineStr">
        <is>
          <t>,000000000</t>
        </is>
      </c>
      <c r="AB542" t="inlineStr">
        <is>
          <t>0</t>
        </is>
      </c>
      <c r="AC542" t="inlineStr">
        <is>
          <t>0</t>
        </is>
      </c>
      <c r="AD542" s="3">
        <f>UPPER(C3)</f>
        <v/>
      </c>
      <c r="AE542" s="3">
        <f>VLOOKUP(E3,'[1]Nómina Agentes'!$C:$D,3,0)</f>
        <v/>
      </c>
      <c r="AF542" s="5">
        <f>F3</f>
        <v/>
      </c>
      <c r="AG542" s="5">
        <f>H3</f>
        <v/>
      </c>
    </row>
    <row r="543">
      <c r="A543" s="1" t="inlineStr">
        <is>
          <t>9/10/2024</t>
        </is>
      </c>
      <c r="B543" t="inlineStr">
        <is>
          <t>924</t>
        </is>
      </c>
      <c r="C543" t="inlineStr">
        <is>
          <t>S2S No Premium</t>
        </is>
      </c>
      <c r="D543" t="inlineStr">
        <is>
          <t>X*N2m_BernacheaAriel</t>
        </is>
      </c>
      <c r="E543" t="inlineStr">
        <is>
          <t>663273</t>
        </is>
      </c>
      <c r="F543" s="2" t="inlineStr">
        <is>
          <t>08:30</t>
        </is>
      </c>
      <c r="G543" t="inlineStr">
        <is>
          <t>-</t>
        </is>
      </c>
      <c r="H543" s="2" t="inlineStr">
        <is>
          <t>09:00</t>
        </is>
      </c>
      <c r="I543" t="inlineStr">
        <is>
          <t>,000000000</t>
        </is>
      </c>
      <c r="J543" t="inlineStr">
        <is>
          <t>,000000000</t>
        </is>
      </c>
      <c r="K543" t="inlineStr">
        <is>
          <t>,000000000</t>
        </is>
      </c>
      <c r="L543" t="inlineStr">
        <is>
          <t>,000000000</t>
        </is>
      </c>
      <c r="M543" t="inlineStr">
        <is>
          <t>,000000000</t>
        </is>
      </c>
      <c r="N543" t="inlineStr">
        <is>
          <t>,000000000</t>
        </is>
      </c>
      <c r="O543" t="inlineStr">
        <is>
          <t>,000000000</t>
        </is>
      </c>
      <c r="P543" t="inlineStr">
        <is>
          <t>,000000000</t>
        </is>
      </c>
      <c r="Q543" t="inlineStr">
        <is>
          <t>,000000000</t>
        </is>
      </c>
      <c r="R543" t="inlineStr">
        <is>
          <t>,000000000</t>
        </is>
      </c>
      <c r="S543" t="inlineStr">
        <is>
          <t>,000000000</t>
        </is>
      </c>
      <c r="T543" t="inlineStr">
        <is>
          <t>,000000000</t>
        </is>
      </c>
      <c r="U543" t="inlineStr">
        <is>
          <t>,000000000</t>
        </is>
      </c>
      <c r="V543" t="inlineStr">
        <is>
          <t>,000000000</t>
        </is>
      </c>
      <c r="W543" t="inlineStr">
        <is>
          <t>,000000000</t>
        </is>
      </c>
      <c r="X543" t="inlineStr">
        <is>
          <t>,000000000</t>
        </is>
      </c>
      <c r="Y543" t="inlineStr">
        <is>
          <t>,000000000</t>
        </is>
      </c>
      <c r="Z543" t="inlineStr">
        <is>
          <t>,000000000</t>
        </is>
      </c>
      <c r="AA543" t="inlineStr">
        <is>
          <t>,000000000</t>
        </is>
      </c>
      <c r="AB543" t="inlineStr">
        <is>
          <t>0</t>
        </is>
      </c>
      <c r="AC543" t="inlineStr">
        <is>
          <t>0</t>
        </is>
      </c>
      <c r="AD543" s="3">
        <f>UPPER(C3)</f>
        <v/>
      </c>
      <c r="AE543" s="3">
        <f>VLOOKUP(E3,'[1]Nómina Agentes'!$C:$D,3,0)</f>
        <v/>
      </c>
      <c r="AF543" s="5">
        <f>F3</f>
        <v/>
      </c>
      <c r="AG543" s="5">
        <f>H3</f>
        <v/>
      </c>
    </row>
    <row r="544">
      <c r="A544" s="1" t="inlineStr">
        <is>
          <t>9/10/2024</t>
        </is>
      </c>
      <c r="B544" t="inlineStr">
        <is>
          <t>924</t>
        </is>
      </c>
      <c r="C544" t="inlineStr">
        <is>
          <t>S2S No Premium</t>
        </is>
      </c>
      <c r="D544" t="inlineStr">
        <is>
          <t>X*N2m_BernacheaAriel</t>
        </is>
      </c>
      <c r="E544" t="inlineStr">
        <is>
          <t>663273</t>
        </is>
      </c>
      <c r="F544" s="2" t="inlineStr">
        <is>
          <t>09:00</t>
        </is>
      </c>
      <c r="G544" t="inlineStr">
        <is>
          <t>-</t>
        </is>
      </c>
      <c r="H544" s="2" t="inlineStr">
        <is>
          <t>09:30</t>
        </is>
      </c>
      <c r="I544" t="inlineStr">
        <is>
          <t>,000000000</t>
        </is>
      </c>
      <c r="J544" t="inlineStr">
        <is>
          <t>,000000000</t>
        </is>
      </c>
      <c r="K544" t="inlineStr">
        <is>
          <t>,000000000</t>
        </is>
      </c>
      <c r="L544" t="inlineStr">
        <is>
          <t>,000000000</t>
        </is>
      </c>
      <c r="M544" t="inlineStr">
        <is>
          <t>,000000000</t>
        </is>
      </c>
      <c r="N544" t="inlineStr">
        <is>
          <t>,000000000</t>
        </is>
      </c>
      <c r="O544" t="inlineStr">
        <is>
          <t>,000000000</t>
        </is>
      </c>
      <c r="P544" t="inlineStr">
        <is>
          <t>,000000000</t>
        </is>
      </c>
      <c r="Q544" t="inlineStr">
        <is>
          <t>,000000000</t>
        </is>
      </c>
      <c r="R544" t="inlineStr">
        <is>
          <t>,000000000</t>
        </is>
      </c>
      <c r="S544" t="inlineStr">
        <is>
          <t>,000000000</t>
        </is>
      </c>
      <c r="T544" t="inlineStr">
        <is>
          <t>,000000000</t>
        </is>
      </c>
      <c r="U544" t="inlineStr">
        <is>
          <t>,000000000</t>
        </is>
      </c>
      <c r="V544" t="inlineStr">
        <is>
          <t>,000000000</t>
        </is>
      </c>
      <c r="W544" t="inlineStr">
        <is>
          <t>,000000000</t>
        </is>
      </c>
      <c r="X544" t="inlineStr">
        <is>
          <t>,000000000</t>
        </is>
      </c>
      <c r="Y544" t="inlineStr">
        <is>
          <t>,000000000</t>
        </is>
      </c>
      <c r="Z544" t="inlineStr">
        <is>
          <t>,000000000</t>
        </is>
      </c>
      <c r="AA544" t="inlineStr">
        <is>
          <t>,000000000</t>
        </is>
      </c>
      <c r="AB544" t="inlineStr">
        <is>
          <t>0</t>
        </is>
      </c>
      <c r="AC544" t="inlineStr">
        <is>
          <t>0</t>
        </is>
      </c>
      <c r="AD544" s="3">
        <f>UPPER(C3)</f>
        <v/>
      </c>
      <c r="AE544" s="3">
        <f>VLOOKUP(E3,'[1]Nómina Agentes'!$C:$D,3,0)</f>
        <v/>
      </c>
      <c r="AF544" s="5">
        <f>F3</f>
        <v/>
      </c>
      <c r="AG544" s="5">
        <f>H3</f>
        <v/>
      </c>
    </row>
    <row r="545">
      <c r="A545" s="1" t="inlineStr">
        <is>
          <t>9/10/2024</t>
        </is>
      </c>
      <c r="B545" t="inlineStr">
        <is>
          <t>924</t>
        </is>
      </c>
      <c r="C545" t="inlineStr">
        <is>
          <t>S2S No Premium</t>
        </is>
      </c>
      <c r="D545" t="inlineStr">
        <is>
          <t>X*N2m_BernacheaAriel</t>
        </is>
      </c>
      <c r="E545" t="inlineStr">
        <is>
          <t>663273</t>
        </is>
      </c>
      <c r="F545" s="2" t="inlineStr">
        <is>
          <t>07:00</t>
        </is>
      </c>
      <c r="G545" t="inlineStr">
        <is>
          <t>-</t>
        </is>
      </c>
      <c r="H545" s="2" t="inlineStr">
        <is>
          <t>07:30</t>
        </is>
      </c>
      <c r="I545" t="inlineStr">
        <is>
          <t>33,000000000</t>
        </is>
      </c>
      <c r="J545" t="inlineStr">
        <is>
          <t>,000000000</t>
        </is>
      </c>
      <c r="K545" t="inlineStr">
        <is>
          <t>,000000000</t>
        </is>
      </c>
      <c r="L545" t="inlineStr">
        <is>
          <t>3,000000000</t>
        </is>
      </c>
      <c r="M545" t="inlineStr">
        <is>
          <t>,000000000</t>
        </is>
      </c>
      <c r="N545" t="inlineStr">
        <is>
          <t>,000000000</t>
        </is>
      </c>
      <c r="O545" t="inlineStr">
        <is>
          <t>,000000000</t>
        </is>
      </c>
      <c r="P545" t="inlineStr">
        <is>
          <t>,000000000</t>
        </is>
      </c>
      <c r="Q545" t="inlineStr">
        <is>
          <t>,000000000</t>
        </is>
      </c>
      <c r="R545" t="inlineStr">
        <is>
          <t>,000000000</t>
        </is>
      </c>
      <c r="S545" t="inlineStr">
        <is>
          <t>,000000000</t>
        </is>
      </c>
      <c r="T545" t="inlineStr">
        <is>
          <t>,000000000</t>
        </is>
      </c>
      <c r="U545" t="inlineStr">
        <is>
          <t>,000000000</t>
        </is>
      </c>
      <c r="V545" t="inlineStr">
        <is>
          <t>,000000000</t>
        </is>
      </c>
      <c r="W545" t="inlineStr">
        <is>
          <t>,000000000</t>
        </is>
      </c>
      <c r="X545" t="inlineStr">
        <is>
          <t>,000000000</t>
        </is>
      </c>
      <c r="Y545" t="inlineStr">
        <is>
          <t>,000000000</t>
        </is>
      </c>
      <c r="Z545" t="inlineStr">
        <is>
          <t>,000000000</t>
        </is>
      </c>
      <c r="AA545" t="inlineStr">
        <is>
          <t>,000000000</t>
        </is>
      </c>
      <c r="AB545" t="inlineStr">
        <is>
          <t>0</t>
        </is>
      </c>
      <c r="AC545" t="inlineStr">
        <is>
          <t>0</t>
        </is>
      </c>
      <c r="AD545" s="3">
        <f>UPPER(C3)</f>
        <v/>
      </c>
      <c r="AE545" s="3">
        <f>VLOOKUP(E3,'[1]Nómina Agentes'!$C:$D,3,0)</f>
        <v/>
      </c>
      <c r="AF545" s="5">
        <f>F3</f>
        <v/>
      </c>
      <c r="AG545" s="5">
        <f>H3</f>
        <v/>
      </c>
    </row>
    <row r="546">
      <c r="A546" s="1" t="inlineStr">
        <is>
          <t>9/10/2024</t>
        </is>
      </c>
      <c r="B546" t="inlineStr">
        <is>
          <t>924</t>
        </is>
      </c>
      <c r="C546" t="inlineStr">
        <is>
          <t>S2S No Premium</t>
        </is>
      </c>
      <c r="D546" t="inlineStr">
        <is>
          <t>X*N2m_BernacheaAriel</t>
        </is>
      </c>
      <c r="E546" t="inlineStr">
        <is>
          <t>663273</t>
        </is>
      </c>
      <c r="F546" s="2" t="inlineStr">
        <is>
          <t>07:30</t>
        </is>
      </c>
      <c r="G546" t="inlineStr">
        <is>
          <t>-</t>
        </is>
      </c>
      <c r="H546" s="2" t="inlineStr">
        <is>
          <t>08:00</t>
        </is>
      </c>
      <c r="I546" t="inlineStr">
        <is>
          <t>95,000000000</t>
        </is>
      </c>
      <c r="J546" t="inlineStr">
        <is>
          <t>,000000000</t>
        </is>
      </c>
      <c r="K546" t="inlineStr">
        <is>
          <t>,000000000</t>
        </is>
      </c>
      <c r="L546" t="inlineStr">
        <is>
          <t>,000000000</t>
        </is>
      </c>
      <c r="M546" t="inlineStr">
        <is>
          <t>,000000000</t>
        </is>
      </c>
      <c r="N546" t="inlineStr">
        <is>
          <t>,000000000</t>
        </is>
      </c>
      <c r="O546" t="inlineStr">
        <is>
          <t>,000000000</t>
        </is>
      </c>
      <c r="P546" t="inlineStr">
        <is>
          <t>,000000000</t>
        </is>
      </c>
      <c r="Q546" t="inlineStr">
        <is>
          <t>,000000000</t>
        </is>
      </c>
      <c r="R546" t="inlineStr">
        <is>
          <t>,000000000</t>
        </is>
      </c>
      <c r="S546" t="inlineStr">
        <is>
          <t>,000000000</t>
        </is>
      </c>
      <c r="T546" t="inlineStr">
        <is>
          <t>,000000000</t>
        </is>
      </c>
      <c r="U546" t="inlineStr">
        <is>
          <t>,000000000</t>
        </is>
      </c>
      <c r="V546" t="inlineStr">
        <is>
          <t>,000000000</t>
        </is>
      </c>
      <c r="W546" t="inlineStr">
        <is>
          <t>,000000000</t>
        </is>
      </c>
      <c r="X546" t="inlineStr">
        <is>
          <t>,000000000</t>
        </is>
      </c>
      <c r="Y546" t="inlineStr">
        <is>
          <t>,000000000</t>
        </is>
      </c>
      <c r="Z546" t="inlineStr">
        <is>
          <t>,000000000</t>
        </is>
      </c>
      <c r="AA546" t="inlineStr">
        <is>
          <t>,000000000</t>
        </is>
      </c>
      <c r="AB546" t="inlineStr">
        <is>
          <t>1</t>
        </is>
      </c>
      <c r="AC546" t="inlineStr">
        <is>
          <t>1</t>
        </is>
      </c>
      <c r="AD546" s="3">
        <f>UPPER(C3)</f>
        <v/>
      </c>
      <c r="AE546" s="3">
        <f>VLOOKUP(E3,'[1]Nómina Agentes'!$C:$D,3,0)</f>
        <v/>
      </c>
      <c r="AF546" s="5">
        <f>F3</f>
        <v/>
      </c>
      <c r="AG546" s="5">
        <f>H3</f>
        <v/>
      </c>
    </row>
    <row r="547">
      <c r="A547" s="1" t="inlineStr">
        <is>
          <t>9/10/2024</t>
        </is>
      </c>
      <c r="B547" t="inlineStr">
        <is>
          <t>924</t>
        </is>
      </c>
      <c r="C547" t="inlineStr">
        <is>
          <t>S2S No Premium</t>
        </is>
      </c>
      <c r="D547" t="inlineStr">
        <is>
          <t>X*N2m_BernacheaAriel</t>
        </is>
      </c>
      <c r="E547" t="inlineStr">
        <is>
          <t>663273</t>
        </is>
      </c>
      <c r="F547" s="2" t="inlineStr">
        <is>
          <t>09:30</t>
        </is>
      </c>
      <c r="G547" t="inlineStr">
        <is>
          <t>-</t>
        </is>
      </c>
      <c r="H547" s="2" t="inlineStr">
        <is>
          <t>10:00</t>
        </is>
      </c>
      <c r="I547" t="inlineStr">
        <is>
          <t>454,000000000</t>
        </is>
      </c>
      <c r="J547" t="inlineStr">
        <is>
          <t>77,000000000</t>
        </is>
      </c>
      <c r="K547" t="inlineStr">
        <is>
          <t>,000000000</t>
        </is>
      </c>
      <c r="L547" t="inlineStr">
        <is>
          <t>8,000000000</t>
        </is>
      </c>
      <c r="M547" t="inlineStr">
        <is>
          <t>,000000000</t>
        </is>
      </c>
      <c r="N547" t="inlineStr">
        <is>
          <t>,000000000</t>
        </is>
      </c>
      <c r="O547" t="inlineStr">
        <is>
          <t>,000000000</t>
        </is>
      </c>
      <c r="P547" t="inlineStr">
        <is>
          <t>5,000000000</t>
        </is>
      </c>
      <c r="Q547" t="inlineStr">
        <is>
          <t>4,000000000</t>
        </is>
      </c>
      <c r="R547" t="inlineStr">
        <is>
          <t>,000000000</t>
        </is>
      </c>
      <c r="S547" t="inlineStr">
        <is>
          <t>,000000000</t>
        </is>
      </c>
      <c r="T547" t="inlineStr">
        <is>
          <t>,000000000</t>
        </is>
      </c>
      <c r="U547" t="inlineStr">
        <is>
          <t>,000000000</t>
        </is>
      </c>
      <c r="V547" t="inlineStr">
        <is>
          <t>,000000000</t>
        </is>
      </c>
      <c r="W547" t="inlineStr">
        <is>
          <t>,000000000</t>
        </is>
      </c>
      <c r="X547" t="inlineStr">
        <is>
          <t>,000000000</t>
        </is>
      </c>
      <c r="Y547" t="inlineStr">
        <is>
          <t>,000000000</t>
        </is>
      </c>
      <c r="Z547" t="inlineStr">
        <is>
          <t>,000000000</t>
        </is>
      </c>
      <c r="AA547" t="inlineStr">
        <is>
          <t>,000000000</t>
        </is>
      </c>
      <c r="AB547" t="inlineStr">
        <is>
          <t>2</t>
        </is>
      </c>
      <c r="AC547" t="inlineStr">
        <is>
          <t>1</t>
        </is>
      </c>
      <c r="AD547" s="3">
        <f>UPPER(C3)</f>
        <v/>
      </c>
      <c r="AE547" s="3">
        <f>VLOOKUP(E3,'[1]Nómina Agentes'!$C:$D,3,0)</f>
        <v/>
      </c>
      <c r="AF547" s="5">
        <f>F3</f>
        <v/>
      </c>
      <c r="AG547" s="5">
        <f>H3</f>
        <v/>
      </c>
    </row>
    <row r="548">
      <c r="A548" s="1" t="inlineStr">
        <is>
          <t>9/10/2024</t>
        </is>
      </c>
      <c r="B548" t="inlineStr">
        <is>
          <t>925</t>
        </is>
      </c>
      <c r="C548" t="inlineStr">
        <is>
          <t>S2S Premium</t>
        </is>
      </c>
      <c r="D548" t="inlineStr">
        <is>
          <t>DP_RamirezCinthia</t>
        </is>
      </c>
      <c r="E548" t="inlineStr">
        <is>
          <t>663278</t>
        </is>
      </c>
      <c r="F548" s="2" t="inlineStr">
        <is>
          <t>10:00</t>
        </is>
      </c>
      <c r="G548" t="inlineStr">
        <is>
          <t>-</t>
        </is>
      </c>
      <c r="H548" s="2" t="inlineStr">
        <is>
          <t>10:30</t>
        </is>
      </c>
      <c r="I548" t="inlineStr">
        <is>
          <t>,000000000</t>
        </is>
      </c>
      <c r="J548" t="inlineStr">
        <is>
          <t>,000000000</t>
        </is>
      </c>
      <c r="K548" t="inlineStr">
        <is>
          <t>,000000000</t>
        </is>
      </c>
      <c r="L548" t="inlineStr">
        <is>
          <t>,000000000</t>
        </is>
      </c>
      <c r="M548" t="inlineStr">
        <is>
          <t>,000000000</t>
        </is>
      </c>
      <c r="N548" t="inlineStr">
        <is>
          <t>,000000000</t>
        </is>
      </c>
      <c r="O548" t="inlineStr">
        <is>
          <t>,000000000</t>
        </is>
      </c>
      <c r="P548" t="inlineStr">
        <is>
          <t>,000000000</t>
        </is>
      </c>
      <c r="Q548" t="inlineStr">
        <is>
          <t>,000000000</t>
        </is>
      </c>
      <c r="R548" t="inlineStr">
        <is>
          <t>,000000000</t>
        </is>
      </c>
      <c r="S548" t="inlineStr">
        <is>
          <t>,000000000</t>
        </is>
      </c>
      <c r="T548" t="inlineStr">
        <is>
          <t>,000000000</t>
        </is>
      </c>
      <c r="U548" t="inlineStr">
        <is>
          <t>,000000000</t>
        </is>
      </c>
      <c r="V548" t="inlineStr">
        <is>
          <t>,000000000</t>
        </is>
      </c>
      <c r="W548" t="inlineStr">
        <is>
          <t>,000000000</t>
        </is>
      </c>
      <c r="X548" t="inlineStr">
        <is>
          <t>,000000000</t>
        </is>
      </c>
      <c r="Y548" t="inlineStr">
        <is>
          <t>,000000000</t>
        </is>
      </c>
      <c r="Z548" t="inlineStr">
        <is>
          <t>,000000000</t>
        </is>
      </c>
      <c r="AA548" t="inlineStr">
        <is>
          <t>,000000000</t>
        </is>
      </c>
      <c r="AB548" t="inlineStr">
        <is>
          <t>0</t>
        </is>
      </c>
      <c r="AC548" t="inlineStr">
        <is>
          <t>0</t>
        </is>
      </c>
      <c r="AD548" s="3">
        <f>UPPER(C3)</f>
        <v/>
      </c>
      <c r="AE548" s="3">
        <f>VLOOKUP(E3,'[1]Nómina Agentes'!$C:$D,3,0)</f>
        <v/>
      </c>
      <c r="AF548" s="5">
        <f>F3</f>
        <v/>
      </c>
      <c r="AG548" s="5">
        <f>H3</f>
        <v/>
      </c>
    </row>
    <row r="549">
      <c r="A549" s="1" t="inlineStr">
        <is>
          <t>9/10/2024</t>
        </is>
      </c>
      <c r="B549" t="inlineStr">
        <is>
          <t>925</t>
        </is>
      </c>
      <c r="C549" t="inlineStr">
        <is>
          <t>S2S Premium</t>
        </is>
      </c>
      <c r="D549" t="inlineStr">
        <is>
          <t>DP_RamirezCinthia</t>
        </is>
      </c>
      <c r="E549" t="inlineStr">
        <is>
          <t>663278</t>
        </is>
      </c>
      <c r="F549" s="2" t="inlineStr">
        <is>
          <t>09:00</t>
        </is>
      </c>
      <c r="G549" t="inlineStr">
        <is>
          <t>-</t>
        </is>
      </c>
      <c r="H549" s="2" t="inlineStr">
        <is>
          <t>09:30</t>
        </is>
      </c>
      <c r="I549" t="inlineStr">
        <is>
          <t>,000000000</t>
        </is>
      </c>
      <c r="J549" t="inlineStr">
        <is>
          <t>,000000000</t>
        </is>
      </c>
      <c r="K549" t="inlineStr">
        <is>
          <t>,000000000</t>
        </is>
      </c>
      <c r="L549" t="inlineStr">
        <is>
          <t>,000000000</t>
        </is>
      </c>
      <c r="M549" t="inlineStr">
        <is>
          <t>,000000000</t>
        </is>
      </c>
      <c r="N549" t="inlineStr">
        <is>
          <t>,000000000</t>
        </is>
      </c>
      <c r="O549" t="inlineStr">
        <is>
          <t>,000000000</t>
        </is>
      </c>
      <c r="P549" t="inlineStr">
        <is>
          <t>,000000000</t>
        </is>
      </c>
      <c r="Q549" t="inlineStr">
        <is>
          <t>,000000000</t>
        </is>
      </c>
      <c r="R549" t="inlineStr">
        <is>
          <t>,000000000</t>
        </is>
      </c>
      <c r="S549" t="inlineStr">
        <is>
          <t>,000000000</t>
        </is>
      </c>
      <c r="T549" t="inlineStr">
        <is>
          <t>,000000000</t>
        </is>
      </c>
      <c r="U549" t="inlineStr">
        <is>
          <t>,000000000</t>
        </is>
      </c>
      <c r="V549" t="inlineStr">
        <is>
          <t>,000000000</t>
        </is>
      </c>
      <c r="W549" t="inlineStr">
        <is>
          <t>,000000000</t>
        </is>
      </c>
      <c r="X549" t="inlineStr">
        <is>
          <t>,000000000</t>
        </is>
      </c>
      <c r="Y549" t="inlineStr">
        <is>
          <t>,000000000</t>
        </is>
      </c>
      <c r="Z549" t="inlineStr">
        <is>
          <t>,000000000</t>
        </is>
      </c>
      <c r="AA549" t="inlineStr">
        <is>
          <t>,000000000</t>
        </is>
      </c>
      <c r="AB549" t="inlineStr">
        <is>
          <t>0</t>
        </is>
      </c>
      <c r="AC549" t="inlineStr">
        <is>
          <t>0</t>
        </is>
      </c>
      <c r="AD549" s="3">
        <f>UPPER(C3)</f>
        <v/>
      </c>
      <c r="AE549" s="3">
        <f>VLOOKUP(E3,'[1]Nómina Agentes'!$C:$D,3,0)</f>
        <v/>
      </c>
      <c r="AF549" s="5">
        <f>F3</f>
        <v/>
      </c>
      <c r="AG549" s="5">
        <f>H3</f>
        <v/>
      </c>
    </row>
    <row r="550">
      <c r="A550" s="1" t="inlineStr">
        <is>
          <t>9/10/2024</t>
        </is>
      </c>
      <c r="B550" t="inlineStr">
        <is>
          <t>925</t>
        </is>
      </c>
      <c r="C550" t="inlineStr">
        <is>
          <t>S2S Premium</t>
        </is>
      </c>
      <c r="D550" t="inlineStr">
        <is>
          <t>DP_RamirezCinthia</t>
        </is>
      </c>
      <c r="E550" t="inlineStr">
        <is>
          <t>663278</t>
        </is>
      </c>
      <c r="F550" s="2" t="inlineStr">
        <is>
          <t>08:00</t>
        </is>
      </c>
      <c r="G550" t="inlineStr">
        <is>
          <t>-</t>
        </is>
      </c>
      <c r="H550" s="2" t="inlineStr">
        <is>
          <t>08:30</t>
        </is>
      </c>
      <c r="I550" t="inlineStr">
        <is>
          <t>,000000000</t>
        </is>
      </c>
      <c r="J550" t="inlineStr">
        <is>
          <t>,000000000</t>
        </is>
      </c>
      <c r="K550" t="inlineStr">
        <is>
          <t>,000000000</t>
        </is>
      </c>
      <c r="L550" t="inlineStr">
        <is>
          <t>,000000000</t>
        </is>
      </c>
      <c r="M550" t="inlineStr">
        <is>
          <t>,000000000</t>
        </is>
      </c>
      <c r="N550" t="inlineStr">
        <is>
          <t>,000000000</t>
        </is>
      </c>
      <c r="O550" t="inlineStr">
        <is>
          <t>,000000000</t>
        </is>
      </c>
      <c r="P550" t="inlineStr">
        <is>
          <t>,000000000</t>
        </is>
      </c>
      <c r="Q550" t="inlineStr">
        <is>
          <t>,000000000</t>
        </is>
      </c>
      <c r="R550" t="inlineStr">
        <is>
          <t>,000000000</t>
        </is>
      </c>
      <c r="S550" t="inlineStr">
        <is>
          <t>,000000000</t>
        </is>
      </c>
      <c r="T550" t="inlineStr">
        <is>
          <t>,000000000</t>
        </is>
      </c>
      <c r="U550" t="inlineStr">
        <is>
          <t>,000000000</t>
        </is>
      </c>
      <c r="V550" t="inlineStr">
        <is>
          <t>,000000000</t>
        </is>
      </c>
      <c r="W550" t="inlineStr">
        <is>
          <t>,000000000</t>
        </is>
      </c>
      <c r="X550" t="inlineStr">
        <is>
          <t>,000000000</t>
        </is>
      </c>
      <c r="Y550" t="inlineStr">
        <is>
          <t>,000000000</t>
        </is>
      </c>
      <c r="Z550" t="inlineStr">
        <is>
          <t>,000000000</t>
        </is>
      </c>
      <c r="AA550" t="inlineStr">
        <is>
          <t>,000000000</t>
        </is>
      </c>
      <c r="AB550" t="inlineStr">
        <is>
          <t>0</t>
        </is>
      </c>
      <c r="AC550" t="inlineStr">
        <is>
          <t>0</t>
        </is>
      </c>
      <c r="AD550" s="3">
        <f>UPPER(C3)</f>
        <v/>
      </c>
      <c r="AE550" s="3">
        <f>VLOOKUP(E3,'[1]Nómina Agentes'!$C:$D,3,0)</f>
        <v/>
      </c>
      <c r="AF550" s="5">
        <f>F3</f>
        <v/>
      </c>
      <c r="AG550" s="5">
        <f>H3</f>
        <v/>
      </c>
    </row>
    <row r="551">
      <c r="A551" s="1" t="inlineStr">
        <is>
          <t>9/10/2024</t>
        </is>
      </c>
      <c r="B551" t="inlineStr">
        <is>
          <t>925</t>
        </is>
      </c>
      <c r="C551" t="inlineStr">
        <is>
          <t>S2S Premium</t>
        </is>
      </c>
      <c r="D551" t="inlineStr">
        <is>
          <t>DP_RamirezCinthia</t>
        </is>
      </c>
      <c r="E551" t="inlineStr">
        <is>
          <t>663278</t>
        </is>
      </c>
      <c r="F551" s="2" t="inlineStr">
        <is>
          <t>10:30</t>
        </is>
      </c>
      <c r="G551" t="inlineStr">
        <is>
          <t>-</t>
        </is>
      </c>
      <c r="H551" s="2" t="inlineStr">
        <is>
          <t>11:00</t>
        </is>
      </c>
      <c r="I551" t="inlineStr">
        <is>
          <t>96,000000000</t>
        </is>
      </c>
      <c r="J551" t="inlineStr">
        <is>
          <t>,000000000</t>
        </is>
      </c>
      <c r="K551" t="inlineStr">
        <is>
          <t>,000000000</t>
        </is>
      </c>
      <c r="L551" t="inlineStr">
        <is>
          <t>4,000000000</t>
        </is>
      </c>
      <c r="M551" t="inlineStr">
        <is>
          <t>,000000000</t>
        </is>
      </c>
      <c r="N551" t="inlineStr">
        <is>
          <t>,000000000</t>
        </is>
      </c>
      <c r="O551" t="inlineStr">
        <is>
          <t>,000000000</t>
        </is>
      </c>
      <c r="P551" t="inlineStr">
        <is>
          <t>,000000000</t>
        </is>
      </c>
      <c r="Q551" t="inlineStr">
        <is>
          <t>,000000000</t>
        </is>
      </c>
      <c r="R551" t="inlineStr">
        <is>
          <t>,000000000</t>
        </is>
      </c>
      <c r="S551" t="inlineStr">
        <is>
          <t>,000000000</t>
        </is>
      </c>
      <c r="T551" t="inlineStr">
        <is>
          <t>,000000000</t>
        </is>
      </c>
      <c r="U551" t="inlineStr">
        <is>
          <t>,000000000</t>
        </is>
      </c>
      <c r="V551" t="inlineStr">
        <is>
          <t>,000000000</t>
        </is>
      </c>
      <c r="W551" t="inlineStr">
        <is>
          <t>,000000000</t>
        </is>
      </c>
      <c r="X551" t="inlineStr">
        <is>
          <t>,000000000</t>
        </is>
      </c>
      <c r="Y551" t="inlineStr">
        <is>
          <t>,000000000</t>
        </is>
      </c>
      <c r="Z551" t="inlineStr">
        <is>
          <t>,000000000</t>
        </is>
      </c>
      <c r="AA551" t="inlineStr">
        <is>
          <t>,000000000</t>
        </is>
      </c>
      <c r="AB551" t="inlineStr">
        <is>
          <t>1</t>
        </is>
      </c>
      <c r="AC551" t="inlineStr">
        <is>
          <t>1</t>
        </is>
      </c>
      <c r="AD551" s="3">
        <f>UPPER(C3)</f>
        <v/>
      </c>
      <c r="AE551" s="3">
        <f>VLOOKUP(E3,'[1]Nómina Agentes'!$C:$D,3,0)</f>
        <v/>
      </c>
      <c r="AF551" s="5">
        <f>F3</f>
        <v/>
      </c>
      <c r="AG551" s="5">
        <f>H3</f>
        <v/>
      </c>
    </row>
    <row r="552">
      <c r="A552" s="1" t="inlineStr">
        <is>
          <t>9/10/2024</t>
        </is>
      </c>
      <c r="B552" t="inlineStr">
        <is>
          <t>925</t>
        </is>
      </c>
      <c r="C552" t="inlineStr">
        <is>
          <t>S2S Premium</t>
        </is>
      </c>
      <c r="D552" t="inlineStr">
        <is>
          <t>DP_RamirezCinthia</t>
        </is>
      </c>
      <c r="E552" t="inlineStr">
        <is>
          <t>663278</t>
        </is>
      </c>
      <c r="F552" s="2" t="inlineStr">
        <is>
          <t>08:30</t>
        </is>
      </c>
      <c r="G552" t="inlineStr">
        <is>
          <t>-</t>
        </is>
      </c>
      <c r="H552" s="2" t="inlineStr">
        <is>
          <t>09:00</t>
        </is>
      </c>
      <c r="I552" t="inlineStr">
        <is>
          <t>113,000000000</t>
        </is>
      </c>
      <c r="J552" t="inlineStr">
        <is>
          <t>,000000000</t>
        </is>
      </c>
      <c r="K552" t="inlineStr">
        <is>
          <t>,000000000</t>
        </is>
      </c>
      <c r="L552" t="inlineStr">
        <is>
          <t>4,000000000</t>
        </is>
      </c>
      <c r="M552" t="inlineStr">
        <is>
          <t>,000000000</t>
        </is>
      </c>
      <c r="N552" t="inlineStr">
        <is>
          <t>,000000000</t>
        </is>
      </c>
      <c r="O552" t="inlineStr">
        <is>
          <t>,000000000</t>
        </is>
      </c>
      <c r="P552" t="inlineStr">
        <is>
          <t>,000000000</t>
        </is>
      </c>
      <c r="Q552" t="inlineStr">
        <is>
          <t>,000000000</t>
        </is>
      </c>
      <c r="R552" t="inlineStr">
        <is>
          <t>,000000000</t>
        </is>
      </c>
      <c r="S552" t="inlineStr">
        <is>
          <t>,000000000</t>
        </is>
      </c>
      <c r="T552" t="inlineStr">
        <is>
          <t>,000000000</t>
        </is>
      </c>
      <c r="U552" t="inlineStr">
        <is>
          <t>,000000000</t>
        </is>
      </c>
      <c r="V552" t="inlineStr">
        <is>
          <t>,000000000</t>
        </is>
      </c>
      <c r="W552" t="inlineStr">
        <is>
          <t>,000000000</t>
        </is>
      </c>
      <c r="X552" t="inlineStr">
        <is>
          <t>,000000000</t>
        </is>
      </c>
      <c r="Y552" t="inlineStr">
        <is>
          <t>,000000000</t>
        </is>
      </c>
      <c r="Z552" t="inlineStr">
        <is>
          <t>,000000000</t>
        </is>
      </c>
      <c r="AA552" t="inlineStr">
        <is>
          <t>,000000000</t>
        </is>
      </c>
      <c r="AB552" t="inlineStr">
        <is>
          <t>1</t>
        </is>
      </c>
      <c r="AC552" t="inlineStr">
        <is>
          <t>1</t>
        </is>
      </c>
      <c r="AD552" s="3">
        <f>UPPER(C3)</f>
        <v/>
      </c>
      <c r="AE552" s="3">
        <f>VLOOKUP(E3,'[1]Nómina Agentes'!$C:$D,3,0)</f>
        <v/>
      </c>
      <c r="AF552" s="5">
        <f>F3</f>
        <v/>
      </c>
      <c r="AG552" s="5">
        <f>H3</f>
        <v/>
      </c>
    </row>
    <row r="553">
      <c r="A553" s="1" t="inlineStr">
        <is>
          <t>9/10/2024</t>
        </is>
      </c>
      <c r="B553" t="inlineStr">
        <is>
          <t>925</t>
        </is>
      </c>
      <c r="C553" t="inlineStr">
        <is>
          <t>S2S Premium</t>
        </is>
      </c>
      <c r="D553" t="inlineStr">
        <is>
          <t>DP_RamirezCinthia</t>
        </is>
      </c>
      <c r="E553" t="inlineStr">
        <is>
          <t>663278</t>
        </is>
      </c>
      <c r="F553" s="2" t="inlineStr">
        <is>
          <t>09:30</t>
        </is>
      </c>
      <c r="G553" t="inlineStr">
        <is>
          <t>-</t>
        </is>
      </c>
      <c r="H553" s="2" t="inlineStr">
        <is>
          <t>10:00</t>
        </is>
      </c>
      <c r="I553" t="inlineStr">
        <is>
          <t>343,000000000</t>
        </is>
      </c>
      <c r="J553" t="inlineStr">
        <is>
          <t>,000000000</t>
        </is>
      </c>
      <c r="K553" t="inlineStr">
        <is>
          <t>,000000000</t>
        </is>
      </c>
      <c r="L553" t="inlineStr">
        <is>
          <t>4,000000000</t>
        </is>
      </c>
      <c r="M553" t="inlineStr">
        <is>
          <t>,000000000</t>
        </is>
      </c>
      <c r="N553" t="inlineStr">
        <is>
          <t>,000000000</t>
        </is>
      </c>
      <c r="O553" t="inlineStr">
        <is>
          <t>,000000000</t>
        </is>
      </c>
      <c r="P553" t="inlineStr">
        <is>
          <t>,000000000</t>
        </is>
      </c>
      <c r="Q553" t="inlineStr">
        <is>
          <t>,000000000</t>
        </is>
      </c>
      <c r="R553" t="inlineStr">
        <is>
          <t>,000000000</t>
        </is>
      </c>
      <c r="S553" t="inlineStr">
        <is>
          <t>,000000000</t>
        </is>
      </c>
      <c r="T553" t="inlineStr">
        <is>
          <t>,000000000</t>
        </is>
      </c>
      <c r="U553" t="inlineStr">
        <is>
          <t>,000000000</t>
        </is>
      </c>
      <c r="V553" t="inlineStr">
        <is>
          <t>,000000000</t>
        </is>
      </c>
      <c r="W553" t="inlineStr">
        <is>
          <t>,000000000</t>
        </is>
      </c>
      <c r="X553" t="inlineStr">
        <is>
          <t>,000000000</t>
        </is>
      </c>
      <c r="Y553" t="inlineStr">
        <is>
          <t>,000000000</t>
        </is>
      </c>
      <c r="Z553" t="inlineStr">
        <is>
          <t>,000000000</t>
        </is>
      </c>
      <c r="AA553" t="inlineStr">
        <is>
          <t>,000000000</t>
        </is>
      </c>
      <c r="AB553" t="inlineStr">
        <is>
          <t>1</t>
        </is>
      </c>
      <c r="AC553" t="inlineStr">
        <is>
          <t>1</t>
        </is>
      </c>
      <c r="AD553" s="3">
        <f>UPPER(C3)</f>
        <v/>
      </c>
      <c r="AE553" s="3">
        <f>VLOOKUP(E3,'[1]Nómina Agentes'!$C:$D,3,0)</f>
        <v/>
      </c>
      <c r="AF553" s="5">
        <f>F3</f>
        <v/>
      </c>
      <c r="AG553" s="5">
        <f>H3</f>
        <v/>
      </c>
    </row>
    <row r="554">
      <c r="A554" s="1" t="inlineStr">
        <is>
          <t>9/10/2024</t>
        </is>
      </c>
      <c r="B554" t="inlineStr">
        <is>
          <t>925</t>
        </is>
      </c>
      <c r="C554" t="inlineStr">
        <is>
          <t>S2S Premium</t>
        </is>
      </c>
      <c r="D554" t="inlineStr">
        <is>
          <t>DPCC_Rocio Sanchez</t>
        </is>
      </c>
      <c r="E554" t="inlineStr">
        <is>
          <t>663285</t>
        </is>
      </c>
      <c r="F554" s="2" t="inlineStr">
        <is>
          <t>09:00</t>
        </is>
      </c>
      <c r="G554" t="inlineStr">
        <is>
          <t>-</t>
        </is>
      </c>
      <c r="H554" s="2" t="inlineStr">
        <is>
          <t>09:30</t>
        </is>
      </c>
      <c r="I554" t="inlineStr">
        <is>
          <t>488,000000000</t>
        </is>
      </c>
      <c r="J554" t="inlineStr">
        <is>
          <t>,000000000</t>
        </is>
      </c>
      <c r="K554" t="inlineStr">
        <is>
          <t>,000000000</t>
        </is>
      </c>
      <c r="L554" t="inlineStr">
        <is>
          <t>4,000000000</t>
        </is>
      </c>
      <c r="M554" t="inlineStr">
        <is>
          <t>,000000000</t>
        </is>
      </c>
      <c r="N554" t="inlineStr">
        <is>
          <t>,000000000</t>
        </is>
      </c>
      <c r="O554" t="inlineStr">
        <is>
          <t>,000000000</t>
        </is>
      </c>
      <c r="P554" t="inlineStr">
        <is>
          <t>90,000000000</t>
        </is>
      </c>
      <c r="Q554" t="inlineStr">
        <is>
          <t>,000000000</t>
        </is>
      </c>
      <c r="R554" t="inlineStr">
        <is>
          <t>,000000000</t>
        </is>
      </c>
      <c r="S554" t="inlineStr">
        <is>
          <t>,000000000</t>
        </is>
      </c>
      <c r="T554" t="inlineStr">
        <is>
          <t>,000000000</t>
        </is>
      </c>
      <c r="U554" t="inlineStr">
        <is>
          <t>,000000000</t>
        </is>
      </c>
      <c r="V554" t="inlineStr">
        <is>
          <t>,000000000</t>
        </is>
      </c>
      <c r="W554" t="inlineStr">
        <is>
          <t>,000000000</t>
        </is>
      </c>
      <c r="X554" t="inlineStr">
        <is>
          <t>,000000000</t>
        </is>
      </c>
      <c r="Y554" t="inlineStr">
        <is>
          <t>,000000000</t>
        </is>
      </c>
      <c r="Z554" t="inlineStr">
        <is>
          <t>,000000000</t>
        </is>
      </c>
      <c r="AA554" t="inlineStr">
        <is>
          <t>,000000000</t>
        </is>
      </c>
      <c r="AB554" t="inlineStr">
        <is>
          <t>1</t>
        </is>
      </c>
      <c r="AC554" t="inlineStr">
        <is>
          <t>0</t>
        </is>
      </c>
      <c r="AD554" s="3">
        <f>UPPER(C3)</f>
        <v/>
      </c>
      <c r="AE554" s="3">
        <f>VLOOKUP(E3,'[1]Nómina Agentes'!$C:$D,3,0)</f>
        <v/>
      </c>
      <c r="AF554" s="5">
        <f>F3</f>
        <v/>
      </c>
      <c r="AG554" s="5">
        <f>H3</f>
        <v/>
      </c>
    </row>
    <row r="555">
      <c r="A555" s="1" t="inlineStr">
        <is>
          <t>9/10/2024</t>
        </is>
      </c>
      <c r="B555" t="inlineStr">
        <is>
          <t>925</t>
        </is>
      </c>
      <c r="C555" t="inlineStr">
        <is>
          <t>S2S Premium</t>
        </is>
      </c>
      <c r="D555" t="inlineStr">
        <is>
          <t>PCC_Cabrera, Guido</t>
        </is>
      </c>
      <c r="E555" t="inlineStr">
        <is>
          <t>663287</t>
        </is>
      </c>
      <c r="F555" s="2" t="inlineStr">
        <is>
          <t>08:00</t>
        </is>
      </c>
      <c r="G555" t="inlineStr">
        <is>
          <t>-</t>
        </is>
      </c>
      <c r="H555" s="2" t="inlineStr">
        <is>
          <t>08:30</t>
        </is>
      </c>
      <c r="I555" t="inlineStr">
        <is>
          <t>,000000000</t>
        </is>
      </c>
      <c r="J555" t="inlineStr">
        <is>
          <t>,000000000</t>
        </is>
      </c>
      <c r="K555" t="inlineStr">
        <is>
          <t>,000000000</t>
        </is>
      </c>
      <c r="L555" t="inlineStr">
        <is>
          <t>,000000000</t>
        </is>
      </c>
      <c r="M555" t="inlineStr">
        <is>
          <t>,000000000</t>
        </is>
      </c>
      <c r="N555" t="inlineStr">
        <is>
          <t>,000000000</t>
        </is>
      </c>
      <c r="O555" t="inlineStr">
        <is>
          <t>,000000000</t>
        </is>
      </c>
      <c r="P555" t="inlineStr">
        <is>
          <t>,000000000</t>
        </is>
      </c>
      <c r="Q555" t="inlineStr">
        <is>
          <t>,000000000</t>
        </is>
      </c>
      <c r="R555" t="inlineStr">
        <is>
          <t>,000000000</t>
        </is>
      </c>
      <c r="S555" t="inlineStr">
        <is>
          <t>,000000000</t>
        </is>
      </c>
      <c r="T555" t="inlineStr">
        <is>
          <t>,000000000</t>
        </is>
      </c>
      <c r="U555" t="inlineStr">
        <is>
          <t>,000000000</t>
        </is>
      </c>
      <c r="V555" t="inlineStr">
        <is>
          <t>,000000000</t>
        </is>
      </c>
      <c r="W555" t="inlineStr">
        <is>
          <t>,000000000</t>
        </is>
      </c>
      <c r="X555" t="inlineStr">
        <is>
          <t>,000000000</t>
        </is>
      </c>
      <c r="Y555" t="inlineStr">
        <is>
          <t>,000000000</t>
        </is>
      </c>
      <c r="Z555" t="inlineStr">
        <is>
          <t>,000000000</t>
        </is>
      </c>
      <c r="AA555" t="inlineStr">
        <is>
          <t>,000000000</t>
        </is>
      </c>
      <c r="AB555" t="inlineStr">
        <is>
          <t>0</t>
        </is>
      </c>
      <c r="AC555" t="inlineStr">
        <is>
          <t>0</t>
        </is>
      </c>
      <c r="AD555" s="3">
        <f>UPPER(C3)</f>
        <v/>
      </c>
      <c r="AE555" s="3">
        <f>VLOOKUP(E3,'[1]Nómina Agentes'!$C:$D,3,0)</f>
        <v/>
      </c>
      <c r="AF555" s="5">
        <f>F3</f>
        <v/>
      </c>
      <c r="AG555" s="5">
        <f>H3</f>
        <v/>
      </c>
    </row>
    <row r="556">
      <c r="A556" s="1" t="inlineStr">
        <is>
          <t>9/10/2024</t>
        </is>
      </c>
      <c r="B556" t="inlineStr">
        <is>
          <t>925</t>
        </is>
      </c>
      <c r="C556" t="inlineStr">
        <is>
          <t>S2S Premium</t>
        </is>
      </c>
      <c r="D556" t="inlineStr">
        <is>
          <t>PCC_Cabrera, Guido</t>
        </is>
      </c>
      <c r="E556" t="inlineStr">
        <is>
          <t>663287</t>
        </is>
      </c>
      <c r="F556" s="2" t="inlineStr">
        <is>
          <t>10:30</t>
        </is>
      </c>
      <c r="G556" t="inlineStr">
        <is>
          <t>-</t>
        </is>
      </c>
      <c r="H556" s="2" t="inlineStr">
        <is>
          <t>11:00</t>
        </is>
      </c>
      <c r="I556" t="inlineStr">
        <is>
          <t>,000000000</t>
        </is>
      </c>
      <c r="J556" t="inlineStr">
        <is>
          <t>,000000000</t>
        </is>
      </c>
      <c r="K556" t="inlineStr">
        <is>
          <t>,000000000</t>
        </is>
      </c>
      <c r="L556" t="inlineStr">
        <is>
          <t>,000000000</t>
        </is>
      </c>
      <c r="M556" t="inlineStr">
        <is>
          <t>,000000000</t>
        </is>
      </c>
      <c r="N556" t="inlineStr">
        <is>
          <t>,000000000</t>
        </is>
      </c>
      <c r="O556" t="inlineStr">
        <is>
          <t>,000000000</t>
        </is>
      </c>
      <c r="P556" t="inlineStr">
        <is>
          <t>,000000000</t>
        </is>
      </c>
      <c r="Q556" t="inlineStr">
        <is>
          <t>,000000000</t>
        </is>
      </c>
      <c r="R556" t="inlineStr">
        <is>
          <t>,000000000</t>
        </is>
      </c>
      <c r="S556" t="inlineStr">
        <is>
          <t>,000000000</t>
        </is>
      </c>
      <c r="T556" t="inlineStr">
        <is>
          <t>,000000000</t>
        </is>
      </c>
      <c r="U556" t="inlineStr">
        <is>
          <t>,000000000</t>
        </is>
      </c>
      <c r="V556" t="inlineStr">
        <is>
          <t>,000000000</t>
        </is>
      </c>
      <c r="W556" t="inlineStr">
        <is>
          <t>,000000000</t>
        </is>
      </c>
      <c r="X556" t="inlineStr">
        <is>
          <t>,000000000</t>
        </is>
      </c>
      <c r="Y556" t="inlineStr">
        <is>
          <t>,000000000</t>
        </is>
      </c>
      <c r="Z556" t="inlineStr">
        <is>
          <t>,000000000</t>
        </is>
      </c>
      <c r="AA556" t="inlineStr">
        <is>
          <t>,000000000</t>
        </is>
      </c>
      <c r="AB556" t="inlineStr">
        <is>
          <t>0</t>
        </is>
      </c>
      <c r="AC556" t="inlineStr">
        <is>
          <t>0</t>
        </is>
      </c>
      <c r="AD556" s="3">
        <f>UPPER(C3)</f>
        <v/>
      </c>
      <c r="AE556" s="3">
        <f>VLOOKUP(E3,'[1]Nómina Agentes'!$C:$D,3,0)</f>
        <v/>
      </c>
      <c r="AF556" s="5">
        <f>F3</f>
        <v/>
      </c>
      <c r="AG556" s="5">
        <f>H3</f>
        <v/>
      </c>
    </row>
    <row r="557">
      <c r="A557" s="1" t="inlineStr">
        <is>
          <t>9/10/2024</t>
        </is>
      </c>
      <c r="B557" t="inlineStr">
        <is>
          <t>925</t>
        </is>
      </c>
      <c r="C557" t="inlineStr">
        <is>
          <t>S2S Premium</t>
        </is>
      </c>
      <c r="D557" t="inlineStr">
        <is>
          <t>PCC_Cabrera, Guido</t>
        </is>
      </c>
      <c r="E557" t="inlineStr">
        <is>
          <t>663287</t>
        </is>
      </c>
      <c r="F557" s="2" t="inlineStr">
        <is>
          <t>10:00</t>
        </is>
      </c>
      <c r="G557" t="inlineStr">
        <is>
          <t>-</t>
        </is>
      </c>
      <c r="H557" s="2" t="inlineStr">
        <is>
          <t>10:30</t>
        </is>
      </c>
      <c r="I557" t="inlineStr">
        <is>
          <t>,000000000</t>
        </is>
      </c>
      <c r="J557" t="inlineStr">
        <is>
          <t>,000000000</t>
        </is>
      </c>
      <c r="K557" t="inlineStr">
        <is>
          <t>,000000000</t>
        </is>
      </c>
      <c r="L557" t="inlineStr">
        <is>
          <t>,000000000</t>
        </is>
      </c>
      <c r="M557" t="inlineStr">
        <is>
          <t>,000000000</t>
        </is>
      </c>
      <c r="N557" t="inlineStr">
        <is>
          <t>,000000000</t>
        </is>
      </c>
      <c r="O557" t="inlineStr">
        <is>
          <t>,000000000</t>
        </is>
      </c>
      <c r="P557" t="inlineStr">
        <is>
          <t>,000000000</t>
        </is>
      </c>
      <c r="Q557" t="inlineStr">
        <is>
          <t>,000000000</t>
        </is>
      </c>
      <c r="R557" t="inlineStr">
        <is>
          <t>,000000000</t>
        </is>
      </c>
      <c r="S557" t="inlineStr">
        <is>
          <t>,000000000</t>
        </is>
      </c>
      <c r="T557" t="inlineStr">
        <is>
          <t>,000000000</t>
        </is>
      </c>
      <c r="U557" t="inlineStr">
        <is>
          <t>,000000000</t>
        </is>
      </c>
      <c r="V557" t="inlineStr">
        <is>
          <t>,000000000</t>
        </is>
      </c>
      <c r="W557" t="inlineStr">
        <is>
          <t>,000000000</t>
        </is>
      </c>
      <c r="X557" t="inlineStr">
        <is>
          <t>,000000000</t>
        </is>
      </c>
      <c r="Y557" t="inlineStr">
        <is>
          <t>,000000000</t>
        </is>
      </c>
      <c r="Z557" t="inlineStr">
        <is>
          <t>,000000000</t>
        </is>
      </c>
      <c r="AA557" t="inlineStr">
        <is>
          <t>,000000000</t>
        </is>
      </c>
      <c r="AB557" t="inlineStr">
        <is>
          <t>0</t>
        </is>
      </c>
      <c r="AC557" t="inlineStr">
        <is>
          <t>0</t>
        </is>
      </c>
      <c r="AD557" s="3">
        <f>UPPER(C3)</f>
        <v/>
      </c>
      <c r="AE557" s="3">
        <f>VLOOKUP(E3,'[1]Nómina Agentes'!$C:$D,3,0)</f>
        <v/>
      </c>
      <c r="AF557" s="5">
        <f>F3</f>
        <v/>
      </c>
      <c r="AG557" s="5">
        <f>H3</f>
        <v/>
      </c>
    </row>
    <row r="558">
      <c r="A558" s="1" t="inlineStr">
        <is>
          <t>9/10/2024</t>
        </is>
      </c>
      <c r="B558" t="inlineStr">
        <is>
          <t>925</t>
        </is>
      </c>
      <c r="C558" t="inlineStr">
        <is>
          <t>S2S Premium</t>
        </is>
      </c>
      <c r="D558" t="inlineStr">
        <is>
          <t>PCC_Cabrera, Guido</t>
        </is>
      </c>
      <c r="E558" t="inlineStr">
        <is>
          <t>663287</t>
        </is>
      </c>
      <c r="F558" s="2" t="inlineStr">
        <is>
          <t>09:30</t>
        </is>
      </c>
      <c r="G558" t="inlineStr">
        <is>
          <t>-</t>
        </is>
      </c>
      <c r="H558" s="2" t="inlineStr">
        <is>
          <t>10:00</t>
        </is>
      </c>
      <c r="I558" t="inlineStr">
        <is>
          <t>,000000000</t>
        </is>
      </c>
      <c r="J558" t="inlineStr">
        <is>
          <t>,000000000</t>
        </is>
      </c>
      <c r="K558" t="inlineStr">
        <is>
          <t>,000000000</t>
        </is>
      </c>
      <c r="L558" t="inlineStr">
        <is>
          <t>,000000000</t>
        </is>
      </c>
      <c r="M558" t="inlineStr">
        <is>
          <t>,000000000</t>
        </is>
      </c>
      <c r="N558" t="inlineStr">
        <is>
          <t>,000000000</t>
        </is>
      </c>
      <c r="O558" t="inlineStr">
        <is>
          <t>,000000000</t>
        </is>
      </c>
      <c r="P558" t="inlineStr">
        <is>
          <t>,000000000</t>
        </is>
      </c>
      <c r="Q558" t="inlineStr">
        <is>
          <t>,000000000</t>
        </is>
      </c>
      <c r="R558" t="inlineStr">
        <is>
          <t>,000000000</t>
        </is>
      </c>
      <c r="S558" t="inlineStr">
        <is>
          <t>,000000000</t>
        </is>
      </c>
      <c r="T558" t="inlineStr">
        <is>
          <t>,000000000</t>
        </is>
      </c>
      <c r="U558" t="inlineStr">
        <is>
          <t>,000000000</t>
        </is>
      </c>
      <c r="V558" t="inlineStr">
        <is>
          <t>,000000000</t>
        </is>
      </c>
      <c r="W558" t="inlineStr">
        <is>
          <t>,000000000</t>
        </is>
      </c>
      <c r="X558" t="inlineStr">
        <is>
          <t>,000000000</t>
        </is>
      </c>
      <c r="Y558" t="inlineStr">
        <is>
          <t>,000000000</t>
        </is>
      </c>
      <c r="Z558" t="inlineStr">
        <is>
          <t>,000000000</t>
        </is>
      </c>
      <c r="AA558" t="inlineStr">
        <is>
          <t>,000000000</t>
        </is>
      </c>
      <c r="AB558" t="inlineStr">
        <is>
          <t>0</t>
        </is>
      </c>
      <c r="AC558" t="inlineStr">
        <is>
          <t>0</t>
        </is>
      </c>
      <c r="AD558" s="3">
        <f>UPPER(C3)</f>
        <v/>
      </c>
      <c r="AE558" s="3">
        <f>VLOOKUP(E3,'[1]Nómina Agentes'!$C:$D,3,0)</f>
        <v/>
      </c>
      <c r="AF558" s="5">
        <f>F3</f>
        <v/>
      </c>
      <c r="AG558" s="5">
        <f>H3</f>
        <v/>
      </c>
    </row>
    <row r="559">
      <c r="A559" s="1" t="inlineStr">
        <is>
          <t>9/10/2024</t>
        </is>
      </c>
      <c r="B559" t="inlineStr">
        <is>
          <t>925</t>
        </is>
      </c>
      <c r="C559" t="inlineStr">
        <is>
          <t>S2S Premium</t>
        </is>
      </c>
      <c r="D559" t="inlineStr">
        <is>
          <t>PCC_Cabrera, Guido</t>
        </is>
      </c>
      <c r="E559" t="inlineStr">
        <is>
          <t>663287</t>
        </is>
      </c>
      <c r="F559" s="2" t="inlineStr">
        <is>
          <t>09:00</t>
        </is>
      </c>
      <c r="G559" t="inlineStr">
        <is>
          <t>-</t>
        </is>
      </c>
      <c r="H559" s="2" t="inlineStr">
        <is>
          <t>09:30</t>
        </is>
      </c>
      <c r="I559" t="inlineStr">
        <is>
          <t>,000000000</t>
        </is>
      </c>
      <c r="J559" t="inlineStr">
        <is>
          <t>,000000000</t>
        </is>
      </c>
      <c r="K559" t="inlineStr">
        <is>
          <t>,000000000</t>
        </is>
      </c>
      <c r="L559" t="inlineStr">
        <is>
          <t>,000000000</t>
        </is>
      </c>
      <c r="M559" t="inlineStr">
        <is>
          <t>,000000000</t>
        </is>
      </c>
      <c r="N559" t="inlineStr">
        <is>
          <t>,000000000</t>
        </is>
      </c>
      <c r="O559" t="inlineStr">
        <is>
          <t>,000000000</t>
        </is>
      </c>
      <c r="P559" t="inlineStr">
        <is>
          <t>,000000000</t>
        </is>
      </c>
      <c r="Q559" t="inlineStr">
        <is>
          <t>,000000000</t>
        </is>
      </c>
      <c r="R559" t="inlineStr">
        <is>
          <t>,000000000</t>
        </is>
      </c>
      <c r="S559" t="inlineStr">
        <is>
          <t>,000000000</t>
        </is>
      </c>
      <c r="T559" t="inlineStr">
        <is>
          <t>,000000000</t>
        </is>
      </c>
      <c r="U559" t="inlineStr">
        <is>
          <t>,000000000</t>
        </is>
      </c>
      <c r="V559" t="inlineStr">
        <is>
          <t>,000000000</t>
        </is>
      </c>
      <c r="W559" t="inlineStr">
        <is>
          <t>,000000000</t>
        </is>
      </c>
      <c r="X559" t="inlineStr">
        <is>
          <t>,000000000</t>
        </is>
      </c>
      <c r="Y559" t="inlineStr">
        <is>
          <t>,000000000</t>
        </is>
      </c>
      <c r="Z559" t="inlineStr">
        <is>
          <t>,000000000</t>
        </is>
      </c>
      <c r="AA559" t="inlineStr">
        <is>
          <t>,000000000</t>
        </is>
      </c>
      <c r="AB559" t="inlineStr">
        <is>
          <t>0</t>
        </is>
      </c>
      <c r="AC559" t="inlineStr">
        <is>
          <t>0</t>
        </is>
      </c>
      <c r="AD559" s="3">
        <f>UPPER(C3)</f>
        <v/>
      </c>
      <c r="AE559" s="3">
        <f>VLOOKUP(E3,'[1]Nómina Agentes'!$C:$D,3,0)</f>
        <v/>
      </c>
      <c r="AF559" s="5">
        <f>F3</f>
        <v/>
      </c>
      <c r="AG559" s="5">
        <f>H3</f>
        <v/>
      </c>
    </row>
    <row r="560">
      <c r="A560" s="1" t="inlineStr">
        <is>
          <t>9/10/2024</t>
        </is>
      </c>
      <c r="B560" t="inlineStr">
        <is>
          <t>925</t>
        </is>
      </c>
      <c r="C560" t="inlineStr">
        <is>
          <t>S2S Premium</t>
        </is>
      </c>
      <c r="D560" t="inlineStr">
        <is>
          <t>PCC_Cabrera, Guido</t>
        </is>
      </c>
      <c r="E560" t="inlineStr">
        <is>
          <t>663287</t>
        </is>
      </c>
      <c r="F560" s="2" t="inlineStr">
        <is>
          <t>08:30</t>
        </is>
      </c>
      <c r="G560" t="inlineStr">
        <is>
          <t>-</t>
        </is>
      </c>
      <c r="H560" s="2" t="inlineStr">
        <is>
          <t>09:00</t>
        </is>
      </c>
      <c r="I560" t="inlineStr">
        <is>
          <t>,000000000</t>
        </is>
      </c>
      <c r="J560" t="inlineStr">
        <is>
          <t>,000000000</t>
        </is>
      </c>
      <c r="K560" t="inlineStr">
        <is>
          <t>,000000000</t>
        </is>
      </c>
      <c r="L560" t="inlineStr">
        <is>
          <t>,000000000</t>
        </is>
      </c>
      <c r="M560" t="inlineStr">
        <is>
          <t>,000000000</t>
        </is>
      </c>
      <c r="N560" t="inlineStr">
        <is>
          <t>,000000000</t>
        </is>
      </c>
      <c r="O560" t="inlineStr">
        <is>
          <t>,000000000</t>
        </is>
      </c>
      <c r="P560" t="inlineStr">
        <is>
          <t>,000000000</t>
        </is>
      </c>
      <c r="Q560" t="inlineStr">
        <is>
          <t>,000000000</t>
        </is>
      </c>
      <c r="R560" t="inlineStr">
        <is>
          <t>,000000000</t>
        </is>
      </c>
      <c r="S560" t="inlineStr">
        <is>
          <t>,000000000</t>
        </is>
      </c>
      <c r="T560" t="inlineStr">
        <is>
          <t>,000000000</t>
        </is>
      </c>
      <c r="U560" t="inlineStr">
        <is>
          <t>,000000000</t>
        </is>
      </c>
      <c r="V560" t="inlineStr">
        <is>
          <t>,000000000</t>
        </is>
      </c>
      <c r="W560" t="inlineStr">
        <is>
          <t>,000000000</t>
        </is>
      </c>
      <c r="X560" t="inlineStr">
        <is>
          <t>,000000000</t>
        </is>
      </c>
      <c r="Y560" t="inlineStr">
        <is>
          <t>,000000000</t>
        </is>
      </c>
      <c r="Z560" t="inlineStr">
        <is>
          <t>,000000000</t>
        </is>
      </c>
      <c r="AA560" t="inlineStr">
        <is>
          <t>,000000000</t>
        </is>
      </c>
      <c r="AB560" t="inlineStr">
        <is>
          <t>0</t>
        </is>
      </c>
      <c r="AC560" t="inlineStr">
        <is>
          <t>0</t>
        </is>
      </c>
      <c r="AD560" s="3">
        <f>UPPER(C3)</f>
        <v/>
      </c>
      <c r="AE560" s="3">
        <f>VLOOKUP(E3,'[1]Nómina Agentes'!$C:$D,3,0)</f>
        <v/>
      </c>
      <c r="AF560" s="5">
        <f>F3</f>
        <v/>
      </c>
      <c r="AG560" s="5">
        <f>H3</f>
        <v/>
      </c>
    </row>
    <row r="561">
      <c r="A561" s="1" t="inlineStr">
        <is>
          <t>9/10/2024</t>
        </is>
      </c>
      <c r="B561" t="inlineStr">
        <is>
          <t>925</t>
        </is>
      </c>
      <c r="C561" t="inlineStr">
        <is>
          <t>S2S Premium</t>
        </is>
      </c>
      <c r="D561" t="inlineStr">
        <is>
          <t>PCC_Cabrera, Guido</t>
        </is>
      </c>
      <c r="E561" t="inlineStr">
        <is>
          <t>663287</t>
        </is>
      </c>
      <c r="F561" s="2" t="inlineStr">
        <is>
          <t>07:00</t>
        </is>
      </c>
      <c r="G561" t="inlineStr">
        <is>
          <t>-</t>
        </is>
      </c>
      <c r="H561" s="2" t="inlineStr">
        <is>
          <t>07:30</t>
        </is>
      </c>
      <c r="I561" t="inlineStr">
        <is>
          <t>25,000000000</t>
        </is>
      </c>
      <c r="J561" t="inlineStr">
        <is>
          <t>,000000000</t>
        </is>
      </c>
      <c r="K561" t="inlineStr">
        <is>
          <t>,000000000</t>
        </is>
      </c>
      <c r="L561" t="inlineStr">
        <is>
          <t>4,000000000</t>
        </is>
      </c>
      <c r="M561" t="inlineStr">
        <is>
          <t>,000000000</t>
        </is>
      </c>
      <c r="N561" t="inlineStr">
        <is>
          <t>,000000000</t>
        </is>
      </c>
      <c r="O561" t="inlineStr">
        <is>
          <t>,000000000</t>
        </is>
      </c>
      <c r="P561" t="inlineStr">
        <is>
          <t>,000000000</t>
        </is>
      </c>
      <c r="Q561" t="inlineStr">
        <is>
          <t>,000000000</t>
        </is>
      </c>
      <c r="R561" t="inlineStr">
        <is>
          <t>,000000000</t>
        </is>
      </c>
      <c r="S561" t="inlineStr">
        <is>
          <t>,000000000</t>
        </is>
      </c>
      <c r="T561" t="inlineStr">
        <is>
          <t>,000000000</t>
        </is>
      </c>
      <c r="U561" t="inlineStr">
        <is>
          <t>,000000000</t>
        </is>
      </c>
      <c r="V561" t="inlineStr">
        <is>
          <t>,000000000</t>
        </is>
      </c>
      <c r="W561" t="inlineStr">
        <is>
          <t>,000000000</t>
        </is>
      </c>
      <c r="X561" t="inlineStr">
        <is>
          <t>,000000000</t>
        </is>
      </c>
      <c r="Y561" t="inlineStr">
        <is>
          <t>,000000000</t>
        </is>
      </c>
      <c r="Z561" t="inlineStr">
        <is>
          <t>,000000000</t>
        </is>
      </c>
      <c r="AA561" t="inlineStr">
        <is>
          <t>,000000000</t>
        </is>
      </c>
      <c r="AB561" t="inlineStr">
        <is>
          <t>0</t>
        </is>
      </c>
      <c r="AC561" t="inlineStr">
        <is>
          <t>0</t>
        </is>
      </c>
      <c r="AD561" s="3">
        <f>UPPER(C3)</f>
        <v/>
      </c>
      <c r="AE561" s="3">
        <f>VLOOKUP(E3,'[1]Nómina Agentes'!$C:$D,3,0)</f>
        <v/>
      </c>
      <c r="AF561" s="5">
        <f>F3</f>
        <v/>
      </c>
      <c r="AG561" s="5">
        <f>H3</f>
        <v/>
      </c>
    </row>
    <row r="562">
      <c r="A562" s="1" t="inlineStr">
        <is>
          <t>9/10/2024</t>
        </is>
      </c>
      <c r="B562" t="inlineStr">
        <is>
          <t>925</t>
        </is>
      </c>
      <c r="C562" t="inlineStr">
        <is>
          <t>S2S Premium</t>
        </is>
      </c>
      <c r="D562" t="inlineStr">
        <is>
          <t>PCC_Cabrera, Guido</t>
        </is>
      </c>
      <c r="E562" t="inlineStr">
        <is>
          <t>663287</t>
        </is>
      </c>
      <c r="F562" s="2" t="inlineStr">
        <is>
          <t>07:30</t>
        </is>
      </c>
      <c r="G562" t="inlineStr">
        <is>
          <t>-</t>
        </is>
      </c>
      <c r="H562" s="2" t="inlineStr">
        <is>
          <t>08:00</t>
        </is>
      </c>
      <c r="I562" t="inlineStr">
        <is>
          <t>398,000000000</t>
        </is>
      </c>
      <c r="J562" t="inlineStr">
        <is>
          <t>48,000000000</t>
        </is>
      </c>
      <c r="K562" t="inlineStr">
        <is>
          <t>,000000000</t>
        </is>
      </c>
      <c r="L562" t="inlineStr">
        <is>
          <t>7,000000000</t>
        </is>
      </c>
      <c r="M562" t="inlineStr">
        <is>
          <t>,000000000</t>
        </is>
      </c>
      <c r="N562" t="inlineStr">
        <is>
          <t>,000000000</t>
        </is>
      </c>
      <c r="O562" t="inlineStr">
        <is>
          <t>,000000000</t>
        </is>
      </c>
      <c r="P562" t="inlineStr">
        <is>
          <t>,000000000</t>
        </is>
      </c>
      <c r="Q562" t="inlineStr">
        <is>
          <t>,000000000</t>
        </is>
      </c>
      <c r="R562" t="inlineStr">
        <is>
          <t>,000000000</t>
        </is>
      </c>
      <c r="S562" t="inlineStr">
        <is>
          <t>,000000000</t>
        </is>
      </c>
      <c r="T562" t="inlineStr">
        <is>
          <t>,000000000</t>
        </is>
      </c>
      <c r="U562" t="inlineStr">
        <is>
          <t>,000000000</t>
        </is>
      </c>
      <c r="V562" t="inlineStr">
        <is>
          <t>,000000000</t>
        </is>
      </c>
      <c r="W562" t="inlineStr">
        <is>
          <t>,000000000</t>
        </is>
      </c>
      <c r="X562" t="inlineStr">
        <is>
          <t>,000000000</t>
        </is>
      </c>
      <c r="Y562" t="inlineStr">
        <is>
          <t>,000000000</t>
        </is>
      </c>
      <c r="Z562" t="inlineStr">
        <is>
          <t>,000000000</t>
        </is>
      </c>
      <c r="AA562" t="inlineStr">
        <is>
          <t>,000000000</t>
        </is>
      </c>
      <c r="AB562" t="inlineStr">
        <is>
          <t>3</t>
        </is>
      </c>
      <c r="AC562" t="inlineStr">
        <is>
          <t>0</t>
        </is>
      </c>
      <c r="AD562" s="3">
        <f>UPPER(C3)</f>
        <v/>
      </c>
      <c r="AE562" s="3">
        <f>VLOOKUP(E3,'[1]Nómina Agentes'!$C:$D,3,0)</f>
        <v/>
      </c>
      <c r="AF562" s="5">
        <f>F3</f>
        <v/>
      </c>
      <c r="AG562" s="5">
        <f>H3</f>
        <v/>
      </c>
    </row>
    <row r="563">
      <c r="A563" s="1" t="inlineStr">
        <is>
          <t>9/10/2024</t>
        </is>
      </c>
      <c r="B563" t="inlineStr">
        <is>
          <t>925</t>
        </is>
      </c>
      <c r="C563" t="inlineStr">
        <is>
          <t>S2S Premium</t>
        </is>
      </c>
      <c r="D563" t="inlineStr">
        <is>
          <t>DPCC_Paciello Irma</t>
        </is>
      </c>
      <c r="E563" t="inlineStr">
        <is>
          <t>663310</t>
        </is>
      </c>
      <c r="F563" s="2" t="inlineStr">
        <is>
          <t>09:00</t>
        </is>
      </c>
      <c r="G563" t="inlineStr">
        <is>
          <t>-</t>
        </is>
      </c>
      <c r="H563" s="2" t="inlineStr">
        <is>
          <t>09:30</t>
        </is>
      </c>
      <c r="I563" t="inlineStr">
        <is>
          <t>372,000000000</t>
        </is>
      </c>
      <c r="J563" t="inlineStr">
        <is>
          <t>,000000000</t>
        </is>
      </c>
      <c r="K563" t="inlineStr">
        <is>
          <t>,000000000</t>
        </is>
      </c>
      <c r="L563" t="inlineStr">
        <is>
          <t>4,000000000</t>
        </is>
      </c>
      <c r="M563" t="inlineStr">
        <is>
          <t>,000000000</t>
        </is>
      </c>
      <c r="N563" t="inlineStr">
        <is>
          <t>,000000000</t>
        </is>
      </c>
      <c r="O563" t="inlineStr">
        <is>
          <t>,000000000</t>
        </is>
      </c>
      <c r="P563" t="inlineStr">
        <is>
          <t>147,000000000</t>
        </is>
      </c>
      <c r="Q563" t="inlineStr">
        <is>
          <t>,000000000</t>
        </is>
      </c>
      <c r="R563" t="inlineStr">
        <is>
          <t>,000000000</t>
        </is>
      </c>
      <c r="S563" t="inlineStr">
        <is>
          <t>,000000000</t>
        </is>
      </c>
      <c r="T563" t="inlineStr">
        <is>
          <t>,000000000</t>
        </is>
      </c>
      <c r="U563" t="inlineStr">
        <is>
          <t>,000000000</t>
        </is>
      </c>
      <c r="V563" t="inlineStr">
        <is>
          <t>,000000000</t>
        </is>
      </c>
      <c r="W563" t="inlineStr">
        <is>
          <t>,000000000</t>
        </is>
      </c>
      <c r="X563" t="inlineStr">
        <is>
          <t>,000000000</t>
        </is>
      </c>
      <c r="Y563" t="inlineStr">
        <is>
          <t>,000000000</t>
        </is>
      </c>
      <c r="Z563" t="inlineStr">
        <is>
          <t>,000000000</t>
        </is>
      </c>
      <c r="AA563" t="inlineStr">
        <is>
          <t>,000000000</t>
        </is>
      </c>
      <c r="AB563" t="inlineStr">
        <is>
          <t>1</t>
        </is>
      </c>
      <c r="AC563" t="inlineStr">
        <is>
          <t>0</t>
        </is>
      </c>
      <c r="AD563" s="3">
        <f>UPPER(C3)</f>
        <v/>
      </c>
      <c r="AE563" s="3">
        <f>VLOOKUP(E3,'[1]Nómina Agentes'!$C:$D,3,0)</f>
        <v/>
      </c>
      <c r="AF563" s="5">
        <f>F3</f>
        <v/>
      </c>
      <c r="AG563" s="5">
        <f>H3</f>
        <v/>
      </c>
    </row>
    <row r="564">
      <c r="A564" s="1" t="inlineStr">
        <is>
          <t>9/10/2024</t>
        </is>
      </c>
      <c r="B564" t="inlineStr">
        <is>
          <t>925</t>
        </is>
      </c>
      <c r="C564" t="inlineStr">
        <is>
          <t>S2S Premium</t>
        </is>
      </c>
      <c r="D564" t="inlineStr">
        <is>
          <t>XPCC_Silvia Iglesias</t>
        </is>
      </c>
      <c r="E564" t="inlineStr">
        <is>
          <t>663324</t>
        </is>
      </c>
      <c r="F564" s="2" t="inlineStr">
        <is>
          <t>09:00</t>
        </is>
      </c>
      <c r="G564" t="inlineStr">
        <is>
          <t>-</t>
        </is>
      </c>
      <c r="H564" s="2" t="inlineStr">
        <is>
          <t>09:30</t>
        </is>
      </c>
      <c r="I564" t="inlineStr">
        <is>
          <t>401,000000000</t>
        </is>
      </c>
      <c r="J564" t="inlineStr">
        <is>
          <t>,000000000</t>
        </is>
      </c>
      <c r="K564" t="inlineStr">
        <is>
          <t>,000000000</t>
        </is>
      </c>
      <c r="L564" t="inlineStr">
        <is>
          <t>8,000000000</t>
        </is>
      </c>
      <c r="M564" t="inlineStr">
        <is>
          <t>,000000000</t>
        </is>
      </c>
      <c r="N564" t="inlineStr">
        <is>
          <t>,000000000</t>
        </is>
      </c>
      <c r="O564" t="inlineStr">
        <is>
          <t>,000000000</t>
        </is>
      </c>
      <c r="P564" t="inlineStr">
        <is>
          <t>,000000000</t>
        </is>
      </c>
      <c r="Q564" t="inlineStr">
        <is>
          <t>,000000000</t>
        </is>
      </c>
      <c r="R564" t="inlineStr">
        <is>
          <t>,000000000</t>
        </is>
      </c>
      <c r="S564" t="inlineStr">
        <is>
          <t>,000000000</t>
        </is>
      </c>
      <c r="T564" t="inlineStr">
        <is>
          <t>,000000000</t>
        </is>
      </c>
      <c r="U564" t="inlineStr">
        <is>
          <t>,000000000</t>
        </is>
      </c>
      <c r="V564" t="inlineStr">
        <is>
          <t>,000000000</t>
        </is>
      </c>
      <c r="W564" t="inlineStr">
        <is>
          <t>,000000000</t>
        </is>
      </c>
      <c r="X564" t="inlineStr">
        <is>
          <t>,000000000</t>
        </is>
      </c>
      <c r="Y564" t="inlineStr">
        <is>
          <t>,000000000</t>
        </is>
      </c>
      <c r="Z564" t="inlineStr">
        <is>
          <t>,000000000</t>
        </is>
      </c>
      <c r="AA564" t="inlineStr">
        <is>
          <t>,000000000</t>
        </is>
      </c>
      <c r="AB564" t="inlineStr">
        <is>
          <t>1</t>
        </is>
      </c>
      <c r="AC564" t="inlineStr">
        <is>
          <t>1</t>
        </is>
      </c>
      <c r="AD564" s="3">
        <f>UPPER(C3)</f>
        <v/>
      </c>
      <c r="AE564" s="3">
        <f>VLOOKUP(E3,'[1]Nómina Agentes'!$C:$D,3,0)</f>
        <v/>
      </c>
      <c r="AF564" s="5">
        <f>F3</f>
        <v/>
      </c>
      <c r="AG564" s="5">
        <f>H3</f>
        <v/>
      </c>
    </row>
    <row r="565">
      <c r="A565" s="1" t="inlineStr">
        <is>
          <t>9/10/2024</t>
        </is>
      </c>
      <c r="B565" t="inlineStr">
        <is>
          <t>925</t>
        </is>
      </c>
      <c r="C565" t="inlineStr">
        <is>
          <t>S2S Premium</t>
        </is>
      </c>
      <c r="D565" t="inlineStr">
        <is>
          <t>XPCC_Silvia Iglesias</t>
        </is>
      </c>
      <c r="E565" t="inlineStr">
        <is>
          <t>663324</t>
        </is>
      </c>
      <c r="F565" s="2" t="inlineStr">
        <is>
          <t>10:00</t>
        </is>
      </c>
      <c r="G565" t="inlineStr">
        <is>
          <t>-</t>
        </is>
      </c>
      <c r="H565" s="2" t="inlineStr">
        <is>
          <t>10:30</t>
        </is>
      </c>
      <c r="I565" t="inlineStr">
        <is>
          <t>614,000000000</t>
        </is>
      </c>
      <c r="J565" t="inlineStr">
        <is>
          <t>,000000000</t>
        </is>
      </c>
      <c r="K565" t="inlineStr">
        <is>
          <t>,000000000</t>
        </is>
      </c>
      <c r="L565" t="inlineStr">
        <is>
          <t>16,000000000</t>
        </is>
      </c>
      <c r="M565" t="inlineStr">
        <is>
          <t>,000000000</t>
        </is>
      </c>
      <c r="N565" t="inlineStr">
        <is>
          <t>,000000000</t>
        </is>
      </c>
      <c r="O565" t="inlineStr">
        <is>
          <t>,000000000</t>
        </is>
      </c>
      <c r="P565" t="inlineStr">
        <is>
          <t>,000000000</t>
        </is>
      </c>
      <c r="Q565" t="inlineStr">
        <is>
          <t>,000000000</t>
        </is>
      </c>
      <c r="R565" t="inlineStr">
        <is>
          <t>,000000000</t>
        </is>
      </c>
      <c r="S565" t="inlineStr">
        <is>
          <t>,000000000</t>
        </is>
      </c>
      <c r="T565" t="inlineStr">
        <is>
          <t>,000000000</t>
        </is>
      </c>
      <c r="U565" t="inlineStr">
        <is>
          <t>,000000000</t>
        </is>
      </c>
      <c r="V565" t="inlineStr">
        <is>
          <t>,000000000</t>
        </is>
      </c>
      <c r="W565" t="inlineStr">
        <is>
          <t>,000000000</t>
        </is>
      </c>
      <c r="X565" t="inlineStr">
        <is>
          <t>,000000000</t>
        </is>
      </c>
      <c r="Y565" t="inlineStr">
        <is>
          <t>,000000000</t>
        </is>
      </c>
      <c r="Z565" t="inlineStr">
        <is>
          <t>,000000000</t>
        </is>
      </c>
      <c r="AA565" t="inlineStr">
        <is>
          <t>,000000000</t>
        </is>
      </c>
      <c r="AB565" t="inlineStr">
        <is>
          <t>3</t>
        </is>
      </c>
      <c r="AC565" t="inlineStr">
        <is>
          <t>3</t>
        </is>
      </c>
      <c r="AD565" s="3">
        <f>UPPER(C3)</f>
        <v/>
      </c>
      <c r="AE565" s="3">
        <f>VLOOKUP(E3,'[1]Nómina Agentes'!$C:$D,3,0)</f>
        <v/>
      </c>
      <c r="AF565" s="5">
        <f>F3</f>
        <v/>
      </c>
      <c r="AG565" s="5">
        <f>H3</f>
        <v/>
      </c>
    </row>
    <row r="566">
      <c r="A566" s="1" t="inlineStr">
        <is>
          <t>9/10/2024</t>
        </is>
      </c>
      <c r="B566" t="inlineStr">
        <is>
          <t>925</t>
        </is>
      </c>
      <c r="C566" t="inlineStr">
        <is>
          <t>S2S Premium</t>
        </is>
      </c>
      <c r="D566" t="inlineStr">
        <is>
          <t>XPCC_Silvia Iglesias</t>
        </is>
      </c>
      <c r="E566" t="inlineStr">
        <is>
          <t>663324</t>
        </is>
      </c>
      <c r="F566" s="2" t="inlineStr">
        <is>
          <t>09:30</t>
        </is>
      </c>
      <c r="G566" t="inlineStr">
        <is>
          <t>-</t>
        </is>
      </c>
      <c r="H566" s="2" t="inlineStr">
        <is>
          <t>10:00</t>
        </is>
      </c>
      <c r="I566" t="inlineStr">
        <is>
          <t>1195,000000000</t>
        </is>
      </c>
      <c r="J566" t="inlineStr">
        <is>
          <t>,000000000</t>
        </is>
      </c>
      <c r="K566" t="inlineStr">
        <is>
          <t>,000000000</t>
        </is>
      </c>
      <c r="L566" t="inlineStr">
        <is>
          <t>16,000000000</t>
        </is>
      </c>
      <c r="M566" t="inlineStr">
        <is>
          <t>,000000000</t>
        </is>
      </c>
      <c r="N566" t="inlineStr">
        <is>
          <t>,000000000</t>
        </is>
      </c>
      <c r="O566" t="inlineStr">
        <is>
          <t>,000000000</t>
        </is>
      </c>
      <c r="P566" t="inlineStr">
        <is>
          <t>49,000000000</t>
        </is>
      </c>
      <c r="Q566" t="inlineStr">
        <is>
          <t>48,000000000</t>
        </is>
      </c>
      <c r="R566" t="inlineStr">
        <is>
          <t>,000000000</t>
        </is>
      </c>
      <c r="S566" t="inlineStr">
        <is>
          <t>,000000000</t>
        </is>
      </c>
      <c r="T566" t="inlineStr">
        <is>
          <t>,000000000</t>
        </is>
      </c>
      <c r="U566" t="inlineStr">
        <is>
          <t>,000000000</t>
        </is>
      </c>
      <c r="V566" t="inlineStr">
        <is>
          <t>,000000000</t>
        </is>
      </c>
      <c r="W566" t="inlineStr">
        <is>
          <t>,000000000</t>
        </is>
      </c>
      <c r="X566" t="inlineStr">
        <is>
          <t>,000000000</t>
        </is>
      </c>
      <c r="Y566" t="inlineStr">
        <is>
          <t>,000000000</t>
        </is>
      </c>
      <c r="Z566" t="inlineStr">
        <is>
          <t>,000000000</t>
        </is>
      </c>
      <c r="AA566" t="inlineStr">
        <is>
          <t>,000000000</t>
        </is>
      </c>
      <c r="AB566" t="inlineStr">
        <is>
          <t>5</t>
        </is>
      </c>
      <c r="AC566" t="inlineStr">
        <is>
          <t>5</t>
        </is>
      </c>
      <c r="AD566" s="3">
        <f>UPPER(C3)</f>
        <v/>
      </c>
      <c r="AE566" s="3">
        <f>VLOOKUP(E3,'[1]Nómina Agentes'!$C:$D,3,0)</f>
        <v/>
      </c>
      <c r="AF566" s="5">
        <f>F3</f>
        <v/>
      </c>
      <c r="AG566" s="5">
        <f>H3</f>
        <v/>
      </c>
    </row>
    <row r="567">
      <c r="A567" s="1" t="inlineStr">
        <is>
          <t>9/10/2024</t>
        </is>
      </c>
      <c r="B567" t="inlineStr">
        <is>
          <t>925</t>
        </is>
      </c>
      <c r="C567" t="inlineStr">
        <is>
          <t>S2S Premium</t>
        </is>
      </c>
      <c r="D567" t="inlineStr">
        <is>
          <t>XPCC_Silvia Iglesias</t>
        </is>
      </c>
      <c r="E567" t="inlineStr">
        <is>
          <t>663324</t>
        </is>
      </c>
      <c r="F567" s="2" t="inlineStr">
        <is>
          <t>10:30</t>
        </is>
      </c>
      <c r="G567" t="inlineStr">
        <is>
          <t>-</t>
        </is>
      </c>
      <c r="H567" s="2" t="inlineStr">
        <is>
          <t>11:00</t>
        </is>
      </c>
      <c r="I567" t="inlineStr">
        <is>
          <t>1315,000000000</t>
        </is>
      </c>
      <c r="J567" t="inlineStr">
        <is>
          <t>,000000000</t>
        </is>
      </c>
      <c r="K567" t="inlineStr">
        <is>
          <t>,000000000</t>
        </is>
      </c>
      <c r="L567" t="inlineStr">
        <is>
          <t>8,000000000</t>
        </is>
      </c>
      <c r="M567" t="inlineStr">
        <is>
          <t>,000000000</t>
        </is>
      </c>
      <c r="N567" t="inlineStr">
        <is>
          <t>,000000000</t>
        </is>
      </c>
      <c r="O567" t="inlineStr">
        <is>
          <t>,000000000</t>
        </is>
      </c>
      <c r="P567" t="inlineStr">
        <is>
          <t>,000000000</t>
        </is>
      </c>
      <c r="Q567" t="inlineStr">
        <is>
          <t>,000000000</t>
        </is>
      </c>
      <c r="R567" t="inlineStr">
        <is>
          <t>,000000000</t>
        </is>
      </c>
      <c r="S567" t="inlineStr">
        <is>
          <t>,000000000</t>
        </is>
      </c>
      <c r="T567" t="inlineStr">
        <is>
          <t>,000000000</t>
        </is>
      </c>
      <c r="U567" t="inlineStr">
        <is>
          <t>,000000000</t>
        </is>
      </c>
      <c r="V567" t="inlineStr">
        <is>
          <t>,000000000</t>
        </is>
      </c>
      <c r="W567" t="inlineStr">
        <is>
          <t>,000000000</t>
        </is>
      </c>
      <c r="X567" t="inlineStr">
        <is>
          <t>,000000000</t>
        </is>
      </c>
      <c r="Y567" t="inlineStr">
        <is>
          <t>,000000000</t>
        </is>
      </c>
      <c r="Z567" t="inlineStr">
        <is>
          <t>,000000000</t>
        </is>
      </c>
      <c r="AA567" t="inlineStr">
        <is>
          <t>,000000000</t>
        </is>
      </c>
      <c r="AB567" t="inlineStr">
        <is>
          <t>3</t>
        </is>
      </c>
      <c r="AC567" t="inlineStr">
        <is>
          <t>3</t>
        </is>
      </c>
      <c r="AD567" s="3">
        <f>UPPER(C3)</f>
        <v/>
      </c>
      <c r="AE567" s="3">
        <f>VLOOKUP(E3,'[1]Nómina Agentes'!$C:$D,3,0)</f>
        <v/>
      </c>
      <c r="AF567" s="5">
        <f>F3</f>
        <v/>
      </c>
      <c r="AG567" s="5">
        <f>H3</f>
        <v/>
      </c>
    </row>
    <row r="568">
      <c r="A568" s="1" t="inlineStr">
        <is>
          <t>9/10/2024</t>
        </is>
      </c>
      <c r="B568" t="inlineStr">
        <is>
          <t>925</t>
        </is>
      </c>
      <c r="C568" t="inlineStr">
        <is>
          <t>S2S Premium</t>
        </is>
      </c>
      <c r="D568" t="inlineStr">
        <is>
          <t>XDPCC_Silvana Medin</t>
        </is>
      </c>
      <c r="E568" t="inlineStr">
        <is>
          <t>663364</t>
        </is>
      </c>
      <c r="F568" s="2" t="inlineStr">
        <is>
          <t>08:00</t>
        </is>
      </c>
      <c r="G568" t="inlineStr">
        <is>
          <t>-</t>
        </is>
      </c>
      <c r="H568" s="2" t="inlineStr">
        <is>
          <t>08:30</t>
        </is>
      </c>
      <c r="I568" t="inlineStr">
        <is>
          <t>,000000000</t>
        </is>
      </c>
      <c r="J568" t="inlineStr">
        <is>
          <t>,000000000</t>
        </is>
      </c>
      <c r="K568" t="inlineStr">
        <is>
          <t>,000000000</t>
        </is>
      </c>
      <c r="L568" t="inlineStr">
        <is>
          <t>,000000000</t>
        </is>
      </c>
      <c r="M568" t="inlineStr">
        <is>
          <t>,000000000</t>
        </is>
      </c>
      <c r="N568" t="inlineStr">
        <is>
          <t>,000000000</t>
        </is>
      </c>
      <c r="O568" t="inlineStr">
        <is>
          <t>,000000000</t>
        </is>
      </c>
      <c r="P568" t="inlineStr">
        <is>
          <t>,000000000</t>
        </is>
      </c>
      <c r="Q568" t="inlineStr">
        <is>
          <t>,000000000</t>
        </is>
      </c>
      <c r="R568" t="inlineStr">
        <is>
          <t>,000000000</t>
        </is>
      </c>
      <c r="S568" t="inlineStr">
        <is>
          <t>,000000000</t>
        </is>
      </c>
      <c r="T568" t="inlineStr">
        <is>
          <t>,000000000</t>
        </is>
      </c>
      <c r="U568" t="inlineStr">
        <is>
          <t>,000000000</t>
        </is>
      </c>
      <c r="V568" t="inlineStr">
        <is>
          <t>,000000000</t>
        </is>
      </c>
      <c r="W568" t="inlineStr">
        <is>
          <t>,000000000</t>
        </is>
      </c>
      <c r="X568" t="inlineStr">
        <is>
          <t>,000000000</t>
        </is>
      </c>
      <c r="Y568" t="inlineStr">
        <is>
          <t>,000000000</t>
        </is>
      </c>
      <c r="Z568" t="inlineStr">
        <is>
          <t>,000000000</t>
        </is>
      </c>
      <c r="AA568" t="inlineStr">
        <is>
          <t>,000000000</t>
        </is>
      </c>
      <c r="AB568" t="inlineStr">
        <is>
          <t>0</t>
        </is>
      </c>
      <c r="AC568" t="inlineStr">
        <is>
          <t>0</t>
        </is>
      </c>
      <c r="AD568" s="3">
        <f>UPPER(C3)</f>
        <v/>
      </c>
      <c r="AE568" s="3">
        <f>VLOOKUP(E3,'[1]Nómina Agentes'!$C:$D,3,0)</f>
        <v/>
      </c>
      <c r="AF568" s="5">
        <f>F3</f>
        <v/>
      </c>
      <c r="AG568" s="5">
        <f>H3</f>
        <v/>
      </c>
    </row>
    <row r="569">
      <c r="A569" s="1" t="inlineStr">
        <is>
          <t>9/10/2024</t>
        </is>
      </c>
      <c r="B569" t="inlineStr">
        <is>
          <t>925</t>
        </is>
      </c>
      <c r="C569" t="inlineStr">
        <is>
          <t>S2S Premium</t>
        </is>
      </c>
      <c r="D569" t="inlineStr">
        <is>
          <t>XDPCC_Silvana Medin</t>
        </is>
      </c>
      <c r="E569" t="inlineStr">
        <is>
          <t>663364</t>
        </is>
      </c>
      <c r="F569" s="2" t="inlineStr">
        <is>
          <t>06:30</t>
        </is>
      </c>
      <c r="G569" t="inlineStr">
        <is>
          <t>-</t>
        </is>
      </c>
      <c r="H569" s="2" t="inlineStr">
        <is>
          <t>07:00</t>
        </is>
      </c>
      <c r="I569" t="inlineStr">
        <is>
          <t>,000000000</t>
        </is>
      </c>
      <c r="J569" t="inlineStr">
        <is>
          <t>,000000000</t>
        </is>
      </c>
      <c r="K569" t="inlineStr">
        <is>
          <t>,000000000</t>
        </is>
      </c>
      <c r="L569" t="inlineStr">
        <is>
          <t>,000000000</t>
        </is>
      </c>
      <c r="M569" t="inlineStr">
        <is>
          <t>,000000000</t>
        </is>
      </c>
      <c r="N569" t="inlineStr">
        <is>
          <t>,000000000</t>
        </is>
      </c>
      <c r="O569" t="inlineStr">
        <is>
          <t>,000000000</t>
        </is>
      </c>
      <c r="P569" t="inlineStr">
        <is>
          <t>,000000000</t>
        </is>
      </c>
      <c r="Q569" t="inlineStr">
        <is>
          <t>,000000000</t>
        </is>
      </c>
      <c r="R569" t="inlineStr">
        <is>
          <t>,000000000</t>
        </is>
      </c>
      <c r="S569" t="inlineStr">
        <is>
          <t>,000000000</t>
        </is>
      </c>
      <c r="T569" t="inlineStr">
        <is>
          <t>,000000000</t>
        </is>
      </c>
      <c r="U569" t="inlineStr">
        <is>
          <t>,000000000</t>
        </is>
      </c>
      <c r="V569" t="inlineStr">
        <is>
          <t>,000000000</t>
        </is>
      </c>
      <c r="W569" t="inlineStr">
        <is>
          <t>,000000000</t>
        </is>
      </c>
      <c r="X569" t="inlineStr">
        <is>
          <t>,000000000</t>
        </is>
      </c>
      <c r="Y569" t="inlineStr">
        <is>
          <t>,000000000</t>
        </is>
      </c>
      <c r="Z569" t="inlineStr">
        <is>
          <t>,000000000</t>
        </is>
      </c>
      <c r="AA569" t="inlineStr">
        <is>
          <t>,000000000</t>
        </is>
      </c>
      <c r="AB569" t="inlineStr">
        <is>
          <t>0</t>
        </is>
      </c>
      <c r="AC569" t="inlineStr">
        <is>
          <t>0</t>
        </is>
      </c>
      <c r="AD569" s="3">
        <f>UPPER(C3)</f>
        <v/>
      </c>
      <c r="AE569" s="3">
        <f>VLOOKUP(E3,'[1]Nómina Agentes'!$C:$D,3,0)</f>
        <v/>
      </c>
      <c r="AF569" s="5">
        <f>F3</f>
        <v/>
      </c>
      <c r="AG569" s="5">
        <f>H3</f>
        <v/>
      </c>
    </row>
    <row r="570">
      <c r="A570" s="1" t="inlineStr">
        <is>
          <t>9/10/2024</t>
        </is>
      </c>
      <c r="B570" t="inlineStr">
        <is>
          <t>925</t>
        </is>
      </c>
      <c r="C570" t="inlineStr">
        <is>
          <t>S2S Premium</t>
        </is>
      </c>
      <c r="D570" t="inlineStr">
        <is>
          <t>XDPCC_Silvana Medin</t>
        </is>
      </c>
      <c r="E570" t="inlineStr">
        <is>
          <t>663364</t>
        </is>
      </c>
      <c r="F570" s="2" t="inlineStr">
        <is>
          <t>06:00</t>
        </is>
      </c>
      <c r="G570" t="inlineStr">
        <is>
          <t>-</t>
        </is>
      </c>
      <c r="H570" s="2" t="inlineStr">
        <is>
          <t>06:30</t>
        </is>
      </c>
      <c r="I570" t="inlineStr">
        <is>
          <t>,000000000</t>
        </is>
      </c>
      <c r="J570" t="inlineStr">
        <is>
          <t>,000000000</t>
        </is>
      </c>
      <c r="K570" t="inlineStr">
        <is>
          <t>,000000000</t>
        </is>
      </c>
      <c r="L570" t="inlineStr">
        <is>
          <t>,000000000</t>
        </is>
      </c>
      <c r="M570" t="inlineStr">
        <is>
          <t>,000000000</t>
        </is>
      </c>
      <c r="N570" t="inlineStr">
        <is>
          <t>,000000000</t>
        </is>
      </c>
      <c r="O570" t="inlineStr">
        <is>
          <t>,000000000</t>
        </is>
      </c>
      <c r="P570" t="inlineStr">
        <is>
          <t>,000000000</t>
        </is>
      </c>
      <c r="Q570" t="inlineStr">
        <is>
          <t>,000000000</t>
        </is>
      </c>
      <c r="R570" t="inlineStr">
        <is>
          <t>,000000000</t>
        </is>
      </c>
      <c r="S570" t="inlineStr">
        <is>
          <t>,000000000</t>
        </is>
      </c>
      <c r="T570" t="inlineStr">
        <is>
          <t>,000000000</t>
        </is>
      </c>
      <c r="U570" t="inlineStr">
        <is>
          <t>,000000000</t>
        </is>
      </c>
      <c r="V570" t="inlineStr">
        <is>
          <t>,000000000</t>
        </is>
      </c>
      <c r="W570" t="inlineStr">
        <is>
          <t>,000000000</t>
        </is>
      </c>
      <c r="X570" t="inlineStr">
        <is>
          <t>,000000000</t>
        </is>
      </c>
      <c r="Y570" t="inlineStr">
        <is>
          <t>,000000000</t>
        </is>
      </c>
      <c r="Z570" t="inlineStr">
        <is>
          <t>,000000000</t>
        </is>
      </c>
      <c r="AA570" t="inlineStr">
        <is>
          <t>,000000000</t>
        </is>
      </c>
      <c r="AB570" t="inlineStr">
        <is>
          <t>0</t>
        </is>
      </c>
      <c r="AC570" t="inlineStr">
        <is>
          <t>0</t>
        </is>
      </c>
      <c r="AD570" s="3">
        <f>UPPER(C3)</f>
        <v/>
      </c>
      <c r="AE570" s="3">
        <f>VLOOKUP(E3,'[1]Nómina Agentes'!$C:$D,3,0)</f>
        <v/>
      </c>
      <c r="AF570" s="5">
        <f>F3</f>
        <v/>
      </c>
      <c r="AG570" s="5">
        <f>H3</f>
        <v/>
      </c>
    </row>
    <row r="571">
      <c r="A571" s="1" t="inlineStr">
        <is>
          <t>9/10/2024</t>
        </is>
      </c>
      <c r="B571" t="inlineStr">
        <is>
          <t>925</t>
        </is>
      </c>
      <c r="C571" t="inlineStr">
        <is>
          <t>S2S Premium</t>
        </is>
      </c>
      <c r="D571" t="inlineStr">
        <is>
          <t>XDPCC_Silvana Medin</t>
        </is>
      </c>
      <c r="E571" t="inlineStr">
        <is>
          <t>663364</t>
        </is>
      </c>
      <c r="F571" s="2" t="inlineStr">
        <is>
          <t>07:00</t>
        </is>
      </c>
      <c r="G571" t="inlineStr">
        <is>
          <t>-</t>
        </is>
      </c>
      <c r="H571" s="2" t="inlineStr">
        <is>
          <t>07:30</t>
        </is>
      </c>
      <c r="I571" t="inlineStr">
        <is>
          <t>,000000000</t>
        </is>
      </c>
      <c r="J571" t="inlineStr">
        <is>
          <t>,000000000</t>
        </is>
      </c>
      <c r="K571" t="inlineStr">
        <is>
          <t>,000000000</t>
        </is>
      </c>
      <c r="L571" t="inlineStr">
        <is>
          <t>,000000000</t>
        </is>
      </c>
      <c r="M571" t="inlineStr">
        <is>
          <t>,000000000</t>
        </is>
      </c>
      <c r="N571" t="inlineStr">
        <is>
          <t>,000000000</t>
        </is>
      </c>
      <c r="O571" t="inlineStr">
        <is>
          <t>,000000000</t>
        </is>
      </c>
      <c r="P571" t="inlineStr">
        <is>
          <t>,000000000</t>
        </is>
      </c>
      <c r="Q571" t="inlineStr">
        <is>
          <t>,000000000</t>
        </is>
      </c>
      <c r="R571" t="inlineStr">
        <is>
          <t>,000000000</t>
        </is>
      </c>
      <c r="S571" t="inlineStr">
        <is>
          <t>,000000000</t>
        </is>
      </c>
      <c r="T571" t="inlineStr">
        <is>
          <t>,000000000</t>
        </is>
      </c>
      <c r="U571" t="inlineStr">
        <is>
          <t>,000000000</t>
        </is>
      </c>
      <c r="V571" t="inlineStr">
        <is>
          <t>,000000000</t>
        </is>
      </c>
      <c r="W571" t="inlineStr">
        <is>
          <t>,000000000</t>
        </is>
      </c>
      <c r="X571" t="inlineStr">
        <is>
          <t>,000000000</t>
        </is>
      </c>
      <c r="Y571" t="inlineStr">
        <is>
          <t>,000000000</t>
        </is>
      </c>
      <c r="Z571" t="inlineStr">
        <is>
          <t>,000000000</t>
        </is>
      </c>
      <c r="AA571" t="inlineStr">
        <is>
          <t>,000000000</t>
        </is>
      </c>
      <c r="AB571" t="inlineStr">
        <is>
          <t>0</t>
        </is>
      </c>
      <c r="AC571" t="inlineStr">
        <is>
          <t>0</t>
        </is>
      </c>
      <c r="AD571" s="3">
        <f>UPPER(C3)</f>
        <v/>
      </c>
      <c r="AE571" s="3">
        <f>VLOOKUP(E3,'[1]Nómina Agentes'!$C:$D,3,0)</f>
        <v/>
      </c>
      <c r="AF571" s="5">
        <f>F3</f>
        <v/>
      </c>
      <c r="AG571" s="5">
        <f>H3</f>
        <v/>
      </c>
    </row>
    <row r="572">
      <c r="A572" s="1" t="inlineStr">
        <is>
          <t>9/10/2024</t>
        </is>
      </c>
      <c r="B572" t="inlineStr">
        <is>
          <t>925</t>
        </is>
      </c>
      <c r="C572" t="inlineStr">
        <is>
          <t>S2S Premium</t>
        </is>
      </c>
      <c r="D572" t="inlineStr">
        <is>
          <t>XDPCC_Silvana Medin</t>
        </is>
      </c>
      <c r="E572" t="inlineStr">
        <is>
          <t>663364</t>
        </is>
      </c>
      <c r="F572" s="2" t="inlineStr">
        <is>
          <t>07:30</t>
        </is>
      </c>
      <c r="G572" t="inlineStr">
        <is>
          <t>-</t>
        </is>
      </c>
      <c r="H572" s="2" t="inlineStr">
        <is>
          <t>08:00</t>
        </is>
      </c>
      <c r="I572" t="inlineStr">
        <is>
          <t>87,000000000</t>
        </is>
      </c>
      <c r="J572" t="inlineStr">
        <is>
          <t>,000000000</t>
        </is>
      </c>
      <c r="K572" t="inlineStr">
        <is>
          <t>,000000000</t>
        </is>
      </c>
      <c r="L572" t="inlineStr">
        <is>
          <t>4,000000000</t>
        </is>
      </c>
      <c r="M572" t="inlineStr">
        <is>
          <t>,000000000</t>
        </is>
      </c>
      <c r="N572" t="inlineStr">
        <is>
          <t>,000000000</t>
        </is>
      </c>
      <c r="O572" t="inlineStr">
        <is>
          <t>,000000000</t>
        </is>
      </c>
      <c r="P572" t="inlineStr">
        <is>
          <t>,000000000</t>
        </is>
      </c>
      <c r="Q572" t="inlineStr">
        <is>
          <t>,000000000</t>
        </is>
      </c>
      <c r="R572" t="inlineStr">
        <is>
          <t>,000000000</t>
        </is>
      </c>
      <c r="S572" t="inlineStr">
        <is>
          <t>,000000000</t>
        </is>
      </c>
      <c r="T572" t="inlineStr">
        <is>
          <t>,000000000</t>
        </is>
      </c>
      <c r="U572" t="inlineStr">
        <is>
          <t>,000000000</t>
        </is>
      </c>
      <c r="V572" t="inlineStr">
        <is>
          <t>,000000000</t>
        </is>
      </c>
      <c r="W572" t="inlineStr">
        <is>
          <t>,000000000</t>
        </is>
      </c>
      <c r="X572" t="inlineStr">
        <is>
          <t>,000000000</t>
        </is>
      </c>
      <c r="Y572" t="inlineStr">
        <is>
          <t>,000000000</t>
        </is>
      </c>
      <c r="Z572" t="inlineStr">
        <is>
          <t>,000000000</t>
        </is>
      </c>
      <c r="AA572" t="inlineStr">
        <is>
          <t>,000000000</t>
        </is>
      </c>
      <c r="AB572" t="inlineStr">
        <is>
          <t>1</t>
        </is>
      </c>
      <c r="AC572" t="inlineStr">
        <is>
          <t>1</t>
        </is>
      </c>
      <c r="AD572" s="3">
        <f>UPPER(C3)</f>
        <v/>
      </c>
      <c r="AE572" s="3">
        <f>VLOOKUP(E3,'[1]Nómina Agentes'!$C:$D,3,0)</f>
        <v/>
      </c>
      <c r="AF572" s="5">
        <f>F3</f>
        <v/>
      </c>
      <c r="AG572" s="5">
        <f>H3</f>
        <v/>
      </c>
    </row>
    <row r="573">
      <c r="A573" s="1" t="inlineStr">
        <is>
          <t>9/10/2024</t>
        </is>
      </c>
      <c r="B573" t="inlineStr">
        <is>
          <t>925</t>
        </is>
      </c>
      <c r="C573" t="inlineStr">
        <is>
          <t>S2S Premium</t>
        </is>
      </c>
      <c r="D573" t="inlineStr">
        <is>
          <t>XPm_Benitez,Graciel</t>
        </is>
      </c>
      <c r="E573" t="inlineStr">
        <is>
          <t>663441</t>
        </is>
      </c>
      <c r="F573" s="2" t="inlineStr">
        <is>
          <t>07:30</t>
        </is>
      </c>
      <c r="G573" t="inlineStr">
        <is>
          <t>-</t>
        </is>
      </c>
      <c r="H573" s="2" t="inlineStr">
        <is>
          <t>08:00</t>
        </is>
      </c>
      <c r="I573" t="inlineStr">
        <is>
          <t>,000000000</t>
        </is>
      </c>
      <c r="J573" t="inlineStr">
        <is>
          <t>,000000000</t>
        </is>
      </c>
      <c r="K573" t="inlineStr">
        <is>
          <t>,000000000</t>
        </is>
      </c>
      <c r="L573" t="inlineStr">
        <is>
          <t>,000000000</t>
        </is>
      </c>
      <c r="M573" t="inlineStr">
        <is>
          <t>,000000000</t>
        </is>
      </c>
      <c r="N573" t="inlineStr">
        <is>
          <t>,000000000</t>
        </is>
      </c>
      <c r="O573" t="inlineStr">
        <is>
          <t>,000000000</t>
        </is>
      </c>
      <c r="P573" t="inlineStr">
        <is>
          <t>,000000000</t>
        </is>
      </c>
      <c r="Q573" t="inlineStr">
        <is>
          <t>,000000000</t>
        </is>
      </c>
      <c r="R573" t="inlineStr">
        <is>
          <t>,000000000</t>
        </is>
      </c>
      <c r="S573" t="inlineStr">
        <is>
          <t>,000000000</t>
        </is>
      </c>
      <c r="T573" t="inlineStr">
        <is>
          <t>,000000000</t>
        </is>
      </c>
      <c r="U573" t="inlineStr">
        <is>
          <t>,000000000</t>
        </is>
      </c>
      <c r="V573" t="inlineStr">
        <is>
          <t>,000000000</t>
        </is>
      </c>
      <c r="W573" t="inlineStr">
        <is>
          <t>,000000000</t>
        </is>
      </c>
      <c r="X573" t="inlineStr">
        <is>
          <t>,000000000</t>
        </is>
      </c>
      <c r="Y573" t="inlineStr">
        <is>
          <t>,000000000</t>
        </is>
      </c>
      <c r="Z573" t="inlineStr">
        <is>
          <t>,000000000</t>
        </is>
      </c>
      <c r="AA573" t="inlineStr">
        <is>
          <t>,000000000</t>
        </is>
      </c>
      <c r="AB573" t="inlineStr">
        <is>
          <t>0</t>
        </is>
      </c>
      <c r="AC573" t="inlineStr">
        <is>
          <t>0</t>
        </is>
      </c>
      <c r="AD573" s="3">
        <f>UPPER(C3)</f>
        <v/>
      </c>
      <c r="AE573" s="3">
        <f>VLOOKUP(E3,'[1]Nómina Agentes'!$C:$D,3,0)</f>
        <v/>
      </c>
      <c r="AF573" s="5">
        <f>F3</f>
        <v/>
      </c>
      <c r="AG573" s="5">
        <f>H3</f>
        <v/>
      </c>
    </row>
    <row r="574">
      <c r="A574" s="1" t="inlineStr">
        <is>
          <t>9/10/2024</t>
        </is>
      </c>
      <c r="B574" t="inlineStr">
        <is>
          <t>925</t>
        </is>
      </c>
      <c r="C574" t="inlineStr">
        <is>
          <t>S2S Premium</t>
        </is>
      </c>
      <c r="D574" t="inlineStr">
        <is>
          <t>XPm_Benitez,Graciel</t>
        </is>
      </c>
      <c r="E574" t="inlineStr">
        <is>
          <t>663441</t>
        </is>
      </c>
      <c r="F574" s="2" t="inlineStr">
        <is>
          <t>06:00</t>
        </is>
      </c>
      <c r="G574" t="inlineStr">
        <is>
          <t>-</t>
        </is>
      </c>
      <c r="H574" s="2" t="inlineStr">
        <is>
          <t>06:30</t>
        </is>
      </c>
      <c r="I574" t="inlineStr">
        <is>
          <t>,000000000</t>
        </is>
      </c>
      <c r="J574" t="inlineStr">
        <is>
          <t>,000000000</t>
        </is>
      </c>
      <c r="K574" t="inlineStr">
        <is>
          <t>,000000000</t>
        </is>
      </c>
      <c r="L574" t="inlineStr">
        <is>
          <t>,000000000</t>
        </is>
      </c>
      <c r="M574" t="inlineStr">
        <is>
          <t>,000000000</t>
        </is>
      </c>
      <c r="N574" t="inlineStr">
        <is>
          <t>,000000000</t>
        </is>
      </c>
      <c r="O574" t="inlineStr">
        <is>
          <t>,000000000</t>
        </is>
      </c>
      <c r="P574" t="inlineStr">
        <is>
          <t>,000000000</t>
        </is>
      </c>
      <c r="Q574" t="inlineStr">
        <is>
          <t>,000000000</t>
        </is>
      </c>
      <c r="R574" t="inlineStr">
        <is>
          <t>,000000000</t>
        </is>
      </c>
      <c r="S574" t="inlineStr">
        <is>
          <t>,000000000</t>
        </is>
      </c>
      <c r="T574" t="inlineStr">
        <is>
          <t>,000000000</t>
        </is>
      </c>
      <c r="U574" t="inlineStr">
        <is>
          <t>,000000000</t>
        </is>
      </c>
      <c r="V574" t="inlineStr">
        <is>
          <t>,000000000</t>
        </is>
      </c>
      <c r="W574" t="inlineStr">
        <is>
          <t>,000000000</t>
        </is>
      </c>
      <c r="X574" t="inlineStr">
        <is>
          <t>,000000000</t>
        </is>
      </c>
      <c r="Y574" t="inlineStr">
        <is>
          <t>,000000000</t>
        </is>
      </c>
      <c r="Z574" t="inlineStr">
        <is>
          <t>,000000000</t>
        </is>
      </c>
      <c r="AA574" t="inlineStr">
        <is>
          <t>,000000000</t>
        </is>
      </c>
      <c r="AB574" t="inlineStr">
        <is>
          <t>0</t>
        </is>
      </c>
      <c r="AC574" t="inlineStr">
        <is>
          <t>0</t>
        </is>
      </c>
      <c r="AD574" s="3">
        <f>UPPER(C3)</f>
        <v/>
      </c>
      <c r="AE574" s="3">
        <f>VLOOKUP(E3,'[1]Nómina Agentes'!$C:$D,3,0)</f>
        <v/>
      </c>
      <c r="AF574" s="5">
        <f>F3</f>
        <v/>
      </c>
      <c r="AG574" s="5">
        <f>H3</f>
        <v/>
      </c>
    </row>
    <row r="575">
      <c r="A575" s="1" t="inlineStr">
        <is>
          <t>9/10/2024</t>
        </is>
      </c>
      <c r="B575" t="inlineStr">
        <is>
          <t>925</t>
        </is>
      </c>
      <c r="C575" t="inlineStr">
        <is>
          <t>S2S Premium</t>
        </is>
      </c>
      <c r="D575" t="inlineStr">
        <is>
          <t>XPm_Benitez,Graciel</t>
        </is>
      </c>
      <c r="E575" t="inlineStr">
        <is>
          <t>663441</t>
        </is>
      </c>
      <c r="F575" s="2" t="inlineStr">
        <is>
          <t>07:00</t>
        </is>
      </c>
      <c r="G575" t="inlineStr">
        <is>
          <t>-</t>
        </is>
      </c>
      <c r="H575" s="2" t="inlineStr">
        <is>
          <t>07:30</t>
        </is>
      </c>
      <c r="I575" t="inlineStr">
        <is>
          <t>,000000000</t>
        </is>
      </c>
      <c r="J575" t="inlineStr">
        <is>
          <t>,000000000</t>
        </is>
      </c>
      <c r="K575" t="inlineStr">
        <is>
          <t>,000000000</t>
        </is>
      </c>
      <c r="L575" t="inlineStr">
        <is>
          <t>,000000000</t>
        </is>
      </c>
      <c r="M575" t="inlineStr">
        <is>
          <t>,000000000</t>
        </is>
      </c>
      <c r="N575" t="inlineStr">
        <is>
          <t>,000000000</t>
        </is>
      </c>
      <c r="O575" t="inlineStr">
        <is>
          <t>,000000000</t>
        </is>
      </c>
      <c r="P575" t="inlineStr">
        <is>
          <t>,000000000</t>
        </is>
      </c>
      <c r="Q575" t="inlineStr">
        <is>
          <t>,000000000</t>
        </is>
      </c>
      <c r="R575" t="inlineStr">
        <is>
          <t>,000000000</t>
        </is>
      </c>
      <c r="S575" t="inlineStr">
        <is>
          <t>,000000000</t>
        </is>
      </c>
      <c r="T575" t="inlineStr">
        <is>
          <t>,000000000</t>
        </is>
      </c>
      <c r="U575" t="inlineStr">
        <is>
          <t>,000000000</t>
        </is>
      </c>
      <c r="V575" t="inlineStr">
        <is>
          <t>,000000000</t>
        </is>
      </c>
      <c r="W575" t="inlineStr">
        <is>
          <t>,000000000</t>
        </is>
      </c>
      <c r="X575" t="inlineStr">
        <is>
          <t>,000000000</t>
        </is>
      </c>
      <c r="Y575" t="inlineStr">
        <is>
          <t>,000000000</t>
        </is>
      </c>
      <c r="Z575" t="inlineStr">
        <is>
          <t>,000000000</t>
        </is>
      </c>
      <c r="AA575" t="inlineStr">
        <is>
          <t>,000000000</t>
        </is>
      </c>
      <c r="AB575" t="inlineStr">
        <is>
          <t>0</t>
        </is>
      </c>
      <c r="AC575" t="inlineStr">
        <is>
          <t>0</t>
        </is>
      </c>
      <c r="AD575" s="3">
        <f>UPPER(C3)</f>
        <v/>
      </c>
      <c r="AE575" s="3">
        <f>VLOOKUP(E3,'[1]Nómina Agentes'!$C:$D,3,0)</f>
        <v/>
      </c>
      <c r="AF575" s="5">
        <f>F3</f>
        <v/>
      </c>
      <c r="AG575" s="5">
        <f>H3</f>
        <v/>
      </c>
    </row>
    <row r="576">
      <c r="A576" s="1" t="inlineStr">
        <is>
          <t>9/10/2024</t>
        </is>
      </c>
      <c r="B576" t="inlineStr">
        <is>
          <t>925</t>
        </is>
      </c>
      <c r="C576" t="inlineStr">
        <is>
          <t>S2S Premium</t>
        </is>
      </c>
      <c r="D576" t="inlineStr">
        <is>
          <t>XPm_Benitez,Graciel</t>
        </is>
      </c>
      <c r="E576" t="inlineStr">
        <is>
          <t>663441</t>
        </is>
      </c>
      <c r="F576" s="2" t="inlineStr">
        <is>
          <t>10:30</t>
        </is>
      </c>
      <c r="G576" t="inlineStr">
        <is>
          <t>-</t>
        </is>
      </c>
      <c r="H576" s="2" t="inlineStr">
        <is>
          <t>11:00</t>
        </is>
      </c>
      <c r="I576" t="inlineStr">
        <is>
          <t>,000000000</t>
        </is>
      </c>
      <c r="J576" t="inlineStr">
        <is>
          <t>,000000000</t>
        </is>
      </c>
      <c r="K576" t="inlineStr">
        <is>
          <t>,000000000</t>
        </is>
      </c>
      <c r="L576" t="inlineStr">
        <is>
          <t>,000000000</t>
        </is>
      </c>
      <c r="M576" t="inlineStr">
        <is>
          <t>,000000000</t>
        </is>
      </c>
      <c r="N576" t="inlineStr">
        <is>
          <t>,000000000</t>
        </is>
      </c>
      <c r="O576" t="inlineStr">
        <is>
          <t>,000000000</t>
        </is>
      </c>
      <c r="P576" t="inlineStr">
        <is>
          <t>,000000000</t>
        </is>
      </c>
      <c r="Q576" t="inlineStr">
        <is>
          <t>,000000000</t>
        </is>
      </c>
      <c r="R576" t="inlineStr">
        <is>
          <t>,000000000</t>
        </is>
      </c>
      <c r="S576" t="inlineStr">
        <is>
          <t>,000000000</t>
        </is>
      </c>
      <c r="T576" t="inlineStr">
        <is>
          <t>,000000000</t>
        </is>
      </c>
      <c r="U576" t="inlineStr">
        <is>
          <t>,000000000</t>
        </is>
      </c>
      <c r="V576" t="inlineStr">
        <is>
          <t>,000000000</t>
        </is>
      </c>
      <c r="W576" t="inlineStr">
        <is>
          <t>,000000000</t>
        </is>
      </c>
      <c r="X576" t="inlineStr">
        <is>
          <t>,000000000</t>
        </is>
      </c>
      <c r="Y576" t="inlineStr">
        <is>
          <t>,000000000</t>
        </is>
      </c>
      <c r="Z576" t="inlineStr">
        <is>
          <t>,000000000</t>
        </is>
      </c>
      <c r="AA576" t="inlineStr">
        <is>
          <t>,000000000</t>
        </is>
      </c>
      <c r="AB576" t="inlineStr">
        <is>
          <t>0</t>
        </is>
      </c>
      <c r="AC576" t="inlineStr">
        <is>
          <t>0</t>
        </is>
      </c>
      <c r="AD576" s="3">
        <f>UPPER(C3)</f>
        <v/>
      </c>
      <c r="AE576" s="3">
        <f>VLOOKUP(E3,'[1]Nómina Agentes'!$C:$D,3,0)</f>
        <v/>
      </c>
      <c r="AF576" s="5">
        <f>F3</f>
        <v/>
      </c>
      <c r="AG576" s="5">
        <f>H3</f>
        <v/>
      </c>
    </row>
    <row r="577">
      <c r="A577" s="1" t="inlineStr">
        <is>
          <t>9/10/2024</t>
        </is>
      </c>
      <c r="B577" t="inlineStr">
        <is>
          <t>925</t>
        </is>
      </c>
      <c r="C577" t="inlineStr">
        <is>
          <t>S2S Premium</t>
        </is>
      </c>
      <c r="D577" t="inlineStr">
        <is>
          <t>XPm_Benitez,Graciel</t>
        </is>
      </c>
      <c r="E577" t="inlineStr">
        <is>
          <t>663441</t>
        </is>
      </c>
      <c r="F577" s="2" t="inlineStr">
        <is>
          <t>06:30</t>
        </is>
      </c>
      <c r="G577" t="inlineStr">
        <is>
          <t>-</t>
        </is>
      </c>
      <c r="H577" s="2" t="inlineStr">
        <is>
          <t>07:00</t>
        </is>
      </c>
      <c r="I577" t="inlineStr">
        <is>
          <t>,000000000</t>
        </is>
      </c>
      <c r="J577" t="inlineStr">
        <is>
          <t>,000000000</t>
        </is>
      </c>
      <c r="K577" t="inlineStr">
        <is>
          <t>,000000000</t>
        </is>
      </c>
      <c r="L577" t="inlineStr">
        <is>
          <t>,000000000</t>
        </is>
      </c>
      <c r="M577" t="inlineStr">
        <is>
          <t>,000000000</t>
        </is>
      </c>
      <c r="N577" t="inlineStr">
        <is>
          <t>,000000000</t>
        </is>
      </c>
      <c r="O577" t="inlineStr">
        <is>
          <t>,000000000</t>
        </is>
      </c>
      <c r="P577" t="inlineStr">
        <is>
          <t>,000000000</t>
        </is>
      </c>
      <c r="Q577" t="inlineStr">
        <is>
          <t>,000000000</t>
        </is>
      </c>
      <c r="R577" t="inlineStr">
        <is>
          <t>,000000000</t>
        </is>
      </c>
      <c r="S577" t="inlineStr">
        <is>
          <t>,000000000</t>
        </is>
      </c>
      <c r="T577" t="inlineStr">
        <is>
          <t>,000000000</t>
        </is>
      </c>
      <c r="U577" t="inlineStr">
        <is>
          <t>,000000000</t>
        </is>
      </c>
      <c r="V577" t="inlineStr">
        <is>
          <t>,000000000</t>
        </is>
      </c>
      <c r="W577" t="inlineStr">
        <is>
          <t>,000000000</t>
        </is>
      </c>
      <c r="X577" t="inlineStr">
        <is>
          <t>,000000000</t>
        </is>
      </c>
      <c r="Y577" t="inlineStr">
        <is>
          <t>,000000000</t>
        </is>
      </c>
      <c r="Z577" t="inlineStr">
        <is>
          <t>,000000000</t>
        </is>
      </c>
      <c r="AA577" t="inlineStr">
        <is>
          <t>,000000000</t>
        </is>
      </c>
      <c r="AB577" t="inlineStr">
        <is>
          <t>0</t>
        </is>
      </c>
      <c r="AC577" t="inlineStr">
        <is>
          <t>0</t>
        </is>
      </c>
      <c r="AD577" s="3">
        <f>UPPER(C3)</f>
        <v/>
      </c>
      <c r="AE577" s="3">
        <f>VLOOKUP(E3,'[1]Nómina Agentes'!$C:$D,3,0)</f>
        <v/>
      </c>
      <c r="AF577" s="5">
        <f>F3</f>
        <v/>
      </c>
      <c r="AG577" s="5">
        <f>H3</f>
        <v/>
      </c>
    </row>
    <row r="578">
      <c r="A578" s="1" t="inlineStr">
        <is>
          <t>9/10/2024</t>
        </is>
      </c>
      <c r="B578" t="inlineStr">
        <is>
          <t>925</t>
        </is>
      </c>
      <c r="C578" t="inlineStr">
        <is>
          <t>S2S Premium</t>
        </is>
      </c>
      <c r="D578" t="inlineStr">
        <is>
          <t>XPm_Benitez,Graciel</t>
        </is>
      </c>
      <c r="E578" t="inlineStr">
        <is>
          <t>663441</t>
        </is>
      </c>
      <c r="F578" s="2" t="inlineStr">
        <is>
          <t>09:30</t>
        </is>
      </c>
      <c r="G578" t="inlineStr">
        <is>
          <t>-</t>
        </is>
      </c>
      <c r="H578" s="2" t="inlineStr">
        <is>
          <t>10:00</t>
        </is>
      </c>
      <c r="I578" t="inlineStr">
        <is>
          <t>,000000000</t>
        </is>
      </c>
      <c r="J578" t="inlineStr">
        <is>
          <t>,000000000</t>
        </is>
      </c>
      <c r="K578" t="inlineStr">
        <is>
          <t>,000000000</t>
        </is>
      </c>
      <c r="L578" t="inlineStr">
        <is>
          <t>,000000000</t>
        </is>
      </c>
      <c r="M578" t="inlineStr">
        <is>
          <t>,000000000</t>
        </is>
      </c>
      <c r="N578" t="inlineStr">
        <is>
          <t>,000000000</t>
        </is>
      </c>
      <c r="O578" t="inlineStr">
        <is>
          <t>,000000000</t>
        </is>
      </c>
      <c r="P578" t="inlineStr">
        <is>
          <t>,000000000</t>
        </is>
      </c>
      <c r="Q578" t="inlineStr">
        <is>
          <t>,000000000</t>
        </is>
      </c>
      <c r="R578" t="inlineStr">
        <is>
          <t>,000000000</t>
        </is>
      </c>
      <c r="S578" t="inlineStr">
        <is>
          <t>,000000000</t>
        </is>
      </c>
      <c r="T578" t="inlineStr">
        <is>
          <t>,000000000</t>
        </is>
      </c>
      <c r="U578" t="inlineStr">
        <is>
          <t>,000000000</t>
        </is>
      </c>
      <c r="V578" t="inlineStr">
        <is>
          <t>,000000000</t>
        </is>
      </c>
      <c r="W578" t="inlineStr">
        <is>
          <t>,000000000</t>
        </is>
      </c>
      <c r="X578" t="inlineStr">
        <is>
          <t>,000000000</t>
        </is>
      </c>
      <c r="Y578" t="inlineStr">
        <is>
          <t>,000000000</t>
        </is>
      </c>
      <c r="Z578" t="inlineStr">
        <is>
          <t>,000000000</t>
        </is>
      </c>
      <c r="AA578" t="inlineStr">
        <is>
          <t>,000000000</t>
        </is>
      </c>
      <c r="AB578" t="inlineStr">
        <is>
          <t>0</t>
        </is>
      </c>
      <c r="AC578" t="inlineStr">
        <is>
          <t>0</t>
        </is>
      </c>
      <c r="AD578" s="3">
        <f>UPPER(C3)</f>
        <v/>
      </c>
      <c r="AE578" s="3">
        <f>VLOOKUP(E3,'[1]Nómina Agentes'!$C:$D,3,0)</f>
        <v/>
      </c>
      <c r="AF578" s="5">
        <f>F3</f>
        <v/>
      </c>
      <c r="AG578" s="5">
        <f>H3</f>
        <v/>
      </c>
    </row>
    <row r="579">
      <c r="A579" s="1" t="inlineStr">
        <is>
          <t>9/10/2024</t>
        </is>
      </c>
      <c r="B579" t="inlineStr">
        <is>
          <t>925</t>
        </is>
      </c>
      <c r="C579" t="inlineStr">
        <is>
          <t>S2S Premium</t>
        </is>
      </c>
      <c r="D579" t="inlineStr">
        <is>
          <t>XPm_Benitez,Graciel</t>
        </is>
      </c>
      <c r="E579" t="inlineStr">
        <is>
          <t>663441</t>
        </is>
      </c>
      <c r="F579" s="2" t="inlineStr">
        <is>
          <t>08:00</t>
        </is>
      </c>
      <c r="G579" t="inlineStr">
        <is>
          <t>-</t>
        </is>
      </c>
      <c r="H579" s="2" t="inlineStr">
        <is>
          <t>08:30</t>
        </is>
      </c>
      <c r="I579" t="inlineStr">
        <is>
          <t>,000000000</t>
        </is>
      </c>
      <c r="J579" t="inlineStr">
        <is>
          <t>,000000000</t>
        </is>
      </c>
      <c r="K579" t="inlineStr">
        <is>
          <t>,000000000</t>
        </is>
      </c>
      <c r="L579" t="inlineStr">
        <is>
          <t>,000000000</t>
        </is>
      </c>
      <c r="M579" t="inlineStr">
        <is>
          <t>,000000000</t>
        </is>
      </c>
      <c r="N579" t="inlineStr">
        <is>
          <t>,000000000</t>
        </is>
      </c>
      <c r="O579" t="inlineStr">
        <is>
          <t>,000000000</t>
        </is>
      </c>
      <c r="P579" t="inlineStr">
        <is>
          <t>,000000000</t>
        </is>
      </c>
      <c r="Q579" t="inlineStr">
        <is>
          <t>,000000000</t>
        </is>
      </c>
      <c r="R579" t="inlineStr">
        <is>
          <t>,000000000</t>
        </is>
      </c>
      <c r="S579" t="inlineStr">
        <is>
          <t>,000000000</t>
        </is>
      </c>
      <c r="T579" t="inlineStr">
        <is>
          <t>,000000000</t>
        </is>
      </c>
      <c r="U579" t="inlineStr">
        <is>
          <t>,000000000</t>
        </is>
      </c>
      <c r="V579" t="inlineStr">
        <is>
          <t>,000000000</t>
        </is>
      </c>
      <c r="W579" t="inlineStr">
        <is>
          <t>,000000000</t>
        </is>
      </c>
      <c r="X579" t="inlineStr">
        <is>
          <t>,000000000</t>
        </is>
      </c>
      <c r="Y579" t="inlineStr">
        <is>
          <t>,000000000</t>
        </is>
      </c>
      <c r="Z579" t="inlineStr">
        <is>
          <t>,000000000</t>
        </is>
      </c>
      <c r="AA579" t="inlineStr">
        <is>
          <t>,000000000</t>
        </is>
      </c>
      <c r="AB579" t="inlineStr">
        <is>
          <t>0</t>
        </is>
      </c>
      <c r="AC579" t="inlineStr">
        <is>
          <t>0</t>
        </is>
      </c>
      <c r="AD579" s="3">
        <f>UPPER(C3)</f>
        <v/>
      </c>
      <c r="AE579" s="3">
        <f>VLOOKUP(E3,'[1]Nómina Agentes'!$C:$D,3,0)</f>
        <v/>
      </c>
      <c r="AF579" s="5">
        <f>F3</f>
        <v/>
      </c>
      <c r="AG579" s="5">
        <f>H3</f>
        <v/>
      </c>
    </row>
    <row r="580">
      <c r="A580" s="1" t="inlineStr">
        <is>
          <t>9/10/2024</t>
        </is>
      </c>
      <c r="B580" t="inlineStr">
        <is>
          <t>925</t>
        </is>
      </c>
      <c r="C580" t="inlineStr">
        <is>
          <t>S2S Premium</t>
        </is>
      </c>
      <c r="D580" t="inlineStr">
        <is>
          <t>XPm_Benitez,Graciel</t>
        </is>
      </c>
      <c r="E580" t="inlineStr">
        <is>
          <t>663441</t>
        </is>
      </c>
      <c r="F580" s="2" t="inlineStr">
        <is>
          <t>09:00</t>
        </is>
      </c>
      <c r="G580" t="inlineStr">
        <is>
          <t>-</t>
        </is>
      </c>
      <c r="H580" s="2" t="inlineStr">
        <is>
          <t>09:30</t>
        </is>
      </c>
      <c r="I580" t="inlineStr">
        <is>
          <t>,000000000</t>
        </is>
      </c>
      <c r="J580" t="inlineStr">
        <is>
          <t>,000000000</t>
        </is>
      </c>
      <c r="K580" t="inlineStr">
        <is>
          <t>,000000000</t>
        </is>
      </c>
      <c r="L580" t="inlineStr">
        <is>
          <t>,000000000</t>
        </is>
      </c>
      <c r="M580" t="inlineStr">
        <is>
          <t>,000000000</t>
        </is>
      </c>
      <c r="N580" t="inlineStr">
        <is>
          <t>,000000000</t>
        </is>
      </c>
      <c r="O580" t="inlineStr">
        <is>
          <t>,000000000</t>
        </is>
      </c>
      <c r="P580" t="inlineStr">
        <is>
          <t>,000000000</t>
        </is>
      </c>
      <c r="Q580" t="inlineStr">
        <is>
          <t>,000000000</t>
        </is>
      </c>
      <c r="R580" t="inlineStr">
        <is>
          <t>,000000000</t>
        </is>
      </c>
      <c r="S580" t="inlineStr">
        <is>
          <t>,000000000</t>
        </is>
      </c>
      <c r="T580" t="inlineStr">
        <is>
          <t>,000000000</t>
        </is>
      </c>
      <c r="U580" t="inlineStr">
        <is>
          <t>,000000000</t>
        </is>
      </c>
      <c r="V580" t="inlineStr">
        <is>
          <t>,000000000</t>
        </is>
      </c>
      <c r="W580" t="inlineStr">
        <is>
          <t>,000000000</t>
        </is>
      </c>
      <c r="X580" t="inlineStr">
        <is>
          <t>,000000000</t>
        </is>
      </c>
      <c r="Y580" t="inlineStr">
        <is>
          <t>,000000000</t>
        </is>
      </c>
      <c r="Z580" t="inlineStr">
        <is>
          <t>,000000000</t>
        </is>
      </c>
      <c r="AA580" t="inlineStr">
        <is>
          <t>,000000000</t>
        </is>
      </c>
      <c r="AB580" t="inlineStr">
        <is>
          <t>0</t>
        </is>
      </c>
      <c r="AC580" t="inlineStr">
        <is>
          <t>0</t>
        </is>
      </c>
      <c r="AD580" s="3">
        <f>UPPER(C3)</f>
        <v/>
      </c>
      <c r="AE580" s="3">
        <f>VLOOKUP(E3,'[1]Nómina Agentes'!$C:$D,3,0)</f>
        <v/>
      </c>
      <c r="AF580" s="5">
        <f>F3</f>
        <v/>
      </c>
      <c r="AG580" s="5">
        <f>H3</f>
        <v/>
      </c>
    </row>
    <row r="581">
      <c r="A581" s="1" t="inlineStr">
        <is>
          <t>9/10/2024</t>
        </is>
      </c>
      <c r="B581" t="inlineStr">
        <is>
          <t>925</t>
        </is>
      </c>
      <c r="C581" t="inlineStr">
        <is>
          <t>S2S Premium</t>
        </is>
      </c>
      <c r="D581" t="inlineStr">
        <is>
          <t>XPm_Benitez,Graciel</t>
        </is>
      </c>
      <c r="E581" t="inlineStr">
        <is>
          <t>663441</t>
        </is>
      </c>
      <c r="F581" s="2" t="inlineStr">
        <is>
          <t>08:30</t>
        </is>
      </c>
      <c r="G581" t="inlineStr">
        <is>
          <t>-</t>
        </is>
      </c>
      <c r="H581" s="2" t="inlineStr">
        <is>
          <t>09:00</t>
        </is>
      </c>
      <c r="I581" t="inlineStr">
        <is>
          <t>,000000000</t>
        </is>
      </c>
      <c r="J581" t="inlineStr">
        <is>
          <t>,000000000</t>
        </is>
      </c>
      <c r="K581" t="inlineStr">
        <is>
          <t>,000000000</t>
        </is>
      </c>
      <c r="L581" t="inlineStr">
        <is>
          <t>,000000000</t>
        </is>
      </c>
      <c r="M581" t="inlineStr">
        <is>
          <t>,000000000</t>
        </is>
      </c>
      <c r="N581" t="inlineStr">
        <is>
          <t>,000000000</t>
        </is>
      </c>
      <c r="O581" t="inlineStr">
        <is>
          <t>,000000000</t>
        </is>
      </c>
      <c r="P581" t="inlineStr">
        <is>
          <t>,000000000</t>
        </is>
      </c>
      <c r="Q581" t="inlineStr">
        <is>
          <t>,000000000</t>
        </is>
      </c>
      <c r="R581" t="inlineStr">
        <is>
          <t>,000000000</t>
        </is>
      </c>
      <c r="S581" t="inlineStr">
        <is>
          <t>,000000000</t>
        </is>
      </c>
      <c r="T581" t="inlineStr">
        <is>
          <t>,000000000</t>
        </is>
      </c>
      <c r="U581" t="inlineStr">
        <is>
          <t>,000000000</t>
        </is>
      </c>
      <c r="V581" t="inlineStr">
        <is>
          <t>,000000000</t>
        </is>
      </c>
      <c r="W581" t="inlineStr">
        <is>
          <t>,000000000</t>
        </is>
      </c>
      <c r="X581" t="inlineStr">
        <is>
          <t>,000000000</t>
        </is>
      </c>
      <c r="Y581" t="inlineStr">
        <is>
          <t>,000000000</t>
        </is>
      </c>
      <c r="Z581" t="inlineStr">
        <is>
          <t>,000000000</t>
        </is>
      </c>
      <c r="AA581" t="inlineStr">
        <is>
          <t>,000000000</t>
        </is>
      </c>
      <c r="AB581" t="inlineStr">
        <is>
          <t>0</t>
        </is>
      </c>
      <c r="AC581" t="inlineStr">
        <is>
          <t>0</t>
        </is>
      </c>
      <c r="AD581" s="3">
        <f>UPPER(C3)</f>
        <v/>
      </c>
      <c r="AE581" s="3">
        <f>VLOOKUP(E3,'[1]Nómina Agentes'!$C:$D,3,0)</f>
        <v/>
      </c>
      <c r="AF581" s="5">
        <f>F3</f>
        <v/>
      </c>
      <c r="AG581" s="5">
        <f>H3</f>
        <v/>
      </c>
    </row>
    <row r="582">
      <c r="A582" s="1" t="inlineStr">
        <is>
          <t>9/10/2024</t>
        </is>
      </c>
      <c r="B582" t="inlineStr">
        <is>
          <t>925</t>
        </is>
      </c>
      <c r="C582" t="inlineStr">
        <is>
          <t>S2S Premium</t>
        </is>
      </c>
      <c r="D582" t="inlineStr">
        <is>
          <t>XPm_Benitez,Graciel</t>
        </is>
      </c>
      <c r="E582" t="inlineStr">
        <is>
          <t>663441</t>
        </is>
      </c>
      <c r="F582" s="2" t="inlineStr">
        <is>
          <t>10:00</t>
        </is>
      </c>
      <c r="G582" t="inlineStr">
        <is>
          <t>-</t>
        </is>
      </c>
      <c r="H582" s="2" t="inlineStr">
        <is>
          <t>10:30</t>
        </is>
      </c>
      <c r="I582" t="inlineStr">
        <is>
          <t>225,000000000</t>
        </is>
      </c>
      <c r="J582" t="inlineStr">
        <is>
          <t>,000000000</t>
        </is>
      </c>
      <c r="K582" t="inlineStr">
        <is>
          <t>,000000000</t>
        </is>
      </c>
      <c r="L582" t="inlineStr">
        <is>
          <t>4,000000000</t>
        </is>
      </c>
      <c r="M582" t="inlineStr">
        <is>
          <t>,000000000</t>
        </is>
      </c>
      <c r="N582" t="inlineStr">
        <is>
          <t>,000000000</t>
        </is>
      </c>
      <c r="O582" t="inlineStr">
        <is>
          <t>,000000000</t>
        </is>
      </c>
      <c r="P582" t="inlineStr">
        <is>
          <t>1,000000000</t>
        </is>
      </c>
      <c r="Q582" t="inlineStr">
        <is>
          <t>,000000000</t>
        </is>
      </c>
      <c r="R582" t="inlineStr">
        <is>
          <t>,000000000</t>
        </is>
      </c>
      <c r="S582" t="inlineStr">
        <is>
          <t>,000000000</t>
        </is>
      </c>
      <c r="T582" t="inlineStr">
        <is>
          <t>,000000000</t>
        </is>
      </c>
      <c r="U582" t="inlineStr">
        <is>
          <t>,000000000</t>
        </is>
      </c>
      <c r="V582" t="inlineStr">
        <is>
          <t>,000000000</t>
        </is>
      </c>
      <c r="W582" t="inlineStr">
        <is>
          <t>,000000000</t>
        </is>
      </c>
      <c r="X582" t="inlineStr">
        <is>
          <t>,000000000</t>
        </is>
      </c>
      <c r="Y582" t="inlineStr">
        <is>
          <t>,000000000</t>
        </is>
      </c>
      <c r="Z582" t="inlineStr">
        <is>
          <t>,000000000</t>
        </is>
      </c>
      <c r="AA582" t="inlineStr">
        <is>
          <t>,000000000</t>
        </is>
      </c>
      <c r="AB582" t="inlineStr">
        <is>
          <t>1</t>
        </is>
      </c>
      <c r="AC582" t="inlineStr">
        <is>
          <t>1</t>
        </is>
      </c>
      <c r="AD582" s="3">
        <f>UPPER(C3)</f>
        <v/>
      </c>
      <c r="AE582" s="3">
        <f>VLOOKUP(E3,'[1]Nómina Agentes'!$C:$D,3,0)</f>
        <v/>
      </c>
      <c r="AF582" s="5">
        <f>F3</f>
        <v/>
      </c>
      <c r="AG582" s="5">
        <f>H3</f>
        <v/>
      </c>
    </row>
    <row r="583">
      <c r="A583" s="1" t="inlineStr">
        <is>
          <t>9/10/2024</t>
        </is>
      </c>
      <c r="B583" t="inlineStr">
        <is>
          <t>924</t>
        </is>
      </c>
      <c r="C583" t="inlineStr">
        <is>
          <t>S2S No Premium</t>
        </is>
      </c>
      <c r="D583" t="inlineStr">
        <is>
          <t>*N2m_Avalos Diana</t>
        </is>
      </c>
      <c r="E583" t="inlineStr">
        <is>
          <t>663456</t>
        </is>
      </c>
      <c r="F583" s="2" t="inlineStr">
        <is>
          <t>09:00</t>
        </is>
      </c>
      <c r="G583" t="inlineStr">
        <is>
          <t>-</t>
        </is>
      </c>
      <c r="H583" s="2" t="inlineStr">
        <is>
          <t>09:30</t>
        </is>
      </c>
      <c r="I583" t="inlineStr">
        <is>
          <t>220,000000000</t>
        </is>
      </c>
      <c r="J583" t="inlineStr">
        <is>
          <t>,000000000</t>
        </is>
      </c>
      <c r="K583" t="inlineStr">
        <is>
          <t>,000000000</t>
        </is>
      </c>
      <c r="L583" t="inlineStr">
        <is>
          <t>11,000000000</t>
        </is>
      </c>
      <c r="M583" t="inlineStr">
        <is>
          <t>,000000000</t>
        </is>
      </c>
      <c r="N583" t="inlineStr">
        <is>
          <t>,000000000</t>
        </is>
      </c>
      <c r="O583" t="inlineStr">
        <is>
          <t>,000000000</t>
        </is>
      </c>
      <c r="P583" t="inlineStr">
        <is>
          <t>1,000000000</t>
        </is>
      </c>
      <c r="Q583" t="inlineStr">
        <is>
          <t>1,000000000</t>
        </is>
      </c>
      <c r="R583" t="inlineStr">
        <is>
          <t>,000000000</t>
        </is>
      </c>
      <c r="S583" t="inlineStr">
        <is>
          <t>,000000000</t>
        </is>
      </c>
      <c r="T583" t="inlineStr">
        <is>
          <t>,000000000</t>
        </is>
      </c>
      <c r="U583" t="inlineStr">
        <is>
          <t>,000000000</t>
        </is>
      </c>
      <c r="V583" t="inlineStr">
        <is>
          <t>,000000000</t>
        </is>
      </c>
      <c r="W583" t="inlineStr">
        <is>
          <t>,000000000</t>
        </is>
      </c>
      <c r="X583" t="inlineStr">
        <is>
          <t>,000000000</t>
        </is>
      </c>
      <c r="Y583" t="inlineStr">
        <is>
          <t>,000000000</t>
        </is>
      </c>
      <c r="Z583" t="inlineStr">
        <is>
          <t>,000000000</t>
        </is>
      </c>
      <c r="AA583" t="inlineStr">
        <is>
          <t>,000000000</t>
        </is>
      </c>
      <c r="AB583" t="inlineStr">
        <is>
          <t>3</t>
        </is>
      </c>
      <c r="AC583" t="inlineStr">
        <is>
          <t>2</t>
        </is>
      </c>
      <c r="AD583" s="3">
        <f>UPPER(C3)</f>
        <v/>
      </c>
      <c r="AE583" s="3">
        <f>VLOOKUP(E3,'[1]Nómina Agentes'!$C:$D,3,0)</f>
        <v/>
      </c>
      <c r="AF583" s="5">
        <f>F3</f>
        <v/>
      </c>
      <c r="AG583" s="5">
        <f>H3</f>
        <v/>
      </c>
    </row>
    <row r="584">
      <c r="A584" s="1" t="inlineStr">
        <is>
          <t>9/10/2024</t>
        </is>
      </c>
      <c r="B584" t="inlineStr">
        <is>
          <t>924</t>
        </is>
      </c>
      <c r="C584" t="inlineStr">
        <is>
          <t>S2S No Premium</t>
        </is>
      </c>
      <c r="D584" t="inlineStr">
        <is>
          <t>*N2m_Avalos Diana</t>
        </is>
      </c>
      <c r="E584" t="inlineStr">
        <is>
          <t>663456</t>
        </is>
      </c>
      <c r="F584" s="2" t="inlineStr">
        <is>
          <t>10:30</t>
        </is>
      </c>
      <c r="G584" t="inlineStr">
        <is>
          <t>-</t>
        </is>
      </c>
      <c r="H584" s="2" t="inlineStr">
        <is>
          <t>11:00</t>
        </is>
      </c>
      <c r="I584" t="inlineStr">
        <is>
          <t>256,000000000</t>
        </is>
      </c>
      <c r="J584" t="inlineStr">
        <is>
          <t>3,000000000</t>
        </is>
      </c>
      <c r="K584" t="inlineStr">
        <is>
          <t>,000000000</t>
        </is>
      </c>
      <c r="L584" t="inlineStr">
        <is>
          <t>16,000000000</t>
        </is>
      </c>
      <c r="M584" t="inlineStr">
        <is>
          <t>,000000000</t>
        </is>
      </c>
      <c r="N584" t="inlineStr">
        <is>
          <t>,000000000</t>
        </is>
      </c>
      <c r="O584" t="inlineStr">
        <is>
          <t>,000000000</t>
        </is>
      </c>
      <c r="P584" t="inlineStr">
        <is>
          <t>,000000000</t>
        </is>
      </c>
      <c r="Q584" t="inlineStr">
        <is>
          <t>,000000000</t>
        </is>
      </c>
      <c r="R584" t="inlineStr">
        <is>
          <t>,000000000</t>
        </is>
      </c>
      <c r="S584" t="inlineStr">
        <is>
          <t>,000000000</t>
        </is>
      </c>
      <c r="T584" t="inlineStr">
        <is>
          <t>,000000000</t>
        </is>
      </c>
      <c r="U584" t="inlineStr">
        <is>
          <t>,000000000</t>
        </is>
      </c>
      <c r="V584" t="inlineStr">
        <is>
          <t>,000000000</t>
        </is>
      </c>
      <c r="W584" t="inlineStr">
        <is>
          <t>,000000000</t>
        </is>
      </c>
      <c r="X584" t="inlineStr">
        <is>
          <t>,000000000</t>
        </is>
      </c>
      <c r="Y584" t="inlineStr">
        <is>
          <t>,000000000</t>
        </is>
      </c>
      <c r="Z584" t="inlineStr">
        <is>
          <t>,000000000</t>
        </is>
      </c>
      <c r="AA584" t="inlineStr">
        <is>
          <t>,000000000</t>
        </is>
      </c>
      <c r="AB584" t="inlineStr">
        <is>
          <t>3</t>
        </is>
      </c>
      <c r="AC584" t="inlineStr">
        <is>
          <t>3</t>
        </is>
      </c>
      <c r="AD584" s="3">
        <f>UPPER(C3)</f>
        <v/>
      </c>
      <c r="AE584" s="3">
        <f>VLOOKUP(E3,'[1]Nómina Agentes'!$C:$D,3,0)</f>
        <v/>
      </c>
      <c r="AF584" s="5">
        <f>F3</f>
        <v/>
      </c>
      <c r="AG584" s="5">
        <f>H3</f>
        <v/>
      </c>
    </row>
    <row r="585">
      <c r="A585" s="1" t="inlineStr">
        <is>
          <t>9/10/2024</t>
        </is>
      </c>
      <c r="B585" t="inlineStr">
        <is>
          <t>924</t>
        </is>
      </c>
      <c r="C585" t="inlineStr">
        <is>
          <t>S2S No Premium</t>
        </is>
      </c>
      <c r="D585" t="inlineStr">
        <is>
          <t>*N2m_Avalos Diana</t>
        </is>
      </c>
      <c r="E585" t="inlineStr">
        <is>
          <t>663456</t>
        </is>
      </c>
      <c r="F585" s="2" t="inlineStr">
        <is>
          <t>10:00</t>
        </is>
      </c>
      <c r="G585" t="inlineStr">
        <is>
          <t>-</t>
        </is>
      </c>
      <c r="H585" s="2" t="inlineStr">
        <is>
          <t>10:30</t>
        </is>
      </c>
      <c r="I585" t="inlineStr">
        <is>
          <t>780,000000000</t>
        </is>
      </c>
      <c r="J585" t="inlineStr">
        <is>
          <t>106,000000000</t>
        </is>
      </c>
      <c r="K585" t="inlineStr">
        <is>
          <t>,000000000</t>
        </is>
      </c>
      <c r="L585" t="inlineStr">
        <is>
          <t>4,000000000</t>
        </is>
      </c>
      <c r="M585" t="inlineStr">
        <is>
          <t>,000000000</t>
        </is>
      </c>
      <c r="N585" t="inlineStr">
        <is>
          <t>,000000000</t>
        </is>
      </c>
      <c r="O585" t="inlineStr">
        <is>
          <t>,000000000</t>
        </is>
      </c>
      <c r="P585" t="inlineStr">
        <is>
          <t>675,000000000</t>
        </is>
      </c>
      <c r="Q585" t="inlineStr">
        <is>
          <t>541,000000000</t>
        </is>
      </c>
      <c r="R585" t="inlineStr">
        <is>
          <t>,000000000</t>
        </is>
      </c>
      <c r="S585" t="inlineStr">
        <is>
          <t>,000000000</t>
        </is>
      </c>
      <c r="T585" t="inlineStr">
        <is>
          <t>,000000000</t>
        </is>
      </c>
      <c r="U585" t="inlineStr">
        <is>
          <t>,000000000</t>
        </is>
      </c>
      <c r="V585" t="inlineStr">
        <is>
          <t>,000000000</t>
        </is>
      </c>
      <c r="W585" t="inlineStr">
        <is>
          <t>,000000000</t>
        </is>
      </c>
      <c r="X585" t="inlineStr">
        <is>
          <t>,000000000</t>
        </is>
      </c>
      <c r="Y585" t="inlineStr">
        <is>
          <t>,000000000</t>
        </is>
      </c>
      <c r="Z585" t="inlineStr">
        <is>
          <t>,000000000</t>
        </is>
      </c>
      <c r="AA585" t="inlineStr">
        <is>
          <t>,000000000</t>
        </is>
      </c>
      <c r="AB585" t="inlineStr">
        <is>
          <t>2</t>
        </is>
      </c>
      <c r="AC585" t="inlineStr">
        <is>
          <t>1</t>
        </is>
      </c>
      <c r="AD585" s="3">
        <f>UPPER(C3)</f>
        <v/>
      </c>
      <c r="AE585" s="3">
        <f>VLOOKUP(E3,'[1]Nómina Agentes'!$C:$D,3,0)</f>
        <v/>
      </c>
      <c r="AF585" s="5">
        <f>F3</f>
        <v/>
      </c>
      <c r="AG585" s="5">
        <f>H3</f>
        <v/>
      </c>
    </row>
    <row r="586">
      <c r="A586" s="1" t="inlineStr">
        <is>
          <t>9/10/2024</t>
        </is>
      </c>
      <c r="B586" t="inlineStr">
        <is>
          <t>924</t>
        </is>
      </c>
      <c r="C586" t="inlineStr">
        <is>
          <t>S2S No Premium</t>
        </is>
      </c>
      <c r="D586" t="inlineStr">
        <is>
          <t>*N2m_Avalos Diana</t>
        </is>
      </c>
      <c r="E586" t="inlineStr">
        <is>
          <t>663456</t>
        </is>
      </c>
      <c r="F586" s="2" t="inlineStr">
        <is>
          <t>09:30</t>
        </is>
      </c>
      <c r="G586" t="inlineStr">
        <is>
          <t>-</t>
        </is>
      </c>
      <c r="H586" s="2" t="inlineStr">
        <is>
          <t>10:00</t>
        </is>
      </c>
      <c r="I586" t="inlineStr">
        <is>
          <t>1223,000000000</t>
        </is>
      </c>
      <c r="J586" t="inlineStr">
        <is>
          <t>,000000000</t>
        </is>
      </c>
      <c r="K586" t="inlineStr">
        <is>
          <t>,000000000</t>
        </is>
      </c>
      <c r="L586" t="inlineStr">
        <is>
          <t>23,000000000</t>
        </is>
      </c>
      <c r="M586" t="inlineStr">
        <is>
          <t>,000000000</t>
        </is>
      </c>
      <c r="N586" t="inlineStr">
        <is>
          <t>,000000000</t>
        </is>
      </c>
      <c r="O586" t="inlineStr">
        <is>
          <t>,000000000</t>
        </is>
      </c>
      <c r="P586" t="inlineStr">
        <is>
          <t>2,000000000</t>
        </is>
      </c>
      <c r="Q586" t="inlineStr">
        <is>
          <t>1,000000000</t>
        </is>
      </c>
      <c r="R586" t="inlineStr">
        <is>
          <t>,000000000</t>
        </is>
      </c>
      <c r="S586" t="inlineStr">
        <is>
          <t>,000000000</t>
        </is>
      </c>
      <c r="T586" t="inlineStr">
        <is>
          <t>,000000000</t>
        </is>
      </c>
      <c r="U586" t="inlineStr">
        <is>
          <t>,000000000</t>
        </is>
      </c>
      <c r="V586" t="inlineStr">
        <is>
          <t>,000000000</t>
        </is>
      </c>
      <c r="W586" t="inlineStr">
        <is>
          <t>,000000000</t>
        </is>
      </c>
      <c r="X586" t="inlineStr">
        <is>
          <t>,000000000</t>
        </is>
      </c>
      <c r="Y586" t="inlineStr">
        <is>
          <t>,000000000</t>
        </is>
      </c>
      <c r="Z586" t="inlineStr">
        <is>
          <t>,000000000</t>
        </is>
      </c>
      <c r="AA586" t="inlineStr">
        <is>
          <t>,000000000</t>
        </is>
      </c>
      <c r="AB586" t="inlineStr">
        <is>
          <t>5</t>
        </is>
      </c>
      <c r="AC586" t="inlineStr">
        <is>
          <t>4</t>
        </is>
      </c>
      <c r="AD586" s="3">
        <f>UPPER(C3)</f>
        <v/>
      </c>
      <c r="AE586" s="3">
        <f>VLOOKUP(E3,'[1]Nómina Agentes'!$C:$D,3,0)</f>
        <v/>
      </c>
      <c r="AF586" s="5">
        <f>F3</f>
        <v/>
      </c>
      <c r="AG586" s="5">
        <f>H3</f>
        <v/>
      </c>
    </row>
    <row r="587">
      <c r="A587" s="1" t="inlineStr">
        <is>
          <t>9/10/2024</t>
        </is>
      </c>
      <c r="B587" t="inlineStr">
        <is>
          <t>925</t>
        </is>
      </c>
      <c r="C587" t="inlineStr">
        <is>
          <t>S2S Premium</t>
        </is>
      </c>
      <c r="D587" t="inlineStr">
        <is>
          <t>DPCC_Mateo Margarit</t>
        </is>
      </c>
      <c r="E587" t="inlineStr">
        <is>
          <t>663510</t>
        </is>
      </c>
      <c r="F587" s="2" t="inlineStr">
        <is>
          <t>09:00</t>
        </is>
      </c>
      <c r="G587" t="inlineStr">
        <is>
          <t>-</t>
        </is>
      </c>
      <c r="H587" s="2" t="inlineStr">
        <is>
          <t>09:30</t>
        </is>
      </c>
      <c r="I587" t="inlineStr">
        <is>
          <t>,000000000</t>
        </is>
      </c>
      <c r="J587" t="inlineStr">
        <is>
          <t>,000000000</t>
        </is>
      </c>
      <c r="K587" t="inlineStr">
        <is>
          <t>,000000000</t>
        </is>
      </c>
      <c r="L587" t="inlineStr">
        <is>
          <t>,000000000</t>
        </is>
      </c>
      <c r="M587" t="inlineStr">
        <is>
          <t>,000000000</t>
        </is>
      </c>
      <c r="N587" t="inlineStr">
        <is>
          <t>,000000000</t>
        </is>
      </c>
      <c r="O587" t="inlineStr">
        <is>
          <t>,000000000</t>
        </is>
      </c>
      <c r="P587" t="inlineStr">
        <is>
          <t>,000000000</t>
        </is>
      </c>
      <c r="Q587" t="inlineStr">
        <is>
          <t>,000000000</t>
        </is>
      </c>
      <c r="R587" t="inlineStr">
        <is>
          <t>,000000000</t>
        </is>
      </c>
      <c r="S587" t="inlineStr">
        <is>
          <t>,000000000</t>
        </is>
      </c>
      <c r="T587" t="inlineStr">
        <is>
          <t>,000000000</t>
        </is>
      </c>
      <c r="U587" t="inlineStr">
        <is>
          <t>,000000000</t>
        </is>
      </c>
      <c r="V587" t="inlineStr">
        <is>
          <t>,000000000</t>
        </is>
      </c>
      <c r="W587" t="inlineStr">
        <is>
          <t>,000000000</t>
        </is>
      </c>
      <c r="X587" t="inlineStr">
        <is>
          <t>,000000000</t>
        </is>
      </c>
      <c r="Y587" t="inlineStr">
        <is>
          <t>,000000000</t>
        </is>
      </c>
      <c r="Z587" t="inlineStr">
        <is>
          <t>,000000000</t>
        </is>
      </c>
      <c r="AA587" t="inlineStr">
        <is>
          <t>,000000000</t>
        </is>
      </c>
      <c r="AB587" t="inlineStr">
        <is>
          <t>0</t>
        </is>
      </c>
      <c r="AC587" t="inlineStr">
        <is>
          <t>0</t>
        </is>
      </c>
      <c r="AD587" s="3">
        <f>UPPER(C3)</f>
        <v/>
      </c>
      <c r="AE587" s="3">
        <f>VLOOKUP(E3,'[1]Nómina Agentes'!$C:$D,3,0)</f>
        <v/>
      </c>
      <c r="AF587" s="5">
        <f>F3</f>
        <v/>
      </c>
      <c r="AG587" s="5">
        <f>H3</f>
        <v/>
      </c>
    </row>
    <row r="588">
      <c r="A588" s="1" t="inlineStr">
        <is>
          <t>9/10/2024</t>
        </is>
      </c>
      <c r="B588" t="inlineStr">
        <is>
          <t>925</t>
        </is>
      </c>
      <c r="C588" t="inlineStr">
        <is>
          <t>S2S Premium</t>
        </is>
      </c>
      <c r="D588" t="inlineStr">
        <is>
          <t>*PCC_Acosta Laura</t>
        </is>
      </c>
      <c r="E588" t="inlineStr">
        <is>
          <t>663583</t>
        </is>
      </c>
      <c r="F588" s="2" t="inlineStr">
        <is>
          <t>08:30</t>
        </is>
      </c>
      <c r="G588" t="inlineStr">
        <is>
          <t>-</t>
        </is>
      </c>
      <c r="H588" s="2" t="inlineStr">
        <is>
          <t>09:00</t>
        </is>
      </c>
      <c r="I588" t="inlineStr">
        <is>
          <t>,000000000</t>
        </is>
      </c>
      <c r="J588" t="inlineStr">
        <is>
          <t>,000000000</t>
        </is>
      </c>
      <c r="K588" t="inlineStr">
        <is>
          <t>,000000000</t>
        </is>
      </c>
      <c r="L588" t="inlineStr">
        <is>
          <t>,000000000</t>
        </is>
      </c>
      <c r="M588" t="inlineStr">
        <is>
          <t>,000000000</t>
        </is>
      </c>
      <c r="N588" t="inlineStr">
        <is>
          <t>,000000000</t>
        </is>
      </c>
      <c r="O588" t="inlineStr">
        <is>
          <t>,000000000</t>
        </is>
      </c>
      <c r="P588" t="inlineStr">
        <is>
          <t>,000000000</t>
        </is>
      </c>
      <c r="Q588" t="inlineStr">
        <is>
          <t>,000000000</t>
        </is>
      </c>
      <c r="R588" t="inlineStr">
        <is>
          <t>,000000000</t>
        </is>
      </c>
      <c r="S588" t="inlineStr">
        <is>
          <t>,000000000</t>
        </is>
      </c>
      <c r="T588" t="inlineStr">
        <is>
          <t>,000000000</t>
        </is>
      </c>
      <c r="U588" t="inlineStr">
        <is>
          <t>,000000000</t>
        </is>
      </c>
      <c r="V588" t="inlineStr">
        <is>
          <t>,000000000</t>
        </is>
      </c>
      <c r="W588" t="inlineStr">
        <is>
          <t>,000000000</t>
        </is>
      </c>
      <c r="X588" t="inlineStr">
        <is>
          <t>,000000000</t>
        </is>
      </c>
      <c r="Y588" t="inlineStr">
        <is>
          <t>,000000000</t>
        </is>
      </c>
      <c r="Z588" t="inlineStr">
        <is>
          <t>,000000000</t>
        </is>
      </c>
      <c r="AA588" t="inlineStr">
        <is>
          <t>,000000000</t>
        </is>
      </c>
      <c r="AB588" t="inlineStr">
        <is>
          <t>0</t>
        </is>
      </c>
      <c r="AC588" t="inlineStr">
        <is>
          <t>0</t>
        </is>
      </c>
      <c r="AD588" s="3">
        <f>UPPER(C3)</f>
        <v/>
      </c>
      <c r="AE588" s="3">
        <f>VLOOKUP(E3,'[1]Nómina Agentes'!$C:$D,3,0)</f>
        <v/>
      </c>
      <c r="AF588" s="5">
        <f>F3</f>
        <v/>
      </c>
      <c r="AG588" s="5">
        <f>H3</f>
        <v/>
      </c>
    </row>
    <row r="589">
      <c r="A589" s="1" t="inlineStr">
        <is>
          <t>9/10/2024</t>
        </is>
      </c>
      <c r="B589" t="inlineStr">
        <is>
          <t>925</t>
        </is>
      </c>
      <c r="C589" t="inlineStr">
        <is>
          <t>S2S Premium</t>
        </is>
      </c>
      <c r="D589" t="inlineStr">
        <is>
          <t>*PCC_Acosta Laura</t>
        </is>
      </c>
      <c r="E589" t="inlineStr">
        <is>
          <t>663583</t>
        </is>
      </c>
      <c r="F589" s="2" t="inlineStr">
        <is>
          <t>09:00</t>
        </is>
      </c>
      <c r="G589" t="inlineStr">
        <is>
          <t>-</t>
        </is>
      </c>
      <c r="H589" s="2" t="inlineStr">
        <is>
          <t>09:30</t>
        </is>
      </c>
      <c r="I589" t="inlineStr">
        <is>
          <t>564,000000000</t>
        </is>
      </c>
      <c r="J589" t="inlineStr">
        <is>
          <t>,000000000</t>
        </is>
      </c>
      <c r="K589" t="inlineStr">
        <is>
          <t>,000000000</t>
        </is>
      </c>
      <c r="L589" t="inlineStr">
        <is>
          <t>4,000000000</t>
        </is>
      </c>
      <c r="M589" t="inlineStr">
        <is>
          <t>,000000000</t>
        </is>
      </c>
      <c r="N589" t="inlineStr">
        <is>
          <t>,000000000</t>
        </is>
      </c>
      <c r="O589" t="inlineStr">
        <is>
          <t>,000000000</t>
        </is>
      </c>
      <c r="P589" t="inlineStr">
        <is>
          <t>176,000000000</t>
        </is>
      </c>
      <c r="Q589" t="inlineStr">
        <is>
          <t>114,000000000</t>
        </is>
      </c>
      <c r="R589" t="inlineStr">
        <is>
          <t>,000000000</t>
        </is>
      </c>
      <c r="S589" t="inlineStr">
        <is>
          <t>,000000000</t>
        </is>
      </c>
      <c r="T589" t="inlineStr">
        <is>
          <t>,000000000</t>
        </is>
      </c>
      <c r="U589" t="inlineStr">
        <is>
          <t>,000000000</t>
        </is>
      </c>
      <c r="V589" t="inlineStr">
        <is>
          <t>,000000000</t>
        </is>
      </c>
      <c r="W589" t="inlineStr">
        <is>
          <t>,000000000</t>
        </is>
      </c>
      <c r="X589" t="inlineStr">
        <is>
          <t>,000000000</t>
        </is>
      </c>
      <c r="Y589" t="inlineStr">
        <is>
          <t>,000000000</t>
        </is>
      </c>
      <c r="Z589" t="inlineStr">
        <is>
          <t>,000000000</t>
        </is>
      </c>
      <c r="AA589" t="inlineStr">
        <is>
          <t>,000000000</t>
        </is>
      </c>
      <c r="AB589" t="inlineStr">
        <is>
          <t>1</t>
        </is>
      </c>
      <c r="AC589" t="inlineStr">
        <is>
          <t>0</t>
        </is>
      </c>
      <c r="AD589" s="3">
        <f>UPPER(C3)</f>
        <v/>
      </c>
      <c r="AE589" s="3">
        <f>VLOOKUP(E3,'[1]Nómina Agentes'!$C:$D,3,0)</f>
        <v/>
      </c>
      <c r="AF589" s="5">
        <f>F3</f>
        <v/>
      </c>
      <c r="AG589" s="5">
        <f>H3</f>
        <v/>
      </c>
    </row>
    <row r="590">
      <c r="A590" s="1" t="inlineStr">
        <is>
          <t>9/10/2024</t>
        </is>
      </c>
      <c r="B590" t="inlineStr">
        <is>
          <t>925</t>
        </is>
      </c>
      <c r="C590" t="inlineStr">
        <is>
          <t>S2S Premium</t>
        </is>
      </c>
      <c r="D590" t="inlineStr">
        <is>
          <t>PCC_Escual Gabriela</t>
        </is>
      </c>
      <c r="E590" t="inlineStr">
        <is>
          <t>663591</t>
        </is>
      </c>
      <c r="F590" s="2" t="inlineStr">
        <is>
          <t>09:00</t>
        </is>
      </c>
      <c r="G590" t="inlineStr">
        <is>
          <t>-</t>
        </is>
      </c>
      <c r="H590" s="2" t="inlineStr">
        <is>
          <t>09:30</t>
        </is>
      </c>
      <c r="I590" t="inlineStr">
        <is>
          <t>199,000000000</t>
        </is>
      </c>
      <c r="J590" t="inlineStr">
        <is>
          <t>,000000000</t>
        </is>
      </c>
      <c r="K590" t="inlineStr">
        <is>
          <t>,000000000</t>
        </is>
      </c>
      <c r="L590" t="inlineStr">
        <is>
          <t>4,000000000</t>
        </is>
      </c>
      <c r="M590" t="inlineStr">
        <is>
          <t>,000000000</t>
        </is>
      </c>
      <c r="N590" t="inlineStr">
        <is>
          <t>,000000000</t>
        </is>
      </c>
      <c r="O590" t="inlineStr">
        <is>
          <t>,000000000</t>
        </is>
      </c>
      <c r="P590" t="inlineStr">
        <is>
          <t>,000000000</t>
        </is>
      </c>
      <c r="Q590" t="inlineStr">
        <is>
          <t>,000000000</t>
        </is>
      </c>
      <c r="R590" t="inlineStr">
        <is>
          <t>,000000000</t>
        </is>
      </c>
      <c r="S590" t="inlineStr">
        <is>
          <t>,000000000</t>
        </is>
      </c>
      <c r="T590" t="inlineStr">
        <is>
          <t>,000000000</t>
        </is>
      </c>
      <c r="U590" t="inlineStr">
        <is>
          <t>,000000000</t>
        </is>
      </c>
      <c r="V590" t="inlineStr">
        <is>
          <t>,000000000</t>
        </is>
      </c>
      <c r="W590" t="inlineStr">
        <is>
          <t>,000000000</t>
        </is>
      </c>
      <c r="X590" t="inlineStr">
        <is>
          <t>,000000000</t>
        </is>
      </c>
      <c r="Y590" t="inlineStr">
        <is>
          <t>,000000000</t>
        </is>
      </c>
      <c r="Z590" t="inlineStr">
        <is>
          <t>,000000000</t>
        </is>
      </c>
      <c r="AA590" t="inlineStr">
        <is>
          <t>,000000000</t>
        </is>
      </c>
      <c r="AB590" t="inlineStr">
        <is>
          <t>1</t>
        </is>
      </c>
      <c r="AC590" t="inlineStr">
        <is>
          <t>0</t>
        </is>
      </c>
      <c r="AD590" s="3">
        <f>UPPER(C3)</f>
        <v/>
      </c>
      <c r="AE590" s="3">
        <f>VLOOKUP(E3,'[1]Nómina Agentes'!$C:$D,3,0)</f>
        <v/>
      </c>
      <c r="AF590" s="5">
        <f>F3</f>
        <v/>
      </c>
      <c r="AG590" s="5">
        <f>H3</f>
        <v/>
      </c>
    </row>
    <row r="591">
      <c r="A591" s="1" t="inlineStr">
        <is>
          <t>9/10/2024</t>
        </is>
      </c>
      <c r="B591" t="inlineStr">
        <is>
          <t>924</t>
        </is>
      </c>
      <c r="C591" t="inlineStr">
        <is>
          <t>S2S No Premium</t>
        </is>
      </c>
      <c r="D591" t="inlineStr">
        <is>
          <t>*N2Wm_Ramirez,Ma</t>
        </is>
      </c>
      <c r="E591" t="inlineStr">
        <is>
          <t>663670</t>
        </is>
      </c>
      <c r="F591" s="2" t="inlineStr">
        <is>
          <t>09:00</t>
        </is>
      </c>
      <c r="G591" t="inlineStr">
        <is>
          <t>-</t>
        </is>
      </c>
      <c r="H591" s="2" t="inlineStr">
        <is>
          <t>09:30</t>
        </is>
      </c>
      <c r="I591" t="inlineStr">
        <is>
          <t>468,000000000</t>
        </is>
      </c>
      <c r="J591" t="inlineStr">
        <is>
          <t>,000000000</t>
        </is>
      </c>
      <c r="K591" t="inlineStr">
        <is>
          <t>,000000000</t>
        </is>
      </c>
      <c r="L591" t="inlineStr">
        <is>
          <t>8,000000000</t>
        </is>
      </c>
      <c r="M591" t="inlineStr">
        <is>
          <t>,000000000</t>
        </is>
      </c>
      <c r="N591" t="inlineStr">
        <is>
          <t>,000000000</t>
        </is>
      </c>
      <c r="O591" t="inlineStr">
        <is>
          <t>,000000000</t>
        </is>
      </c>
      <c r="P591" t="inlineStr">
        <is>
          <t>2,000000000</t>
        </is>
      </c>
      <c r="Q591" t="inlineStr">
        <is>
          <t>,000000000</t>
        </is>
      </c>
      <c r="R591" t="inlineStr">
        <is>
          <t>,000000000</t>
        </is>
      </c>
      <c r="S591" t="inlineStr">
        <is>
          <t>,000000000</t>
        </is>
      </c>
      <c r="T591" t="inlineStr">
        <is>
          <t>,000000000</t>
        </is>
      </c>
      <c r="U591" t="inlineStr">
        <is>
          <t>,000000000</t>
        </is>
      </c>
      <c r="V591" t="inlineStr">
        <is>
          <t>,000000000</t>
        </is>
      </c>
      <c r="W591" t="inlineStr">
        <is>
          <t>,000000000</t>
        </is>
      </c>
      <c r="X591" t="inlineStr">
        <is>
          <t>,000000000</t>
        </is>
      </c>
      <c r="Y591" t="inlineStr">
        <is>
          <t>,000000000</t>
        </is>
      </c>
      <c r="Z591" t="inlineStr">
        <is>
          <t>,000000000</t>
        </is>
      </c>
      <c r="AA591" t="inlineStr">
        <is>
          <t>,000000000</t>
        </is>
      </c>
      <c r="AB591" t="inlineStr">
        <is>
          <t>2</t>
        </is>
      </c>
      <c r="AC591" t="inlineStr">
        <is>
          <t>1</t>
        </is>
      </c>
      <c r="AD591" s="3">
        <f>UPPER(C3)</f>
        <v/>
      </c>
      <c r="AE591" s="3">
        <f>VLOOKUP(E3,'[1]Nómina Agentes'!$C:$D,3,0)</f>
        <v/>
      </c>
      <c r="AF591" s="5">
        <f>F3</f>
        <v/>
      </c>
      <c r="AG591" s="5">
        <f>H3</f>
        <v/>
      </c>
    </row>
    <row r="592">
      <c r="A592" s="1" t="inlineStr">
        <is>
          <t>9/10/2024</t>
        </is>
      </c>
      <c r="B592" t="inlineStr">
        <is>
          <t>924</t>
        </is>
      </c>
      <c r="C592" t="inlineStr">
        <is>
          <t>S2S No Premium</t>
        </is>
      </c>
      <c r="D592" t="inlineStr">
        <is>
          <t>*N2Wm_Ramirez,Ma</t>
        </is>
      </c>
      <c r="E592" t="inlineStr">
        <is>
          <t>663670</t>
        </is>
      </c>
      <c r="F592" s="2" t="inlineStr">
        <is>
          <t>10:00</t>
        </is>
      </c>
      <c r="G592" t="inlineStr">
        <is>
          <t>-</t>
        </is>
      </c>
      <c r="H592" s="2" t="inlineStr">
        <is>
          <t>10:30</t>
        </is>
      </c>
      <c r="I592" t="inlineStr">
        <is>
          <t>587,000000000</t>
        </is>
      </c>
      <c r="J592" t="inlineStr">
        <is>
          <t>1,000000000</t>
        </is>
      </c>
      <c r="K592" t="inlineStr">
        <is>
          <t>,000000000</t>
        </is>
      </c>
      <c r="L592" t="inlineStr">
        <is>
          <t>8,000000000</t>
        </is>
      </c>
      <c r="M592" t="inlineStr">
        <is>
          <t>,000000000</t>
        </is>
      </c>
      <c r="N592" t="inlineStr">
        <is>
          <t>,000000000</t>
        </is>
      </c>
      <c r="O592" t="inlineStr">
        <is>
          <t>,000000000</t>
        </is>
      </c>
      <c r="P592" t="inlineStr">
        <is>
          <t>679,000000000</t>
        </is>
      </c>
      <c r="Q592" t="inlineStr">
        <is>
          <t>451,000000000</t>
        </is>
      </c>
      <c r="R592" t="inlineStr">
        <is>
          <t>,000000000</t>
        </is>
      </c>
      <c r="S592" t="inlineStr">
        <is>
          <t>,000000000</t>
        </is>
      </c>
      <c r="T592" t="inlineStr">
        <is>
          <t>,000000000</t>
        </is>
      </c>
      <c r="U592" t="inlineStr">
        <is>
          <t>,000000000</t>
        </is>
      </c>
      <c r="V592" t="inlineStr">
        <is>
          <t>,000000000</t>
        </is>
      </c>
      <c r="W592" t="inlineStr">
        <is>
          <t>,000000000</t>
        </is>
      </c>
      <c r="X592" t="inlineStr">
        <is>
          <t>,000000000</t>
        </is>
      </c>
      <c r="Y592" t="inlineStr">
        <is>
          <t>,000000000</t>
        </is>
      </c>
      <c r="Z592" t="inlineStr">
        <is>
          <t>,000000000</t>
        </is>
      </c>
      <c r="AA592" t="inlineStr">
        <is>
          <t>,000000000</t>
        </is>
      </c>
      <c r="AB592" t="inlineStr">
        <is>
          <t>2</t>
        </is>
      </c>
      <c r="AC592" t="inlineStr">
        <is>
          <t>1</t>
        </is>
      </c>
      <c r="AD592" s="3">
        <f>UPPER(C3)</f>
        <v/>
      </c>
      <c r="AE592" s="3">
        <f>VLOOKUP(E3,'[1]Nómina Agentes'!$C:$D,3,0)</f>
        <v/>
      </c>
      <c r="AF592" s="5">
        <f>F3</f>
        <v/>
      </c>
      <c r="AG592" s="5">
        <f>H3</f>
        <v/>
      </c>
    </row>
    <row r="593">
      <c r="A593" s="1" t="inlineStr">
        <is>
          <t>9/10/2024</t>
        </is>
      </c>
      <c r="B593" t="inlineStr">
        <is>
          <t>924</t>
        </is>
      </c>
      <c r="C593" t="inlineStr">
        <is>
          <t>S2S No Premium</t>
        </is>
      </c>
      <c r="D593" t="inlineStr">
        <is>
          <t>*N2Wm_Ramirez,Ma</t>
        </is>
      </c>
      <c r="E593" t="inlineStr">
        <is>
          <t>663670</t>
        </is>
      </c>
      <c r="F593" s="2" t="inlineStr">
        <is>
          <t>09:30</t>
        </is>
      </c>
      <c r="G593" t="inlineStr">
        <is>
          <t>-</t>
        </is>
      </c>
      <c r="H593" s="2" t="inlineStr">
        <is>
          <t>10:00</t>
        </is>
      </c>
      <c r="I593" t="inlineStr">
        <is>
          <t>1171,000000000</t>
        </is>
      </c>
      <c r="J593" t="inlineStr">
        <is>
          <t>5,000000000</t>
        </is>
      </c>
      <c r="K593" t="inlineStr">
        <is>
          <t>,000000000</t>
        </is>
      </c>
      <c r="L593" t="inlineStr">
        <is>
          <t>20,000000000</t>
        </is>
      </c>
      <c r="M593" t="inlineStr">
        <is>
          <t>,000000000</t>
        </is>
      </c>
      <c r="N593" t="inlineStr">
        <is>
          <t>,000000000</t>
        </is>
      </c>
      <c r="O593" t="inlineStr">
        <is>
          <t>,000000000</t>
        </is>
      </c>
      <c r="P593" t="inlineStr">
        <is>
          <t>47,000000000</t>
        </is>
      </c>
      <c r="Q593" t="inlineStr">
        <is>
          <t>1,000000000</t>
        </is>
      </c>
      <c r="R593" t="inlineStr">
        <is>
          <t>,000000000</t>
        </is>
      </c>
      <c r="S593" t="inlineStr">
        <is>
          <t>,000000000</t>
        </is>
      </c>
      <c r="T593" t="inlineStr">
        <is>
          <t>,000000000</t>
        </is>
      </c>
      <c r="U593" t="inlineStr">
        <is>
          <t>,000000000</t>
        </is>
      </c>
      <c r="V593" t="inlineStr">
        <is>
          <t>,000000000</t>
        </is>
      </c>
      <c r="W593" t="inlineStr">
        <is>
          <t>,000000000</t>
        </is>
      </c>
      <c r="X593" t="inlineStr">
        <is>
          <t>,000000000</t>
        </is>
      </c>
      <c r="Y593" t="inlineStr">
        <is>
          <t>,000000000</t>
        </is>
      </c>
      <c r="Z593" t="inlineStr">
        <is>
          <t>,000000000</t>
        </is>
      </c>
      <c r="AA593" t="inlineStr">
        <is>
          <t>,000000000</t>
        </is>
      </c>
      <c r="AB593" t="inlineStr">
        <is>
          <t>4</t>
        </is>
      </c>
      <c r="AC593" t="inlineStr">
        <is>
          <t>2</t>
        </is>
      </c>
      <c r="AD593" s="3">
        <f>UPPER(C3)</f>
        <v/>
      </c>
      <c r="AE593" s="3">
        <f>VLOOKUP(E3,'[1]Nómina Agentes'!$C:$D,3,0)</f>
        <v/>
      </c>
      <c r="AF593" s="5">
        <f>F3</f>
        <v/>
      </c>
      <c r="AG593" s="5">
        <f>H3</f>
        <v/>
      </c>
    </row>
    <row r="594">
      <c r="A594" s="1" t="inlineStr">
        <is>
          <t>9/10/2024</t>
        </is>
      </c>
      <c r="B594" t="inlineStr">
        <is>
          <t>924</t>
        </is>
      </c>
      <c r="C594" t="inlineStr">
        <is>
          <t>S2S No Premium</t>
        </is>
      </c>
      <c r="D594" t="inlineStr">
        <is>
          <t>*N2Wm_Ramirez,Ma</t>
        </is>
      </c>
      <c r="E594" t="inlineStr">
        <is>
          <t>663670</t>
        </is>
      </c>
      <c r="F594" s="2" t="inlineStr">
        <is>
          <t>10:30</t>
        </is>
      </c>
      <c r="G594" t="inlineStr">
        <is>
          <t>-</t>
        </is>
      </c>
      <c r="H594" s="2" t="inlineStr">
        <is>
          <t>11:00</t>
        </is>
      </c>
      <c r="I594" t="inlineStr">
        <is>
          <t>1329,000000000</t>
        </is>
      </c>
      <c r="J594" t="inlineStr">
        <is>
          <t>68,000000000</t>
        </is>
      </c>
      <c r="K594" t="inlineStr">
        <is>
          <t>,000000000</t>
        </is>
      </c>
      <c r="L594" t="inlineStr">
        <is>
          <t>16,000000000</t>
        </is>
      </c>
      <c r="M594" t="inlineStr">
        <is>
          <t>,000000000</t>
        </is>
      </c>
      <c r="N594" t="inlineStr">
        <is>
          <t>,000000000</t>
        </is>
      </c>
      <c r="O594" t="inlineStr">
        <is>
          <t>,000000000</t>
        </is>
      </c>
      <c r="P594" t="inlineStr">
        <is>
          <t>94,000000000</t>
        </is>
      </c>
      <c r="Q594" t="inlineStr">
        <is>
          <t>,000000000</t>
        </is>
      </c>
      <c r="R594" t="inlineStr">
        <is>
          <t>,000000000</t>
        </is>
      </c>
      <c r="S594" t="inlineStr">
        <is>
          <t>,000000000</t>
        </is>
      </c>
      <c r="T594" t="inlineStr">
        <is>
          <t>,000000000</t>
        </is>
      </c>
      <c r="U594" t="inlineStr">
        <is>
          <t>,000000000</t>
        </is>
      </c>
      <c r="V594" t="inlineStr">
        <is>
          <t>,000000000</t>
        </is>
      </c>
      <c r="W594" t="inlineStr">
        <is>
          <t>,000000000</t>
        </is>
      </c>
      <c r="X594" t="inlineStr">
        <is>
          <t>,000000000</t>
        </is>
      </c>
      <c r="Y594" t="inlineStr">
        <is>
          <t>,000000000</t>
        </is>
      </c>
      <c r="Z594" t="inlineStr">
        <is>
          <t>,000000000</t>
        </is>
      </c>
      <c r="AA594" t="inlineStr">
        <is>
          <t>,000000000</t>
        </is>
      </c>
      <c r="AB594" t="inlineStr">
        <is>
          <t>5</t>
        </is>
      </c>
      <c r="AC594" t="inlineStr">
        <is>
          <t>4</t>
        </is>
      </c>
      <c r="AD594" s="3">
        <f>UPPER(C3)</f>
        <v/>
      </c>
      <c r="AE594" s="3">
        <f>VLOOKUP(E3,'[1]Nómina Agentes'!$C:$D,3,0)</f>
        <v/>
      </c>
      <c r="AF594" s="5">
        <f>F3</f>
        <v/>
      </c>
      <c r="AG594" s="5">
        <f>H3</f>
        <v/>
      </c>
    </row>
    <row r="595">
      <c r="A595" s="1" t="inlineStr">
        <is>
          <t>9/10/2024</t>
        </is>
      </c>
      <c r="B595" t="inlineStr">
        <is>
          <t>925</t>
        </is>
      </c>
      <c r="C595" t="inlineStr">
        <is>
          <t>S2S Premium</t>
        </is>
      </c>
      <c r="D595" t="inlineStr">
        <is>
          <t>DPCC_Mino, Alexis</t>
        </is>
      </c>
      <c r="E595" t="inlineStr">
        <is>
          <t>663806</t>
        </is>
      </c>
      <c r="F595" s="2" t="inlineStr">
        <is>
          <t>08:00</t>
        </is>
      </c>
      <c r="G595" t="inlineStr">
        <is>
          <t>-</t>
        </is>
      </c>
      <c r="H595" s="2" t="inlineStr">
        <is>
          <t>08:30</t>
        </is>
      </c>
      <c r="I595" t="inlineStr">
        <is>
          <t>,000000000</t>
        </is>
      </c>
      <c r="J595" t="inlineStr">
        <is>
          <t>,000000000</t>
        </is>
      </c>
      <c r="K595" t="inlineStr">
        <is>
          <t>,000000000</t>
        </is>
      </c>
      <c r="L595" t="inlineStr">
        <is>
          <t>,000000000</t>
        </is>
      </c>
      <c r="M595" t="inlineStr">
        <is>
          <t>,000000000</t>
        </is>
      </c>
      <c r="N595" t="inlineStr">
        <is>
          <t>,000000000</t>
        </is>
      </c>
      <c r="O595" t="inlineStr">
        <is>
          <t>,000000000</t>
        </is>
      </c>
      <c r="P595" t="inlineStr">
        <is>
          <t>,000000000</t>
        </is>
      </c>
      <c r="Q595" t="inlineStr">
        <is>
          <t>,000000000</t>
        </is>
      </c>
      <c r="R595" t="inlineStr">
        <is>
          <t>,000000000</t>
        </is>
      </c>
      <c r="S595" t="inlineStr">
        <is>
          <t>,000000000</t>
        </is>
      </c>
      <c r="T595" t="inlineStr">
        <is>
          <t>,000000000</t>
        </is>
      </c>
      <c r="U595" t="inlineStr">
        <is>
          <t>,000000000</t>
        </is>
      </c>
      <c r="V595" t="inlineStr">
        <is>
          <t>,000000000</t>
        </is>
      </c>
      <c r="W595" t="inlineStr">
        <is>
          <t>,000000000</t>
        </is>
      </c>
      <c r="X595" t="inlineStr">
        <is>
          <t>,000000000</t>
        </is>
      </c>
      <c r="Y595" t="inlineStr">
        <is>
          <t>,000000000</t>
        </is>
      </c>
      <c r="Z595" t="inlineStr">
        <is>
          <t>,000000000</t>
        </is>
      </c>
      <c r="AA595" t="inlineStr">
        <is>
          <t>,000000000</t>
        </is>
      </c>
      <c r="AB595" t="inlineStr">
        <is>
          <t>0</t>
        </is>
      </c>
      <c r="AC595" t="inlineStr">
        <is>
          <t>0</t>
        </is>
      </c>
      <c r="AD595" s="3">
        <f>UPPER(C3)</f>
        <v/>
      </c>
      <c r="AE595" s="3">
        <f>VLOOKUP(E3,'[1]Nómina Agentes'!$C:$D,3,0)</f>
        <v/>
      </c>
      <c r="AF595" s="5">
        <f>F3</f>
        <v/>
      </c>
      <c r="AG595" s="5">
        <f>H3</f>
        <v/>
      </c>
    </row>
    <row r="596">
      <c r="A596" s="1" t="inlineStr">
        <is>
          <t>9/10/2024</t>
        </is>
      </c>
      <c r="B596" t="inlineStr">
        <is>
          <t>925</t>
        </is>
      </c>
      <c r="C596" t="inlineStr">
        <is>
          <t>S2S Premium</t>
        </is>
      </c>
      <c r="D596" t="inlineStr">
        <is>
          <t>DPCC_Mino, Alexis</t>
        </is>
      </c>
      <c r="E596" t="inlineStr">
        <is>
          <t>663806</t>
        </is>
      </c>
      <c r="F596" s="2" t="inlineStr">
        <is>
          <t>07:30</t>
        </is>
      </c>
      <c r="G596" t="inlineStr">
        <is>
          <t>-</t>
        </is>
      </c>
      <c r="H596" s="2" t="inlineStr">
        <is>
          <t>08:00</t>
        </is>
      </c>
      <c r="I596" t="inlineStr">
        <is>
          <t>,000000000</t>
        </is>
      </c>
      <c r="J596" t="inlineStr">
        <is>
          <t>,000000000</t>
        </is>
      </c>
      <c r="K596" t="inlineStr">
        <is>
          <t>,000000000</t>
        </is>
      </c>
      <c r="L596" t="inlineStr">
        <is>
          <t>,000000000</t>
        </is>
      </c>
      <c r="M596" t="inlineStr">
        <is>
          <t>,000000000</t>
        </is>
      </c>
      <c r="N596" t="inlineStr">
        <is>
          <t>,000000000</t>
        </is>
      </c>
      <c r="O596" t="inlineStr">
        <is>
          <t>,000000000</t>
        </is>
      </c>
      <c r="P596" t="inlineStr">
        <is>
          <t>,000000000</t>
        </is>
      </c>
      <c r="Q596" t="inlineStr">
        <is>
          <t>,000000000</t>
        </is>
      </c>
      <c r="R596" t="inlineStr">
        <is>
          <t>,000000000</t>
        </is>
      </c>
      <c r="S596" t="inlineStr">
        <is>
          <t>,000000000</t>
        </is>
      </c>
      <c r="T596" t="inlineStr">
        <is>
          <t>,000000000</t>
        </is>
      </c>
      <c r="U596" t="inlineStr">
        <is>
          <t>,000000000</t>
        </is>
      </c>
      <c r="V596" t="inlineStr">
        <is>
          <t>,000000000</t>
        </is>
      </c>
      <c r="W596" t="inlineStr">
        <is>
          <t>,000000000</t>
        </is>
      </c>
      <c r="X596" t="inlineStr">
        <is>
          <t>,000000000</t>
        </is>
      </c>
      <c r="Y596" t="inlineStr">
        <is>
          <t>,000000000</t>
        </is>
      </c>
      <c r="Z596" t="inlineStr">
        <is>
          <t>,000000000</t>
        </is>
      </c>
      <c r="AA596" t="inlineStr">
        <is>
          <t>,000000000</t>
        </is>
      </c>
      <c r="AB596" t="inlineStr">
        <is>
          <t>0</t>
        </is>
      </c>
      <c r="AC596" t="inlineStr">
        <is>
          <t>0</t>
        </is>
      </c>
      <c r="AD596" s="3">
        <f>UPPER(C3)</f>
        <v/>
      </c>
      <c r="AE596" s="3">
        <f>VLOOKUP(E3,'[1]Nómina Agentes'!$C:$D,3,0)</f>
        <v/>
      </c>
      <c r="AF596" s="5">
        <f>F3</f>
        <v/>
      </c>
      <c r="AG596" s="5">
        <f>H3</f>
        <v/>
      </c>
    </row>
    <row r="597">
      <c r="A597" s="1" t="inlineStr">
        <is>
          <t>9/10/2024</t>
        </is>
      </c>
      <c r="B597" t="inlineStr">
        <is>
          <t>925</t>
        </is>
      </c>
      <c r="C597" t="inlineStr">
        <is>
          <t>S2S Premium</t>
        </is>
      </c>
      <c r="D597" t="inlineStr">
        <is>
          <t>DPCC_Mino, Alexis</t>
        </is>
      </c>
      <c r="E597" t="inlineStr">
        <is>
          <t>663806</t>
        </is>
      </c>
      <c r="F597" s="2" t="inlineStr">
        <is>
          <t>09:00</t>
        </is>
      </c>
      <c r="G597" t="inlineStr">
        <is>
          <t>-</t>
        </is>
      </c>
      <c r="H597" s="2" t="inlineStr">
        <is>
          <t>09:30</t>
        </is>
      </c>
      <c r="I597" t="inlineStr">
        <is>
          <t>,000000000</t>
        </is>
      </c>
      <c r="J597" t="inlineStr">
        <is>
          <t>,000000000</t>
        </is>
      </c>
      <c r="K597" t="inlineStr">
        <is>
          <t>,000000000</t>
        </is>
      </c>
      <c r="L597" t="inlineStr">
        <is>
          <t>,000000000</t>
        </is>
      </c>
      <c r="M597" t="inlineStr">
        <is>
          <t>,000000000</t>
        </is>
      </c>
      <c r="N597" t="inlineStr">
        <is>
          <t>,000000000</t>
        </is>
      </c>
      <c r="O597" t="inlineStr">
        <is>
          <t>,000000000</t>
        </is>
      </c>
      <c r="P597" t="inlineStr">
        <is>
          <t>,000000000</t>
        </is>
      </c>
      <c r="Q597" t="inlineStr">
        <is>
          <t>,000000000</t>
        </is>
      </c>
      <c r="R597" t="inlineStr">
        <is>
          <t>,000000000</t>
        </is>
      </c>
      <c r="S597" t="inlineStr">
        <is>
          <t>,000000000</t>
        </is>
      </c>
      <c r="T597" t="inlineStr">
        <is>
          <t>,000000000</t>
        </is>
      </c>
      <c r="U597" t="inlineStr">
        <is>
          <t>,000000000</t>
        </is>
      </c>
      <c r="V597" t="inlineStr">
        <is>
          <t>,000000000</t>
        </is>
      </c>
      <c r="W597" t="inlineStr">
        <is>
          <t>,000000000</t>
        </is>
      </c>
      <c r="X597" t="inlineStr">
        <is>
          <t>,000000000</t>
        </is>
      </c>
      <c r="Y597" t="inlineStr">
        <is>
          <t>,000000000</t>
        </is>
      </c>
      <c r="Z597" t="inlineStr">
        <is>
          <t>,000000000</t>
        </is>
      </c>
      <c r="AA597" t="inlineStr">
        <is>
          <t>,000000000</t>
        </is>
      </c>
      <c r="AB597" t="inlineStr">
        <is>
          <t>0</t>
        </is>
      </c>
      <c r="AC597" t="inlineStr">
        <is>
          <t>0</t>
        </is>
      </c>
      <c r="AD597" s="3">
        <f>UPPER(C3)</f>
        <v/>
      </c>
      <c r="AE597" s="3">
        <f>VLOOKUP(E3,'[1]Nómina Agentes'!$C:$D,3,0)</f>
        <v/>
      </c>
      <c r="AF597" s="5">
        <f>F3</f>
        <v/>
      </c>
      <c r="AG597" s="5">
        <f>H3</f>
        <v/>
      </c>
    </row>
    <row r="598">
      <c r="A598" s="1" t="inlineStr">
        <is>
          <t>9/10/2024</t>
        </is>
      </c>
      <c r="B598" t="inlineStr">
        <is>
          <t>925</t>
        </is>
      </c>
      <c r="C598" t="inlineStr">
        <is>
          <t>S2S Premium</t>
        </is>
      </c>
      <c r="D598" t="inlineStr">
        <is>
          <t>DPCC_Mino, Alexis</t>
        </is>
      </c>
      <c r="E598" t="inlineStr">
        <is>
          <t>663806</t>
        </is>
      </c>
      <c r="F598" s="2" t="inlineStr">
        <is>
          <t>10:00</t>
        </is>
      </c>
      <c r="G598" t="inlineStr">
        <is>
          <t>-</t>
        </is>
      </c>
      <c r="H598" s="2" t="inlineStr">
        <is>
          <t>10:30</t>
        </is>
      </c>
      <c r="I598" t="inlineStr">
        <is>
          <t>,000000000</t>
        </is>
      </c>
      <c r="J598" t="inlineStr">
        <is>
          <t>,000000000</t>
        </is>
      </c>
      <c r="K598" t="inlineStr">
        <is>
          <t>,000000000</t>
        </is>
      </c>
      <c r="L598" t="inlineStr">
        <is>
          <t>,000000000</t>
        </is>
      </c>
      <c r="M598" t="inlineStr">
        <is>
          <t>,000000000</t>
        </is>
      </c>
      <c r="N598" t="inlineStr">
        <is>
          <t>,000000000</t>
        </is>
      </c>
      <c r="O598" t="inlineStr">
        <is>
          <t>,000000000</t>
        </is>
      </c>
      <c r="P598" t="inlineStr">
        <is>
          <t>,000000000</t>
        </is>
      </c>
      <c r="Q598" t="inlineStr">
        <is>
          <t>,000000000</t>
        </is>
      </c>
      <c r="R598" t="inlineStr">
        <is>
          <t>,000000000</t>
        </is>
      </c>
      <c r="S598" t="inlineStr">
        <is>
          <t>,000000000</t>
        </is>
      </c>
      <c r="T598" t="inlineStr">
        <is>
          <t>,000000000</t>
        </is>
      </c>
      <c r="U598" t="inlineStr">
        <is>
          <t>,000000000</t>
        </is>
      </c>
      <c r="V598" t="inlineStr">
        <is>
          <t>,000000000</t>
        </is>
      </c>
      <c r="W598" t="inlineStr">
        <is>
          <t>,000000000</t>
        </is>
      </c>
      <c r="X598" t="inlineStr">
        <is>
          <t>,000000000</t>
        </is>
      </c>
      <c r="Y598" t="inlineStr">
        <is>
          <t>,000000000</t>
        </is>
      </c>
      <c r="Z598" t="inlineStr">
        <is>
          <t>,000000000</t>
        </is>
      </c>
      <c r="AA598" t="inlineStr">
        <is>
          <t>,000000000</t>
        </is>
      </c>
      <c r="AB598" t="inlineStr">
        <is>
          <t>0</t>
        </is>
      </c>
      <c r="AC598" t="inlineStr">
        <is>
          <t>0</t>
        </is>
      </c>
      <c r="AD598" s="3">
        <f>UPPER(C3)</f>
        <v/>
      </c>
      <c r="AE598" s="3">
        <f>VLOOKUP(E3,'[1]Nómina Agentes'!$C:$D,3,0)</f>
        <v/>
      </c>
      <c r="AF598" s="5">
        <f>F3</f>
        <v/>
      </c>
      <c r="AG598" s="5">
        <f>H3</f>
        <v/>
      </c>
    </row>
    <row r="599">
      <c r="A599" s="1" t="inlineStr">
        <is>
          <t>9/10/2024</t>
        </is>
      </c>
      <c r="B599" t="inlineStr">
        <is>
          <t>925</t>
        </is>
      </c>
      <c r="C599" t="inlineStr">
        <is>
          <t>S2S Premium</t>
        </is>
      </c>
      <c r="D599" t="inlineStr">
        <is>
          <t>DPCC_Mino, Alexis</t>
        </is>
      </c>
      <c r="E599" t="inlineStr">
        <is>
          <t>663806</t>
        </is>
      </c>
      <c r="F599" s="2" t="inlineStr">
        <is>
          <t>07:00</t>
        </is>
      </c>
      <c r="G599" t="inlineStr">
        <is>
          <t>-</t>
        </is>
      </c>
      <c r="H599" s="2" t="inlineStr">
        <is>
          <t>07:30</t>
        </is>
      </c>
      <c r="I599" t="inlineStr">
        <is>
          <t>,000000000</t>
        </is>
      </c>
      <c r="J599" t="inlineStr">
        <is>
          <t>,000000000</t>
        </is>
      </c>
      <c r="K599" t="inlineStr">
        <is>
          <t>,000000000</t>
        </is>
      </c>
      <c r="L599" t="inlineStr">
        <is>
          <t>,000000000</t>
        </is>
      </c>
      <c r="M599" t="inlineStr">
        <is>
          <t>,000000000</t>
        </is>
      </c>
      <c r="N599" t="inlineStr">
        <is>
          <t>,000000000</t>
        </is>
      </c>
      <c r="O599" t="inlineStr">
        <is>
          <t>,000000000</t>
        </is>
      </c>
      <c r="P599" t="inlineStr">
        <is>
          <t>,000000000</t>
        </is>
      </c>
      <c r="Q599" t="inlineStr">
        <is>
          <t>,000000000</t>
        </is>
      </c>
      <c r="R599" t="inlineStr">
        <is>
          <t>,000000000</t>
        </is>
      </c>
      <c r="S599" t="inlineStr">
        <is>
          <t>,000000000</t>
        </is>
      </c>
      <c r="T599" t="inlineStr">
        <is>
          <t>,000000000</t>
        </is>
      </c>
      <c r="U599" t="inlineStr">
        <is>
          <t>,000000000</t>
        </is>
      </c>
      <c r="V599" t="inlineStr">
        <is>
          <t>,000000000</t>
        </is>
      </c>
      <c r="W599" t="inlineStr">
        <is>
          <t>,000000000</t>
        </is>
      </c>
      <c r="X599" t="inlineStr">
        <is>
          <t>,000000000</t>
        </is>
      </c>
      <c r="Y599" t="inlineStr">
        <is>
          <t>,000000000</t>
        </is>
      </c>
      <c r="Z599" t="inlineStr">
        <is>
          <t>,000000000</t>
        </is>
      </c>
      <c r="AA599" t="inlineStr">
        <is>
          <t>,000000000</t>
        </is>
      </c>
      <c r="AB599" t="inlineStr">
        <is>
          <t>0</t>
        </is>
      </c>
      <c r="AC599" t="inlineStr">
        <is>
          <t>0</t>
        </is>
      </c>
      <c r="AD599" s="3">
        <f>UPPER(C3)</f>
        <v/>
      </c>
      <c r="AE599" s="3">
        <f>VLOOKUP(E3,'[1]Nómina Agentes'!$C:$D,3,0)</f>
        <v/>
      </c>
      <c r="AF599" s="5">
        <f>F3</f>
        <v/>
      </c>
      <c r="AG599" s="5">
        <f>H3</f>
        <v/>
      </c>
    </row>
    <row r="600">
      <c r="A600" s="1" t="inlineStr">
        <is>
          <t>9/10/2024</t>
        </is>
      </c>
      <c r="B600" t="inlineStr">
        <is>
          <t>925</t>
        </is>
      </c>
      <c r="C600" t="inlineStr">
        <is>
          <t>S2S Premium</t>
        </is>
      </c>
      <c r="D600" t="inlineStr">
        <is>
          <t>DPCC_Mino, Alexis</t>
        </is>
      </c>
      <c r="E600" t="inlineStr">
        <is>
          <t>663806</t>
        </is>
      </c>
      <c r="F600" s="2" t="inlineStr">
        <is>
          <t>10:30</t>
        </is>
      </c>
      <c r="G600" t="inlineStr">
        <is>
          <t>-</t>
        </is>
      </c>
      <c r="H600" s="2" t="inlineStr">
        <is>
          <t>11:00</t>
        </is>
      </c>
      <c r="I600" t="inlineStr">
        <is>
          <t>,000000000</t>
        </is>
      </c>
      <c r="J600" t="inlineStr">
        <is>
          <t>,000000000</t>
        </is>
      </c>
      <c r="K600" t="inlineStr">
        <is>
          <t>,000000000</t>
        </is>
      </c>
      <c r="L600" t="inlineStr">
        <is>
          <t>,000000000</t>
        </is>
      </c>
      <c r="M600" t="inlineStr">
        <is>
          <t>,000000000</t>
        </is>
      </c>
      <c r="N600" t="inlineStr">
        <is>
          <t>,000000000</t>
        </is>
      </c>
      <c r="O600" t="inlineStr">
        <is>
          <t>,000000000</t>
        </is>
      </c>
      <c r="P600" t="inlineStr">
        <is>
          <t>,000000000</t>
        </is>
      </c>
      <c r="Q600" t="inlineStr">
        <is>
          <t>,000000000</t>
        </is>
      </c>
      <c r="R600" t="inlineStr">
        <is>
          <t>,000000000</t>
        </is>
      </c>
      <c r="S600" t="inlineStr">
        <is>
          <t>,000000000</t>
        </is>
      </c>
      <c r="T600" t="inlineStr">
        <is>
          <t>,000000000</t>
        </is>
      </c>
      <c r="U600" t="inlineStr">
        <is>
          <t>,000000000</t>
        </is>
      </c>
      <c r="V600" t="inlineStr">
        <is>
          <t>,000000000</t>
        </is>
      </c>
      <c r="W600" t="inlineStr">
        <is>
          <t>,000000000</t>
        </is>
      </c>
      <c r="X600" t="inlineStr">
        <is>
          <t>,000000000</t>
        </is>
      </c>
      <c r="Y600" t="inlineStr">
        <is>
          <t>,000000000</t>
        </is>
      </c>
      <c r="Z600" t="inlineStr">
        <is>
          <t>,000000000</t>
        </is>
      </c>
      <c r="AA600" t="inlineStr">
        <is>
          <t>,000000000</t>
        </is>
      </c>
      <c r="AB600" t="inlineStr">
        <is>
          <t>0</t>
        </is>
      </c>
      <c r="AC600" t="inlineStr">
        <is>
          <t>0</t>
        </is>
      </c>
      <c r="AD600" s="3">
        <f>UPPER(C3)</f>
        <v/>
      </c>
      <c r="AE600" s="3">
        <f>VLOOKUP(E3,'[1]Nómina Agentes'!$C:$D,3,0)</f>
        <v/>
      </c>
      <c r="AF600" s="5">
        <f>F3</f>
        <v/>
      </c>
      <c r="AG600" s="5">
        <f>H3</f>
        <v/>
      </c>
    </row>
    <row r="601">
      <c r="A601" s="1" t="inlineStr">
        <is>
          <t>9/10/2024</t>
        </is>
      </c>
      <c r="B601" t="inlineStr">
        <is>
          <t>925</t>
        </is>
      </c>
      <c r="C601" t="inlineStr">
        <is>
          <t>S2S Premium</t>
        </is>
      </c>
      <c r="D601" t="inlineStr">
        <is>
          <t>DPCC_Mino, Alexis</t>
        </is>
      </c>
      <c r="E601" t="inlineStr">
        <is>
          <t>663806</t>
        </is>
      </c>
      <c r="F601" s="2" t="inlineStr">
        <is>
          <t>09:30</t>
        </is>
      </c>
      <c r="G601" t="inlineStr">
        <is>
          <t>-</t>
        </is>
      </c>
      <c r="H601" s="2" t="inlineStr">
        <is>
          <t>10:00</t>
        </is>
      </c>
      <c r="I601" t="inlineStr">
        <is>
          <t>438,000000000</t>
        </is>
      </c>
      <c r="J601" t="inlineStr">
        <is>
          <t>,000000000</t>
        </is>
      </c>
      <c r="K601" t="inlineStr">
        <is>
          <t>,000000000</t>
        </is>
      </c>
      <c r="L601" t="inlineStr">
        <is>
          <t>4,000000000</t>
        </is>
      </c>
      <c r="M601" t="inlineStr">
        <is>
          <t>,000000000</t>
        </is>
      </c>
      <c r="N601" t="inlineStr">
        <is>
          <t>,000000000</t>
        </is>
      </c>
      <c r="O601" t="inlineStr">
        <is>
          <t>,000000000</t>
        </is>
      </c>
      <c r="P601" t="inlineStr">
        <is>
          <t>,000000000</t>
        </is>
      </c>
      <c r="Q601" t="inlineStr">
        <is>
          <t>,000000000</t>
        </is>
      </c>
      <c r="R601" t="inlineStr">
        <is>
          <t>,000000000</t>
        </is>
      </c>
      <c r="S601" t="inlineStr">
        <is>
          <t>,000000000</t>
        </is>
      </c>
      <c r="T601" t="inlineStr">
        <is>
          <t>,000000000</t>
        </is>
      </c>
      <c r="U601" t="inlineStr">
        <is>
          <t>,000000000</t>
        </is>
      </c>
      <c r="V601" t="inlineStr">
        <is>
          <t>,000000000</t>
        </is>
      </c>
      <c r="W601" t="inlineStr">
        <is>
          <t>,000000000</t>
        </is>
      </c>
      <c r="X601" t="inlineStr">
        <is>
          <t>,000000000</t>
        </is>
      </c>
      <c r="Y601" t="inlineStr">
        <is>
          <t>,000000000</t>
        </is>
      </c>
      <c r="Z601" t="inlineStr">
        <is>
          <t>,000000000</t>
        </is>
      </c>
      <c r="AA601" t="inlineStr">
        <is>
          <t>,000000000</t>
        </is>
      </c>
      <c r="AB601" t="inlineStr">
        <is>
          <t>1</t>
        </is>
      </c>
      <c r="AC601" t="inlineStr">
        <is>
          <t>1</t>
        </is>
      </c>
      <c r="AD601" s="3">
        <f>UPPER(C3)</f>
        <v/>
      </c>
      <c r="AE601" s="3">
        <f>VLOOKUP(E3,'[1]Nómina Agentes'!$C:$D,3,0)</f>
        <v/>
      </c>
      <c r="AF601" s="5">
        <f>F3</f>
        <v/>
      </c>
      <c r="AG601" s="5">
        <f>H3</f>
        <v/>
      </c>
    </row>
    <row r="602">
      <c r="A602" s="1" t="inlineStr">
        <is>
          <t>9/10/2024</t>
        </is>
      </c>
      <c r="B602" t="inlineStr">
        <is>
          <t>925</t>
        </is>
      </c>
      <c r="C602" t="inlineStr">
        <is>
          <t>S2S Premium</t>
        </is>
      </c>
      <c r="D602" t="inlineStr">
        <is>
          <t>DPCC_Mino, Alexis</t>
        </is>
      </c>
      <c r="E602" t="inlineStr">
        <is>
          <t>663806</t>
        </is>
      </c>
      <c r="F602" s="2" t="inlineStr">
        <is>
          <t>08:30</t>
        </is>
      </c>
      <c r="G602" t="inlineStr">
        <is>
          <t>-</t>
        </is>
      </c>
      <c r="H602" s="2" t="inlineStr">
        <is>
          <t>09:00</t>
        </is>
      </c>
      <c r="I602" t="inlineStr">
        <is>
          <t>594,000000000</t>
        </is>
      </c>
      <c r="J602" t="inlineStr">
        <is>
          <t>,000000000</t>
        </is>
      </c>
      <c r="K602" t="inlineStr">
        <is>
          <t>,000000000</t>
        </is>
      </c>
      <c r="L602" t="inlineStr">
        <is>
          <t>12,000000000</t>
        </is>
      </c>
      <c r="M602" t="inlineStr">
        <is>
          <t>,000000000</t>
        </is>
      </c>
      <c r="N602" t="inlineStr">
        <is>
          <t>,000000000</t>
        </is>
      </c>
      <c r="O602" t="inlineStr">
        <is>
          <t>,000000000</t>
        </is>
      </c>
      <c r="P602" t="inlineStr">
        <is>
          <t>,000000000</t>
        </is>
      </c>
      <c r="Q602" t="inlineStr">
        <is>
          <t>,000000000</t>
        </is>
      </c>
      <c r="R602" t="inlineStr">
        <is>
          <t>,000000000</t>
        </is>
      </c>
      <c r="S602" t="inlineStr">
        <is>
          <t>,000000000</t>
        </is>
      </c>
      <c r="T602" t="inlineStr">
        <is>
          <t>,000000000</t>
        </is>
      </c>
      <c r="U602" t="inlineStr">
        <is>
          <t>,000000000</t>
        </is>
      </c>
      <c r="V602" t="inlineStr">
        <is>
          <t>,000000000</t>
        </is>
      </c>
      <c r="W602" t="inlineStr">
        <is>
          <t>,000000000</t>
        </is>
      </c>
      <c r="X602" t="inlineStr">
        <is>
          <t>,000000000</t>
        </is>
      </c>
      <c r="Y602" t="inlineStr">
        <is>
          <t>,000000000</t>
        </is>
      </c>
      <c r="Z602" t="inlineStr">
        <is>
          <t>,000000000</t>
        </is>
      </c>
      <c r="AA602" t="inlineStr">
        <is>
          <t>,000000000</t>
        </is>
      </c>
      <c r="AB602" t="inlineStr">
        <is>
          <t>3</t>
        </is>
      </c>
      <c r="AC602" t="inlineStr">
        <is>
          <t>3</t>
        </is>
      </c>
      <c r="AD602" s="3">
        <f>UPPER(C3)</f>
        <v/>
      </c>
      <c r="AE602" s="3">
        <f>VLOOKUP(E3,'[1]Nómina Agentes'!$C:$D,3,0)</f>
        <v/>
      </c>
      <c r="AF602" s="5">
        <f>F3</f>
        <v/>
      </c>
      <c r="AG602" s="5">
        <f>H3</f>
        <v/>
      </c>
    </row>
    <row r="603">
      <c r="A603" s="1" t="inlineStr">
        <is>
          <t>9/10/2024</t>
        </is>
      </c>
      <c r="B603" t="inlineStr">
        <is>
          <t>925</t>
        </is>
      </c>
      <c r="C603" t="inlineStr">
        <is>
          <t>S2S Premium</t>
        </is>
      </c>
      <c r="D603" t="inlineStr">
        <is>
          <t>XDPCC_Mino,Valeria</t>
        </is>
      </c>
      <c r="E603" t="inlineStr">
        <is>
          <t>663807</t>
        </is>
      </c>
      <c r="F603" s="2" t="inlineStr">
        <is>
          <t>10:00</t>
        </is>
      </c>
      <c r="G603" t="inlineStr">
        <is>
          <t>-</t>
        </is>
      </c>
      <c r="H603" s="2" t="inlineStr">
        <is>
          <t>10:30</t>
        </is>
      </c>
      <c r="I603" t="inlineStr">
        <is>
          <t>363,000000000</t>
        </is>
      </c>
      <c r="J603" t="inlineStr">
        <is>
          <t>,000000000</t>
        </is>
      </c>
      <c r="K603" t="inlineStr">
        <is>
          <t>,000000000</t>
        </is>
      </c>
      <c r="L603" t="inlineStr">
        <is>
          <t>4,000000000</t>
        </is>
      </c>
      <c r="M603" t="inlineStr">
        <is>
          <t>,000000000</t>
        </is>
      </c>
      <c r="N603" t="inlineStr">
        <is>
          <t>,000000000</t>
        </is>
      </c>
      <c r="O603" t="inlineStr">
        <is>
          <t>,000000000</t>
        </is>
      </c>
      <c r="P603" t="inlineStr">
        <is>
          <t>224,000000000</t>
        </is>
      </c>
      <c r="Q603" t="inlineStr">
        <is>
          <t>,000000000</t>
        </is>
      </c>
      <c r="R603" t="inlineStr">
        <is>
          <t>,000000000</t>
        </is>
      </c>
      <c r="S603" t="inlineStr">
        <is>
          <t>,000000000</t>
        </is>
      </c>
      <c r="T603" t="inlineStr">
        <is>
          <t>,000000000</t>
        </is>
      </c>
      <c r="U603" t="inlineStr">
        <is>
          <t>,000000000</t>
        </is>
      </c>
      <c r="V603" t="inlineStr">
        <is>
          <t>,000000000</t>
        </is>
      </c>
      <c r="W603" t="inlineStr">
        <is>
          <t>,000000000</t>
        </is>
      </c>
      <c r="X603" t="inlineStr">
        <is>
          <t>,000000000</t>
        </is>
      </c>
      <c r="Y603" t="inlineStr">
        <is>
          <t>,000000000</t>
        </is>
      </c>
      <c r="Z603" t="inlineStr">
        <is>
          <t>,000000000</t>
        </is>
      </c>
      <c r="AA603" t="inlineStr">
        <is>
          <t>,000000000</t>
        </is>
      </c>
      <c r="AB603" t="inlineStr">
        <is>
          <t>1</t>
        </is>
      </c>
      <c r="AC603" t="inlineStr">
        <is>
          <t>1</t>
        </is>
      </c>
      <c r="AD603" s="3">
        <f>UPPER(C3)</f>
        <v/>
      </c>
      <c r="AE603" s="3">
        <f>VLOOKUP(E3,'[1]Nómina Agentes'!$C:$D,3,0)</f>
        <v/>
      </c>
      <c r="AF603" s="5">
        <f>F3</f>
        <v/>
      </c>
      <c r="AG603" s="5">
        <f>H3</f>
        <v/>
      </c>
    </row>
    <row r="604">
      <c r="A604" s="1" t="inlineStr">
        <is>
          <t>9/10/2024</t>
        </is>
      </c>
      <c r="B604" t="inlineStr">
        <is>
          <t>925</t>
        </is>
      </c>
      <c r="C604" t="inlineStr">
        <is>
          <t>S2S Premium</t>
        </is>
      </c>
      <c r="D604" t="inlineStr">
        <is>
          <t>XDPCC_Mino,Valeria</t>
        </is>
      </c>
      <c r="E604" t="inlineStr">
        <is>
          <t>663807</t>
        </is>
      </c>
      <c r="F604" s="2" t="inlineStr">
        <is>
          <t>10:30</t>
        </is>
      </c>
      <c r="G604" t="inlineStr">
        <is>
          <t>-</t>
        </is>
      </c>
      <c r="H604" s="2" t="inlineStr">
        <is>
          <t>11:00</t>
        </is>
      </c>
      <c r="I604" t="inlineStr">
        <is>
          <t>1273,000000000</t>
        </is>
      </c>
      <c r="J604" t="inlineStr">
        <is>
          <t>,000000000</t>
        </is>
      </c>
      <c r="K604" t="inlineStr">
        <is>
          <t>,000000000</t>
        </is>
      </c>
      <c r="L604" t="inlineStr">
        <is>
          <t>19,000000000</t>
        </is>
      </c>
      <c r="M604" t="inlineStr">
        <is>
          <t>,000000000</t>
        </is>
      </c>
      <c r="N604" t="inlineStr">
        <is>
          <t>,000000000</t>
        </is>
      </c>
      <c r="O604" t="inlineStr">
        <is>
          <t>,000000000</t>
        </is>
      </c>
      <c r="P604" t="inlineStr">
        <is>
          <t>137,000000000</t>
        </is>
      </c>
      <c r="Q604" t="inlineStr">
        <is>
          <t>,000000000</t>
        </is>
      </c>
      <c r="R604" t="inlineStr">
        <is>
          <t>,000000000</t>
        </is>
      </c>
      <c r="S604" t="inlineStr">
        <is>
          <t>,000000000</t>
        </is>
      </c>
      <c r="T604" t="inlineStr">
        <is>
          <t>,000000000</t>
        </is>
      </c>
      <c r="U604" t="inlineStr">
        <is>
          <t>,000000000</t>
        </is>
      </c>
      <c r="V604" t="inlineStr">
        <is>
          <t>,000000000</t>
        </is>
      </c>
      <c r="W604" t="inlineStr">
        <is>
          <t>,000000000</t>
        </is>
      </c>
      <c r="X604" t="inlineStr">
        <is>
          <t>,000000000</t>
        </is>
      </c>
      <c r="Y604" t="inlineStr">
        <is>
          <t>,000000000</t>
        </is>
      </c>
      <c r="Z604" t="inlineStr">
        <is>
          <t>,000000000</t>
        </is>
      </c>
      <c r="AA604" t="inlineStr">
        <is>
          <t>,000000000</t>
        </is>
      </c>
      <c r="AB604" t="inlineStr">
        <is>
          <t>4</t>
        </is>
      </c>
      <c r="AC604" t="inlineStr">
        <is>
          <t>3</t>
        </is>
      </c>
      <c r="AD604" s="3">
        <f>UPPER(C3)</f>
        <v/>
      </c>
      <c r="AE604" s="3">
        <f>VLOOKUP(E3,'[1]Nómina Agentes'!$C:$D,3,0)</f>
        <v/>
      </c>
      <c r="AF604" s="5">
        <f>F3</f>
        <v/>
      </c>
      <c r="AG604" s="5">
        <f>H3</f>
        <v/>
      </c>
    </row>
    <row r="605">
      <c r="A605" s="1" t="inlineStr">
        <is>
          <t>9/10/2024</t>
        </is>
      </c>
      <c r="B605" t="inlineStr">
        <is>
          <t>925</t>
        </is>
      </c>
      <c r="C605" t="inlineStr">
        <is>
          <t>S2S Premium</t>
        </is>
      </c>
      <c r="D605" t="inlineStr">
        <is>
          <t>PCC_Obez,Cecilia</t>
        </is>
      </c>
      <c r="E605" t="inlineStr">
        <is>
          <t>663810</t>
        </is>
      </c>
      <c r="F605" s="2" t="inlineStr">
        <is>
          <t>06:00</t>
        </is>
      </c>
      <c r="G605" t="inlineStr">
        <is>
          <t>-</t>
        </is>
      </c>
      <c r="H605" s="2" t="inlineStr">
        <is>
          <t>06:30</t>
        </is>
      </c>
      <c r="I605" t="inlineStr">
        <is>
          <t>,000000000</t>
        </is>
      </c>
      <c r="J605" t="inlineStr">
        <is>
          <t>,000000000</t>
        </is>
      </c>
      <c r="K605" t="inlineStr">
        <is>
          <t>,000000000</t>
        </is>
      </c>
      <c r="L605" t="inlineStr">
        <is>
          <t>,000000000</t>
        </is>
      </c>
      <c r="M605" t="inlineStr">
        <is>
          <t>,000000000</t>
        </is>
      </c>
      <c r="N605" t="inlineStr">
        <is>
          <t>,000000000</t>
        </is>
      </c>
      <c r="O605" t="inlineStr">
        <is>
          <t>,000000000</t>
        </is>
      </c>
      <c r="P605" t="inlineStr">
        <is>
          <t>,000000000</t>
        </is>
      </c>
      <c r="Q605" t="inlineStr">
        <is>
          <t>,000000000</t>
        </is>
      </c>
      <c r="R605" t="inlineStr">
        <is>
          <t>,000000000</t>
        </is>
      </c>
      <c r="S605" t="inlineStr">
        <is>
          <t>,000000000</t>
        </is>
      </c>
      <c r="T605" t="inlineStr">
        <is>
          <t>,000000000</t>
        </is>
      </c>
      <c r="U605" t="inlineStr">
        <is>
          <t>,000000000</t>
        </is>
      </c>
      <c r="V605" t="inlineStr">
        <is>
          <t>,000000000</t>
        </is>
      </c>
      <c r="W605" t="inlineStr">
        <is>
          <t>,000000000</t>
        </is>
      </c>
      <c r="X605" t="inlineStr">
        <is>
          <t>,000000000</t>
        </is>
      </c>
      <c r="Y605" t="inlineStr">
        <is>
          <t>,000000000</t>
        </is>
      </c>
      <c r="Z605" t="inlineStr">
        <is>
          <t>,000000000</t>
        </is>
      </c>
      <c r="AA605" t="inlineStr">
        <is>
          <t>,000000000</t>
        </is>
      </c>
      <c r="AB605" t="inlineStr">
        <is>
          <t>0</t>
        </is>
      </c>
      <c r="AC605" t="inlineStr">
        <is>
          <t>0</t>
        </is>
      </c>
      <c r="AD605" s="3">
        <f>UPPER(C3)</f>
        <v/>
      </c>
      <c r="AE605" s="3">
        <f>VLOOKUP(E3,'[1]Nómina Agentes'!$C:$D,3,0)</f>
        <v/>
      </c>
      <c r="AF605" s="5">
        <f>F3</f>
        <v/>
      </c>
      <c r="AG605" s="5">
        <f>H3</f>
        <v/>
      </c>
    </row>
    <row r="606">
      <c r="A606" s="1" t="inlineStr">
        <is>
          <t>9/10/2024</t>
        </is>
      </c>
      <c r="B606" t="inlineStr">
        <is>
          <t>925</t>
        </is>
      </c>
      <c r="C606" t="inlineStr">
        <is>
          <t>S2S Premium</t>
        </is>
      </c>
      <c r="D606" t="inlineStr">
        <is>
          <t>XPCC_Filei Andrea</t>
        </is>
      </c>
      <c r="E606" t="inlineStr">
        <is>
          <t>663827</t>
        </is>
      </c>
      <c r="F606" s="2" t="inlineStr">
        <is>
          <t>10:30</t>
        </is>
      </c>
      <c r="G606" t="inlineStr">
        <is>
          <t>-</t>
        </is>
      </c>
      <c r="H606" s="2" t="inlineStr">
        <is>
          <t>11:00</t>
        </is>
      </c>
      <c r="I606" t="inlineStr">
        <is>
          <t>764,000000000</t>
        </is>
      </c>
      <c r="J606" t="inlineStr">
        <is>
          <t>,000000000</t>
        </is>
      </c>
      <c r="K606" t="inlineStr">
        <is>
          <t>,000000000</t>
        </is>
      </c>
      <c r="L606" t="inlineStr">
        <is>
          <t>12,000000000</t>
        </is>
      </c>
      <c r="M606" t="inlineStr">
        <is>
          <t>,000000000</t>
        </is>
      </c>
      <c r="N606" t="inlineStr">
        <is>
          <t>,000000000</t>
        </is>
      </c>
      <c r="O606" t="inlineStr">
        <is>
          <t>,000000000</t>
        </is>
      </c>
      <c r="P606" t="inlineStr">
        <is>
          <t>185,000000000</t>
        </is>
      </c>
      <c r="Q606" t="inlineStr">
        <is>
          <t>,000000000</t>
        </is>
      </c>
      <c r="R606" t="inlineStr">
        <is>
          <t>,000000000</t>
        </is>
      </c>
      <c r="S606" t="inlineStr">
        <is>
          <t>,000000000</t>
        </is>
      </c>
      <c r="T606" t="inlineStr">
        <is>
          <t>,000000000</t>
        </is>
      </c>
      <c r="U606" t="inlineStr">
        <is>
          <t>,000000000</t>
        </is>
      </c>
      <c r="V606" t="inlineStr">
        <is>
          <t>,000000000</t>
        </is>
      </c>
      <c r="W606" t="inlineStr">
        <is>
          <t>,000000000</t>
        </is>
      </c>
      <c r="X606" t="inlineStr">
        <is>
          <t>,000000000</t>
        </is>
      </c>
      <c r="Y606" t="inlineStr">
        <is>
          <t>,000000000</t>
        </is>
      </c>
      <c r="Z606" t="inlineStr">
        <is>
          <t>,000000000</t>
        </is>
      </c>
      <c r="AA606" t="inlineStr">
        <is>
          <t>,000000000</t>
        </is>
      </c>
      <c r="AB606" t="inlineStr">
        <is>
          <t>4</t>
        </is>
      </c>
      <c r="AC606" t="inlineStr">
        <is>
          <t>2</t>
        </is>
      </c>
      <c r="AD606" s="3">
        <f>UPPER(C3)</f>
        <v/>
      </c>
      <c r="AE606" s="3">
        <f>VLOOKUP(E3,'[1]Nómina Agentes'!$C:$D,3,0)</f>
        <v/>
      </c>
      <c r="AF606" s="5">
        <f>F3</f>
        <v/>
      </c>
      <c r="AG606" s="5">
        <f>H3</f>
        <v/>
      </c>
    </row>
    <row r="607">
      <c r="A607" s="1" t="inlineStr">
        <is>
          <t>9/10/2024</t>
        </is>
      </c>
      <c r="B607" t="inlineStr">
        <is>
          <t>925</t>
        </is>
      </c>
      <c r="C607" t="inlineStr">
        <is>
          <t>S2S Premium</t>
        </is>
      </c>
      <c r="D607" t="inlineStr">
        <is>
          <t>XPCC_Filei Andrea</t>
        </is>
      </c>
      <c r="E607" t="inlineStr">
        <is>
          <t>663827</t>
        </is>
      </c>
      <c r="F607" s="2" t="inlineStr">
        <is>
          <t>10:00</t>
        </is>
      </c>
      <c r="G607" t="inlineStr">
        <is>
          <t>-</t>
        </is>
      </c>
      <c r="H607" s="2" t="inlineStr">
        <is>
          <t>10:30</t>
        </is>
      </c>
      <c r="I607" t="inlineStr">
        <is>
          <t>1001,000000000</t>
        </is>
      </c>
      <c r="J607" t="inlineStr">
        <is>
          <t>,000000000</t>
        </is>
      </c>
      <c r="K607" t="inlineStr">
        <is>
          <t>,000000000</t>
        </is>
      </c>
      <c r="L607" t="inlineStr">
        <is>
          <t>12,000000000</t>
        </is>
      </c>
      <c r="M607" t="inlineStr">
        <is>
          <t>,000000000</t>
        </is>
      </c>
      <c r="N607" t="inlineStr">
        <is>
          <t>,000000000</t>
        </is>
      </c>
      <c r="O607" t="inlineStr">
        <is>
          <t>,000000000</t>
        </is>
      </c>
      <c r="P607" t="inlineStr">
        <is>
          <t>13,000000000</t>
        </is>
      </c>
      <c r="Q607" t="inlineStr">
        <is>
          <t>2,000000000</t>
        </is>
      </c>
      <c r="R607" t="inlineStr">
        <is>
          <t>,000000000</t>
        </is>
      </c>
      <c r="S607" t="inlineStr">
        <is>
          <t>,000000000</t>
        </is>
      </c>
      <c r="T607" t="inlineStr">
        <is>
          <t>,000000000</t>
        </is>
      </c>
      <c r="U607" t="inlineStr">
        <is>
          <t>,000000000</t>
        </is>
      </c>
      <c r="V607" t="inlineStr">
        <is>
          <t>,000000000</t>
        </is>
      </c>
      <c r="W607" t="inlineStr">
        <is>
          <t>,000000000</t>
        </is>
      </c>
      <c r="X607" t="inlineStr">
        <is>
          <t>,000000000</t>
        </is>
      </c>
      <c r="Y607" t="inlineStr">
        <is>
          <t>,000000000</t>
        </is>
      </c>
      <c r="Z607" t="inlineStr">
        <is>
          <t>,000000000</t>
        </is>
      </c>
      <c r="AA607" t="inlineStr">
        <is>
          <t>,000000000</t>
        </is>
      </c>
      <c r="AB607" t="inlineStr">
        <is>
          <t>2</t>
        </is>
      </c>
      <c r="AC607" t="inlineStr">
        <is>
          <t>0</t>
        </is>
      </c>
      <c r="AD607" s="3">
        <f>UPPER(C3)</f>
        <v/>
      </c>
      <c r="AE607" s="3">
        <f>VLOOKUP(E3,'[1]Nómina Agentes'!$C:$D,3,0)</f>
        <v/>
      </c>
      <c r="AF607" s="5">
        <f>F3</f>
        <v/>
      </c>
      <c r="AG607" s="5">
        <f>H3</f>
        <v/>
      </c>
    </row>
    <row r="608">
      <c r="A608" s="1" t="inlineStr">
        <is>
          <t>9/10/2024</t>
        </is>
      </c>
      <c r="B608" t="inlineStr">
        <is>
          <t>925</t>
        </is>
      </c>
      <c r="C608" t="inlineStr">
        <is>
          <t>S2S Premium</t>
        </is>
      </c>
      <c r="D608" t="inlineStr">
        <is>
          <t>PCC_Godoy, Sarita</t>
        </is>
      </c>
      <c r="E608" t="inlineStr">
        <is>
          <t>663830</t>
        </is>
      </c>
      <c r="F608" s="2" t="inlineStr">
        <is>
          <t>10:00</t>
        </is>
      </c>
      <c r="G608" t="inlineStr">
        <is>
          <t>-</t>
        </is>
      </c>
      <c r="H608" s="2" t="inlineStr">
        <is>
          <t>10:30</t>
        </is>
      </c>
      <c r="I608" t="inlineStr">
        <is>
          <t>297,000000000</t>
        </is>
      </c>
      <c r="J608" t="inlineStr">
        <is>
          <t>,000000000</t>
        </is>
      </c>
      <c r="K608" t="inlineStr">
        <is>
          <t>,000000000</t>
        </is>
      </c>
      <c r="L608" t="inlineStr">
        <is>
          <t>12,000000000</t>
        </is>
      </c>
      <c r="M608" t="inlineStr">
        <is>
          <t>,000000000</t>
        </is>
      </c>
      <c r="N608" t="inlineStr">
        <is>
          <t>,000000000</t>
        </is>
      </c>
      <c r="O608" t="inlineStr">
        <is>
          <t>,000000000</t>
        </is>
      </c>
      <c r="P608" t="inlineStr">
        <is>
          <t>824,000000000</t>
        </is>
      </c>
      <c r="Q608" t="inlineStr">
        <is>
          <t>684,000000000</t>
        </is>
      </c>
      <c r="R608" t="inlineStr">
        <is>
          <t>,000000000</t>
        </is>
      </c>
      <c r="S608" t="inlineStr">
        <is>
          <t>,000000000</t>
        </is>
      </c>
      <c r="T608" t="inlineStr">
        <is>
          <t>,000000000</t>
        </is>
      </c>
      <c r="U608" t="inlineStr">
        <is>
          <t>,000000000</t>
        </is>
      </c>
      <c r="V608" t="inlineStr">
        <is>
          <t>,000000000</t>
        </is>
      </c>
      <c r="W608" t="inlineStr">
        <is>
          <t>,000000000</t>
        </is>
      </c>
      <c r="X608" t="inlineStr">
        <is>
          <t>,000000000</t>
        </is>
      </c>
      <c r="Y608" t="inlineStr">
        <is>
          <t>,000000000</t>
        </is>
      </c>
      <c r="Z608" t="inlineStr">
        <is>
          <t>,000000000</t>
        </is>
      </c>
      <c r="AA608" t="inlineStr">
        <is>
          <t>,000000000</t>
        </is>
      </c>
      <c r="AB608" t="inlineStr">
        <is>
          <t>3</t>
        </is>
      </c>
      <c r="AC608" t="inlineStr">
        <is>
          <t>2</t>
        </is>
      </c>
      <c r="AD608" s="3">
        <f>UPPER(C3)</f>
        <v/>
      </c>
      <c r="AE608" s="3">
        <f>VLOOKUP(E3,'[1]Nómina Agentes'!$C:$D,3,0)</f>
        <v/>
      </c>
      <c r="AF608" s="5">
        <f>F3</f>
        <v/>
      </c>
      <c r="AG608" s="5">
        <f>H3</f>
        <v/>
      </c>
    </row>
    <row r="609">
      <c r="A609" s="1" t="inlineStr">
        <is>
          <t>9/10/2024</t>
        </is>
      </c>
      <c r="B609" t="inlineStr">
        <is>
          <t>925</t>
        </is>
      </c>
      <c r="C609" t="inlineStr">
        <is>
          <t>S2S Premium</t>
        </is>
      </c>
      <c r="D609" t="inlineStr">
        <is>
          <t>PCC_Godoy, Sarita</t>
        </is>
      </c>
      <c r="E609" t="inlineStr">
        <is>
          <t>663830</t>
        </is>
      </c>
      <c r="F609" s="2" t="inlineStr">
        <is>
          <t>10:30</t>
        </is>
      </c>
      <c r="G609" t="inlineStr">
        <is>
          <t>-</t>
        </is>
      </c>
      <c r="H609" s="2" t="inlineStr">
        <is>
          <t>11:00</t>
        </is>
      </c>
      <c r="I609" t="inlineStr">
        <is>
          <t>592,000000000</t>
        </is>
      </c>
      <c r="J609" t="inlineStr">
        <is>
          <t>,000000000</t>
        </is>
      </c>
      <c r="K609" t="inlineStr">
        <is>
          <t>,000000000</t>
        </is>
      </c>
      <c r="L609" t="inlineStr">
        <is>
          <t>20,000000000</t>
        </is>
      </c>
      <c r="M609" t="inlineStr">
        <is>
          <t>,000000000</t>
        </is>
      </c>
      <c r="N609" t="inlineStr">
        <is>
          <t>,000000000</t>
        </is>
      </c>
      <c r="O609" t="inlineStr">
        <is>
          <t>,000000000</t>
        </is>
      </c>
      <c r="P609" t="inlineStr">
        <is>
          <t>3,000000000</t>
        </is>
      </c>
      <c r="Q609" t="inlineStr">
        <is>
          <t>,000000000</t>
        </is>
      </c>
      <c r="R609" t="inlineStr">
        <is>
          <t>,000000000</t>
        </is>
      </c>
      <c r="S609" t="inlineStr">
        <is>
          <t>,000000000</t>
        </is>
      </c>
      <c r="T609" t="inlineStr">
        <is>
          <t>,000000000</t>
        </is>
      </c>
      <c r="U609" t="inlineStr">
        <is>
          <t>,000000000</t>
        </is>
      </c>
      <c r="V609" t="inlineStr">
        <is>
          <t>,000000000</t>
        </is>
      </c>
      <c r="W609" t="inlineStr">
        <is>
          <t>,000000000</t>
        </is>
      </c>
      <c r="X609" t="inlineStr">
        <is>
          <t>,000000000</t>
        </is>
      </c>
      <c r="Y609" t="inlineStr">
        <is>
          <t>,000000000</t>
        </is>
      </c>
      <c r="Z609" t="inlineStr">
        <is>
          <t>,000000000</t>
        </is>
      </c>
      <c r="AA609" t="inlineStr">
        <is>
          <t>,000000000</t>
        </is>
      </c>
      <c r="AB609" t="inlineStr">
        <is>
          <t>5</t>
        </is>
      </c>
      <c r="AC609" t="inlineStr">
        <is>
          <t>3</t>
        </is>
      </c>
      <c r="AD609" s="3">
        <f>UPPER(C3)</f>
        <v/>
      </c>
      <c r="AE609" s="3">
        <f>VLOOKUP(E3,'[1]Nómina Agentes'!$C:$D,3,0)</f>
        <v/>
      </c>
      <c r="AF609" s="5">
        <f>F3</f>
        <v/>
      </c>
      <c r="AG609" s="5">
        <f>H3</f>
        <v/>
      </c>
    </row>
    <row r="610">
      <c r="A610" s="1" t="inlineStr">
        <is>
          <t>9/10/2024</t>
        </is>
      </c>
      <c r="B610" t="inlineStr">
        <is>
          <t>925</t>
        </is>
      </c>
      <c r="C610" t="inlineStr">
        <is>
          <t>S2S Premium</t>
        </is>
      </c>
      <c r="D610" t="inlineStr">
        <is>
          <t>PCC_Godoy, Sarita</t>
        </is>
      </c>
      <c r="E610" t="inlineStr">
        <is>
          <t>663830</t>
        </is>
      </c>
      <c r="F610" s="2" t="inlineStr">
        <is>
          <t>09:00</t>
        </is>
      </c>
      <c r="G610" t="inlineStr">
        <is>
          <t>-</t>
        </is>
      </c>
      <c r="H610" s="2" t="inlineStr">
        <is>
          <t>09:30</t>
        </is>
      </c>
      <c r="I610" t="inlineStr">
        <is>
          <t>728,000000000</t>
        </is>
      </c>
      <c r="J610" t="inlineStr">
        <is>
          <t>,000000000</t>
        </is>
      </c>
      <c r="K610" t="inlineStr">
        <is>
          <t>,000000000</t>
        </is>
      </c>
      <c r="L610" t="inlineStr">
        <is>
          <t>15,000000000</t>
        </is>
      </c>
      <c r="M610" t="inlineStr">
        <is>
          <t>,000000000</t>
        </is>
      </c>
      <c r="N610" t="inlineStr">
        <is>
          <t>,000000000</t>
        </is>
      </c>
      <c r="O610" t="inlineStr">
        <is>
          <t>,000000000</t>
        </is>
      </c>
      <c r="P610" t="inlineStr">
        <is>
          <t>2,000000000</t>
        </is>
      </c>
      <c r="Q610" t="inlineStr">
        <is>
          <t>,000000000</t>
        </is>
      </c>
      <c r="R610" t="inlineStr">
        <is>
          <t>,000000000</t>
        </is>
      </c>
      <c r="S610" t="inlineStr">
        <is>
          <t>,000000000</t>
        </is>
      </c>
      <c r="T610" t="inlineStr">
        <is>
          <t>,000000000</t>
        </is>
      </c>
      <c r="U610" t="inlineStr">
        <is>
          <t>,000000000</t>
        </is>
      </c>
      <c r="V610" t="inlineStr">
        <is>
          <t>,000000000</t>
        </is>
      </c>
      <c r="W610" t="inlineStr">
        <is>
          <t>,000000000</t>
        </is>
      </c>
      <c r="X610" t="inlineStr">
        <is>
          <t>,000000000</t>
        </is>
      </c>
      <c r="Y610" t="inlineStr">
        <is>
          <t>,000000000</t>
        </is>
      </c>
      <c r="Z610" t="inlineStr">
        <is>
          <t>,000000000</t>
        </is>
      </c>
      <c r="AA610" t="inlineStr">
        <is>
          <t>,000000000</t>
        </is>
      </c>
      <c r="AB610" t="inlineStr">
        <is>
          <t>3</t>
        </is>
      </c>
      <c r="AC610" t="inlineStr">
        <is>
          <t>2</t>
        </is>
      </c>
      <c r="AD610" s="3">
        <f>UPPER(C3)</f>
        <v/>
      </c>
      <c r="AE610" s="3">
        <f>VLOOKUP(E3,'[1]Nómina Agentes'!$C:$D,3,0)</f>
        <v/>
      </c>
      <c r="AF610" s="5">
        <f>F3</f>
        <v/>
      </c>
      <c r="AG610" s="5">
        <f>H3</f>
        <v/>
      </c>
    </row>
    <row r="611">
      <c r="A611" s="1" t="inlineStr">
        <is>
          <t>9/10/2024</t>
        </is>
      </c>
      <c r="B611" t="inlineStr">
        <is>
          <t>925</t>
        </is>
      </c>
      <c r="C611" t="inlineStr">
        <is>
          <t>S2S Premium</t>
        </is>
      </c>
      <c r="D611" t="inlineStr">
        <is>
          <t>PCC_Godoy, Sarita</t>
        </is>
      </c>
      <c r="E611" t="inlineStr">
        <is>
          <t>663830</t>
        </is>
      </c>
      <c r="F611" s="2" t="inlineStr">
        <is>
          <t>09:30</t>
        </is>
      </c>
      <c r="G611" t="inlineStr">
        <is>
          <t>-</t>
        </is>
      </c>
      <c r="H611" s="2" t="inlineStr">
        <is>
          <t>10:00</t>
        </is>
      </c>
      <c r="I611" t="inlineStr">
        <is>
          <t>839,000000000</t>
        </is>
      </c>
      <c r="J611" t="inlineStr">
        <is>
          <t>,000000000</t>
        </is>
      </c>
      <c r="K611" t="inlineStr">
        <is>
          <t>,000000000</t>
        </is>
      </c>
      <c r="L611" t="inlineStr">
        <is>
          <t>16,000000000</t>
        </is>
      </c>
      <c r="M611" t="inlineStr">
        <is>
          <t>,000000000</t>
        </is>
      </c>
      <c r="N611" t="inlineStr">
        <is>
          <t>,000000000</t>
        </is>
      </c>
      <c r="O611" t="inlineStr">
        <is>
          <t>,000000000</t>
        </is>
      </c>
      <c r="P611" t="inlineStr">
        <is>
          <t>378,000000000</t>
        </is>
      </c>
      <c r="Q611" t="inlineStr">
        <is>
          <t>412,000000000</t>
        </is>
      </c>
      <c r="R611" t="inlineStr">
        <is>
          <t>,000000000</t>
        </is>
      </c>
      <c r="S611" t="inlineStr">
        <is>
          <t>,000000000</t>
        </is>
      </c>
      <c r="T611" t="inlineStr">
        <is>
          <t>,000000000</t>
        </is>
      </c>
      <c r="U611" t="inlineStr">
        <is>
          <t>,000000000</t>
        </is>
      </c>
      <c r="V611" t="inlineStr">
        <is>
          <t>,000000000</t>
        </is>
      </c>
      <c r="W611" t="inlineStr">
        <is>
          <t>,000000000</t>
        </is>
      </c>
      <c r="X611" t="inlineStr">
        <is>
          <t>,000000000</t>
        </is>
      </c>
      <c r="Y611" t="inlineStr">
        <is>
          <t>,000000000</t>
        </is>
      </c>
      <c r="Z611" t="inlineStr">
        <is>
          <t>,000000000</t>
        </is>
      </c>
      <c r="AA611" t="inlineStr">
        <is>
          <t>,000000000</t>
        </is>
      </c>
      <c r="AB611" t="inlineStr">
        <is>
          <t>4</t>
        </is>
      </c>
      <c r="AC611" t="inlineStr">
        <is>
          <t>2</t>
        </is>
      </c>
      <c r="AD611" s="3">
        <f>UPPER(C3)</f>
        <v/>
      </c>
      <c r="AE611" s="3">
        <f>VLOOKUP(E3,'[1]Nómina Agentes'!$C:$D,3,0)</f>
        <v/>
      </c>
      <c r="AF611" s="5">
        <f>F3</f>
        <v/>
      </c>
      <c r="AG611" s="5">
        <f>H3</f>
        <v/>
      </c>
    </row>
    <row r="612">
      <c r="A612" s="1" t="inlineStr">
        <is>
          <t>9/10/2024</t>
        </is>
      </c>
      <c r="B612" t="inlineStr">
        <is>
          <t>925</t>
        </is>
      </c>
      <c r="C612" t="inlineStr">
        <is>
          <t>S2S Premium</t>
        </is>
      </c>
      <c r="D612" t="inlineStr">
        <is>
          <t>XPCC_Aquino Pamela</t>
        </is>
      </c>
      <c r="E612" t="inlineStr">
        <is>
          <t>664048</t>
        </is>
      </c>
      <c r="F612" s="2" t="inlineStr">
        <is>
          <t>09:00</t>
        </is>
      </c>
      <c r="G612" t="inlineStr">
        <is>
          <t>-</t>
        </is>
      </c>
      <c r="H612" s="2" t="inlineStr">
        <is>
          <t>09:30</t>
        </is>
      </c>
      <c r="I612" t="inlineStr">
        <is>
          <t>581,000000000</t>
        </is>
      </c>
      <c r="J612" t="inlineStr">
        <is>
          <t>,000000000</t>
        </is>
      </c>
      <c r="K612" t="inlineStr">
        <is>
          <t>,000000000</t>
        </is>
      </c>
      <c r="L612" t="inlineStr">
        <is>
          <t>12,000000000</t>
        </is>
      </c>
      <c r="M612" t="inlineStr">
        <is>
          <t>,000000000</t>
        </is>
      </c>
      <c r="N612" t="inlineStr">
        <is>
          <t>,000000000</t>
        </is>
      </c>
      <c r="O612" t="inlineStr">
        <is>
          <t>,000000000</t>
        </is>
      </c>
      <c r="P612" t="inlineStr">
        <is>
          <t>2,000000000</t>
        </is>
      </c>
      <c r="Q612" t="inlineStr">
        <is>
          <t>,000000000</t>
        </is>
      </c>
      <c r="R612" t="inlineStr">
        <is>
          <t>,000000000</t>
        </is>
      </c>
      <c r="S612" t="inlineStr">
        <is>
          <t>,000000000</t>
        </is>
      </c>
      <c r="T612" t="inlineStr">
        <is>
          <t>,000000000</t>
        </is>
      </c>
      <c r="U612" t="inlineStr">
        <is>
          <t>,000000000</t>
        </is>
      </c>
      <c r="V612" t="inlineStr">
        <is>
          <t>,000000000</t>
        </is>
      </c>
      <c r="W612" t="inlineStr">
        <is>
          <t>,000000000</t>
        </is>
      </c>
      <c r="X612" t="inlineStr">
        <is>
          <t>,000000000</t>
        </is>
      </c>
      <c r="Y612" t="inlineStr">
        <is>
          <t>,000000000</t>
        </is>
      </c>
      <c r="Z612" t="inlineStr">
        <is>
          <t>,000000000</t>
        </is>
      </c>
      <c r="AA612" t="inlineStr">
        <is>
          <t>,000000000</t>
        </is>
      </c>
      <c r="AB612" t="inlineStr">
        <is>
          <t>2</t>
        </is>
      </c>
      <c r="AC612" t="inlineStr">
        <is>
          <t>2</t>
        </is>
      </c>
      <c r="AD612" s="3">
        <f>UPPER(C3)</f>
        <v/>
      </c>
      <c r="AE612" s="3">
        <f>VLOOKUP(E3,'[1]Nómina Agentes'!$C:$D,3,0)</f>
        <v/>
      </c>
      <c r="AF612" s="5">
        <f>F3</f>
        <v/>
      </c>
      <c r="AG612" s="5">
        <f>H3</f>
        <v/>
      </c>
    </row>
    <row r="613">
      <c r="A613" s="1" t="inlineStr">
        <is>
          <t>9/10/2024</t>
        </is>
      </c>
      <c r="B613" t="inlineStr">
        <is>
          <t>925</t>
        </is>
      </c>
      <c r="C613" t="inlineStr">
        <is>
          <t>S2S Premium</t>
        </is>
      </c>
      <c r="D613" t="inlineStr">
        <is>
          <t>XPCC_Aquino Pamela</t>
        </is>
      </c>
      <c r="E613" t="inlineStr">
        <is>
          <t>664048</t>
        </is>
      </c>
      <c r="F613" s="2" t="inlineStr">
        <is>
          <t>10:00</t>
        </is>
      </c>
      <c r="G613" t="inlineStr">
        <is>
          <t>-</t>
        </is>
      </c>
      <c r="H613" s="2" t="inlineStr">
        <is>
          <t>10:30</t>
        </is>
      </c>
      <c r="I613" t="inlineStr">
        <is>
          <t>878,000000000</t>
        </is>
      </c>
      <c r="J613" t="inlineStr">
        <is>
          <t>,000000000</t>
        </is>
      </c>
      <c r="K613" t="inlineStr">
        <is>
          <t>,000000000</t>
        </is>
      </c>
      <c r="L613" t="inlineStr">
        <is>
          <t>4,000000000</t>
        </is>
      </c>
      <c r="M613" t="inlineStr">
        <is>
          <t>,000000000</t>
        </is>
      </c>
      <c r="N613" t="inlineStr">
        <is>
          <t>,000000000</t>
        </is>
      </c>
      <c r="O613" t="inlineStr">
        <is>
          <t>,000000000</t>
        </is>
      </c>
      <c r="P613" t="inlineStr">
        <is>
          <t>725,000000000</t>
        </is>
      </c>
      <c r="Q613" t="inlineStr">
        <is>
          <t>585,000000000</t>
        </is>
      </c>
      <c r="R613" t="inlineStr">
        <is>
          <t>,000000000</t>
        </is>
      </c>
      <c r="S613" t="inlineStr">
        <is>
          <t>,000000000</t>
        </is>
      </c>
      <c r="T613" t="inlineStr">
        <is>
          <t>,000000000</t>
        </is>
      </c>
      <c r="U613" t="inlineStr">
        <is>
          <t>,000000000</t>
        </is>
      </c>
      <c r="V613" t="inlineStr">
        <is>
          <t>,000000000</t>
        </is>
      </c>
      <c r="W613" t="inlineStr">
        <is>
          <t>,000000000</t>
        </is>
      </c>
      <c r="X613" t="inlineStr">
        <is>
          <t>,000000000</t>
        </is>
      </c>
      <c r="Y613" t="inlineStr">
        <is>
          <t>,000000000</t>
        </is>
      </c>
      <c r="Z613" t="inlineStr">
        <is>
          <t>,000000000</t>
        </is>
      </c>
      <c r="AA613" t="inlineStr">
        <is>
          <t>,000000000</t>
        </is>
      </c>
      <c r="AB613" t="inlineStr">
        <is>
          <t>2</t>
        </is>
      </c>
      <c r="AC613" t="inlineStr">
        <is>
          <t>1</t>
        </is>
      </c>
      <c r="AD613" s="3">
        <f>UPPER(C3)</f>
        <v/>
      </c>
      <c r="AE613" s="3">
        <f>VLOOKUP(E3,'[1]Nómina Agentes'!$C:$D,3,0)</f>
        <v/>
      </c>
      <c r="AF613" s="5">
        <f>F3</f>
        <v/>
      </c>
      <c r="AG613" s="5">
        <f>H3</f>
        <v/>
      </c>
    </row>
    <row r="614">
      <c r="A614" s="1" t="inlineStr">
        <is>
          <t>9/10/2024</t>
        </is>
      </c>
      <c r="B614" t="inlineStr">
        <is>
          <t>925</t>
        </is>
      </c>
      <c r="C614" t="inlineStr">
        <is>
          <t>S2S Premium</t>
        </is>
      </c>
      <c r="D614" t="inlineStr">
        <is>
          <t>XPCC_Aquino Pamela</t>
        </is>
      </c>
      <c r="E614" t="inlineStr">
        <is>
          <t>664048</t>
        </is>
      </c>
      <c r="F614" s="2" t="inlineStr">
        <is>
          <t>09:30</t>
        </is>
      </c>
      <c r="G614" t="inlineStr">
        <is>
          <t>-</t>
        </is>
      </c>
      <c r="H614" s="2" t="inlineStr">
        <is>
          <t>10:00</t>
        </is>
      </c>
      <c r="I614" t="inlineStr">
        <is>
          <t>1110,000000000</t>
        </is>
      </c>
      <c r="J614" t="inlineStr">
        <is>
          <t>,000000000</t>
        </is>
      </c>
      <c r="K614" t="inlineStr">
        <is>
          <t>,000000000</t>
        </is>
      </c>
      <c r="L614" t="inlineStr">
        <is>
          <t>19,000000000</t>
        </is>
      </c>
      <c r="M614" t="inlineStr">
        <is>
          <t>,000000000</t>
        </is>
      </c>
      <c r="N614" t="inlineStr">
        <is>
          <t>,000000000</t>
        </is>
      </c>
      <c r="O614" t="inlineStr">
        <is>
          <t>,000000000</t>
        </is>
      </c>
      <c r="P614" t="inlineStr">
        <is>
          <t>47,000000000</t>
        </is>
      </c>
      <c r="Q614" t="inlineStr">
        <is>
          <t>41,000000000</t>
        </is>
      </c>
      <c r="R614" t="inlineStr">
        <is>
          <t>,000000000</t>
        </is>
      </c>
      <c r="S614" t="inlineStr">
        <is>
          <t>,000000000</t>
        </is>
      </c>
      <c r="T614" t="inlineStr">
        <is>
          <t>,000000000</t>
        </is>
      </c>
      <c r="U614" t="inlineStr">
        <is>
          <t>,000000000</t>
        </is>
      </c>
      <c r="V614" t="inlineStr">
        <is>
          <t>,000000000</t>
        </is>
      </c>
      <c r="W614" t="inlineStr">
        <is>
          <t>,000000000</t>
        </is>
      </c>
      <c r="X614" t="inlineStr">
        <is>
          <t>,000000000</t>
        </is>
      </c>
      <c r="Y614" t="inlineStr">
        <is>
          <t>,000000000</t>
        </is>
      </c>
      <c r="Z614" t="inlineStr">
        <is>
          <t>,000000000</t>
        </is>
      </c>
      <c r="AA614" t="inlineStr">
        <is>
          <t>,000000000</t>
        </is>
      </c>
      <c r="AB614" t="inlineStr">
        <is>
          <t>5</t>
        </is>
      </c>
      <c r="AC614" t="inlineStr">
        <is>
          <t>5</t>
        </is>
      </c>
      <c r="AD614" s="3">
        <f>UPPER(C3)</f>
        <v/>
      </c>
      <c r="AE614" s="3">
        <f>VLOOKUP(E3,'[1]Nómina Agentes'!$C:$D,3,0)</f>
        <v/>
      </c>
      <c r="AF614" s="5">
        <f>F3</f>
        <v/>
      </c>
      <c r="AG614" s="5">
        <f>H3</f>
        <v/>
      </c>
    </row>
    <row r="615">
      <c r="A615" s="1" t="inlineStr">
        <is>
          <t>9/10/2024</t>
        </is>
      </c>
      <c r="B615" t="inlineStr">
        <is>
          <t>925</t>
        </is>
      </c>
      <c r="C615" t="inlineStr">
        <is>
          <t>S2S Premium</t>
        </is>
      </c>
      <c r="D615" t="inlineStr">
        <is>
          <t>XPCC_Aquino Pamela</t>
        </is>
      </c>
      <c r="E615" t="inlineStr">
        <is>
          <t>664048</t>
        </is>
      </c>
      <c r="F615" s="2" t="inlineStr">
        <is>
          <t>10:30</t>
        </is>
      </c>
      <c r="G615" t="inlineStr">
        <is>
          <t>-</t>
        </is>
      </c>
      <c r="H615" s="2" t="inlineStr">
        <is>
          <t>11:00</t>
        </is>
      </c>
      <c r="I615" t="inlineStr">
        <is>
          <t>1115,000000000</t>
        </is>
      </c>
      <c r="J615" t="inlineStr">
        <is>
          <t>,000000000</t>
        </is>
      </c>
      <c r="K615" t="inlineStr">
        <is>
          <t>,000000000</t>
        </is>
      </c>
      <c r="L615" t="inlineStr">
        <is>
          <t>24,000000000</t>
        </is>
      </c>
      <c r="M615" t="inlineStr">
        <is>
          <t>,000000000</t>
        </is>
      </c>
      <c r="N615" t="inlineStr">
        <is>
          <t>,000000000</t>
        </is>
      </c>
      <c r="O615" t="inlineStr">
        <is>
          <t>,000000000</t>
        </is>
      </c>
      <c r="P615" t="inlineStr">
        <is>
          <t>218,000000000</t>
        </is>
      </c>
      <c r="Q615" t="inlineStr">
        <is>
          <t>201,000000000</t>
        </is>
      </c>
      <c r="R615" t="inlineStr">
        <is>
          <t>,000000000</t>
        </is>
      </c>
      <c r="S615" t="inlineStr">
        <is>
          <t>,000000000</t>
        </is>
      </c>
      <c r="T615" t="inlineStr">
        <is>
          <t>,000000000</t>
        </is>
      </c>
      <c r="U615" t="inlineStr">
        <is>
          <t>,000000000</t>
        </is>
      </c>
      <c r="V615" t="inlineStr">
        <is>
          <t>,000000000</t>
        </is>
      </c>
      <c r="W615" t="inlineStr">
        <is>
          <t>,000000000</t>
        </is>
      </c>
      <c r="X615" t="inlineStr">
        <is>
          <t>,000000000</t>
        </is>
      </c>
      <c r="Y615" t="inlineStr">
        <is>
          <t>,000000000</t>
        </is>
      </c>
      <c r="Z615" t="inlineStr">
        <is>
          <t>,000000000</t>
        </is>
      </c>
      <c r="AA615" t="inlineStr">
        <is>
          <t>,000000000</t>
        </is>
      </c>
      <c r="AB615" t="inlineStr">
        <is>
          <t>5</t>
        </is>
      </c>
      <c r="AC615" t="inlineStr">
        <is>
          <t>4</t>
        </is>
      </c>
      <c r="AD615" s="3">
        <f>UPPER(C3)</f>
        <v/>
      </c>
      <c r="AE615" s="3">
        <f>VLOOKUP(E3,'[1]Nómina Agentes'!$C:$D,3,0)</f>
        <v/>
      </c>
      <c r="AF615" s="5">
        <f>F3</f>
        <v/>
      </c>
      <c r="AG615" s="5">
        <f>H3</f>
        <v/>
      </c>
    </row>
    <row r="616">
      <c r="A616" s="1" t="inlineStr">
        <is>
          <t>9/10/2024</t>
        </is>
      </c>
      <c r="B616" t="inlineStr">
        <is>
          <t>925</t>
        </is>
      </c>
      <c r="C616" t="inlineStr">
        <is>
          <t>S2S Premium</t>
        </is>
      </c>
      <c r="D616" t="inlineStr">
        <is>
          <t>XPCC_Bordon Bibiana</t>
        </is>
      </c>
      <c r="E616" t="inlineStr">
        <is>
          <t>664057</t>
        </is>
      </c>
      <c r="F616" s="2" t="inlineStr">
        <is>
          <t>06:00</t>
        </is>
      </c>
      <c r="G616" t="inlineStr">
        <is>
          <t>-</t>
        </is>
      </c>
      <c r="H616" s="2" t="inlineStr">
        <is>
          <t>06:30</t>
        </is>
      </c>
      <c r="I616" t="inlineStr">
        <is>
          <t>,000000000</t>
        </is>
      </c>
      <c r="J616" t="inlineStr">
        <is>
          <t>,000000000</t>
        </is>
      </c>
      <c r="K616" t="inlineStr">
        <is>
          <t>,000000000</t>
        </is>
      </c>
      <c r="L616" t="inlineStr">
        <is>
          <t>,000000000</t>
        </is>
      </c>
      <c r="M616" t="inlineStr">
        <is>
          <t>,000000000</t>
        </is>
      </c>
      <c r="N616" t="inlineStr">
        <is>
          <t>,000000000</t>
        </is>
      </c>
      <c r="O616" t="inlineStr">
        <is>
          <t>,000000000</t>
        </is>
      </c>
      <c r="P616" t="inlineStr">
        <is>
          <t>,000000000</t>
        </is>
      </c>
      <c r="Q616" t="inlineStr">
        <is>
          <t>,000000000</t>
        </is>
      </c>
      <c r="R616" t="inlineStr">
        <is>
          <t>,000000000</t>
        </is>
      </c>
      <c r="S616" t="inlineStr">
        <is>
          <t>,000000000</t>
        </is>
      </c>
      <c r="T616" t="inlineStr">
        <is>
          <t>,000000000</t>
        </is>
      </c>
      <c r="U616" t="inlineStr">
        <is>
          <t>,000000000</t>
        </is>
      </c>
      <c r="V616" t="inlineStr">
        <is>
          <t>,000000000</t>
        </is>
      </c>
      <c r="W616" t="inlineStr">
        <is>
          <t>,000000000</t>
        </is>
      </c>
      <c r="X616" t="inlineStr">
        <is>
          <t>,000000000</t>
        </is>
      </c>
      <c r="Y616" t="inlineStr">
        <is>
          <t>,000000000</t>
        </is>
      </c>
      <c r="Z616" t="inlineStr">
        <is>
          <t>,000000000</t>
        </is>
      </c>
      <c r="AA616" t="inlineStr">
        <is>
          <t>,000000000</t>
        </is>
      </c>
      <c r="AB616" t="inlineStr">
        <is>
          <t>0</t>
        </is>
      </c>
      <c r="AC616" t="inlineStr">
        <is>
          <t>0</t>
        </is>
      </c>
      <c r="AD616" s="3">
        <f>UPPER(C3)</f>
        <v/>
      </c>
      <c r="AE616" s="3">
        <f>VLOOKUP(E3,'[1]Nómina Agentes'!$C:$D,3,0)</f>
        <v/>
      </c>
      <c r="AF616" s="5">
        <f>F3</f>
        <v/>
      </c>
      <c r="AG616" s="5">
        <f>H3</f>
        <v/>
      </c>
    </row>
    <row r="617">
      <c r="A617" s="1" t="inlineStr">
        <is>
          <t>9/10/2024</t>
        </is>
      </c>
      <c r="B617" t="inlineStr">
        <is>
          <t>925</t>
        </is>
      </c>
      <c r="C617" t="inlineStr">
        <is>
          <t>S2S Premium</t>
        </is>
      </c>
      <c r="D617" t="inlineStr">
        <is>
          <t>XDPCC_Alvarez,Ana</t>
        </is>
      </c>
      <c r="E617" t="inlineStr">
        <is>
          <t>664495</t>
        </is>
      </c>
      <c r="F617" s="2" t="inlineStr">
        <is>
          <t>10:00</t>
        </is>
      </c>
      <c r="G617" t="inlineStr">
        <is>
          <t>-</t>
        </is>
      </c>
      <c r="H617" s="2" t="inlineStr">
        <is>
          <t>10:30</t>
        </is>
      </c>
      <c r="I617" t="inlineStr">
        <is>
          <t>488,000000000</t>
        </is>
      </c>
      <c r="J617" t="inlineStr">
        <is>
          <t>,000000000</t>
        </is>
      </c>
      <c r="K617" t="inlineStr">
        <is>
          <t>,000000000</t>
        </is>
      </c>
      <c r="L617" t="inlineStr">
        <is>
          <t>12,000000000</t>
        </is>
      </c>
      <c r="M617" t="inlineStr">
        <is>
          <t>,000000000</t>
        </is>
      </c>
      <c r="N617" t="inlineStr">
        <is>
          <t>,000000000</t>
        </is>
      </c>
      <c r="O617" t="inlineStr">
        <is>
          <t>,000000000</t>
        </is>
      </c>
      <c r="P617" t="inlineStr">
        <is>
          <t>233,000000000</t>
        </is>
      </c>
      <c r="Q617" t="inlineStr">
        <is>
          <t>,000000000</t>
        </is>
      </c>
      <c r="R617" t="inlineStr">
        <is>
          <t>,000000000</t>
        </is>
      </c>
      <c r="S617" t="inlineStr">
        <is>
          <t>,000000000</t>
        </is>
      </c>
      <c r="T617" t="inlineStr">
        <is>
          <t>,000000000</t>
        </is>
      </c>
      <c r="U617" t="inlineStr">
        <is>
          <t>,000000000</t>
        </is>
      </c>
      <c r="V617" t="inlineStr">
        <is>
          <t>,000000000</t>
        </is>
      </c>
      <c r="W617" t="inlineStr">
        <is>
          <t>,000000000</t>
        </is>
      </c>
      <c r="X617" t="inlineStr">
        <is>
          <t>,000000000</t>
        </is>
      </c>
      <c r="Y617" t="inlineStr">
        <is>
          <t>,000000000</t>
        </is>
      </c>
      <c r="Z617" t="inlineStr">
        <is>
          <t>,000000000</t>
        </is>
      </c>
      <c r="AA617" t="inlineStr">
        <is>
          <t>,000000000</t>
        </is>
      </c>
      <c r="AB617" t="inlineStr">
        <is>
          <t>2</t>
        </is>
      </c>
      <c r="AC617" t="inlineStr">
        <is>
          <t>1</t>
        </is>
      </c>
      <c r="AD617" s="3">
        <f>UPPER(C3)</f>
        <v/>
      </c>
      <c r="AE617" s="3">
        <f>VLOOKUP(E3,'[1]Nómina Agentes'!$C:$D,3,0)</f>
        <v/>
      </c>
      <c r="AF617" s="5">
        <f>F3</f>
        <v/>
      </c>
      <c r="AG617" s="5">
        <f>H3</f>
        <v/>
      </c>
    </row>
    <row r="618">
      <c r="A618" s="1" t="inlineStr">
        <is>
          <t>9/10/2024</t>
        </is>
      </c>
      <c r="B618" t="inlineStr">
        <is>
          <t>925</t>
        </is>
      </c>
      <c r="C618" t="inlineStr">
        <is>
          <t>S2S Premium</t>
        </is>
      </c>
      <c r="D618" t="inlineStr">
        <is>
          <t>XDPCC_Alvarez,Ana</t>
        </is>
      </c>
      <c r="E618" t="inlineStr">
        <is>
          <t>664495</t>
        </is>
      </c>
      <c r="F618" s="2" t="inlineStr">
        <is>
          <t>10:30</t>
        </is>
      </c>
      <c r="G618" t="inlineStr">
        <is>
          <t>-</t>
        </is>
      </c>
      <c r="H618" s="2" t="inlineStr">
        <is>
          <t>11:00</t>
        </is>
      </c>
      <c r="I618" t="inlineStr">
        <is>
          <t>600,000000000</t>
        </is>
      </c>
      <c r="J618" t="inlineStr">
        <is>
          <t>,000000000</t>
        </is>
      </c>
      <c r="K618" t="inlineStr">
        <is>
          <t>,000000000</t>
        </is>
      </c>
      <c r="L618" t="inlineStr">
        <is>
          <t>11,000000000</t>
        </is>
      </c>
      <c r="M618" t="inlineStr">
        <is>
          <t>,000000000</t>
        </is>
      </c>
      <c r="N618" t="inlineStr">
        <is>
          <t>,000000000</t>
        </is>
      </c>
      <c r="O618" t="inlineStr">
        <is>
          <t>,000000000</t>
        </is>
      </c>
      <c r="P618" t="inlineStr">
        <is>
          <t>857,000000000</t>
        </is>
      </c>
      <c r="Q618" t="inlineStr">
        <is>
          <t>,000000000</t>
        </is>
      </c>
      <c r="R618" t="inlineStr">
        <is>
          <t>,000000000</t>
        </is>
      </c>
      <c r="S618" t="inlineStr">
        <is>
          <t>,000000000</t>
        </is>
      </c>
      <c r="T618" t="inlineStr">
        <is>
          <t>,000000000</t>
        </is>
      </c>
      <c r="U618" t="inlineStr">
        <is>
          <t>,000000000</t>
        </is>
      </c>
      <c r="V618" t="inlineStr">
        <is>
          <t>,000000000</t>
        </is>
      </c>
      <c r="W618" t="inlineStr">
        <is>
          <t>,000000000</t>
        </is>
      </c>
      <c r="X618" t="inlineStr">
        <is>
          <t>,000000000</t>
        </is>
      </c>
      <c r="Y618" t="inlineStr">
        <is>
          <t>,000000000</t>
        </is>
      </c>
      <c r="Z618" t="inlineStr">
        <is>
          <t>,000000000</t>
        </is>
      </c>
      <c r="AA618" t="inlineStr">
        <is>
          <t>,000000000</t>
        </is>
      </c>
      <c r="AB618" t="inlineStr">
        <is>
          <t>3</t>
        </is>
      </c>
      <c r="AC618" t="inlineStr">
        <is>
          <t>2</t>
        </is>
      </c>
      <c r="AD618" s="3">
        <f>UPPER(C3)</f>
        <v/>
      </c>
      <c r="AE618" s="3">
        <f>VLOOKUP(E3,'[1]Nómina Agentes'!$C:$D,3,0)</f>
        <v/>
      </c>
      <c r="AF618" s="5">
        <f>F3</f>
        <v/>
      </c>
      <c r="AG618" s="5">
        <f>H3</f>
        <v/>
      </c>
    </row>
    <row r="619">
      <c r="A619" s="1" t="inlineStr">
        <is>
          <t>9/10/2024</t>
        </is>
      </c>
      <c r="B619" t="inlineStr">
        <is>
          <t>925</t>
        </is>
      </c>
      <c r="C619" t="inlineStr">
        <is>
          <t>S2S Premium</t>
        </is>
      </c>
      <c r="D619" t="inlineStr">
        <is>
          <t>XDPCC_Alvarez,Ana</t>
        </is>
      </c>
      <c r="E619" t="inlineStr">
        <is>
          <t>664495</t>
        </is>
      </c>
      <c r="F619" s="2" t="inlineStr">
        <is>
          <t>09:00</t>
        </is>
      </c>
      <c r="G619" t="inlineStr">
        <is>
          <t>-</t>
        </is>
      </c>
      <c r="H619" s="2" t="inlineStr">
        <is>
          <t>09:30</t>
        </is>
      </c>
      <c r="I619" t="inlineStr">
        <is>
          <t>641,000000000</t>
        </is>
      </c>
      <c r="J619" t="inlineStr">
        <is>
          <t>,000000000</t>
        </is>
      </c>
      <c r="K619" t="inlineStr">
        <is>
          <t>,000000000</t>
        </is>
      </c>
      <c r="L619" t="inlineStr">
        <is>
          <t>13,000000000</t>
        </is>
      </c>
      <c r="M619" t="inlineStr">
        <is>
          <t>,000000000</t>
        </is>
      </c>
      <c r="N619" t="inlineStr">
        <is>
          <t>,000000000</t>
        </is>
      </c>
      <c r="O619" t="inlineStr">
        <is>
          <t>,000000000</t>
        </is>
      </c>
      <c r="P619" t="inlineStr">
        <is>
          <t>79,000000000</t>
        </is>
      </c>
      <c r="Q619" t="inlineStr">
        <is>
          <t>,000000000</t>
        </is>
      </c>
      <c r="R619" t="inlineStr">
        <is>
          <t>,000000000</t>
        </is>
      </c>
      <c r="S619" t="inlineStr">
        <is>
          <t>,000000000</t>
        </is>
      </c>
      <c r="T619" t="inlineStr">
        <is>
          <t>,000000000</t>
        </is>
      </c>
      <c r="U619" t="inlineStr">
        <is>
          <t>,000000000</t>
        </is>
      </c>
      <c r="V619" t="inlineStr">
        <is>
          <t>,000000000</t>
        </is>
      </c>
      <c r="W619" t="inlineStr">
        <is>
          <t>,000000000</t>
        </is>
      </c>
      <c r="X619" t="inlineStr">
        <is>
          <t>,000000000</t>
        </is>
      </c>
      <c r="Y619" t="inlineStr">
        <is>
          <t>,000000000</t>
        </is>
      </c>
      <c r="Z619" t="inlineStr">
        <is>
          <t>,000000000</t>
        </is>
      </c>
      <c r="AA619" t="inlineStr">
        <is>
          <t>,000000000</t>
        </is>
      </c>
      <c r="AB619" t="inlineStr">
        <is>
          <t>3</t>
        </is>
      </c>
      <c r="AC619" t="inlineStr">
        <is>
          <t>2</t>
        </is>
      </c>
      <c r="AD619" s="3">
        <f>UPPER(C3)</f>
        <v/>
      </c>
      <c r="AE619" s="3">
        <f>VLOOKUP(E3,'[1]Nómina Agentes'!$C:$D,3,0)</f>
        <v/>
      </c>
      <c r="AF619" s="5">
        <f>F3</f>
        <v/>
      </c>
      <c r="AG619" s="5">
        <f>H3</f>
        <v/>
      </c>
    </row>
    <row r="620">
      <c r="A620" s="1" t="inlineStr">
        <is>
          <t>9/10/2024</t>
        </is>
      </c>
      <c r="B620" t="inlineStr">
        <is>
          <t>925</t>
        </is>
      </c>
      <c r="C620" t="inlineStr">
        <is>
          <t>S2S Premium</t>
        </is>
      </c>
      <c r="D620" t="inlineStr">
        <is>
          <t>XDPCC_Alvarez,Ana</t>
        </is>
      </c>
      <c r="E620" t="inlineStr">
        <is>
          <t>664495</t>
        </is>
      </c>
      <c r="F620" s="2" t="inlineStr">
        <is>
          <t>09:30</t>
        </is>
      </c>
      <c r="G620" t="inlineStr">
        <is>
          <t>-</t>
        </is>
      </c>
      <c r="H620" s="2" t="inlineStr">
        <is>
          <t>10:00</t>
        </is>
      </c>
      <c r="I620" t="inlineStr">
        <is>
          <t>1147,000000000</t>
        </is>
      </c>
      <c r="J620" t="inlineStr">
        <is>
          <t>,000000000</t>
        </is>
      </c>
      <c r="K620" t="inlineStr">
        <is>
          <t>,000000000</t>
        </is>
      </c>
      <c r="L620" t="inlineStr">
        <is>
          <t>20,000000000</t>
        </is>
      </c>
      <c r="M620" t="inlineStr">
        <is>
          <t>,000000000</t>
        </is>
      </c>
      <c r="N620" t="inlineStr">
        <is>
          <t>,000000000</t>
        </is>
      </c>
      <c r="O620" t="inlineStr">
        <is>
          <t>,000000000</t>
        </is>
      </c>
      <c r="P620" t="inlineStr">
        <is>
          <t>190,000000000</t>
        </is>
      </c>
      <c r="Q620" t="inlineStr">
        <is>
          <t>1,000000000</t>
        </is>
      </c>
      <c r="R620" t="inlineStr">
        <is>
          <t>,000000000</t>
        </is>
      </c>
      <c r="S620" t="inlineStr">
        <is>
          <t>,000000000</t>
        </is>
      </c>
      <c r="T620" t="inlineStr">
        <is>
          <t>,000000000</t>
        </is>
      </c>
      <c r="U620" t="inlineStr">
        <is>
          <t>,000000000</t>
        </is>
      </c>
      <c r="V620" t="inlineStr">
        <is>
          <t>,000000000</t>
        </is>
      </c>
      <c r="W620" t="inlineStr">
        <is>
          <t>,000000000</t>
        </is>
      </c>
      <c r="X620" t="inlineStr">
        <is>
          <t>,000000000</t>
        </is>
      </c>
      <c r="Y620" t="inlineStr">
        <is>
          <t>,000000000</t>
        </is>
      </c>
      <c r="Z620" t="inlineStr">
        <is>
          <t>,000000000</t>
        </is>
      </c>
      <c r="AA620" t="inlineStr">
        <is>
          <t>,000000000</t>
        </is>
      </c>
      <c r="AB620" t="inlineStr">
        <is>
          <t>5</t>
        </is>
      </c>
      <c r="AC620" t="inlineStr">
        <is>
          <t>5</t>
        </is>
      </c>
      <c r="AD620" s="3">
        <f>UPPER(C3)</f>
        <v/>
      </c>
      <c r="AE620" s="3">
        <f>VLOOKUP(E3,'[1]Nómina Agentes'!$C:$D,3,0)</f>
        <v/>
      </c>
      <c r="AF620" s="5">
        <f>F3</f>
        <v/>
      </c>
      <c r="AG620" s="5">
        <f>H3</f>
        <v/>
      </c>
    </row>
    <row r="621">
      <c r="A621" s="1" t="inlineStr">
        <is>
          <t>9/10/2024</t>
        </is>
      </c>
      <c r="B621" t="inlineStr">
        <is>
          <t>925</t>
        </is>
      </c>
      <c r="C621" t="inlineStr">
        <is>
          <t>S2S Premium</t>
        </is>
      </c>
      <c r="D621" t="inlineStr">
        <is>
          <t>XPCC_Granero,Rocio</t>
        </is>
      </c>
      <c r="E621" t="inlineStr">
        <is>
          <t>664499</t>
        </is>
      </c>
      <c r="F621" s="2" t="inlineStr">
        <is>
          <t>11:00</t>
        </is>
      </c>
      <c r="G621" t="inlineStr">
        <is>
          <t>-</t>
        </is>
      </c>
      <c r="H621" s="2" t="inlineStr">
        <is>
          <t>11:30</t>
        </is>
      </c>
      <c r="I621" t="inlineStr">
        <is>
          <t>19,000000000</t>
        </is>
      </c>
      <c r="J621" t="inlineStr">
        <is>
          <t>110,000000000</t>
        </is>
      </c>
      <c r="K621" t="inlineStr">
        <is>
          <t>,000000000</t>
        </is>
      </c>
      <c r="L621" t="inlineStr">
        <is>
          <t>,000000000</t>
        </is>
      </c>
      <c r="M621" t="inlineStr">
        <is>
          <t>,000000000</t>
        </is>
      </c>
      <c r="N621" t="inlineStr">
        <is>
          <t>,000000000</t>
        </is>
      </c>
      <c r="O621" t="inlineStr">
        <is>
          <t>,000000000</t>
        </is>
      </c>
      <c r="P621" t="inlineStr">
        <is>
          <t>147,000000000</t>
        </is>
      </c>
      <c r="Q621" t="inlineStr">
        <is>
          <t>,000000000</t>
        </is>
      </c>
      <c r="R621" t="inlineStr">
        <is>
          <t>,000000000</t>
        </is>
      </c>
      <c r="S621" t="inlineStr">
        <is>
          <t>,000000000</t>
        </is>
      </c>
      <c r="T621" t="inlineStr">
        <is>
          <t>,000000000</t>
        </is>
      </c>
      <c r="U621" t="inlineStr">
        <is>
          <t>,000000000</t>
        </is>
      </c>
      <c r="V621" t="inlineStr">
        <is>
          <t>,000000000</t>
        </is>
      </c>
      <c r="W621" t="inlineStr">
        <is>
          <t>,000000000</t>
        </is>
      </c>
      <c r="X621" t="inlineStr">
        <is>
          <t>,000000000</t>
        </is>
      </c>
      <c r="Y621" t="inlineStr">
        <is>
          <t>,000000000</t>
        </is>
      </c>
      <c r="Z621" t="inlineStr">
        <is>
          <t>,000000000</t>
        </is>
      </c>
      <c r="AA621" t="inlineStr">
        <is>
          <t>,000000000</t>
        </is>
      </c>
      <c r="AB621" t="inlineStr">
        <is>
          <t>1</t>
        </is>
      </c>
      <c r="AC621" t="inlineStr">
        <is>
          <t>1</t>
        </is>
      </c>
      <c r="AD621" s="3">
        <f>UPPER(C3)</f>
        <v/>
      </c>
      <c r="AE621" s="3">
        <f>VLOOKUP(E3,'[1]Nómina Agentes'!$C:$D,3,0)</f>
        <v/>
      </c>
      <c r="AF621" s="5">
        <f>F3</f>
        <v/>
      </c>
      <c r="AG621" s="5">
        <f>H3</f>
        <v/>
      </c>
    </row>
    <row r="622">
      <c r="A622" s="1" t="inlineStr">
        <is>
          <t>9/10/2024</t>
        </is>
      </c>
      <c r="B622" t="inlineStr">
        <is>
          <t>925</t>
        </is>
      </c>
      <c r="C622" t="inlineStr">
        <is>
          <t>S2S Premium</t>
        </is>
      </c>
      <c r="D622" t="inlineStr">
        <is>
          <t>XPCC_Granero,Rocio</t>
        </is>
      </c>
      <c r="E622" t="inlineStr">
        <is>
          <t>664499</t>
        </is>
      </c>
      <c r="F622" s="2" t="inlineStr">
        <is>
          <t>09:00</t>
        </is>
      </c>
      <c r="G622" t="inlineStr">
        <is>
          <t>-</t>
        </is>
      </c>
      <c r="H622" s="2" t="inlineStr">
        <is>
          <t>09:30</t>
        </is>
      </c>
      <c r="I622" t="inlineStr">
        <is>
          <t>625,000000000</t>
        </is>
      </c>
      <c r="J622" t="inlineStr">
        <is>
          <t>,000000000</t>
        </is>
      </c>
      <c r="K622" t="inlineStr">
        <is>
          <t>,000000000</t>
        </is>
      </c>
      <c r="L622" t="inlineStr">
        <is>
          <t>11,000000000</t>
        </is>
      </c>
      <c r="M622" t="inlineStr">
        <is>
          <t>,000000000</t>
        </is>
      </c>
      <c r="N622" t="inlineStr">
        <is>
          <t>,000000000</t>
        </is>
      </c>
      <c r="O622" t="inlineStr">
        <is>
          <t>,000000000</t>
        </is>
      </c>
      <c r="P622" t="inlineStr">
        <is>
          <t>50,000000000</t>
        </is>
      </c>
      <c r="Q622" t="inlineStr">
        <is>
          <t>,000000000</t>
        </is>
      </c>
      <c r="R622" t="inlineStr">
        <is>
          <t>,000000000</t>
        </is>
      </c>
      <c r="S622" t="inlineStr">
        <is>
          <t>,000000000</t>
        </is>
      </c>
      <c r="T622" t="inlineStr">
        <is>
          <t>,000000000</t>
        </is>
      </c>
      <c r="U622" t="inlineStr">
        <is>
          <t>,000000000</t>
        </is>
      </c>
      <c r="V622" t="inlineStr">
        <is>
          <t>,000000000</t>
        </is>
      </c>
      <c r="W622" t="inlineStr">
        <is>
          <t>,000000000</t>
        </is>
      </c>
      <c r="X622" t="inlineStr">
        <is>
          <t>,000000000</t>
        </is>
      </c>
      <c r="Y622" t="inlineStr">
        <is>
          <t>,000000000</t>
        </is>
      </c>
      <c r="Z622" t="inlineStr">
        <is>
          <t>,000000000</t>
        </is>
      </c>
      <c r="AA622" t="inlineStr">
        <is>
          <t>,000000000</t>
        </is>
      </c>
      <c r="AB622" t="inlineStr">
        <is>
          <t>2</t>
        </is>
      </c>
      <c r="AC622" t="inlineStr">
        <is>
          <t>1</t>
        </is>
      </c>
      <c r="AD622" s="3">
        <f>UPPER(C3)</f>
        <v/>
      </c>
      <c r="AE622" s="3">
        <f>VLOOKUP(E3,'[1]Nómina Agentes'!$C:$D,3,0)</f>
        <v/>
      </c>
      <c r="AF622" s="5">
        <f>F3</f>
        <v/>
      </c>
      <c r="AG622" s="5">
        <f>H3</f>
        <v/>
      </c>
    </row>
    <row r="623">
      <c r="A623" s="1" t="inlineStr">
        <is>
          <t>9/10/2024</t>
        </is>
      </c>
      <c r="B623" t="inlineStr">
        <is>
          <t>925</t>
        </is>
      </c>
      <c r="C623" t="inlineStr">
        <is>
          <t>S2S Premium</t>
        </is>
      </c>
      <c r="D623" t="inlineStr">
        <is>
          <t>XPCC_Granero,Rocio</t>
        </is>
      </c>
      <c r="E623" t="inlineStr">
        <is>
          <t>664499</t>
        </is>
      </c>
      <c r="F623" s="2" t="inlineStr">
        <is>
          <t>09:30</t>
        </is>
      </c>
      <c r="G623" t="inlineStr">
        <is>
          <t>-</t>
        </is>
      </c>
      <c r="H623" s="2" t="inlineStr">
        <is>
          <t>10:00</t>
        </is>
      </c>
      <c r="I623" t="inlineStr">
        <is>
          <t>696,000000000</t>
        </is>
      </c>
      <c r="J623" t="inlineStr">
        <is>
          <t>,000000000</t>
        </is>
      </c>
      <c r="K623" t="inlineStr">
        <is>
          <t>,000000000</t>
        </is>
      </c>
      <c r="L623" t="inlineStr">
        <is>
          <t>12,000000000</t>
        </is>
      </c>
      <c r="M623" t="inlineStr">
        <is>
          <t>,000000000</t>
        </is>
      </c>
      <c r="N623" t="inlineStr">
        <is>
          <t>,000000000</t>
        </is>
      </c>
      <c r="O623" t="inlineStr">
        <is>
          <t>,000000000</t>
        </is>
      </c>
      <c r="P623" t="inlineStr">
        <is>
          <t>465,000000000</t>
        </is>
      </c>
      <c r="Q623" t="inlineStr">
        <is>
          <t>338,000000000</t>
        </is>
      </c>
      <c r="R623" t="inlineStr">
        <is>
          <t>,000000000</t>
        </is>
      </c>
      <c r="S623" t="inlineStr">
        <is>
          <t>,000000000</t>
        </is>
      </c>
      <c r="T623" t="inlineStr">
        <is>
          <t>,000000000</t>
        </is>
      </c>
      <c r="U623" t="inlineStr">
        <is>
          <t>,000000000</t>
        </is>
      </c>
      <c r="V623" t="inlineStr">
        <is>
          <t>,000000000</t>
        </is>
      </c>
      <c r="W623" t="inlineStr">
        <is>
          <t>,000000000</t>
        </is>
      </c>
      <c r="X623" t="inlineStr">
        <is>
          <t>,000000000</t>
        </is>
      </c>
      <c r="Y623" t="inlineStr">
        <is>
          <t>,000000000</t>
        </is>
      </c>
      <c r="Z623" t="inlineStr">
        <is>
          <t>,000000000</t>
        </is>
      </c>
      <c r="AA623" t="inlineStr">
        <is>
          <t>,000000000</t>
        </is>
      </c>
      <c r="AB623" t="inlineStr">
        <is>
          <t>4</t>
        </is>
      </c>
      <c r="AC623" t="inlineStr">
        <is>
          <t>3</t>
        </is>
      </c>
      <c r="AD623" s="3">
        <f>UPPER(C3)</f>
        <v/>
      </c>
      <c r="AE623" s="3">
        <f>VLOOKUP(E3,'[1]Nómina Agentes'!$C:$D,3,0)</f>
        <v/>
      </c>
      <c r="AF623" s="5">
        <f>F3</f>
        <v/>
      </c>
      <c r="AG623" s="5">
        <f>H3</f>
        <v/>
      </c>
    </row>
    <row r="624">
      <c r="A624" s="1" t="inlineStr">
        <is>
          <t>9/10/2024</t>
        </is>
      </c>
      <c r="B624" t="inlineStr">
        <is>
          <t>925</t>
        </is>
      </c>
      <c r="C624" t="inlineStr">
        <is>
          <t>S2S Premium</t>
        </is>
      </c>
      <c r="D624" t="inlineStr">
        <is>
          <t>XPCC_Granero,Rocio</t>
        </is>
      </c>
      <c r="E624" t="inlineStr">
        <is>
          <t>664499</t>
        </is>
      </c>
      <c r="F624" s="2" t="inlineStr">
        <is>
          <t>10:30</t>
        </is>
      </c>
      <c r="G624" t="inlineStr">
        <is>
          <t>-</t>
        </is>
      </c>
      <c r="H624" s="2" t="inlineStr">
        <is>
          <t>11:00</t>
        </is>
      </c>
      <c r="I624" t="inlineStr">
        <is>
          <t>723,000000000</t>
        </is>
      </c>
      <c r="J624" t="inlineStr">
        <is>
          <t>172,000000000</t>
        </is>
      </c>
      <c r="K624" t="inlineStr">
        <is>
          <t>,000000000</t>
        </is>
      </c>
      <c r="L624" t="inlineStr">
        <is>
          <t>15,000000000</t>
        </is>
      </c>
      <c r="M624" t="inlineStr">
        <is>
          <t>,000000000</t>
        </is>
      </c>
      <c r="N624" t="inlineStr">
        <is>
          <t>,000000000</t>
        </is>
      </c>
      <c r="O624" t="inlineStr">
        <is>
          <t>,000000000</t>
        </is>
      </c>
      <c r="P624" t="inlineStr">
        <is>
          <t>319,000000000</t>
        </is>
      </c>
      <c r="Q624" t="inlineStr">
        <is>
          <t>,000000000</t>
        </is>
      </c>
      <c r="R624" t="inlineStr">
        <is>
          <t>,000000000</t>
        </is>
      </c>
      <c r="S624" t="inlineStr">
        <is>
          <t>,000000000</t>
        </is>
      </c>
      <c r="T624" t="inlineStr">
        <is>
          <t>,000000000</t>
        </is>
      </c>
      <c r="U624" t="inlineStr">
        <is>
          <t>,000000000</t>
        </is>
      </c>
      <c r="V624" t="inlineStr">
        <is>
          <t>,000000000</t>
        </is>
      </c>
      <c r="W624" t="inlineStr">
        <is>
          <t>,000000000</t>
        </is>
      </c>
      <c r="X624" t="inlineStr">
        <is>
          <t>,000000000</t>
        </is>
      </c>
      <c r="Y624" t="inlineStr">
        <is>
          <t>,000000000</t>
        </is>
      </c>
      <c r="Z624" t="inlineStr">
        <is>
          <t>,000000000</t>
        </is>
      </c>
      <c r="AA624" t="inlineStr">
        <is>
          <t>,000000000</t>
        </is>
      </c>
      <c r="AB624" t="inlineStr">
        <is>
          <t>3</t>
        </is>
      </c>
      <c r="AC624" t="inlineStr">
        <is>
          <t>1</t>
        </is>
      </c>
      <c r="AD624" s="3">
        <f>UPPER(C3)</f>
        <v/>
      </c>
      <c r="AE624" s="3">
        <f>VLOOKUP(E3,'[1]Nómina Agentes'!$C:$D,3,0)</f>
        <v/>
      </c>
      <c r="AF624" s="5">
        <f>F3</f>
        <v/>
      </c>
      <c r="AG624" s="5">
        <f>H3</f>
        <v/>
      </c>
    </row>
    <row r="625">
      <c r="A625" s="1" t="inlineStr">
        <is>
          <t>9/10/2024</t>
        </is>
      </c>
      <c r="B625" t="inlineStr">
        <is>
          <t>925</t>
        </is>
      </c>
      <c r="C625" t="inlineStr">
        <is>
          <t>S2S Premium</t>
        </is>
      </c>
      <c r="D625" t="inlineStr">
        <is>
          <t>XPCC_Granero,Rocio</t>
        </is>
      </c>
      <c r="E625" t="inlineStr">
        <is>
          <t>664499</t>
        </is>
      </c>
      <c r="F625" s="2" t="inlineStr">
        <is>
          <t>10:00</t>
        </is>
      </c>
      <c r="G625" t="inlineStr">
        <is>
          <t>-</t>
        </is>
      </c>
      <c r="H625" s="2" t="inlineStr">
        <is>
          <t>10:30</t>
        </is>
      </c>
      <c r="I625" t="inlineStr">
        <is>
          <t>1051,000000000</t>
        </is>
      </c>
      <c r="J625" t="inlineStr">
        <is>
          <t>,000000000</t>
        </is>
      </c>
      <c r="K625" t="inlineStr">
        <is>
          <t>,000000000</t>
        </is>
      </c>
      <c r="L625" t="inlineStr">
        <is>
          <t>12,000000000</t>
        </is>
      </c>
      <c r="M625" t="inlineStr">
        <is>
          <t>,000000000</t>
        </is>
      </c>
      <c r="N625" t="inlineStr">
        <is>
          <t>,000000000</t>
        </is>
      </c>
      <c r="O625" t="inlineStr">
        <is>
          <t>,000000000</t>
        </is>
      </c>
      <c r="P625" t="inlineStr">
        <is>
          <t>193,000000000</t>
        </is>
      </c>
      <c r="Q625" t="inlineStr">
        <is>
          <t>,000000000</t>
        </is>
      </c>
      <c r="R625" t="inlineStr">
        <is>
          <t>,000000000</t>
        </is>
      </c>
      <c r="S625" t="inlineStr">
        <is>
          <t>,000000000</t>
        </is>
      </c>
      <c r="T625" t="inlineStr">
        <is>
          <t>,000000000</t>
        </is>
      </c>
      <c r="U625" t="inlineStr">
        <is>
          <t>,000000000</t>
        </is>
      </c>
      <c r="V625" t="inlineStr">
        <is>
          <t>,000000000</t>
        </is>
      </c>
      <c r="W625" t="inlineStr">
        <is>
          <t>,000000000</t>
        </is>
      </c>
      <c r="X625" t="inlineStr">
        <is>
          <t>,000000000</t>
        </is>
      </c>
      <c r="Y625" t="inlineStr">
        <is>
          <t>,000000000</t>
        </is>
      </c>
      <c r="Z625" t="inlineStr">
        <is>
          <t>,000000000</t>
        </is>
      </c>
      <c r="AA625" t="inlineStr">
        <is>
          <t>,000000000</t>
        </is>
      </c>
      <c r="AB625" t="inlineStr">
        <is>
          <t>3</t>
        </is>
      </c>
      <c r="AC625" t="inlineStr">
        <is>
          <t>3</t>
        </is>
      </c>
      <c r="AD625" s="3">
        <f>UPPER(C3)</f>
        <v/>
      </c>
      <c r="AE625" s="3">
        <f>VLOOKUP(E3,'[1]Nómina Agentes'!$C:$D,3,0)</f>
        <v/>
      </c>
      <c r="AF625" s="5">
        <f>F3</f>
        <v/>
      </c>
      <c r="AG625" s="5">
        <f>H3</f>
        <v/>
      </c>
    </row>
    <row r="626">
      <c r="A626" s="1" t="inlineStr">
        <is>
          <t>9/10/2024</t>
        </is>
      </c>
      <c r="B626" t="inlineStr">
        <is>
          <t>925</t>
        </is>
      </c>
      <c r="C626" t="inlineStr">
        <is>
          <t>S2S Premium</t>
        </is>
      </c>
      <c r="D626" t="inlineStr">
        <is>
          <t>XPCC_Peralta,Nadia</t>
        </is>
      </c>
      <c r="E626" t="inlineStr">
        <is>
          <t>664506</t>
        </is>
      </c>
      <c r="F626" s="2" t="inlineStr">
        <is>
          <t>09:00</t>
        </is>
      </c>
      <c r="G626" t="inlineStr">
        <is>
          <t>-</t>
        </is>
      </c>
      <c r="H626" s="2" t="inlineStr">
        <is>
          <t>09:30</t>
        </is>
      </c>
      <c r="I626" t="inlineStr">
        <is>
          <t>288,000000000</t>
        </is>
      </c>
      <c r="J626" t="inlineStr">
        <is>
          <t>,000000000</t>
        </is>
      </c>
      <c r="K626" t="inlineStr">
        <is>
          <t>,000000000</t>
        </is>
      </c>
      <c r="L626" t="inlineStr">
        <is>
          <t>8,000000000</t>
        </is>
      </c>
      <c r="M626" t="inlineStr">
        <is>
          <t>,000000000</t>
        </is>
      </c>
      <c r="N626" t="inlineStr">
        <is>
          <t>,000000000</t>
        </is>
      </c>
      <c r="O626" t="inlineStr">
        <is>
          <t>,000000000</t>
        </is>
      </c>
      <c r="P626" t="inlineStr">
        <is>
          <t>1,000000000</t>
        </is>
      </c>
      <c r="Q626" t="inlineStr">
        <is>
          <t>,000000000</t>
        </is>
      </c>
      <c r="R626" t="inlineStr">
        <is>
          <t>,000000000</t>
        </is>
      </c>
      <c r="S626" t="inlineStr">
        <is>
          <t>,000000000</t>
        </is>
      </c>
      <c r="T626" t="inlineStr">
        <is>
          <t>,000000000</t>
        </is>
      </c>
      <c r="U626" t="inlineStr">
        <is>
          <t>,000000000</t>
        </is>
      </c>
      <c r="V626" t="inlineStr">
        <is>
          <t>,000000000</t>
        </is>
      </c>
      <c r="W626" t="inlineStr">
        <is>
          <t>,000000000</t>
        </is>
      </c>
      <c r="X626" t="inlineStr">
        <is>
          <t>,000000000</t>
        </is>
      </c>
      <c r="Y626" t="inlineStr">
        <is>
          <t>,000000000</t>
        </is>
      </c>
      <c r="Z626" t="inlineStr">
        <is>
          <t>,000000000</t>
        </is>
      </c>
      <c r="AA626" t="inlineStr">
        <is>
          <t>,000000000</t>
        </is>
      </c>
      <c r="AB626" t="inlineStr">
        <is>
          <t>1</t>
        </is>
      </c>
      <c r="AC626" t="inlineStr">
        <is>
          <t>1</t>
        </is>
      </c>
      <c r="AD626" s="3">
        <f>UPPER(C3)</f>
        <v/>
      </c>
      <c r="AE626" s="3">
        <f>VLOOKUP(E3,'[1]Nómina Agentes'!$C:$D,3,0)</f>
        <v/>
      </c>
      <c r="AF626" s="5">
        <f>F3</f>
        <v/>
      </c>
      <c r="AG626" s="5">
        <f>H3</f>
        <v/>
      </c>
    </row>
    <row r="627">
      <c r="A627" s="1" t="inlineStr">
        <is>
          <t>9/10/2024</t>
        </is>
      </c>
      <c r="B627" t="inlineStr">
        <is>
          <t>925</t>
        </is>
      </c>
      <c r="C627" t="inlineStr">
        <is>
          <t>S2S Premium</t>
        </is>
      </c>
      <c r="D627" t="inlineStr">
        <is>
          <t>XPCC_Peralta,Nadia</t>
        </is>
      </c>
      <c r="E627" t="inlineStr">
        <is>
          <t>664506</t>
        </is>
      </c>
      <c r="F627" s="2" t="inlineStr">
        <is>
          <t>11:00</t>
        </is>
      </c>
      <c r="G627" t="inlineStr">
        <is>
          <t>-</t>
        </is>
      </c>
      <c r="H627" s="2" t="inlineStr">
        <is>
          <t>11:30</t>
        </is>
      </c>
      <c r="I627" t="inlineStr">
        <is>
          <t>418,000000000</t>
        </is>
      </c>
      <c r="J627" t="inlineStr">
        <is>
          <t>,000000000</t>
        </is>
      </c>
      <c r="K627" t="inlineStr">
        <is>
          <t>,000000000</t>
        </is>
      </c>
      <c r="L627" t="inlineStr">
        <is>
          <t>4,000000000</t>
        </is>
      </c>
      <c r="M627" t="inlineStr">
        <is>
          <t>,000000000</t>
        </is>
      </c>
      <c r="N627" t="inlineStr">
        <is>
          <t>,000000000</t>
        </is>
      </c>
      <c r="O627" t="inlineStr">
        <is>
          <t>,000000000</t>
        </is>
      </c>
      <c r="P627" t="inlineStr">
        <is>
          <t>2,000000000</t>
        </is>
      </c>
      <c r="Q627" t="inlineStr">
        <is>
          <t>,000000000</t>
        </is>
      </c>
      <c r="R627" t="inlineStr">
        <is>
          <t>,000000000</t>
        </is>
      </c>
      <c r="S627" t="inlineStr">
        <is>
          <t>,000000000</t>
        </is>
      </c>
      <c r="T627" t="inlineStr">
        <is>
          <t>,000000000</t>
        </is>
      </c>
      <c r="U627" t="inlineStr">
        <is>
          <t>,000000000</t>
        </is>
      </c>
      <c r="V627" t="inlineStr">
        <is>
          <t>,000000000</t>
        </is>
      </c>
      <c r="W627" t="inlineStr">
        <is>
          <t>,000000000</t>
        </is>
      </c>
      <c r="X627" t="inlineStr">
        <is>
          <t>,000000000</t>
        </is>
      </c>
      <c r="Y627" t="inlineStr">
        <is>
          <t>,000000000</t>
        </is>
      </c>
      <c r="Z627" t="inlineStr">
        <is>
          <t>,000000000</t>
        </is>
      </c>
      <c r="AA627" t="inlineStr">
        <is>
          <t>,000000000</t>
        </is>
      </c>
      <c r="AB627" t="inlineStr">
        <is>
          <t>2</t>
        </is>
      </c>
      <c r="AC627" t="inlineStr">
        <is>
          <t>2</t>
        </is>
      </c>
      <c r="AD627" s="3">
        <f>UPPER(C3)</f>
        <v/>
      </c>
      <c r="AE627" s="3">
        <f>VLOOKUP(E3,'[1]Nómina Agentes'!$C:$D,3,0)</f>
        <v/>
      </c>
      <c r="AF627" s="5">
        <f>F3</f>
        <v/>
      </c>
      <c r="AG627" s="5">
        <f>H3</f>
        <v/>
      </c>
    </row>
    <row r="628">
      <c r="A628" s="1" t="inlineStr">
        <is>
          <t>9/10/2024</t>
        </is>
      </c>
      <c r="B628" t="inlineStr">
        <is>
          <t>925</t>
        </is>
      </c>
      <c r="C628" t="inlineStr">
        <is>
          <t>S2S Premium</t>
        </is>
      </c>
      <c r="D628" t="inlineStr">
        <is>
          <t>XPCC_Peralta,Nadia</t>
        </is>
      </c>
      <c r="E628" t="inlineStr">
        <is>
          <t>664506</t>
        </is>
      </c>
      <c r="F628" s="2" t="inlineStr">
        <is>
          <t>10:30</t>
        </is>
      </c>
      <c r="G628" t="inlineStr">
        <is>
          <t>-</t>
        </is>
      </c>
      <c r="H628" s="2" t="inlineStr">
        <is>
          <t>11:00</t>
        </is>
      </c>
      <c r="I628" t="inlineStr">
        <is>
          <t>702,000000000</t>
        </is>
      </c>
      <c r="J628" t="inlineStr">
        <is>
          <t>,000000000</t>
        </is>
      </c>
      <c r="K628" t="inlineStr">
        <is>
          <t>,000000000</t>
        </is>
      </c>
      <c r="L628" t="inlineStr">
        <is>
          <t>12,000000000</t>
        </is>
      </c>
      <c r="M628" t="inlineStr">
        <is>
          <t>,000000000</t>
        </is>
      </c>
      <c r="N628" t="inlineStr">
        <is>
          <t>,000000000</t>
        </is>
      </c>
      <c r="O628" t="inlineStr">
        <is>
          <t>,000000000</t>
        </is>
      </c>
      <c r="P628" t="inlineStr">
        <is>
          <t>1,000000000</t>
        </is>
      </c>
      <c r="Q628" t="inlineStr">
        <is>
          <t>,000000000</t>
        </is>
      </c>
      <c r="R628" t="inlineStr">
        <is>
          <t>,000000000</t>
        </is>
      </c>
      <c r="S628" t="inlineStr">
        <is>
          <t>,000000000</t>
        </is>
      </c>
      <c r="T628" t="inlineStr">
        <is>
          <t>,000000000</t>
        </is>
      </c>
      <c r="U628" t="inlineStr">
        <is>
          <t>,000000000</t>
        </is>
      </c>
      <c r="V628" t="inlineStr">
        <is>
          <t>,000000000</t>
        </is>
      </c>
      <c r="W628" t="inlineStr">
        <is>
          <t>,000000000</t>
        </is>
      </c>
      <c r="X628" t="inlineStr">
        <is>
          <t>,000000000</t>
        </is>
      </c>
      <c r="Y628" t="inlineStr">
        <is>
          <t>,000000000</t>
        </is>
      </c>
      <c r="Z628" t="inlineStr">
        <is>
          <t>,000000000</t>
        </is>
      </c>
      <c r="AA628" t="inlineStr">
        <is>
          <t>,000000000</t>
        </is>
      </c>
      <c r="AB628" t="inlineStr">
        <is>
          <t>2</t>
        </is>
      </c>
      <c r="AC628" t="inlineStr">
        <is>
          <t>2</t>
        </is>
      </c>
      <c r="AD628" s="3">
        <f>UPPER(C3)</f>
        <v/>
      </c>
      <c r="AE628" s="3">
        <f>VLOOKUP(E3,'[1]Nómina Agentes'!$C:$D,3,0)</f>
        <v/>
      </c>
      <c r="AF628" s="5">
        <f>F3</f>
        <v/>
      </c>
      <c r="AG628" s="5">
        <f>H3</f>
        <v/>
      </c>
    </row>
    <row r="629">
      <c r="A629" s="1" t="inlineStr">
        <is>
          <t>9/10/2024</t>
        </is>
      </c>
      <c r="B629" t="inlineStr">
        <is>
          <t>925</t>
        </is>
      </c>
      <c r="C629" t="inlineStr">
        <is>
          <t>S2S Premium</t>
        </is>
      </c>
      <c r="D629" t="inlineStr">
        <is>
          <t>XPCC_Peralta,Nadia</t>
        </is>
      </c>
      <c r="E629" t="inlineStr">
        <is>
          <t>664506</t>
        </is>
      </c>
      <c r="F629" s="2" t="inlineStr">
        <is>
          <t>10:00</t>
        </is>
      </c>
      <c r="G629" t="inlineStr">
        <is>
          <t>-</t>
        </is>
      </c>
      <c r="H629" s="2" t="inlineStr">
        <is>
          <t>10:30</t>
        </is>
      </c>
      <c r="I629" t="inlineStr">
        <is>
          <t>1120,000000000</t>
        </is>
      </c>
      <c r="J629" t="inlineStr">
        <is>
          <t>,000000000</t>
        </is>
      </c>
      <c r="K629" t="inlineStr">
        <is>
          <t>,000000000</t>
        </is>
      </c>
      <c r="L629" t="inlineStr">
        <is>
          <t>16,000000000</t>
        </is>
      </c>
      <c r="M629" t="inlineStr">
        <is>
          <t>,000000000</t>
        </is>
      </c>
      <c r="N629" t="inlineStr">
        <is>
          <t>,000000000</t>
        </is>
      </c>
      <c r="O629" t="inlineStr">
        <is>
          <t>,000000000</t>
        </is>
      </c>
      <c r="P629" t="inlineStr">
        <is>
          <t>2,000000000</t>
        </is>
      </c>
      <c r="Q629" t="inlineStr">
        <is>
          <t>,000000000</t>
        </is>
      </c>
      <c r="R629" t="inlineStr">
        <is>
          <t>,000000000</t>
        </is>
      </c>
      <c r="S629" t="inlineStr">
        <is>
          <t>,000000000</t>
        </is>
      </c>
      <c r="T629" t="inlineStr">
        <is>
          <t>,000000000</t>
        </is>
      </c>
      <c r="U629" t="inlineStr">
        <is>
          <t>,000000000</t>
        </is>
      </c>
      <c r="V629" t="inlineStr">
        <is>
          <t>,000000000</t>
        </is>
      </c>
      <c r="W629" t="inlineStr">
        <is>
          <t>,000000000</t>
        </is>
      </c>
      <c r="X629" t="inlineStr">
        <is>
          <t>,000000000</t>
        </is>
      </c>
      <c r="Y629" t="inlineStr">
        <is>
          <t>,000000000</t>
        </is>
      </c>
      <c r="Z629" t="inlineStr">
        <is>
          <t>,000000000</t>
        </is>
      </c>
      <c r="AA629" t="inlineStr">
        <is>
          <t>,000000000</t>
        </is>
      </c>
      <c r="AB629" t="inlineStr">
        <is>
          <t>4</t>
        </is>
      </c>
      <c r="AC629" t="inlineStr">
        <is>
          <t>1</t>
        </is>
      </c>
      <c r="AD629" s="3">
        <f>UPPER(C3)</f>
        <v/>
      </c>
      <c r="AE629" s="3">
        <f>VLOOKUP(E3,'[1]Nómina Agentes'!$C:$D,3,0)</f>
        <v/>
      </c>
      <c r="AF629" s="5">
        <f>F3</f>
        <v/>
      </c>
      <c r="AG629" s="5">
        <f>H3</f>
        <v/>
      </c>
    </row>
    <row r="630">
      <c r="A630" s="1" t="inlineStr">
        <is>
          <t>9/10/2024</t>
        </is>
      </c>
      <c r="B630" t="inlineStr">
        <is>
          <t>925</t>
        </is>
      </c>
      <c r="C630" t="inlineStr">
        <is>
          <t>S2S Premium</t>
        </is>
      </c>
      <c r="D630" t="inlineStr">
        <is>
          <t>XPCC_Peralta,Nadia</t>
        </is>
      </c>
      <c r="E630" t="inlineStr">
        <is>
          <t>664506</t>
        </is>
      </c>
      <c r="F630" s="2" t="inlineStr">
        <is>
          <t>09:30</t>
        </is>
      </c>
      <c r="G630" t="inlineStr">
        <is>
          <t>-</t>
        </is>
      </c>
      <c r="H630" s="2" t="inlineStr">
        <is>
          <t>10:00</t>
        </is>
      </c>
      <c r="I630" t="inlineStr">
        <is>
          <t>1172,000000000</t>
        </is>
      </c>
      <c r="J630" t="inlineStr">
        <is>
          <t>,000000000</t>
        </is>
      </c>
      <c r="K630" t="inlineStr">
        <is>
          <t>,000000000</t>
        </is>
      </c>
      <c r="L630" t="inlineStr">
        <is>
          <t>8,000000000</t>
        </is>
      </c>
      <c r="M630" t="inlineStr">
        <is>
          <t>,000000000</t>
        </is>
      </c>
      <c r="N630" t="inlineStr">
        <is>
          <t>,000000000</t>
        </is>
      </c>
      <c r="O630" t="inlineStr">
        <is>
          <t>,000000000</t>
        </is>
      </c>
      <c r="P630" t="inlineStr">
        <is>
          <t>240,000000000</t>
        </is>
      </c>
      <c r="Q630" t="inlineStr">
        <is>
          <t>,000000000</t>
        </is>
      </c>
      <c r="R630" t="inlineStr">
        <is>
          <t>,000000000</t>
        </is>
      </c>
      <c r="S630" t="inlineStr">
        <is>
          <t>,000000000</t>
        </is>
      </c>
      <c r="T630" t="inlineStr">
        <is>
          <t>,000000000</t>
        </is>
      </c>
      <c r="U630" t="inlineStr">
        <is>
          <t>,000000000</t>
        </is>
      </c>
      <c r="V630" t="inlineStr">
        <is>
          <t>,000000000</t>
        </is>
      </c>
      <c r="W630" t="inlineStr">
        <is>
          <t>,000000000</t>
        </is>
      </c>
      <c r="X630" t="inlineStr">
        <is>
          <t>,000000000</t>
        </is>
      </c>
      <c r="Y630" t="inlineStr">
        <is>
          <t>,000000000</t>
        </is>
      </c>
      <c r="Z630" t="inlineStr">
        <is>
          <t>,000000000</t>
        </is>
      </c>
      <c r="AA630" t="inlineStr">
        <is>
          <t>,000000000</t>
        </is>
      </c>
      <c r="AB630" t="inlineStr">
        <is>
          <t>3</t>
        </is>
      </c>
      <c r="AC630" t="inlineStr">
        <is>
          <t>3</t>
        </is>
      </c>
      <c r="AD630" s="3">
        <f>UPPER(C3)</f>
        <v/>
      </c>
      <c r="AE630" s="3">
        <f>VLOOKUP(E3,'[1]Nómina Agentes'!$C:$D,3,0)</f>
        <v/>
      </c>
      <c r="AF630" s="5">
        <f>F3</f>
        <v/>
      </c>
      <c r="AG630" s="5">
        <f>H3</f>
        <v/>
      </c>
    </row>
    <row r="631">
      <c r="A631" s="1" t="inlineStr">
        <is>
          <t>9/10/2024</t>
        </is>
      </c>
      <c r="B631" t="inlineStr">
        <is>
          <t>924</t>
        </is>
      </c>
      <c r="C631" t="inlineStr">
        <is>
          <t>S2S No Premium</t>
        </is>
      </c>
      <c r="D631" t="inlineStr">
        <is>
          <t>XN2m_SkarpHoracio</t>
        </is>
      </c>
      <c r="E631" t="inlineStr">
        <is>
          <t>664507</t>
        </is>
      </c>
      <c r="F631" s="2" t="inlineStr">
        <is>
          <t>09:00</t>
        </is>
      </c>
      <c r="G631" t="inlineStr">
        <is>
          <t>-</t>
        </is>
      </c>
      <c r="H631" s="2" t="inlineStr">
        <is>
          <t>09:30</t>
        </is>
      </c>
      <c r="I631" t="inlineStr">
        <is>
          <t>,000000000</t>
        </is>
      </c>
      <c r="J631" t="inlineStr">
        <is>
          <t>,000000000</t>
        </is>
      </c>
      <c r="K631" t="inlineStr">
        <is>
          <t>,000000000</t>
        </is>
      </c>
      <c r="L631" t="inlineStr">
        <is>
          <t>,000000000</t>
        </is>
      </c>
      <c r="M631" t="inlineStr">
        <is>
          <t>,000000000</t>
        </is>
      </c>
      <c r="N631" t="inlineStr">
        <is>
          <t>,000000000</t>
        </is>
      </c>
      <c r="O631" t="inlineStr">
        <is>
          <t>,000000000</t>
        </is>
      </c>
      <c r="P631" t="inlineStr">
        <is>
          <t>,000000000</t>
        </is>
      </c>
      <c r="Q631" t="inlineStr">
        <is>
          <t>,000000000</t>
        </is>
      </c>
      <c r="R631" t="inlineStr">
        <is>
          <t>,000000000</t>
        </is>
      </c>
      <c r="S631" t="inlineStr">
        <is>
          <t>,000000000</t>
        </is>
      </c>
      <c r="T631" t="inlineStr">
        <is>
          <t>,000000000</t>
        </is>
      </c>
      <c r="U631" t="inlineStr">
        <is>
          <t>,000000000</t>
        </is>
      </c>
      <c r="V631" t="inlineStr">
        <is>
          <t>,000000000</t>
        </is>
      </c>
      <c r="W631" t="inlineStr">
        <is>
          <t>,000000000</t>
        </is>
      </c>
      <c r="X631" t="inlineStr">
        <is>
          <t>,000000000</t>
        </is>
      </c>
      <c r="Y631" t="inlineStr">
        <is>
          <t>,000000000</t>
        </is>
      </c>
      <c r="Z631" t="inlineStr">
        <is>
          <t>,000000000</t>
        </is>
      </c>
      <c r="AA631" t="inlineStr">
        <is>
          <t>,000000000</t>
        </is>
      </c>
      <c r="AB631" t="inlineStr">
        <is>
          <t>0</t>
        </is>
      </c>
      <c r="AC631" t="inlineStr">
        <is>
          <t>0</t>
        </is>
      </c>
      <c r="AD631" s="3">
        <f>UPPER(C3)</f>
        <v/>
      </c>
      <c r="AE631" s="3">
        <f>VLOOKUP(E3,'[1]Nómina Agentes'!$C:$D,3,0)</f>
        <v/>
      </c>
      <c r="AF631" s="5">
        <f>F3</f>
        <v/>
      </c>
      <c r="AG631" s="5">
        <f>H3</f>
        <v/>
      </c>
    </row>
    <row r="632">
      <c r="A632" s="1" t="inlineStr">
        <is>
          <t>9/10/2024</t>
        </is>
      </c>
      <c r="B632" t="inlineStr">
        <is>
          <t>924</t>
        </is>
      </c>
      <c r="C632" t="inlineStr">
        <is>
          <t>S2S No Premium</t>
        </is>
      </c>
      <c r="D632" t="inlineStr">
        <is>
          <t>XN2m_SkarpHoracio</t>
        </is>
      </c>
      <c r="E632" t="inlineStr">
        <is>
          <t>664507</t>
        </is>
      </c>
      <c r="F632" s="2" t="inlineStr">
        <is>
          <t>10:00</t>
        </is>
      </c>
      <c r="G632" t="inlineStr">
        <is>
          <t>-</t>
        </is>
      </c>
      <c r="H632" s="2" t="inlineStr">
        <is>
          <t>10:30</t>
        </is>
      </c>
      <c r="I632" t="inlineStr">
        <is>
          <t>,000000000</t>
        </is>
      </c>
      <c r="J632" t="inlineStr">
        <is>
          <t>,000000000</t>
        </is>
      </c>
      <c r="K632" t="inlineStr">
        <is>
          <t>,000000000</t>
        </is>
      </c>
      <c r="L632" t="inlineStr">
        <is>
          <t>,000000000</t>
        </is>
      </c>
      <c r="M632" t="inlineStr">
        <is>
          <t>,000000000</t>
        </is>
      </c>
      <c r="N632" t="inlineStr">
        <is>
          <t>,000000000</t>
        </is>
      </c>
      <c r="O632" t="inlineStr">
        <is>
          <t>,000000000</t>
        </is>
      </c>
      <c r="P632" t="inlineStr">
        <is>
          <t>,000000000</t>
        </is>
      </c>
      <c r="Q632" t="inlineStr">
        <is>
          <t>,000000000</t>
        </is>
      </c>
      <c r="R632" t="inlineStr">
        <is>
          <t>,000000000</t>
        </is>
      </c>
      <c r="S632" t="inlineStr">
        <is>
          <t>,000000000</t>
        </is>
      </c>
      <c r="T632" t="inlineStr">
        <is>
          <t>,000000000</t>
        </is>
      </c>
      <c r="U632" t="inlineStr">
        <is>
          <t>,000000000</t>
        </is>
      </c>
      <c r="V632" t="inlineStr">
        <is>
          <t>,000000000</t>
        </is>
      </c>
      <c r="W632" t="inlineStr">
        <is>
          <t>,000000000</t>
        </is>
      </c>
      <c r="X632" t="inlineStr">
        <is>
          <t>,000000000</t>
        </is>
      </c>
      <c r="Y632" t="inlineStr">
        <is>
          <t>,000000000</t>
        </is>
      </c>
      <c r="Z632" t="inlineStr">
        <is>
          <t>,000000000</t>
        </is>
      </c>
      <c r="AA632" t="inlineStr">
        <is>
          <t>,000000000</t>
        </is>
      </c>
      <c r="AB632" t="inlineStr">
        <is>
          <t>0</t>
        </is>
      </c>
      <c r="AC632" t="inlineStr">
        <is>
          <t>0</t>
        </is>
      </c>
      <c r="AD632" s="3">
        <f>UPPER(C3)</f>
        <v/>
      </c>
      <c r="AE632" s="3">
        <f>VLOOKUP(E3,'[1]Nómina Agentes'!$C:$D,3,0)</f>
        <v/>
      </c>
      <c r="AF632" s="5">
        <f>F3</f>
        <v/>
      </c>
      <c r="AG632" s="5">
        <f>H3</f>
        <v/>
      </c>
    </row>
    <row r="633">
      <c r="A633" s="1" t="inlineStr">
        <is>
          <t>9/10/2024</t>
        </is>
      </c>
      <c r="B633" t="inlineStr">
        <is>
          <t>924</t>
        </is>
      </c>
      <c r="C633" t="inlineStr">
        <is>
          <t>S2S No Premium</t>
        </is>
      </c>
      <c r="D633" t="inlineStr">
        <is>
          <t>XN2m_SkarpHoracio</t>
        </is>
      </c>
      <c r="E633" t="inlineStr">
        <is>
          <t>664507</t>
        </is>
      </c>
      <c r="F633" s="2" t="inlineStr">
        <is>
          <t>09:30</t>
        </is>
      </c>
      <c r="G633" t="inlineStr">
        <is>
          <t>-</t>
        </is>
      </c>
      <c r="H633" s="2" t="inlineStr">
        <is>
          <t>10:00</t>
        </is>
      </c>
      <c r="I633" t="inlineStr">
        <is>
          <t>3,000000000</t>
        </is>
      </c>
      <c r="J633" t="inlineStr">
        <is>
          <t>,000000000</t>
        </is>
      </c>
      <c r="K633" t="inlineStr">
        <is>
          <t>,000000000</t>
        </is>
      </c>
      <c r="L633" t="inlineStr">
        <is>
          <t>12,000000000</t>
        </is>
      </c>
      <c r="M633" t="inlineStr">
        <is>
          <t>,000000000</t>
        </is>
      </c>
      <c r="N633" t="inlineStr">
        <is>
          <t>,000000000</t>
        </is>
      </c>
      <c r="O633" t="inlineStr">
        <is>
          <t>,000000000</t>
        </is>
      </c>
      <c r="P633" t="inlineStr">
        <is>
          <t>,000000000</t>
        </is>
      </c>
      <c r="Q633" t="inlineStr">
        <is>
          <t>,000000000</t>
        </is>
      </c>
      <c r="R633" t="inlineStr">
        <is>
          <t>,000000000</t>
        </is>
      </c>
      <c r="S633" t="inlineStr">
        <is>
          <t>,000000000</t>
        </is>
      </c>
      <c r="T633" t="inlineStr">
        <is>
          <t>,000000000</t>
        </is>
      </c>
      <c r="U633" t="inlineStr">
        <is>
          <t>,000000000</t>
        </is>
      </c>
      <c r="V633" t="inlineStr">
        <is>
          <t>,000000000</t>
        </is>
      </c>
      <c r="W633" t="inlineStr">
        <is>
          <t>,000000000</t>
        </is>
      </c>
      <c r="X633" t="inlineStr">
        <is>
          <t>,000000000</t>
        </is>
      </c>
      <c r="Y633" t="inlineStr">
        <is>
          <t>,000000000</t>
        </is>
      </c>
      <c r="Z633" t="inlineStr">
        <is>
          <t>,000000000</t>
        </is>
      </c>
      <c r="AA633" t="inlineStr">
        <is>
          <t>,000000000</t>
        </is>
      </c>
      <c r="AB633" t="inlineStr">
        <is>
          <t>3</t>
        </is>
      </c>
      <c r="AC633" t="inlineStr">
        <is>
          <t>3</t>
        </is>
      </c>
      <c r="AD633" s="3">
        <f>UPPER(C3)</f>
        <v/>
      </c>
      <c r="AE633" s="3">
        <f>VLOOKUP(E3,'[1]Nómina Agentes'!$C:$D,3,0)</f>
        <v/>
      </c>
      <c r="AF633" s="5">
        <f>F3</f>
        <v/>
      </c>
      <c r="AG633" s="5">
        <f>H3</f>
        <v/>
      </c>
    </row>
    <row r="634">
      <c r="A634" s="1" t="inlineStr">
        <is>
          <t>9/10/2024</t>
        </is>
      </c>
      <c r="B634" t="inlineStr">
        <is>
          <t>924</t>
        </is>
      </c>
      <c r="C634" t="inlineStr">
        <is>
          <t>S2S No Premium</t>
        </is>
      </c>
      <c r="D634" t="inlineStr">
        <is>
          <t>XN2m_SkarpHoracio</t>
        </is>
      </c>
      <c r="E634" t="inlineStr">
        <is>
          <t>664507</t>
        </is>
      </c>
      <c r="F634" s="2" t="inlineStr">
        <is>
          <t>10:30</t>
        </is>
      </c>
      <c r="G634" t="inlineStr">
        <is>
          <t>-</t>
        </is>
      </c>
      <c r="H634" s="2" t="inlineStr">
        <is>
          <t>11:00</t>
        </is>
      </c>
      <c r="I634" t="inlineStr">
        <is>
          <t>809,000000000</t>
        </is>
      </c>
      <c r="J634" t="inlineStr">
        <is>
          <t>,000000000</t>
        </is>
      </c>
      <c r="K634" t="inlineStr">
        <is>
          <t>,000000000</t>
        </is>
      </c>
      <c r="L634" t="inlineStr">
        <is>
          <t>8,000000000</t>
        </is>
      </c>
      <c r="M634" t="inlineStr">
        <is>
          <t>,000000000</t>
        </is>
      </c>
      <c r="N634" t="inlineStr">
        <is>
          <t>,000000000</t>
        </is>
      </c>
      <c r="O634" t="inlineStr">
        <is>
          <t>,000000000</t>
        </is>
      </c>
      <c r="P634" t="inlineStr">
        <is>
          <t>1,000000000</t>
        </is>
      </c>
      <c r="Q634" t="inlineStr">
        <is>
          <t>,000000000</t>
        </is>
      </c>
      <c r="R634" t="inlineStr">
        <is>
          <t>,000000000</t>
        </is>
      </c>
      <c r="S634" t="inlineStr">
        <is>
          <t>,000000000</t>
        </is>
      </c>
      <c r="T634" t="inlineStr">
        <is>
          <t>,000000000</t>
        </is>
      </c>
      <c r="U634" t="inlineStr">
        <is>
          <t>,000000000</t>
        </is>
      </c>
      <c r="V634" t="inlineStr">
        <is>
          <t>,000000000</t>
        </is>
      </c>
      <c r="W634" t="inlineStr">
        <is>
          <t>,000000000</t>
        </is>
      </c>
      <c r="X634" t="inlineStr">
        <is>
          <t>,000000000</t>
        </is>
      </c>
      <c r="Y634" t="inlineStr">
        <is>
          <t>,000000000</t>
        </is>
      </c>
      <c r="Z634" t="inlineStr">
        <is>
          <t>,000000000</t>
        </is>
      </c>
      <c r="AA634" t="inlineStr">
        <is>
          <t>,000000000</t>
        </is>
      </c>
      <c r="AB634" t="inlineStr">
        <is>
          <t>2</t>
        </is>
      </c>
      <c r="AC634" t="inlineStr">
        <is>
          <t>1</t>
        </is>
      </c>
      <c r="AD634" s="3">
        <f>UPPER(C3)</f>
        <v/>
      </c>
      <c r="AE634" s="3">
        <f>VLOOKUP(E3,'[1]Nómina Agentes'!$C:$D,3,0)</f>
        <v/>
      </c>
      <c r="AF634" s="5">
        <f>F3</f>
        <v/>
      </c>
      <c r="AG634" s="5">
        <f>H3</f>
        <v/>
      </c>
    </row>
    <row r="635">
      <c r="A635" s="1" t="inlineStr">
        <is>
          <t>9/10/2024</t>
        </is>
      </c>
      <c r="B635" t="inlineStr">
        <is>
          <t>924</t>
        </is>
      </c>
      <c r="C635" t="inlineStr">
        <is>
          <t>S2S No Premium</t>
        </is>
      </c>
      <c r="D635" t="inlineStr">
        <is>
          <t>T*N2mW_RetamarMi</t>
        </is>
      </c>
      <c r="E635" t="inlineStr">
        <is>
          <t>664511</t>
        </is>
      </c>
      <c r="F635" s="2" t="inlineStr">
        <is>
          <t>09:00</t>
        </is>
      </c>
      <c r="G635" t="inlineStr">
        <is>
          <t>-</t>
        </is>
      </c>
      <c r="H635" s="2" t="inlineStr">
        <is>
          <t>09:30</t>
        </is>
      </c>
      <c r="I635" t="inlineStr">
        <is>
          <t>,000000000</t>
        </is>
      </c>
      <c r="J635" t="inlineStr">
        <is>
          <t>,000000000</t>
        </is>
      </c>
      <c r="K635" t="inlineStr">
        <is>
          <t>,000000000</t>
        </is>
      </c>
      <c r="L635" t="inlineStr">
        <is>
          <t>,000000000</t>
        </is>
      </c>
      <c r="M635" t="inlineStr">
        <is>
          <t>,000000000</t>
        </is>
      </c>
      <c r="N635" t="inlineStr">
        <is>
          <t>,000000000</t>
        </is>
      </c>
      <c r="O635" t="inlineStr">
        <is>
          <t>,000000000</t>
        </is>
      </c>
      <c r="P635" t="inlineStr">
        <is>
          <t>,000000000</t>
        </is>
      </c>
      <c r="Q635" t="inlineStr">
        <is>
          <t>,000000000</t>
        </is>
      </c>
      <c r="R635" t="inlineStr">
        <is>
          <t>,000000000</t>
        </is>
      </c>
      <c r="S635" t="inlineStr">
        <is>
          <t>,000000000</t>
        </is>
      </c>
      <c r="T635" t="inlineStr">
        <is>
          <t>,000000000</t>
        </is>
      </c>
      <c r="U635" t="inlineStr">
        <is>
          <t>,000000000</t>
        </is>
      </c>
      <c r="V635" t="inlineStr">
        <is>
          <t>,000000000</t>
        </is>
      </c>
      <c r="W635" t="inlineStr">
        <is>
          <t>,000000000</t>
        </is>
      </c>
      <c r="X635" t="inlineStr">
        <is>
          <t>,000000000</t>
        </is>
      </c>
      <c r="Y635" t="inlineStr">
        <is>
          <t>,000000000</t>
        </is>
      </c>
      <c r="Z635" t="inlineStr">
        <is>
          <t>,000000000</t>
        </is>
      </c>
      <c r="AA635" t="inlineStr">
        <is>
          <t>,000000000</t>
        </is>
      </c>
      <c r="AB635" t="inlineStr">
        <is>
          <t>0</t>
        </is>
      </c>
      <c r="AC635" t="inlineStr">
        <is>
          <t>0</t>
        </is>
      </c>
      <c r="AD635" s="3">
        <f>UPPER(C3)</f>
        <v/>
      </c>
      <c r="AE635" s="3">
        <f>VLOOKUP(E3,'[1]Nómina Agentes'!$C:$D,3,0)</f>
        <v/>
      </c>
      <c r="AF635" s="5">
        <f>F3</f>
        <v/>
      </c>
      <c r="AG635" s="5">
        <f>H3</f>
        <v/>
      </c>
    </row>
    <row r="636">
      <c r="A636" s="1" t="inlineStr">
        <is>
          <t>9/10/2024</t>
        </is>
      </c>
      <c r="B636" t="inlineStr">
        <is>
          <t>924</t>
        </is>
      </c>
      <c r="C636" t="inlineStr">
        <is>
          <t>S2S No Premium</t>
        </is>
      </c>
      <c r="D636" t="inlineStr">
        <is>
          <t>T*N2mW_RetamarMi</t>
        </is>
      </c>
      <c r="E636" t="inlineStr">
        <is>
          <t>664511</t>
        </is>
      </c>
      <c r="F636" s="2" t="inlineStr">
        <is>
          <t>10:30</t>
        </is>
      </c>
      <c r="G636" t="inlineStr">
        <is>
          <t>-</t>
        </is>
      </c>
      <c r="H636" s="2" t="inlineStr">
        <is>
          <t>11:00</t>
        </is>
      </c>
      <c r="I636" t="inlineStr">
        <is>
          <t>924,000000000</t>
        </is>
      </c>
      <c r="J636" t="inlineStr">
        <is>
          <t>,000000000</t>
        </is>
      </c>
      <c r="K636" t="inlineStr">
        <is>
          <t>,000000000</t>
        </is>
      </c>
      <c r="L636" t="inlineStr">
        <is>
          <t>16,000000000</t>
        </is>
      </c>
      <c r="M636" t="inlineStr">
        <is>
          <t>,000000000</t>
        </is>
      </c>
      <c r="N636" t="inlineStr">
        <is>
          <t>,000000000</t>
        </is>
      </c>
      <c r="O636" t="inlineStr">
        <is>
          <t>,000000000</t>
        </is>
      </c>
      <c r="P636" t="inlineStr">
        <is>
          <t>3,000000000</t>
        </is>
      </c>
      <c r="Q636" t="inlineStr">
        <is>
          <t>,000000000</t>
        </is>
      </c>
      <c r="R636" t="inlineStr">
        <is>
          <t>,000000000</t>
        </is>
      </c>
      <c r="S636" t="inlineStr">
        <is>
          <t>,000000000</t>
        </is>
      </c>
      <c r="T636" t="inlineStr">
        <is>
          <t>,000000000</t>
        </is>
      </c>
      <c r="U636" t="inlineStr">
        <is>
          <t>,000000000</t>
        </is>
      </c>
      <c r="V636" t="inlineStr">
        <is>
          <t>,000000000</t>
        </is>
      </c>
      <c r="W636" t="inlineStr">
        <is>
          <t>,000000000</t>
        </is>
      </c>
      <c r="X636" t="inlineStr">
        <is>
          <t>,000000000</t>
        </is>
      </c>
      <c r="Y636" t="inlineStr">
        <is>
          <t>,000000000</t>
        </is>
      </c>
      <c r="Z636" t="inlineStr">
        <is>
          <t>,000000000</t>
        </is>
      </c>
      <c r="AA636" t="inlineStr">
        <is>
          <t>,000000000</t>
        </is>
      </c>
      <c r="AB636" t="inlineStr">
        <is>
          <t>3</t>
        </is>
      </c>
      <c r="AC636" t="inlineStr">
        <is>
          <t>3</t>
        </is>
      </c>
      <c r="AD636" s="3">
        <f>UPPER(C3)</f>
        <v/>
      </c>
      <c r="AE636" s="3">
        <f>VLOOKUP(E3,'[1]Nómina Agentes'!$C:$D,3,0)</f>
        <v/>
      </c>
      <c r="AF636" s="5">
        <f>F3</f>
        <v/>
      </c>
      <c r="AG636" s="5">
        <f>H3</f>
        <v/>
      </c>
    </row>
    <row r="637">
      <c r="A637" s="1" t="inlineStr">
        <is>
          <t>9/10/2024</t>
        </is>
      </c>
      <c r="B637" t="inlineStr">
        <is>
          <t>924</t>
        </is>
      </c>
      <c r="C637" t="inlineStr">
        <is>
          <t>S2S No Premium</t>
        </is>
      </c>
      <c r="D637" t="inlineStr">
        <is>
          <t>T*N2mW_RetamarMi</t>
        </is>
      </c>
      <c r="E637" t="inlineStr">
        <is>
          <t>664511</t>
        </is>
      </c>
      <c r="F637" s="2" t="inlineStr">
        <is>
          <t>10:00</t>
        </is>
      </c>
      <c r="G637" t="inlineStr">
        <is>
          <t>-</t>
        </is>
      </c>
      <c r="H637" s="2" t="inlineStr">
        <is>
          <t>10:30</t>
        </is>
      </c>
      <c r="I637" t="inlineStr">
        <is>
          <t>1128,000000000</t>
        </is>
      </c>
      <c r="J637" t="inlineStr">
        <is>
          <t>,000000000</t>
        </is>
      </c>
      <c r="K637" t="inlineStr">
        <is>
          <t>,000000000</t>
        </is>
      </c>
      <c r="L637" t="inlineStr">
        <is>
          <t>8,000000000</t>
        </is>
      </c>
      <c r="M637" t="inlineStr">
        <is>
          <t>,000000000</t>
        </is>
      </c>
      <c r="N637" t="inlineStr">
        <is>
          <t>,000000000</t>
        </is>
      </c>
      <c r="O637" t="inlineStr">
        <is>
          <t>,000000000</t>
        </is>
      </c>
      <c r="P637" t="inlineStr">
        <is>
          <t>2,000000000</t>
        </is>
      </c>
      <c r="Q637" t="inlineStr">
        <is>
          <t>,000000000</t>
        </is>
      </c>
      <c r="R637" t="inlineStr">
        <is>
          <t>,000000000</t>
        </is>
      </c>
      <c r="S637" t="inlineStr">
        <is>
          <t>,000000000</t>
        </is>
      </c>
      <c r="T637" t="inlineStr">
        <is>
          <t>,000000000</t>
        </is>
      </c>
      <c r="U637" t="inlineStr">
        <is>
          <t>,000000000</t>
        </is>
      </c>
      <c r="V637" t="inlineStr">
        <is>
          <t>,000000000</t>
        </is>
      </c>
      <c r="W637" t="inlineStr">
        <is>
          <t>,000000000</t>
        </is>
      </c>
      <c r="X637" t="inlineStr">
        <is>
          <t>,000000000</t>
        </is>
      </c>
      <c r="Y637" t="inlineStr">
        <is>
          <t>,000000000</t>
        </is>
      </c>
      <c r="Z637" t="inlineStr">
        <is>
          <t>,000000000</t>
        </is>
      </c>
      <c r="AA637" t="inlineStr">
        <is>
          <t>,000000000</t>
        </is>
      </c>
      <c r="AB637" t="inlineStr">
        <is>
          <t>2</t>
        </is>
      </c>
      <c r="AC637" t="inlineStr">
        <is>
          <t>2</t>
        </is>
      </c>
      <c r="AD637" s="3">
        <f>UPPER(C3)</f>
        <v/>
      </c>
      <c r="AE637" s="3">
        <f>VLOOKUP(E3,'[1]Nómina Agentes'!$C:$D,3,0)</f>
        <v/>
      </c>
      <c r="AF637" s="5">
        <f>F3</f>
        <v/>
      </c>
      <c r="AG637" s="5">
        <f>H3</f>
        <v/>
      </c>
    </row>
    <row r="638">
      <c r="A638" s="1" t="inlineStr">
        <is>
          <t>9/10/2024</t>
        </is>
      </c>
      <c r="B638" t="inlineStr">
        <is>
          <t>924</t>
        </is>
      </c>
      <c r="C638" t="inlineStr">
        <is>
          <t>S2S No Premium</t>
        </is>
      </c>
      <c r="D638" t="inlineStr">
        <is>
          <t>T*N2mW_RetamarMi</t>
        </is>
      </c>
      <c r="E638" t="inlineStr">
        <is>
          <t>664511</t>
        </is>
      </c>
      <c r="F638" s="2" t="inlineStr">
        <is>
          <t>09:30</t>
        </is>
      </c>
      <c r="G638" t="inlineStr">
        <is>
          <t>-</t>
        </is>
      </c>
      <c r="H638" s="2" t="inlineStr">
        <is>
          <t>10:00</t>
        </is>
      </c>
      <c r="I638" t="inlineStr">
        <is>
          <t>1177,000000000</t>
        </is>
      </c>
      <c r="J638" t="inlineStr">
        <is>
          <t>,000000000</t>
        </is>
      </c>
      <c r="K638" t="inlineStr">
        <is>
          <t>,000000000</t>
        </is>
      </c>
      <c r="L638" t="inlineStr">
        <is>
          <t>16,000000000</t>
        </is>
      </c>
      <c r="M638" t="inlineStr">
        <is>
          <t>,000000000</t>
        </is>
      </c>
      <c r="N638" t="inlineStr">
        <is>
          <t>,000000000</t>
        </is>
      </c>
      <c r="O638" t="inlineStr">
        <is>
          <t>,000000000</t>
        </is>
      </c>
      <c r="P638" t="inlineStr">
        <is>
          <t>3,000000000</t>
        </is>
      </c>
      <c r="Q638" t="inlineStr">
        <is>
          <t>,000000000</t>
        </is>
      </c>
      <c r="R638" t="inlineStr">
        <is>
          <t>,000000000</t>
        </is>
      </c>
      <c r="S638" t="inlineStr">
        <is>
          <t>,000000000</t>
        </is>
      </c>
      <c r="T638" t="inlineStr">
        <is>
          <t>,000000000</t>
        </is>
      </c>
      <c r="U638" t="inlineStr">
        <is>
          <t>,000000000</t>
        </is>
      </c>
      <c r="V638" t="inlineStr">
        <is>
          <t>,000000000</t>
        </is>
      </c>
      <c r="W638" t="inlineStr">
        <is>
          <t>,000000000</t>
        </is>
      </c>
      <c r="X638" t="inlineStr">
        <is>
          <t>,000000000</t>
        </is>
      </c>
      <c r="Y638" t="inlineStr">
        <is>
          <t>,000000000</t>
        </is>
      </c>
      <c r="Z638" t="inlineStr">
        <is>
          <t>,000000000</t>
        </is>
      </c>
      <c r="AA638" t="inlineStr">
        <is>
          <t>,000000000</t>
        </is>
      </c>
      <c r="AB638" t="inlineStr">
        <is>
          <t>4</t>
        </is>
      </c>
      <c r="AC638" t="inlineStr">
        <is>
          <t>3</t>
        </is>
      </c>
      <c r="AD638" s="3">
        <f>UPPER(C3)</f>
        <v/>
      </c>
      <c r="AE638" s="3">
        <f>VLOOKUP(E3,'[1]Nómina Agentes'!$C:$D,3,0)</f>
        <v/>
      </c>
      <c r="AF638" s="5">
        <f>F3</f>
        <v/>
      </c>
      <c r="AG638" s="5">
        <f>H3</f>
        <v/>
      </c>
    </row>
    <row r="639">
      <c r="A639" s="1" t="inlineStr">
        <is>
          <t>9/10/2024</t>
        </is>
      </c>
      <c r="B639" t="inlineStr">
        <is>
          <t>925</t>
        </is>
      </c>
      <c r="C639" t="inlineStr">
        <is>
          <t>S2S Premium</t>
        </is>
      </c>
      <c r="D639" t="inlineStr">
        <is>
          <t>XPCC_SaucedoAgusti</t>
        </is>
      </c>
      <c r="E639" t="inlineStr">
        <is>
          <t>664577</t>
        </is>
      </c>
      <c r="F639" s="2" t="inlineStr">
        <is>
          <t>09:00</t>
        </is>
      </c>
      <c r="G639" t="inlineStr">
        <is>
          <t>-</t>
        </is>
      </c>
      <c r="H639" s="2" t="inlineStr">
        <is>
          <t>09:30</t>
        </is>
      </c>
      <c r="I639" t="inlineStr">
        <is>
          <t>,000000000</t>
        </is>
      </c>
      <c r="J639" t="inlineStr">
        <is>
          <t>,000000000</t>
        </is>
      </c>
      <c r="K639" t="inlineStr">
        <is>
          <t>,000000000</t>
        </is>
      </c>
      <c r="L639" t="inlineStr">
        <is>
          <t>,000000000</t>
        </is>
      </c>
      <c r="M639" t="inlineStr">
        <is>
          <t>,000000000</t>
        </is>
      </c>
      <c r="N639" t="inlineStr">
        <is>
          <t>,000000000</t>
        </is>
      </c>
      <c r="O639" t="inlineStr">
        <is>
          <t>,000000000</t>
        </is>
      </c>
      <c r="P639" t="inlineStr">
        <is>
          <t>,000000000</t>
        </is>
      </c>
      <c r="Q639" t="inlineStr">
        <is>
          <t>,000000000</t>
        </is>
      </c>
      <c r="R639" t="inlineStr">
        <is>
          <t>,000000000</t>
        </is>
      </c>
      <c r="S639" t="inlineStr">
        <is>
          <t>,000000000</t>
        </is>
      </c>
      <c r="T639" t="inlineStr">
        <is>
          <t>,000000000</t>
        </is>
      </c>
      <c r="U639" t="inlineStr">
        <is>
          <t>,000000000</t>
        </is>
      </c>
      <c r="V639" t="inlineStr">
        <is>
          <t>,000000000</t>
        </is>
      </c>
      <c r="W639" t="inlineStr">
        <is>
          <t>,000000000</t>
        </is>
      </c>
      <c r="X639" t="inlineStr">
        <is>
          <t>,000000000</t>
        </is>
      </c>
      <c r="Y639" t="inlineStr">
        <is>
          <t>,000000000</t>
        </is>
      </c>
      <c r="Z639" t="inlineStr">
        <is>
          <t>,000000000</t>
        </is>
      </c>
      <c r="AA639" t="inlineStr">
        <is>
          <t>,000000000</t>
        </is>
      </c>
      <c r="AB639" t="inlineStr">
        <is>
          <t>0</t>
        </is>
      </c>
      <c r="AC639" t="inlineStr">
        <is>
          <t>0</t>
        </is>
      </c>
      <c r="AD639" s="3">
        <f>UPPER(C3)</f>
        <v/>
      </c>
      <c r="AE639" s="3">
        <f>VLOOKUP(E3,'[1]Nómina Agentes'!$C:$D,3,0)</f>
        <v/>
      </c>
      <c r="AF639" s="5">
        <f>F3</f>
        <v/>
      </c>
      <c r="AG639" s="5">
        <f>H3</f>
        <v/>
      </c>
    </row>
    <row r="640">
      <c r="A640" s="1" t="inlineStr">
        <is>
          <t>9/10/2024</t>
        </is>
      </c>
      <c r="B640" t="inlineStr">
        <is>
          <t>925</t>
        </is>
      </c>
      <c r="C640" t="inlineStr">
        <is>
          <t>S2S Premium</t>
        </is>
      </c>
      <c r="D640" t="inlineStr">
        <is>
          <t>XPCC_SaucedoAgusti</t>
        </is>
      </c>
      <c r="E640" t="inlineStr">
        <is>
          <t>664577</t>
        </is>
      </c>
      <c r="F640" s="2" t="inlineStr">
        <is>
          <t>09:30</t>
        </is>
      </c>
      <c r="G640" t="inlineStr">
        <is>
          <t>-</t>
        </is>
      </c>
      <c r="H640" s="2" t="inlineStr">
        <is>
          <t>10:00</t>
        </is>
      </c>
      <c r="I640" t="inlineStr">
        <is>
          <t>,000000000</t>
        </is>
      </c>
      <c r="J640" t="inlineStr">
        <is>
          <t>,000000000</t>
        </is>
      </c>
      <c r="K640" t="inlineStr">
        <is>
          <t>,000000000</t>
        </is>
      </c>
      <c r="L640" t="inlineStr">
        <is>
          <t>,000000000</t>
        </is>
      </c>
      <c r="M640" t="inlineStr">
        <is>
          <t>,000000000</t>
        </is>
      </c>
      <c r="N640" t="inlineStr">
        <is>
          <t>,000000000</t>
        </is>
      </c>
      <c r="O640" t="inlineStr">
        <is>
          <t>,000000000</t>
        </is>
      </c>
      <c r="P640" t="inlineStr">
        <is>
          <t>,000000000</t>
        </is>
      </c>
      <c r="Q640" t="inlineStr">
        <is>
          <t>,000000000</t>
        </is>
      </c>
      <c r="R640" t="inlineStr">
        <is>
          <t>,000000000</t>
        </is>
      </c>
      <c r="S640" t="inlineStr">
        <is>
          <t>,000000000</t>
        </is>
      </c>
      <c r="T640" t="inlineStr">
        <is>
          <t>,000000000</t>
        </is>
      </c>
      <c r="U640" t="inlineStr">
        <is>
          <t>,000000000</t>
        </is>
      </c>
      <c r="V640" t="inlineStr">
        <is>
          <t>,000000000</t>
        </is>
      </c>
      <c r="W640" t="inlineStr">
        <is>
          <t>,000000000</t>
        </is>
      </c>
      <c r="X640" t="inlineStr">
        <is>
          <t>,000000000</t>
        </is>
      </c>
      <c r="Y640" t="inlineStr">
        <is>
          <t>,000000000</t>
        </is>
      </c>
      <c r="Z640" t="inlineStr">
        <is>
          <t>,000000000</t>
        </is>
      </c>
      <c r="AA640" t="inlineStr">
        <is>
          <t>,000000000</t>
        </is>
      </c>
      <c r="AB640" t="inlineStr">
        <is>
          <t>0</t>
        </is>
      </c>
      <c r="AC640" t="inlineStr">
        <is>
          <t>0</t>
        </is>
      </c>
      <c r="AD640" s="3">
        <f>UPPER(C3)</f>
        <v/>
      </c>
      <c r="AE640" s="3">
        <f>VLOOKUP(E3,'[1]Nómina Agentes'!$C:$D,3,0)</f>
        <v/>
      </c>
      <c r="AF640" s="5">
        <f>F3</f>
        <v/>
      </c>
      <c r="AG640" s="5">
        <f>H3</f>
        <v/>
      </c>
    </row>
    <row r="641">
      <c r="A641" s="1" t="inlineStr">
        <is>
          <t>9/10/2024</t>
        </is>
      </c>
      <c r="B641" t="inlineStr">
        <is>
          <t>925</t>
        </is>
      </c>
      <c r="C641" t="inlineStr">
        <is>
          <t>S2S Premium</t>
        </is>
      </c>
      <c r="D641" t="inlineStr">
        <is>
          <t>XPCC_SaucedoAgusti</t>
        </is>
      </c>
      <c r="E641" t="inlineStr">
        <is>
          <t>664577</t>
        </is>
      </c>
      <c r="F641" s="2" t="inlineStr">
        <is>
          <t>10:00</t>
        </is>
      </c>
      <c r="G641" t="inlineStr">
        <is>
          <t>-</t>
        </is>
      </c>
      <c r="H641" s="2" t="inlineStr">
        <is>
          <t>10:30</t>
        </is>
      </c>
      <c r="I641" t="inlineStr">
        <is>
          <t>,000000000</t>
        </is>
      </c>
      <c r="J641" t="inlineStr">
        <is>
          <t>,000000000</t>
        </is>
      </c>
      <c r="K641" t="inlineStr">
        <is>
          <t>,000000000</t>
        </is>
      </c>
      <c r="L641" t="inlineStr">
        <is>
          <t>,000000000</t>
        </is>
      </c>
      <c r="M641" t="inlineStr">
        <is>
          <t>,000000000</t>
        </is>
      </c>
      <c r="N641" t="inlineStr">
        <is>
          <t>,000000000</t>
        </is>
      </c>
      <c r="O641" t="inlineStr">
        <is>
          <t>,000000000</t>
        </is>
      </c>
      <c r="P641" t="inlineStr">
        <is>
          <t>,000000000</t>
        </is>
      </c>
      <c r="Q641" t="inlineStr">
        <is>
          <t>,000000000</t>
        </is>
      </c>
      <c r="R641" t="inlineStr">
        <is>
          <t>,000000000</t>
        </is>
      </c>
      <c r="S641" t="inlineStr">
        <is>
          <t>,000000000</t>
        </is>
      </c>
      <c r="T641" t="inlineStr">
        <is>
          <t>,000000000</t>
        </is>
      </c>
      <c r="U641" t="inlineStr">
        <is>
          <t>,000000000</t>
        </is>
      </c>
      <c r="V641" t="inlineStr">
        <is>
          <t>,000000000</t>
        </is>
      </c>
      <c r="W641" t="inlineStr">
        <is>
          <t>,000000000</t>
        </is>
      </c>
      <c r="X641" t="inlineStr">
        <is>
          <t>,000000000</t>
        </is>
      </c>
      <c r="Y641" t="inlineStr">
        <is>
          <t>,000000000</t>
        </is>
      </c>
      <c r="Z641" t="inlineStr">
        <is>
          <t>,000000000</t>
        </is>
      </c>
      <c r="AA641" t="inlineStr">
        <is>
          <t>,000000000</t>
        </is>
      </c>
      <c r="AB641" t="inlineStr">
        <is>
          <t>0</t>
        </is>
      </c>
      <c r="AC641" t="inlineStr">
        <is>
          <t>0</t>
        </is>
      </c>
      <c r="AD641" s="3">
        <f>UPPER(C3)</f>
        <v/>
      </c>
      <c r="AE641" s="3">
        <f>VLOOKUP(E3,'[1]Nómina Agentes'!$C:$D,3,0)</f>
        <v/>
      </c>
      <c r="AF641" s="5">
        <f>F3</f>
        <v/>
      </c>
      <c r="AG641" s="5">
        <f>H3</f>
        <v/>
      </c>
    </row>
    <row r="642">
      <c r="A642" s="1" t="inlineStr">
        <is>
          <t>9/10/2024</t>
        </is>
      </c>
      <c r="B642" t="inlineStr">
        <is>
          <t>925</t>
        </is>
      </c>
      <c r="C642" t="inlineStr">
        <is>
          <t>S2S Premium</t>
        </is>
      </c>
      <c r="D642" t="inlineStr">
        <is>
          <t>XPCC_SaucedoAgusti</t>
        </is>
      </c>
      <c r="E642" t="inlineStr">
        <is>
          <t>664577</t>
        </is>
      </c>
      <c r="F642" s="2" t="inlineStr">
        <is>
          <t>08:00</t>
        </is>
      </c>
      <c r="G642" t="inlineStr">
        <is>
          <t>-</t>
        </is>
      </c>
      <c r="H642" s="2" t="inlineStr">
        <is>
          <t>08:30</t>
        </is>
      </c>
      <c r="I642" t="inlineStr">
        <is>
          <t>,000000000</t>
        </is>
      </c>
      <c r="J642" t="inlineStr">
        <is>
          <t>,000000000</t>
        </is>
      </c>
      <c r="K642" t="inlineStr">
        <is>
          <t>,000000000</t>
        </is>
      </c>
      <c r="L642" t="inlineStr">
        <is>
          <t>,000000000</t>
        </is>
      </c>
      <c r="M642" t="inlineStr">
        <is>
          <t>,000000000</t>
        </is>
      </c>
      <c r="N642" t="inlineStr">
        <is>
          <t>,000000000</t>
        </is>
      </c>
      <c r="O642" t="inlineStr">
        <is>
          <t>,000000000</t>
        </is>
      </c>
      <c r="P642" t="inlineStr">
        <is>
          <t>,000000000</t>
        </is>
      </c>
      <c r="Q642" t="inlineStr">
        <is>
          <t>,000000000</t>
        </is>
      </c>
      <c r="R642" t="inlineStr">
        <is>
          <t>,000000000</t>
        </is>
      </c>
      <c r="S642" t="inlineStr">
        <is>
          <t>,000000000</t>
        </is>
      </c>
      <c r="T642" t="inlineStr">
        <is>
          <t>,000000000</t>
        </is>
      </c>
      <c r="U642" t="inlineStr">
        <is>
          <t>,000000000</t>
        </is>
      </c>
      <c r="V642" t="inlineStr">
        <is>
          <t>,000000000</t>
        </is>
      </c>
      <c r="W642" t="inlineStr">
        <is>
          <t>,000000000</t>
        </is>
      </c>
      <c r="X642" t="inlineStr">
        <is>
          <t>,000000000</t>
        </is>
      </c>
      <c r="Y642" t="inlineStr">
        <is>
          <t>,000000000</t>
        </is>
      </c>
      <c r="Z642" t="inlineStr">
        <is>
          <t>,000000000</t>
        </is>
      </c>
      <c r="AA642" t="inlineStr">
        <is>
          <t>,000000000</t>
        </is>
      </c>
      <c r="AB642" t="inlineStr">
        <is>
          <t>0</t>
        </is>
      </c>
      <c r="AC642" t="inlineStr">
        <is>
          <t>0</t>
        </is>
      </c>
      <c r="AD642" s="3">
        <f>UPPER(C3)</f>
        <v/>
      </c>
      <c r="AE642" s="3">
        <f>VLOOKUP(E3,'[1]Nómina Agentes'!$C:$D,3,0)</f>
        <v/>
      </c>
      <c r="AF642" s="5">
        <f>F3</f>
        <v/>
      </c>
      <c r="AG642" s="5">
        <f>H3</f>
        <v/>
      </c>
    </row>
    <row r="643">
      <c r="A643" s="1" t="inlineStr">
        <is>
          <t>9/10/2024</t>
        </is>
      </c>
      <c r="B643" t="inlineStr">
        <is>
          <t>925</t>
        </is>
      </c>
      <c r="C643" t="inlineStr">
        <is>
          <t>S2S Premium</t>
        </is>
      </c>
      <c r="D643" t="inlineStr">
        <is>
          <t>XPCC_SaucedoAgusti</t>
        </is>
      </c>
      <c r="E643" t="inlineStr">
        <is>
          <t>664577</t>
        </is>
      </c>
      <c r="F643" s="2" t="inlineStr">
        <is>
          <t>10:30</t>
        </is>
      </c>
      <c r="G643" t="inlineStr">
        <is>
          <t>-</t>
        </is>
      </c>
      <c r="H643" s="2" t="inlineStr">
        <is>
          <t>11:00</t>
        </is>
      </c>
      <c r="I643" t="inlineStr">
        <is>
          <t>,000000000</t>
        </is>
      </c>
      <c r="J643" t="inlineStr">
        <is>
          <t>,000000000</t>
        </is>
      </c>
      <c r="K643" t="inlineStr">
        <is>
          <t>,000000000</t>
        </is>
      </c>
      <c r="L643" t="inlineStr">
        <is>
          <t>,000000000</t>
        </is>
      </c>
      <c r="M643" t="inlineStr">
        <is>
          <t>,000000000</t>
        </is>
      </c>
      <c r="N643" t="inlineStr">
        <is>
          <t>,000000000</t>
        </is>
      </c>
      <c r="O643" t="inlineStr">
        <is>
          <t>,000000000</t>
        </is>
      </c>
      <c r="P643" t="inlineStr">
        <is>
          <t>,000000000</t>
        </is>
      </c>
      <c r="Q643" t="inlineStr">
        <is>
          <t>,000000000</t>
        </is>
      </c>
      <c r="R643" t="inlineStr">
        <is>
          <t>,000000000</t>
        </is>
      </c>
      <c r="S643" t="inlineStr">
        <is>
          <t>,000000000</t>
        </is>
      </c>
      <c r="T643" t="inlineStr">
        <is>
          <t>,000000000</t>
        </is>
      </c>
      <c r="U643" t="inlineStr">
        <is>
          <t>,000000000</t>
        </is>
      </c>
      <c r="V643" t="inlineStr">
        <is>
          <t>,000000000</t>
        </is>
      </c>
      <c r="W643" t="inlineStr">
        <is>
          <t>,000000000</t>
        </is>
      </c>
      <c r="X643" t="inlineStr">
        <is>
          <t>,000000000</t>
        </is>
      </c>
      <c r="Y643" t="inlineStr">
        <is>
          <t>,000000000</t>
        </is>
      </c>
      <c r="Z643" t="inlineStr">
        <is>
          <t>,000000000</t>
        </is>
      </c>
      <c r="AA643" t="inlineStr">
        <is>
          <t>,000000000</t>
        </is>
      </c>
      <c r="AB643" t="inlineStr">
        <is>
          <t>0</t>
        </is>
      </c>
      <c r="AC643" t="inlineStr">
        <is>
          <t>0</t>
        </is>
      </c>
      <c r="AD643" s="3">
        <f>UPPER(C3)</f>
        <v/>
      </c>
      <c r="AE643" s="3">
        <f>VLOOKUP(E3,'[1]Nómina Agentes'!$C:$D,3,0)</f>
        <v/>
      </c>
      <c r="AF643" s="5">
        <f>F3</f>
        <v/>
      </c>
      <c r="AG643" s="5">
        <f>H3</f>
        <v/>
      </c>
    </row>
    <row r="644">
      <c r="A644" s="1" t="inlineStr">
        <is>
          <t>9/10/2024</t>
        </is>
      </c>
      <c r="B644" t="inlineStr">
        <is>
          <t>925</t>
        </is>
      </c>
      <c r="C644" t="inlineStr">
        <is>
          <t>S2S Premium</t>
        </is>
      </c>
      <c r="D644" t="inlineStr">
        <is>
          <t>XPCC_SaucedoAgusti</t>
        </is>
      </c>
      <c r="E644" t="inlineStr">
        <is>
          <t>664577</t>
        </is>
      </c>
      <c r="F644" s="2" t="inlineStr">
        <is>
          <t>07:00</t>
        </is>
      </c>
      <c r="G644" t="inlineStr">
        <is>
          <t>-</t>
        </is>
      </c>
      <c r="H644" s="2" t="inlineStr">
        <is>
          <t>07:30</t>
        </is>
      </c>
      <c r="I644" t="inlineStr">
        <is>
          <t>107,000000000</t>
        </is>
      </c>
      <c r="J644" t="inlineStr">
        <is>
          <t>,000000000</t>
        </is>
      </c>
      <c r="K644" t="inlineStr">
        <is>
          <t>,000000000</t>
        </is>
      </c>
      <c r="L644" t="inlineStr">
        <is>
          <t>4,000000000</t>
        </is>
      </c>
      <c r="M644" t="inlineStr">
        <is>
          <t>,000000000</t>
        </is>
      </c>
      <c r="N644" t="inlineStr">
        <is>
          <t>,000000000</t>
        </is>
      </c>
      <c r="O644" t="inlineStr">
        <is>
          <t>,000000000</t>
        </is>
      </c>
      <c r="P644" t="inlineStr">
        <is>
          <t>1,000000000</t>
        </is>
      </c>
      <c r="Q644" t="inlineStr">
        <is>
          <t>,000000000</t>
        </is>
      </c>
      <c r="R644" t="inlineStr">
        <is>
          <t>,000000000</t>
        </is>
      </c>
      <c r="S644" t="inlineStr">
        <is>
          <t>,000000000</t>
        </is>
      </c>
      <c r="T644" t="inlineStr">
        <is>
          <t>,000000000</t>
        </is>
      </c>
      <c r="U644" t="inlineStr">
        <is>
          <t>,000000000</t>
        </is>
      </c>
      <c r="V644" t="inlineStr">
        <is>
          <t>,000000000</t>
        </is>
      </c>
      <c r="W644" t="inlineStr">
        <is>
          <t>,000000000</t>
        </is>
      </c>
      <c r="X644" t="inlineStr">
        <is>
          <t>,000000000</t>
        </is>
      </c>
      <c r="Y644" t="inlineStr">
        <is>
          <t>,000000000</t>
        </is>
      </c>
      <c r="Z644" t="inlineStr">
        <is>
          <t>,000000000</t>
        </is>
      </c>
      <c r="AA644" t="inlineStr">
        <is>
          <t>,000000000</t>
        </is>
      </c>
      <c r="AB644" t="inlineStr">
        <is>
          <t>1</t>
        </is>
      </c>
      <c r="AC644" t="inlineStr">
        <is>
          <t>1</t>
        </is>
      </c>
      <c r="AD644" s="3">
        <f>UPPER(C3)</f>
        <v/>
      </c>
      <c r="AE644" s="3">
        <f>VLOOKUP(E3,'[1]Nómina Agentes'!$C:$D,3,0)</f>
        <v/>
      </c>
      <c r="AF644" s="5">
        <f>F3</f>
        <v/>
      </c>
      <c r="AG644" s="5">
        <f>H3</f>
        <v/>
      </c>
    </row>
    <row r="645">
      <c r="A645" s="1" t="inlineStr">
        <is>
          <t>9/10/2024</t>
        </is>
      </c>
      <c r="B645" t="inlineStr">
        <is>
          <t>925</t>
        </is>
      </c>
      <c r="C645" t="inlineStr">
        <is>
          <t>S2S Premium</t>
        </is>
      </c>
      <c r="D645" t="inlineStr">
        <is>
          <t>XPCC_SaucedoAgusti</t>
        </is>
      </c>
      <c r="E645" t="inlineStr">
        <is>
          <t>664577</t>
        </is>
      </c>
      <c r="F645" s="2" t="inlineStr">
        <is>
          <t>07:30</t>
        </is>
      </c>
      <c r="G645" t="inlineStr">
        <is>
          <t>-</t>
        </is>
      </c>
      <c r="H645" s="2" t="inlineStr">
        <is>
          <t>08:00</t>
        </is>
      </c>
      <c r="I645" t="inlineStr">
        <is>
          <t>117,000000000</t>
        </is>
      </c>
      <c r="J645" t="inlineStr">
        <is>
          <t>,000000000</t>
        </is>
      </c>
      <c r="K645" t="inlineStr">
        <is>
          <t>,000000000</t>
        </is>
      </c>
      <c r="L645" t="inlineStr">
        <is>
          <t>4,000000000</t>
        </is>
      </c>
      <c r="M645" t="inlineStr">
        <is>
          <t>,000000000</t>
        </is>
      </c>
      <c r="N645" t="inlineStr">
        <is>
          <t>,000000000</t>
        </is>
      </c>
      <c r="O645" t="inlineStr">
        <is>
          <t>,000000000</t>
        </is>
      </c>
      <c r="P645" t="inlineStr">
        <is>
          <t>,000000000</t>
        </is>
      </c>
      <c r="Q645" t="inlineStr">
        <is>
          <t>,000000000</t>
        </is>
      </c>
      <c r="R645" t="inlineStr">
        <is>
          <t>,000000000</t>
        </is>
      </c>
      <c r="S645" t="inlineStr">
        <is>
          <t>,000000000</t>
        </is>
      </c>
      <c r="T645" t="inlineStr">
        <is>
          <t>,000000000</t>
        </is>
      </c>
      <c r="U645" t="inlineStr">
        <is>
          <t>,000000000</t>
        </is>
      </c>
      <c r="V645" t="inlineStr">
        <is>
          <t>,000000000</t>
        </is>
      </c>
      <c r="W645" t="inlineStr">
        <is>
          <t>,000000000</t>
        </is>
      </c>
      <c r="X645" t="inlineStr">
        <is>
          <t>,000000000</t>
        </is>
      </c>
      <c r="Y645" t="inlineStr">
        <is>
          <t>,000000000</t>
        </is>
      </c>
      <c r="Z645" t="inlineStr">
        <is>
          <t>,000000000</t>
        </is>
      </c>
      <c r="AA645" t="inlineStr">
        <is>
          <t>,000000000</t>
        </is>
      </c>
      <c r="AB645" t="inlineStr">
        <is>
          <t>1</t>
        </is>
      </c>
      <c r="AC645" t="inlineStr">
        <is>
          <t>0</t>
        </is>
      </c>
      <c r="AD645" s="3">
        <f>UPPER(C3)</f>
        <v/>
      </c>
      <c r="AE645" s="3">
        <f>VLOOKUP(E3,'[1]Nómina Agentes'!$C:$D,3,0)</f>
        <v/>
      </c>
      <c r="AF645" s="5">
        <f>F3</f>
        <v/>
      </c>
      <c r="AG645" s="5">
        <f>H3</f>
        <v/>
      </c>
    </row>
    <row r="646">
      <c r="A646" s="1" t="inlineStr">
        <is>
          <t>9/10/2024</t>
        </is>
      </c>
      <c r="B646" t="inlineStr">
        <is>
          <t>925</t>
        </is>
      </c>
      <c r="C646" t="inlineStr">
        <is>
          <t>S2S Premium</t>
        </is>
      </c>
      <c r="D646" t="inlineStr">
        <is>
          <t>XPCC_SaucedoAgusti</t>
        </is>
      </c>
      <c r="E646" t="inlineStr">
        <is>
          <t>664577</t>
        </is>
      </c>
      <c r="F646" s="2" t="inlineStr">
        <is>
          <t>08:30</t>
        </is>
      </c>
      <c r="G646" t="inlineStr">
        <is>
          <t>-</t>
        </is>
      </c>
      <c r="H646" s="2" t="inlineStr">
        <is>
          <t>09:00</t>
        </is>
      </c>
      <c r="I646" t="inlineStr">
        <is>
          <t>214,000000000</t>
        </is>
      </c>
      <c r="J646" t="inlineStr">
        <is>
          <t>,000000000</t>
        </is>
      </c>
      <c r="K646" t="inlineStr">
        <is>
          <t>,000000000</t>
        </is>
      </c>
      <c r="L646" t="inlineStr">
        <is>
          <t>4,000000000</t>
        </is>
      </c>
      <c r="M646" t="inlineStr">
        <is>
          <t>,000000000</t>
        </is>
      </c>
      <c r="N646" t="inlineStr">
        <is>
          <t>,000000000</t>
        </is>
      </c>
      <c r="O646" t="inlineStr">
        <is>
          <t>,000000000</t>
        </is>
      </c>
      <c r="P646" t="inlineStr">
        <is>
          <t>123,000000000</t>
        </is>
      </c>
      <c r="Q646" t="inlineStr">
        <is>
          <t>,000000000</t>
        </is>
      </c>
      <c r="R646" t="inlineStr">
        <is>
          <t>,000000000</t>
        </is>
      </c>
      <c r="S646" t="inlineStr">
        <is>
          <t>,000000000</t>
        </is>
      </c>
      <c r="T646" t="inlineStr">
        <is>
          <t>,000000000</t>
        </is>
      </c>
      <c r="U646" t="inlineStr">
        <is>
          <t>,000000000</t>
        </is>
      </c>
      <c r="V646" t="inlineStr">
        <is>
          <t>,000000000</t>
        </is>
      </c>
      <c r="W646" t="inlineStr">
        <is>
          <t>,000000000</t>
        </is>
      </c>
      <c r="X646" t="inlineStr">
        <is>
          <t>,000000000</t>
        </is>
      </c>
      <c r="Y646" t="inlineStr">
        <is>
          <t>,000000000</t>
        </is>
      </c>
      <c r="Z646" t="inlineStr">
        <is>
          <t>,000000000</t>
        </is>
      </c>
      <c r="AA646" t="inlineStr">
        <is>
          <t>,000000000</t>
        </is>
      </c>
      <c r="AB646" t="inlineStr">
        <is>
          <t>1</t>
        </is>
      </c>
      <c r="AC646" t="inlineStr">
        <is>
          <t>1</t>
        </is>
      </c>
      <c r="AD646" s="3">
        <f>UPPER(C3)</f>
        <v/>
      </c>
      <c r="AE646" s="3">
        <f>VLOOKUP(E3,'[1]Nómina Agentes'!$C:$D,3,0)</f>
        <v/>
      </c>
      <c r="AF646" s="5">
        <f>F3</f>
        <v/>
      </c>
      <c r="AG646" s="5">
        <f>H3</f>
        <v/>
      </c>
    </row>
    <row r="647">
      <c r="A647" s="1" t="inlineStr">
        <is>
          <t>9/10/2024</t>
        </is>
      </c>
      <c r="B647" t="inlineStr">
        <is>
          <t>925</t>
        </is>
      </c>
      <c r="C647" t="inlineStr">
        <is>
          <t>S2S Premium</t>
        </is>
      </c>
      <c r="D647" t="inlineStr">
        <is>
          <t>PCC_Vargas, Tania</t>
        </is>
      </c>
      <c r="E647" t="inlineStr">
        <is>
          <t>664581</t>
        </is>
      </c>
      <c r="F647" s="2" t="inlineStr">
        <is>
          <t>06:00</t>
        </is>
      </c>
      <c r="G647" t="inlineStr">
        <is>
          <t>-</t>
        </is>
      </c>
      <c r="H647" s="2" t="inlineStr">
        <is>
          <t>06:30</t>
        </is>
      </c>
      <c r="I647" t="inlineStr">
        <is>
          <t>,000000000</t>
        </is>
      </c>
      <c r="J647" t="inlineStr">
        <is>
          <t>,000000000</t>
        </is>
      </c>
      <c r="K647" t="inlineStr">
        <is>
          <t>,000000000</t>
        </is>
      </c>
      <c r="L647" t="inlineStr">
        <is>
          <t>,000000000</t>
        </is>
      </c>
      <c r="M647" t="inlineStr">
        <is>
          <t>,000000000</t>
        </is>
      </c>
      <c r="N647" t="inlineStr">
        <is>
          <t>,000000000</t>
        </is>
      </c>
      <c r="O647" t="inlineStr">
        <is>
          <t>,000000000</t>
        </is>
      </c>
      <c r="P647" t="inlineStr">
        <is>
          <t>,000000000</t>
        </is>
      </c>
      <c r="Q647" t="inlineStr">
        <is>
          <t>,000000000</t>
        </is>
      </c>
      <c r="R647" t="inlineStr">
        <is>
          <t>,000000000</t>
        </is>
      </c>
      <c r="S647" t="inlineStr">
        <is>
          <t>,000000000</t>
        </is>
      </c>
      <c r="T647" t="inlineStr">
        <is>
          <t>,000000000</t>
        </is>
      </c>
      <c r="U647" t="inlineStr">
        <is>
          <t>,000000000</t>
        </is>
      </c>
      <c r="V647" t="inlineStr">
        <is>
          <t>,000000000</t>
        </is>
      </c>
      <c r="W647" t="inlineStr">
        <is>
          <t>,000000000</t>
        </is>
      </c>
      <c r="X647" t="inlineStr">
        <is>
          <t>,000000000</t>
        </is>
      </c>
      <c r="Y647" t="inlineStr">
        <is>
          <t>,000000000</t>
        </is>
      </c>
      <c r="Z647" t="inlineStr">
        <is>
          <t>,000000000</t>
        </is>
      </c>
      <c r="AA647" t="inlineStr">
        <is>
          <t>,000000000</t>
        </is>
      </c>
      <c r="AB647" t="inlineStr">
        <is>
          <t>0</t>
        </is>
      </c>
      <c r="AC647" t="inlineStr">
        <is>
          <t>0</t>
        </is>
      </c>
      <c r="AD647" s="3">
        <f>UPPER(C3)</f>
        <v/>
      </c>
      <c r="AE647" s="3">
        <f>VLOOKUP(E3,'[1]Nómina Agentes'!$C:$D,3,0)</f>
        <v/>
      </c>
      <c r="AF647" s="5">
        <f>F3</f>
        <v/>
      </c>
      <c r="AG647" s="5">
        <f>H3</f>
        <v/>
      </c>
    </row>
    <row r="648">
      <c r="A648" s="1" t="inlineStr">
        <is>
          <t>9/10/2024</t>
        </is>
      </c>
      <c r="B648" t="inlineStr">
        <is>
          <t>925</t>
        </is>
      </c>
      <c r="C648" t="inlineStr">
        <is>
          <t>S2S Premium</t>
        </is>
      </c>
      <c r="D648" t="inlineStr">
        <is>
          <t>XPCC_Mitoire,Cecilia</t>
        </is>
      </c>
      <c r="E648" t="inlineStr">
        <is>
          <t>664594</t>
        </is>
      </c>
      <c r="F648" s="2" t="inlineStr">
        <is>
          <t>09:00</t>
        </is>
      </c>
      <c r="G648" t="inlineStr">
        <is>
          <t>-</t>
        </is>
      </c>
      <c r="H648" s="2" t="inlineStr">
        <is>
          <t>09:30</t>
        </is>
      </c>
      <c r="I648" t="inlineStr">
        <is>
          <t>726,000000000</t>
        </is>
      </c>
      <c r="J648" t="inlineStr">
        <is>
          <t>,000000000</t>
        </is>
      </c>
      <c r="K648" t="inlineStr">
        <is>
          <t>,000000000</t>
        </is>
      </c>
      <c r="L648" t="inlineStr">
        <is>
          <t>12,000000000</t>
        </is>
      </c>
      <c r="M648" t="inlineStr">
        <is>
          <t>,000000000</t>
        </is>
      </c>
      <c r="N648" t="inlineStr">
        <is>
          <t>,000000000</t>
        </is>
      </c>
      <c r="O648" t="inlineStr">
        <is>
          <t>,000000000</t>
        </is>
      </c>
      <c r="P648" t="inlineStr">
        <is>
          <t>1,000000000</t>
        </is>
      </c>
      <c r="Q648" t="inlineStr">
        <is>
          <t>,000000000</t>
        </is>
      </c>
      <c r="R648" t="inlineStr">
        <is>
          <t>,000000000</t>
        </is>
      </c>
      <c r="S648" t="inlineStr">
        <is>
          <t>,000000000</t>
        </is>
      </c>
      <c r="T648" t="inlineStr">
        <is>
          <t>,000000000</t>
        </is>
      </c>
      <c r="U648" t="inlineStr">
        <is>
          <t>,000000000</t>
        </is>
      </c>
      <c r="V648" t="inlineStr">
        <is>
          <t>,000000000</t>
        </is>
      </c>
      <c r="W648" t="inlineStr">
        <is>
          <t>,000000000</t>
        </is>
      </c>
      <c r="X648" t="inlineStr">
        <is>
          <t>,000000000</t>
        </is>
      </c>
      <c r="Y648" t="inlineStr">
        <is>
          <t>,000000000</t>
        </is>
      </c>
      <c r="Z648" t="inlineStr">
        <is>
          <t>,000000000</t>
        </is>
      </c>
      <c r="AA648" t="inlineStr">
        <is>
          <t>,000000000</t>
        </is>
      </c>
      <c r="AB648" t="inlineStr">
        <is>
          <t>2</t>
        </is>
      </c>
      <c r="AC648" t="inlineStr">
        <is>
          <t>1</t>
        </is>
      </c>
      <c r="AD648" s="3">
        <f>UPPER(C3)</f>
        <v/>
      </c>
      <c r="AE648" s="3">
        <f>VLOOKUP(E3,'[1]Nómina Agentes'!$C:$D,3,0)</f>
        <v/>
      </c>
      <c r="AF648" s="5">
        <f>F3</f>
        <v/>
      </c>
      <c r="AG648" s="5">
        <f>H3</f>
        <v/>
      </c>
    </row>
    <row r="649">
      <c r="A649" s="1" t="inlineStr">
        <is>
          <t>9/10/2024</t>
        </is>
      </c>
      <c r="B649" t="inlineStr">
        <is>
          <t>925</t>
        </is>
      </c>
      <c r="C649" t="inlineStr">
        <is>
          <t>S2S Premium</t>
        </is>
      </c>
      <c r="D649" t="inlineStr">
        <is>
          <t>XPCC_Mitoire,Cecilia</t>
        </is>
      </c>
      <c r="E649" t="inlineStr">
        <is>
          <t>664594</t>
        </is>
      </c>
      <c r="F649" s="2" t="inlineStr">
        <is>
          <t>10:00</t>
        </is>
      </c>
      <c r="G649" t="inlineStr">
        <is>
          <t>-</t>
        </is>
      </c>
      <c r="H649" s="2" t="inlineStr">
        <is>
          <t>10:30</t>
        </is>
      </c>
      <c r="I649" t="inlineStr">
        <is>
          <t>767,000000000</t>
        </is>
      </c>
      <c r="J649" t="inlineStr">
        <is>
          <t>,000000000</t>
        </is>
      </c>
      <c r="K649" t="inlineStr">
        <is>
          <t>,000000000</t>
        </is>
      </c>
      <c r="L649" t="inlineStr">
        <is>
          <t>15,000000000</t>
        </is>
      </c>
      <c r="M649" t="inlineStr">
        <is>
          <t>,000000000</t>
        </is>
      </c>
      <c r="N649" t="inlineStr">
        <is>
          <t>,000000000</t>
        </is>
      </c>
      <c r="O649" t="inlineStr">
        <is>
          <t>,000000000</t>
        </is>
      </c>
      <c r="P649" t="inlineStr">
        <is>
          <t>539,000000000</t>
        </is>
      </c>
      <c r="Q649" t="inlineStr">
        <is>
          <t>145,000000000</t>
        </is>
      </c>
      <c r="R649" t="inlineStr">
        <is>
          <t>,000000000</t>
        </is>
      </c>
      <c r="S649" t="inlineStr">
        <is>
          <t>,000000000</t>
        </is>
      </c>
      <c r="T649" t="inlineStr">
        <is>
          <t>,000000000</t>
        </is>
      </c>
      <c r="U649" t="inlineStr">
        <is>
          <t>,000000000</t>
        </is>
      </c>
      <c r="V649" t="inlineStr">
        <is>
          <t>,000000000</t>
        </is>
      </c>
      <c r="W649" t="inlineStr">
        <is>
          <t>,000000000</t>
        </is>
      </c>
      <c r="X649" t="inlineStr">
        <is>
          <t>,000000000</t>
        </is>
      </c>
      <c r="Y649" t="inlineStr">
        <is>
          <t>,000000000</t>
        </is>
      </c>
      <c r="Z649" t="inlineStr">
        <is>
          <t>,000000000</t>
        </is>
      </c>
      <c r="AA649" t="inlineStr">
        <is>
          <t>,000000000</t>
        </is>
      </c>
      <c r="AB649" t="inlineStr">
        <is>
          <t>4</t>
        </is>
      </c>
      <c r="AC649" t="inlineStr">
        <is>
          <t>4</t>
        </is>
      </c>
      <c r="AD649" s="3">
        <f>UPPER(C3)</f>
        <v/>
      </c>
      <c r="AE649" s="3">
        <f>VLOOKUP(E3,'[1]Nómina Agentes'!$C:$D,3,0)</f>
        <v/>
      </c>
      <c r="AF649" s="5">
        <f>F3</f>
        <v/>
      </c>
      <c r="AG649" s="5">
        <f>H3</f>
        <v/>
      </c>
    </row>
    <row r="650">
      <c r="A650" s="1" t="inlineStr">
        <is>
          <t>9/10/2024</t>
        </is>
      </c>
      <c r="B650" t="inlineStr">
        <is>
          <t>925</t>
        </is>
      </c>
      <c r="C650" t="inlineStr">
        <is>
          <t>S2S Premium</t>
        </is>
      </c>
      <c r="D650" t="inlineStr">
        <is>
          <t>XPCC_Mitoire,Cecilia</t>
        </is>
      </c>
      <c r="E650" t="inlineStr">
        <is>
          <t>664594</t>
        </is>
      </c>
      <c r="F650" s="2" t="inlineStr">
        <is>
          <t>10:30</t>
        </is>
      </c>
      <c r="G650" t="inlineStr">
        <is>
          <t>-</t>
        </is>
      </c>
      <c r="H650" s="2" t="inlineStr">
        <is>
          <t>11:00</t>
        </is>
      </c>
      <c r="I650" t="inlineStr">
        <is>
          <t>994,000000000</t>
        </is>
      </c>
      <c r="J650" t="inlineStr">
        <is>
          <t>,000000000</t>
        </is>
      </c>
      <c r="K650" t="inlineStr">
        <is>
          <t>,000000000</t>
        </is>
      </c>
      <c r="L650" t="inlineStr">
        <is>
          <t>16,000000000</t>
        </is>
      </c>
      <c r="M650" t="inlineStr">
        <is>
          <t>,000000000</t>
        </is>
      </c>
      <c r="N650" t="inlineStr">
        <is>
          <t>,000000000</t>
        </is>
      </c>
      <c r="O650" t="inlineStr">
        <is>
          <t>,000000000</t>
        </is>
      </c>
      <c r="P650" t="inlineStr">
        <is>
          <t>322,000000000</t>
        </is>
      </c>
      <c r="Q650" t="inlineStr">
        <is>
          <t>200,000000000</t>
        </is>
      </c>
      <c r="R650" t="inlineStr">
        <is>
          <t>,000000000</t>
        </is>
      </c>
      <c r="S650" t="inlineStr">
        <is>
          <t>,000000000</t>
        </is>
      </c>
      <c r="T650" t="inlineStr">
        <is>
          <t>,000000000</t>
        </is>
      </c>
      <c r="U650" t="inlineStr">
        <is>
          <t>,000000000</t>
        </is>
      </c>
      <c r="V650" t="inlineStr">
        <is>
          <t>,000000000</t>
        </is>
      </c>
      <c r="W650" t="inlineStr">
        <is>
          <t>,000000000</t>
        </is>
      </c>
      <c r="X650" t="inlineStr">
        <is>
          <t>,000000000</t>
        </is>
      </c>
      <c r="Y650" t="inlineStr">
        <is>
          <t>,000000000</t>
        </is>
      </c>
      <c r="Z650" t="inlineStr">
        <is>
          <t>,000000000</t>
        </is>
      </c>
      <c r="AA650" t="inlineStr">
        <is>
          <t>,000000000</t>
        </is>
      </c>
      <c r="AB650" t="inlineStr">
        <is>
          <t>4</t>
        </is>
      </c>
      <c r="AC650" t="inlineStr">
        <is>
          <t>4</t>
        </is>
      </c>
      <c r="AD650" s="3">
        <f>UPPER(C3)</f>
        <v/>
      </c>
      <c r="AE650" s="3">
        <f>VLOOKUP(E3,'[1]Nómina Agentes'!$C:$D,3,0)</f>
        <v/>
      </c>
      <c r="AF650" s="5">
        <f>F3</f>
        <v/>
      </c>
      <c r="AG650" s="5">
        <f>H3</f>
        <v/>
      </c>
    </row>
    <row r="651">
      <c r="A651" s="1" t="inlineStr">
        <is>
          <t>9/10/2024</t>
        </is>
      </c>
      <c r="B651" t="inlineStr">
        <is>
          <t>925</t>
        </is>
      </c>
      <c r="C651" t="inlineStr">
        <is>
          <t>S2S Premium</t>
        </is>
      </c>
      <c r="D651" t="inlineStr">
        <is>
          <t>XPCC_Mitoire,Cecilia</t>
        </is>
      </c>
      <c r="E651" t="inlineStr">
        <is>
          <t>664594</t>
        </is>
      </c>
      <c r="F651" s="2" t="inlineStr">
        <is>
          <t>09:30</t>
        </is>
      </c>
      <c r="G651" t="inlineStr">
        <is>
          <t>-</t>
        </is>
      </c>
      <c r="H651" s="2" t="inlineStr">
        <is>
          <t>10:00</t>
        </is>
      </c>
      <c r="I651" t="inlineStr">
        <is>
          <t>1132,000000000</t>
        </is>
      </c>
      <c r="J651" t="inlineStr">
        <is>
          <t>,000000000</t>
        </is>
      </c>
      <c r="K651" t="inlineStr">
        <is>
          <t>,000000000</t>
        </is>
      </c>
      <c r="L651" t="inlineStr">
        <is>
          <t>8,000000000</t>
        </is>
      </c>
      <c r="M651" t="inlineStr">
        <is>
          <t>,000000000</t>
        </is>
      </c>
      <c r="N651" t="inlineStr">
        <is>
          <t>,000000000</t>
        </is>
      </c>
      <c r="O651" t="inlineStr">
        <is>
          <t>,000000000</t>
        </is>
      </c>
      <c r="P651" t="inlineStr">
        <is>
          <t>,000000000</t>
        </is>
      </c>
      <c r="Q651" t="inlineStr">
        <is>
          <t>388,000000000</t>
        </is>
      </c>
      <c r="R651" t="inlineStr">
        <is>
          <t>,000000000</t>
        </is>
      </c>
      <c r="S651" t="inlineStr">
        <is>
          <t>,000000000</t>
        </is>
      </c>
      <c r="T651" t="inlineStr">
        <is>
          <t>,000000000</t>
        </is>
      </c>
      <c r="U651" t="inlineStr">
        <is>
          <t>,000000000</t>
        </is>
      </c>
      <c r="V651" t="inlineStr">
        <is>
          <t>,000000000</t>
        </is>
      </c>
      <c r="W651" t="inlineStr">
        <is>
          <t>,000000000</t>
        </is>
      </c>
      <c r="X651" t="inlineStr">
        <is>
          <t>,000000000</t>
        </is>
      </c>
      <c r="Y651" t="inlineStr">
        <is>
          <t>,000000000</t>
        </is>
      </c>
      <c r="Z651" t="inlineStr">
        <is>
          <t>,000000000</t>
        </is>
      </c>
      <c r="AA651" t="inlineStr">
        <is>
          <t>,000000000</t>
        </is>
      </c>
      <c r="AB651" t="inlineStr">
        <is>
          <t>2</t>
        </is>
      </c>
      <c r="AC651" t="inlineStr">
        <is>
          <t>2</t>
        </is>
      </c>
      <c r="AD651" s="3">
        <f>UPPER(C3)</f>
        <v/>
      </c>
      <c r="AE651" s="3">
        <f>VLOOKUP(E3,'[1]Nómina Agentes'!$C:$D,3,0)</f>
        <v/>
      </c>
      <c r="AF651" s="5">
        <f>F3</f>
        <v/>
      </c>
      <c r="AG651" s="5">
        <f>H3</f>
        <v/>
      </c>
    </row>
    <row r="652">
      <c r="A652" s="1" t="inlineStr">
        <is>
          <t>9/10/2024</t>
        </is>
      </c>
      <c r="B652" t="inlineStr">
        <is>
          <t>925</t>
        </is>
      </c>
      <c r="C652" t="inlineStr">
        <is>
          <t>S2S Premium</t>
        </is>
      </c>
      <c r="D652" t="inlineStr">
        <is>
          <t>XDE_ZalazarAlejandra</t>
        </is>
      </c>
      <c r="E652" t="inlineStr">
        <is>
          <t>665501</t>
        </is>
      </c>
      <c r="F652" s="2" t="inlineStr">
        <is>
          <t>10:00</t>
        </is>
      </c>
      <c r="G652" t="inlineStr">
        <is>
          <t>-</t>
        </is>
      </c>
      <c r="H652" s="2" t="inlineStr">
        <is>
          <t>10:30</t>
        </is>
      </c>
      <c r="I652" t="inlineStr">
        <is>
          <t>705,000000000</t>
        </is>
      </c>
      <c r="J652" t="inlineStr">
        <is>
          <t>,000000000</t>
        </is>
      </c>
      <c r="K652" t="inlineStr">
        <is>
          <t>,000000000</t>
        </is>
      </c>
      <c r="L652" t="inlineStr">
        <is>
          <t>20,000000000</t>
        </is>
      </c>
      <c r="M652" t="inlineStr">
        <is>
          <t>,000000000</t>
        </is>
      </c>
      <c r="N652" t="inlineStr">
        <is>
          <t>,000000000</t>
        </is>
      </c>
      <c r="O652" t="inlineStr">
        <is>
          <t>,000000000</t>
        </is>
      </c>
      <c r="P652" t="inlineStr">
        <is>
          <t>7,000000000</t>
        </is>
      </c>
      <c r="Q652" t="inlineStr">
        <is>
          <t>,000000000</t>
        </is>
      </c>
      <c r="R652" t="inlineStr">
        <is>
          <t>,000000000</t>
        </is>
      </c>
      <c r="S652" t="inlineStr">
        <is>
          <t>,000000000</t>
        </is>
      </c>
      <c r="T652" t="inlineStr">
        <is>
          <t>,000000000</t>
        </is>
      </c>
      <c r="U652" t="inlineStr">
        <is>
          <t>,000000000</t>
        </is>
      </c>
      <c r="V652" t="inlineStr">
        <is>
          <t>,000000000</t>
        </is>
      </c>
      <c r="W652" t="inlineStr">
        <is>
          <t>,000000000</t>
        </is>
      </c>
      <c r="X652" t="inlineStr">
        <is>
          <t>,000000000</t>
        </is>
      </c>
      <c r="Y652" t="inlineStr">
        <is>
          <t>,000000000</t>
        </is>
      </c>
      <c r="Z652" t="inlineStr">
        <is>
          <t>,000000000</t>
        </is>
      </c>
      <c r="AA652" t="inlineStr">
        <is>
          <t>,000000000</t>
        </is>
      </c>
      <c r="AB652" t="inlineStr">
        <is>
          <t>4</t>
        </is>
      </c>
      <c r="AC652" t="inlineStr">
        <is>
          <t>3</t>
        </is>
      </c>
      <c r="AD652" s="3">
        <f>UPPER(C3)</f>
        <v/>
      </c>
      <c r="AE652" s="3">
        <f>VLOOKUP(E3,'[1]Nómina Agentes'!$C:$D,3,0)</f>
        <v/>
      </c>
      <c r="AF652" s="5">
        <f>F3</f>
        <v/>
      </c>
      <c r="AG652" s="5">
        <f>H3</f>
        <v/>
      </c>
    </row>
    <row r="653">
      <c r="A653" s="1" t="inlineStr">
        <is>
          <t>9/10/2024</t>
        </is>
      </c>
      <c r="B653" t="inlineStr">
        <is>
          <t>925</t>
        </is>
      </c>
      <c r="C653" t="inlineStr">
        <is>
          <t>S2S Premium</t>
        </is>
      </c>
      <c r="D653" t="inlineStr">
        <is>
          <t>XDE_ZalazarAlejandra</t>
        </is>
      </c>
      <c r="E653" t="inlineStr">
        <is>
          <t>665501</t>
        </is>
      </c>
      <c r="F653" s="2" t="inlineStr">
        <is>
          <t>10:30</t>
        </is>
      </c>
      <c r="G653" t="inlineStr">
        <is>
          <t>-</t>
        </is>
      </c>
      <c r="H653" s="2" t="inlineStr">
        <is>
          <t>11:00</t>
        </is>
      </c>
      <c r="I653" t="inlineStr">
        <is>
          <t>869,000000000</t>
        </is>
      </c>
      <c r="J653" t="inlineStr">
        <is>
          <t>,000000000</t>
        </is>
      </c>
      <c r="K653" t="inlineStr">
        <is>
          <t>,000000000</t>
        </is>
      </c>
      <c r="L653" t="inlineStr">
        <is>
          <t>24,000000000</t>
        </is>
      </c>
      <c r="M653" t="inlineStr">
        <is>
          <t>,000000000</t>
        </is>
      </c>
      <c r="N653" t="inlineStr">
        <is>
          <t>,000000000</t>
        </is>
      </c>
      <c r="O653" t="inlineStr">
        <is>
          <t>,000000000</t>
        </is>
      </c>
      <c r="P653" t="inlineStr">
        <is>
          <t>346,000000000</t>
        </is>
      </c>
      <c r="Q653" t="inlineStr">
        <is>
          <t>495,000000000</t>
        </is>
      </c>
      <c r="R653" t="inlineStr">
        <is>
          <t>,000000000</t>
        </is>
      </c>
      <c r="S653" t="inlineStr">
        <is>
          <t>,000000000</t>
        </is>
      </c>
      <c r="T653" t="inlineStr">
        <is>
          <t>,000000000</t>
        </is>
      </c>
      <c r="U653" t="inlineStr">
        <is>
          <t>,000000000</t>
        </is>
      </c>
      <c r="V653" t="inlineStr">
        <is>
          <t>,000000000</t>
        </is>
      </c>
      <c r="W653" t="inlineStr">
        <is>
          <t>,000000000</t>
        </is>
      </c>
      <c r="X653" t="inlineStr">
        <is>
          <t>,000000000</t>
        </is>
      </c>
      <c r="Y653" t="inlineStr">
        <is>
          <t>,000000000</t>
        </is>
      </c>
      <c r="Z653" t="inlineStr">
        <is>
          <t>,000000000</t>
        </is>
      </c>
      <c r="AA653" t="inlineStr">
        <is>
          <t>,000000000</t>
        </is>
      </c>
      <c r="AB653" t="inlineStr">
        <is>
          <t>6</t>
        </is>
      </c>
      <c r="AC653" t="inlineStr">
        <is>
          <t>2</t>
        </is>
      </c>
      <c r="AD653" s="3">
        <f>UPPER(C3)</f>
        <v/>
      </c>
      <c r="AE653" s="3">
        <f>VLOOKUP(E3,'[1]Nómina Agentes'!$C:$D,3,0)</f>
        <v/>
      </c>
      <c r="AF653" s="5">
        <f>F3</f>
        <v/>
      </c>
      <c r="AG653" s="5">
        <f>H3</f>
        <v/>
      </c>
    </row>
    <row r="654">
      <c r="A654" s="1" t="inlineStr">
        <is>
          <t>9/10/2024</t>
        </is>
      </c>
      <c r="B654" t="inlineStr">
        <is>
          <t>925</t>
        </is>
      </c>
      <c r="C654" t="inlineStr">
        <is>
          <t>S2S Premium</t>
        </is>
      </c>
      <c r="D654" t="inlineStr">
        <is>
          <t>DPCC_Guex, Lara</t>
        </is>
      </c>
      <c r="E654" t="inlineStr">
        <is>
          <t>665626</t>
        </is>
      </c>
      <c r="F654" s="2" t="inlineStr">
        <is>
          <t>10:00</t>
        </is>
      </c>
      <c r="G654" t="inlineStr">
        <is>
          <t>-</t>
        </is>
      </c>
      <c r="H654" s="2" t="inlineStr">
        <is>
          <t>10:30</t>
        </is>
      </c>
      <c r="I654" t="inlineStr">
        <is>
          <t>772,000000000</t>
        </is>
      </c>
      <c r="J654" t="inlineStr">
        <is>
          <t>,000000000</t>
        </is>
      </c>
      <c r="K654" t="inlineStr">
        <is>
          <t>,000000000</t>
        </is>
      </c>
      <c r="L654" t="inlineStr">
        <is>
          <t>15,000000000</t>
        </is>
      </c>
      <c r="M654" t="inlineStr">
        <is>
          <t>,000000000</t>
        </is>
      </c>
      <c r="N654" t="inlineStr">
        <is>
          <t>,000000000</t>
        </is>
      </c>
      <c r="O654" t="inlineStr">
        <is>
          <t>,000000000</t>
        </is>
      </c>
      <c r="P654" t="inlineStr">
        <is>
          <t>140,000000000</t>
        </is>
      </c>
      <c r="Q654" t="inlineStr">
        <is>
          <t>,000000000</t>
        </is>
      </c>
      <c r="R654" t="inlineStr">
        <is>
          <t>,000000000</t>
        </is>
      </c>
      <c r="S654" t="inlineStr">
        <is>
          <t>,000000000</t>
        </is>
      </c>
      <c r="T654" t="inlineStr">
        <is>
          <t>,000000000</t>
        </is>
      </c>
      <c r="U654" t="inlineStr">
        <is>
          <t>,000000000</t>
        </is>
      </c>
      <c r="V654" t="inlineStr">
        <is>
          <t>,000000000</t>
        </is>
      </c>
      <c r="W654" t="inlineStr">
        <is>
          <t>,000000000</t>
        </is>
      </c>
      <c r="X654" t="inlineStr">
        <is>
          <t>,000000000</t>
        </is>
      </c>
      <c r="Y654" t="inlineStr">
        <is>
          <t>,000000000</t>
        </is>
      </c>
      <c r="Z654" t="inlineStr">
        <is>
          <t>,000000000</t>
        </is>
      </c>
      <c r="AA654" t="inlineStr">
        <is>
          <t>,000000000</t>
        </is>
      </c>
      <c r="AB654" t="inlineStr">
        <is>
          <t>4</t>
        </is>
      </c>
      <c r="AC654" t="inlineStr">
        <is>
          <t>4</t>
        </is>
      </c>
      <c r="AD654" s="3">
        <f>UPPER(C3)</f>
        <v/>
      </c>
      <c r="AE654" s="3">
        <f>VLOOKUP(E3,'[1]Nómina Agentes'!$C:$D,3,0)</f>
        <v/>
      </c>
      <c r="AF654" s="5">
        <f>F3</f>
        <v/>
      </c>
      <c r="AG654" s="5">
        <f>H3</f>
        <v/>
      </c>
    </row>
    <row r="655">
      <c r="A655" s="1" t="inlineStr">
        <is>
          <t>9/10/2024</t>
        </is>
      </c>
      <c r="B655" t="inlineStr">
        <is>
          <t>925</t>
        </is>
      </c>
      <c r="C655" t="inlineStr">
        <is>
          <t>S2S Premium</t>
        </is>
      </c>
      <c r="D655" t="inlineStr">
        <is>
          <t>DPCC_Guex, Lara</t>
        </is>
      </c>
      <c r="E655" t="inlineStr">
        <is>
          <t>665626</t>
        </is>
      </c>
      <c r="F655" s="2" t="inlineStr">
        <is>
          <t>10:30</t>
        </is>
      </c>
      <c r="G655" t="inlineStr">
        <is>
          <t>-</t>
        </is>
      </c>
      <c r="H655" s="2" t="inlineStr">
        <is>
          <t>11:00</t>
        </is>
      </c>
      <c r="I655" t="inlineStr">
        <is>
          <t>830,000000000</t>
        </is>
      </c>
      <c r="J655" t="inlineStr">
        <is>
          <t>3,000000000</t>
        </is>
      </c>
      <c r="K655" t="inlineStr">
        <is>
          <t>,000000000</t>
        </is>
      </c>
      <c r="L655" t="inlineStr">
        <is>
          <t>16,000000000</t>
        </is>
      </c>
      <c r="M655" t="inlineStr">
        <is>
          <t>,000000000</t>
        </is>
      </c>
      <c r="N655" t="inlineStr">
        <is>
          <t>,000000000</t>
        </is>
      </c>
      <c r="O655" t="inlineStr">
        <is>
          <t>,000000000</t>
        </is>
      </c>
      <c r="P655" t="inlineStr">
        <is>
          <t>6,000000000</t>
        </is>
      </c>
      <c r="Q655" t="inlineStr">
        <is>
          <t>,000000000</t>
        </is>
      </c>
      <c r="R655" t="inlineStr">
        <is>
          <t>,000000000</t>
        </is>
      </c>
      <c r="S655" t="inlineStr">
        <is>
          <t>,000000000</t>
        </is>
      </c>
      <c r="T655" t="inlineStr">
        <is>
          <t>,000000000</t>
        </is>
      </c>
      <c r="U655" t="inlineStr">
        <is>
          <t>,000000000</t>
        </is>
      </c>
      <c r="V655" t="inlineStr">
        <is>
          <t>,000000000</t>
        </is>
      </c>
      <c r="W655" t="inlineStr">
        <is>
          <t>,000000000</t>
        </is>
      </c>
      <c r="X655" t="inlineStr">
        <is>
          <t>,000000000</t>
        </is>
      </c>
      <c r="Y655" t="inlineStr">
        <is>
          <t>,000000000</t>
        </is>
      </c>
      <c r="Z655" t="inlineStr">
        <is>
          <t>,000000000</t>
        </is>
      </c>
      <c r="AA655" t="inlineStr">
        <is>
          <t>,000000000</t>
        </is>
      </c>
      <c r="AB655" t="inlineStr">
        <is>
          <t>4</t>
        </is>
      </c>
      <c r="AC655" t="inlineStr">
        <is>
          <t>4</t>
        </is>
      </c>
      <c r="AD655" s="3">
        <f>UPPER(C3)</f>
        <v/>
      </c>
      <c r="AE655" s="3">
        <f>VLOOKUP(E3,'[1]Nómina Agentes'!$C:$D,3,0)</f>
        <v/>
      </c>
      <c r="AF655" s="5">
        <f>F3</f>
        <v/>
      </c>
      <c r="AG655" s="5">
        <f>H3</f>
        <v/>
      </c>
    </row>
    <row r="656">
      <c r="A656" s="1" t="inlineStr">
        <is>
          <t>9/10/2024</t>
        </is>
      </c>
      <c r="B656" t="inlineStr">
        <is>
          <t>924</t>
        </is>
      </c>
      <c r="C656" t="inlineStr">
        <is>
          <t>S2S No Premium</t>
        </is>
      </c>
      <c r="D656" t="inlineStr">
        <is>
          <t>N2m_Amundarrey Jo</t>
        </is>
      </c>
      <c r="E656" t="inlineStr">
        <is>
          <t>665673</t>
        </is>
      </c>
      <c r="F656" s="2" t="inlineStr">
        <is>
          <t>08:30</t>
        </is>
      </c>
      <c r="G656" t="inlineStr">
        <is>
          <t>-</t>
        </is>
      </c>
      <c r="H656" s="2" t="inlineStr">
        <is>
          <t>09:00</t>
        </is>
      </c>
      <c r="I656" t="inlineStr">
        <is>
          <t>,000000000</t>
        </is>
      </c>
      <c r="J656" t="inlineStr">
        <is>
          <t>,000000000</t>
        </is>
      </c>
      <c r="K656" t="inlineStr">
        <is>
          <t>,000000000</t>
        </is>
      </c>
      <c r="L656" t="inlineStr">
        <is>
          <t>,000000000</t>
        </is>
      </c>
      <c r="M656" t="inlineStr">
        <is>
          <t>,000000000</t>
        </is>
      </c>
      <c r="N656" t="inlineStr">
        <is>
          <t>,000000000</t>
        </is>
      </c>
      <c r="O656" t="inlineStr">
        <is>
          <t>,000000000</t>
        </is>
      </c>
      <c r="P656" t="inlineStr">
        <is>
          <t>,000000000</t>
        </is>
      </c>
      <c r="Q656" t="inlineStr">
        <is>
          <t>,000000000</t>
        </is>
      </c>
      <c r="R656" t="inlineStr">
        <is>
          <t>,000000000</t>
        </is>
      </c>
      <c r="S656" t="inlineStr">
        <is>
          <t>,000000000</t>
        </is>
      </c>
      <c r="T656" t="inlineStr">
        <is>
          <t>,000000000</t>
        </is>
      </c>
      <c r="U656" t="inlineStr">
        <is>
          <t>,000000000</t>
        </is>
      </c>
      <c r="V656" t="inlineStr">
        <is>
          <t>,000000000</t>
        </is>
      </c>
      <c r="W656" t="inlineStr">
        <is>
          <t>,000000000</t>
        </is>
      </c>
      <c r="X656" t="inlineStr">
        <is>
          <t>,000000000</t>
        </is>
      </c>
      <c r="Y656" t="inlineStr">
        <is>
          <t>,000000000</t>
        </is>
      </c>
      <c r="Z656" t="inlineStr">
        <is>
          <t>,000000000</t>
        </is>
      </c>
      <c r="AA656" t="inlineStr">
        <is>
          <t>,000000000</t>
        </is>
      </c>
      <c r="AB656" t="inlineStr">
        <is>
          <t>0</t>
        </is>
      </c>
      <c r="AC656" t="inlineStr">
        <is>
          <t>0</t>
        </is>
      </c>
      <c r="AD656" s="3">
        <f>UPPER(C3)</f>
        <v/>
      </c>
      <c r="AE656" s="3">
        <f>VLOOKUP(E3,'[1]Nómina Agentes'!$C:$D,3,0)</f>
        <v/>
      </c>
      <c r="AF656" s="5">
        <f>F3</f>
        <v/>
      </c>
      <c r="AG656" s="5">
        <f>H3</f>
        <v/>
      </c>
    </row>
    <row r="657">
      <c r="A657" s="1" t="inlineStr">
        <is>
          <t>9/10/2024</t>
        </is>
      </c>
      <c r="B657" t="inlineStr">
        <is>
          <t>924</t>
        </is>
      </c>
      <c r="C657" t="inlineStr">
        <is>
          <t>S2S No Premium</t>
        </is>
      </c>
      <c r="D657" t="inlineStr">
        <is>
          <t>N2m_Amundarrey Jo</t>
        </is>
      </c>
      <c r="E657" t="inlineStr">
        <is>
          <t>665673</t>
        </is>
      </c>
      <c r="F657" s="2" t="inlineStr">
        <is>
          <t>10:00</t>
        </is>
      </c>
      <c r="G657" t="inlineStr">
        <is>
          <t>-</t>
        </is>
      </c>
      <c r="H657" s="2" t="inlineStr">
        <is>
          <t>10:30</t>
        </is>
      </c>
      <c r="I657" t="inlineStr">
        <is>
          <t>771,000000000</t>
        </is>
      </c>
      <c r="J657" t="inlineStr">
        <is>
          <t>,000000000</t>
        </is>
      </c>
      <c r="K657" t="inlineStr">
        <is>
          <t>,000000000</t>
        </is>
      </c>
      <c r="L657" t="inlineStr">
        <is>
          <t>12,000000000</t>
        </is>
      </c>
      <c r="M657" t="inlineStr">
        <is>
          <t>,000000000</t>
        </is>
      </c>
      <c r="N657" t="inlineStr">
        <is>
          <t>,000000000</t>
        </is>
      </c>
      <c r="O657" t="inlineStr">
        <is>
          <t>,000000000</t>
        </is>
      </c>
      <c r="P657" t="inlineStr">
        <is>
          <t>39,000000000</t>
        </is>
      </c>
      <c r="Q657" t="inlineStr">
        <is>
          <t>,000000000</t>
        </is>
      </c>
      <c r="R657" t="inlineStr">
        <is>
          <t>,000000000</t>
        </is>
      </c>
      <c r="S657" t="inlineStr">
        <is>
          <t>,000000000</t>
        </is>
      </c>
      <c r="T657" t="inlineStr">
        <is>
          <t>,000000000</t>
        </is>
      </c>
      <c r="U657" t="inlineStr">
        <is>
          <t>,000000000</t>
        </is>
      </c>
      <c r="V657" t="inlineStr">
        <is>
          <t>,000000000</t>
        </is>
      </c>
      <c r="W657" t="inlineStr">
        <is>
          <t>,000000000</t>
        </is>
      </c>
      <c r="X657" t="inlineStr">
        <is>
          <t>,000000000</t>
        </is>
      </c>
      <c r="Y657" t="inlineStr">
        <is>
          <t>,000000000</t>
        </is>
      </c>
      <c r="Z657" t="inlineStr">
        <is>
          <t>,000000000</t>
        </is>
      </c>
      <c r="AA657" t="inlineStr">
        <is>
          <t>,000000000</t>
        </is>
      </c>
      <c r="AB657" t="inlineStr">
        <is>
          <t>3</t>
        </is>
      </c>
      <c r="AC657" t="inlineStr">
        <is>
          <t>3</t>
        </is>
      </c>
      <c r="AD657" s="3">
        <f>UPPER(C3)</f>
        <v/>
      </c>
      <c r="AE657" s="3">
        <f>VLOOKUP(E3,'[1]Nómina Agentes'!$C:$D,3,0)</f>
        <v/>
      </c>
      <c r="AF657" s="5">
        <f>F3</f>
        <v/>
      </c>
      <c r="AG657" s="5">
        <f>H3</f>
        <v/>
      </c>
    </row>
    <row r="658">
      <c r="A658" s="1" t="inlineStr">
        <is>
          <t>9/10/2024</t>
        </is>
      </c>
      <c r="B658" t="inlineStr">
        <is>
          <t>924</t>
        </is>
      </c>
      <c r="C658" t="inlineStr">
        <is>
          <t>S2S No Premium</t>
        </is>
      </c>
      <c r="D658" t="inlineStr">
        <is>
          <t>N2m_Amundarrey Jo</t>
        </is>
      </c>
      <c r="E658" t="inlineStr">
        <is>
          <t>665673</t>
        </is>
      </c>
      <c r="F658" s="2" t="inlineStr">
        <is>
          <t>09:00</t>
        </is>
      </c>
      <c r="G658" t="inlineStr">
        <is>
          <t>-</t>
        </is>
      </c>
      <c r="H658" s="2" t="inlineStr">
        <is>
          <t>09:30</t>
        </is>
      </c>
      <c r="I658" t="inlineStr">
        <is>
          <t>1036,000000000</t>
        </is>
      </c>
      <c r="J658" t="inlineStr">
        <is>
          <t>,000000000</t>
        </is>
      </c>
      <c r="K658" t="inlineStr">
        <is>
          <t>,000000000</t>
        </is>
      </c>
      <c r="L658" t="inlineStr">
        <is>
          <t>32,000000000</t>
        </is>
      </c>
      <c r="M658" t="inlineStr">
        <is>
          <t>,000000000</t>
        </is>
      </c>
      <c r="N658" t="inlineStr">
        <is>
          <t>,000000000</t>
        </is>
      </c>
      <c r="O658" t="inlineStr">
        <is>
          <t>,000000000</t>
        </is>
      </c>
      <c r="P658" t="inlineStr">
        <is>
          <t>3,000000000</t>
        </is>
      </c>
      <c r="Q658" t="inlineStr">
        <is>
          <t>,000000000</t>
        </is>
      </c>
      <c r="R658" t="inlineStr">
        <is>
          <t>,000000000</t>
        </is>
      </c>
      <c r="S658" t="inlineStr">
        <is>
          <t>,000000000</t>
        </is>
      </c>
      <c r="T658" t="inlineStr">
        <is>
          <t>,000000000</t>
        </is>
      </c>
      <c r="U658" t="inlineStr">
        <is>
          <t>,000000000</t>
        </is>
      </c>
      <c r="V658" t="inlineStr">
        <is>
          <t>,000000000</t>
        </is>
      </c>
      <c r="W658" t="inlineStr">
        <is>
          <t>,000000000</t>
        </is>
      </c>
      <c r="X658" t="inlineStr">
        <is>
          <t>,000000000</t>
        </is>
      </c>
      <c r="Y658" t="inlineStr">
        <is>
          <t>,000000000</t>
        </is>
      </c>
      <c r="Z658" t="inlineStr">
        <is>
          <t>,000000000</t>
        </is>
      </c>
      <c r="AA658" t="inlineStr">
        <is>
          <t>,000000000</t>
        </is>
      </c>
      <c r="AB658" t="inlineStr">
        <is>
          <t>3</t>
        </is>
      </c>
      <c r="AC658" t="inlineStr">
        <is>
          <t>3</t>
        </is>
      </c>
      <c r="AD658" s="3">
        <f>UPPER(C3)</f>
        <v/>
      </c>
      <c r="AE658" s="3">
        <f>VLOOKUP(E3,'[1]Nómina Agentes'!$C:$D,3,0)</f>
        <v/>
      </c>
      <c r="AF658" s="5">
        <f>F3</f>
        <v/>
      </c>
      <c r="AG658" s="5">
        <f>H3</f>
        <v/>
      </c>
    </row>
    <row r="659">
      <c r="A659" s="1" t="inlineStr">
        <is>
          <t>9/10/2024</t>
        </is>
      </c>
      <c r="B659" t="inlineStr">
        <is>
          <t>924</t>
        </is>
      </c>
      <c r="C659" t="inlineStr">
        <is>
          <t>S2S No Premium</t>
        </is>
      </c>
      <c r="D659" t="inlineStr">
        <is>
          <t>N2m_Amundarrey Jo</t>
        </is>
      </c>
      <c r="E659" t="inlineStr">
        <is>
          <t>665673</t>
        </is>
      </c>
      <c r="F659" s="2" t="inlineStr">
        <is>
          <t>09:30</t>
        </is>
      </c>
      <c r="G659" t="inlineStr">
        <is>
          <t>-</t>
        </is>
      </c>
      <c r="H659" s="2" t="inlineStr">
        <is>
          <t>10:00</t>
        </is>
      </c>
      <c r="I659" t="inlineStr">
        <is>
          <t>1057,000000000</t>
        </is>
      </c>
      <c r="J659" t="inlineStr">
        <is>
          <t>,000000000</t>
        </is>
      </c>
      <c r="K659" t="inlineStr">
        <is>
          <t>,000000000</t>
        </is>
      </c>
      <c r="L659" t="inlineStr">
        <is>
          <t>30,000000000</t>
        </is>
      </c>
      <c r="M659" t="inlineStr">
        <is>
          <t>,000000000</t>
        </is>
      </c>
      <c r="N659" t="inlineStr">
        <is>
          <t>,000000000</t>
        </is>
      </c>
      <c r="O659" t="inlineStr">
        <is>
          <t>,000000000</t>
        </is>
      </c>
      <c r="P659" t="inlineStr">
        <is>
          <t>265,000000000</t>
        </is>
      </c>
      <c r="Q659" t="inlineStr">
        <is>
          <t>145,000000000</t>
        </is>
      </c>
      <c r="R659" t="inlineStr">
        <is>
          <t>,000000000</t>
        </is>
      </c>
      <c r="S659" t="inlineStr">
        <is>
          <t>,000000000</t>
        </is>
      </c>
      <c r="T659" t="inlineStr">
        <is>
          <t>,000000000</t>
        </is>
      </c>
      <c r="U659" t="inlineStr">
        <is>
          <t>,000000000</t>
        </is>
      </c>
      <c r="V659" t="inlineStr">
        <is>
          <t>,000000000</t>
        </is>
      </c>
      <c r="W659" t="inlineStr">
        <is>
          <t>,000000000</t>
        </is>
      </c>
      <c r="X659" t="inlineStr">
        <is>
          <t>,000000000</t>
        </is>
      </c>
      <c r="Y659" t="inlineStr">
        <is>
          <t>,000000000</t>
        </is>
      </c>
      <c r="Z659" t="inlineStr">
        <is>
          <t>,000000000</t>
        </is>
      </c>
      <c r="AA659" t="inlineStr">
        <is>
          <t>,000000000</t>
        </is>
      </c>
      <c r="AB659" t="inlineStr">
        <is>
          <t>4</t>
        </is>
      </c>
      <c r="AC659" t="inlineStr">
        <is>
          <t>4</t>
        </is>
      </c>
      <c r="AD659" s="3">
        <f>UPPER(C3)</f>
        <v/>
      </c>
      <c r="AE659" s="3">
        <f>VLOOKUP(E3,'[1]Nómina Agentes'!$C:$D,3,0)</f>
        <v/>
      </c>
      <c r="AF659" s="5">
        <f>F3</f>
        <v/>
      </c>
      <c r="AG659" s="5">
        <f>H3</f>
        <v/>
      </c>
    </row>
    <row r="660">
      <c r="A660" s="1" t="inlineStr">
        <is>
          <t>9/10/2024</t>
        </is>
      </c>
      <c r="B660" t="inlineStr">
        <is>
          <t>924</t>
        </is>
      </c>
      <c r="C660" t="inlineStr">
        <is>
          <t>S2S No Premium</t>
        </is>
      </c>
      <c r="D660" t="inlineStr">
        <is>
          <t>S2_Rodriguez Susana</t>
        </is>
      </c>
      <c r="E660" t="inlineStr">
        <is>
          <t>69430</t>
        </is>
      </c>
      <c r="F660" s="2" t="inlineStr">
        <is>
          <t>10:00</t>
        </is>
      </c>
      <c r="G660" t="inlineStr">
        <is>
          <t>-</t>
        </is>
      </c>
      <c r="H660" s="2" t="inlineStr">
        <is>
          <t>10:30</t>
        </is>
      </c>
      <c r="I660" t="inlineStr">
        <is>
          <t>979,000000000</t>
        </is>
      </c>
      <c r="J660" t="inlineStr">
        <is>
          <t>,000000000</t>
        </is>
      </c>
      <c r="K660" t="inlineStr">
        <is>
          <t>,000000000</t>
        </is>
      </c>
      <c r="L660" t="inlineStr">
        <is>
          <t>12,000000000</t>
        </is>
      </c>
      <c r="M660" t="inlineStr">
        <is>
          <t>,000000000</t>
        </is>
      </c>
      <c r="N660" t="inlineStr">
        <is>
          <t>,000000000</t>
        </is>
      </c>
      <c r="O660" t="inlineStr">
        <is>
          <t>,000000000</t>
        </is>
      </c>
      <c r="P660" t="inlineStr">
        <is>
          <t>148,000000000</t>
        </is>
      </c>
      <c r="Q660" t="inlineStr">
        <is>
          <t>,000000000</t>
        </is>
      </c>
      <c r="R660" t="inlineStr">
        <is>
          <t>,000000000</t>
        </is>
      </c>
      <c r="S660" t="inlineStr">
        <is>
          <t>,000000000</t>
        </is>
      </c>
      <c r="T660" t="inlineStr">
        <is>
          <t>,000000000</t>
        </is>
      </c>
      <c r="U660" t="inlineStr">
        <is>
          <t>,000000000</t>
        </is>
      </c>
      <c r="V660" t="inlineStr">
        <is>
          <t>,000000000</t>
        </is>
      </c>
      <c r="W660" t="inlineStr">
        <is>
          <t>,000000000</t>
        </is>
      </c>
      <c r="X660" t="inlineStr">
        <is>
          <t>,000000000</t>
        </is>
      </c>
      <c r="Y660" t="inlineStr">
        <is>
          <t>,000000000</t>
        </is>
      </c>
      <c r="Z660" t="inlineStr">
        <is>
          <t>,000000000</t>
        </is>
      </c>
      <c r="AA660" t="inlineStr">
        <is>
          <t>,000000000</t>
        </is>
      </c>
      <c r="AB660" t="inlineStr">
        <is>
          <t>2</t>
        </is>
      </c>
      <c r="AC660" t="inlineStr">
        <is>
          <t>2</t>
        </is>
      </c>
      <c r="AD660" s="3">
        <f>UPPER(C3)</f>
        <v/>
      </c>
      <c r="AE660" s="3">
        <f>VLOOKUP(E3,'[1]Nómina Agentes'!$C:$D,3,0)</f>
        <v/>
      </c>
      <c r="AF660" s="5">
        <f>F3</f>
        <v/>
      </c>
      <c r="AG660" s="5">
        <f>H3</f>
        <v/>
      </c>
    </row>
    <row r="661">
      <c r="A661" s="1" t="inlineStr">
        <is>
          <t>9/10/2024</t>
        </is>
      </c>
      <c r="B661" t="inlineStr">
        <is>
          <t>924</t>
        </is>
      </c>
      <c r="C661" t="inlineStr">
        <is>
          <t>S2S No Premium</t>
        </is>
      </c>
      <c r="D661" t="inlineStr">
        <is>
          <t>S2_Rodriguez Susana</t>
        </is>
      </c>
      <c r="E661" t="inlineStr">
        <is>
          <t>69430</t>
        </is>
      </c>
      <c r="F661" s="2" t="inlineStr">
        <is>
          <t>10:30</t>
        </is>
      </c>
      <c r="G661" t="inlineStr">
        <is>
          <t>-</t>
        </is>
      </c>
      <c r="H661" s="2" t="inlineStr">
        <is>
          <t>11:00</t>
        </is>
      </c>
      <c r="I661" t="inlineStr">
        <is>
          <t>1361,000000000</t>
        </is>
      </c>
      <c r="J661" t="inlineStr">
        <is>
          <t>,000000000</t>
        </is>
      </c>
      <c r="K661" t="inlineStr">
        <is>
          <t>,000000000</t>
        </is>
      </c>
      <c r="L661" t="inlineStr">
        <is>
          <t>20,000000000</t>
        </is>
      </c>
      <c r="M661" t="inlineStr">
        <is>
          <t>,000000000</t>
        </is>
      </c>
      <c r="N661" t="inlineStr">
        <is>
          <t>,000000000</t>
        </is>
      </c>
      <c r="O661" t="inlineStr">
        <is>
          <t>,000000000</t>
        </is>
      </c>
      <c r="P661" t="inlineStr">
        <is>
          <t>51,000000000</t>
        </is>
      </c>
      <c r="Q661" t="inlineStr">
        <is>
          <t>1,000000000</t>
        </is>
      </c>
      <c r="R661" t="inlineStr">
        <is>
          <t>,000000000</t>
        </is>
      </c>
      <c r="S661" t="inlineStr">
        <is>
          <t>,000000000</t>
        </is>
      </c>
      <c r="T661" t="inlineStr">
        <is>
          <t>,000000000</t>
        </is>
      </c>
      <c r="U661" t="inlineStr">
        <is>
          <t>,000000000</t>
        </is>
      </c>
      <c r="V661" t="inlineStr">
        <is>
          <t>,000000000</t>
        </is>
      </c>
      <c r="W661" t="inlineStr">
        <is>
          <t>,000000000</t>
        </is>
      </c>
      <c r="X661" t="inlineStr">
        <is>
          <t>,000000000</t>
        </is>
      </c>
      <c r="Y661" t="inlineStr">
        <is>
          <t>,000000000</t>
        </is>
      </c>
      <c r="Z661" t="inlineStr">
        <is>
          <t>,000000000</t>
        </is>
      </c>
      <c r="AA661" t="inlineStr">
        <is>
          <t>,000000000</t>
        </is>
      </c>
      <c r="AB661" t="inlineStr">
        <is>
          <t>5</t>
        </is>
      </c>
      <c r="AC661" t="inlineStr">
        <is>
          <t>5</t>
        </is>
      </c>
      <c r="AD661" s="3">
        <f>UPPER(C3)</f>
        <v/>
      </c>
      <c r="AE661" s="3">
        <f>VLOOKUP(E3,'[1]Nómina Agentes'!$C:$D,3,0)</f>
        <v/>
      </c>
      <c r="AF661" s="5">
        <f>F3</f>
        <v/>
      </c>
      <c r="AG661" s="5">
        <f>H3</f>
        <v/>
      </c>
    </row>
    <row r="662">
      <c r="A662" s="1" t="inlineStr">
        <is>
          <t>9/10/2024</t>
        </is>
      </c>
      <c r="B662" t="inlineStr">
        <is>
          <t>924</t>
        </is>
      </c>
      <c r="C662" t="inlineStr">
        <is>
          <t>S2S No Premium</t>
        </is>
      </c>
      <c r="D662" t="inlineStr">
        <is>
          <t>N1_Aguilar Rocio</t>
        </is>
      </c>
      <c r="E662" t="inlineStr">
        <is>
          <t>69798</t>
        </is>
      </c>
      <c r="F662" s="2" t="inlineStr">
        <is>
          <t>09:30</t>
        </is>
      </c>
      <c r="G662" t="inlineStr">
        <is>
          <t>-</t>
        </is>
      </c>
      <c r="H662" s="2" t="inlineStr">
        <is>
          <t>10:00</t>
        </is>
      </c>
      <c r="I662" t="inlineStr">
        <is>
          <t>,000000000</t>
        </is>
      </c>
      <c r="J662" t="inlineStr">
        <is>
          <t>,000000000</t>
        </is>
      </c>
      <c r="K662" t="inlineStr">
        <is>
          <t>,000000000</t>
        </is>
      </c>
      <c r="L662" t="inlineStr">
        <is>
          <t>,000000000</t>
        </is>
      </c>
      <c r="M662" t="inlineStr">
        <is>
          <t>,000000000</t>
        </is>
      </c>
      <c r="N662" t="inlineStr">
        <is>
          <t>,000000000</t>
        </is>
      </c>
      <c r="O662" t="inlineStr">
        <is>
          <t>,000000000</t>
        </is>
      </c>
      <c r="P662" t="inlineStr">
        <is>
          <t>,000000000</t>
        </is>
      </c>
      <c r="Q662" t="inlineStr">
        <is>
          <t>,000000000</t>
        </is>
      </c>
      <c r="R662" t="inlineStr">
        <is>
          <t>,000000000</t>
        </is>
      </c>
      <c r="S662" t="inlineStr">
        <is>
          <t>,000000000</t>
        </is>
      </c>
      <c r="T662" t="inlineStr">
        <is>
          <t>,000000000</t>
        </is>
      </c>
      <c r="U662" t="inlineStr">
        <is>
          <t>,000000000</t>
        </is>
      </c>
      <c r="V662" t="inlineStr">
        <is>
          <t>,000000000</t>
        </is>
      </c>
      <c r="W662" t="inlineStr">
        <is>
          <t>,000000000</t>
        </is>
      </c>
      <c r="X662" t="inlineStr">
        <is>
          <t>,000000000</t>
        </is>
      </c>
      <c r="Y662" t="inlineStr">
        <is>
          <t>,000000000</t>
        </is>
      </c>
      <c r="Z662" t="inlineStr">
        <is>
          <t>,000000000</t>
        </is>
      </c>
      <c r="AA662" t="inlineStr">
        <is>
          <t>,000000000</t>
        </is>
      </c>
      <c r="AB662" t="inlineStr">
        <is>
          <t>0</t>
        </is>
      </c>
      <c r="AC662" t="inlineStr">
        <is>
          <t>0</t>
        </is>
      </c>
      <c r="AD662" s="3">
        <f>UPPER(C3)</f>
        <v/>
      </c>
      <c r="AE662" s="3">
        <f>VLOOKUP(E3,'[1]Nómina Agentes'!$C:$D,3,0)</f>
        <v/>
      </c>
      <c r="AF662" s="5">
        <f>F3</f>
        <v/>
      </c>
      <c r="AG662" s="5">
        <f>H3</f>
        <v/>
      </c>
    </row>
    <row r="663">
      <c r="A663" s="1" t="inlineStr">
        <is>
          <t>9/10/2024</t>
        </is>
      </c>
      <c r="B663" t="inlineStr">
        <is>
          <t>924</t>
        </is>
      </c>
      <c r="C663" t="inlineStr">
        <is>
          <t>S2S No Premium</t>
        </is>
      </c>
      <c r="D663" t="inlineStr">
        <is>
          <t>N2e_ Correa Maria A</t>
        </is>
      </c>
      <c r="E663" t="inlineStr">
        <is>
          <t>69927</t>
        </is>
      </c>
      <c r="F663" s="2" t="inlineStr">
        <is>
          <t>10:30</t>
        </is>
      </c>
      <c r="G663" t="inlineStr">
        <is>
          <t>-</t>
        </is>
      </c>
      <c r="H663" s="2" t="inlineStr">
        <is>
          <t>11:00</t>
        </is>
      </c>
      <c r="I663" t="inlineStr">
        <is>
          <t>479,000000000</t>
        </is>
      </c>
      <c r="J663" t="inlineStr">
        <is>
          <t>,000000000</t>
        </is>
      </c>
      <c r="K663" t="inlineStr">
        <is>
          <t>,000000000</t>
        </is>
      </c>
      <c r="L663" t="inlineStr">
        <is>
          <t>5,000000000</t>
        </is>
      </c>
      <c r="M663" t="inlineStr">
        <is>
          <t>,000000000</t>
        </is>
      </c>
      <c r="N663" t="inlineStr">
        <is>
          <t>,000000000</t>
        </is>
      </c>
      <c r="O663" t="inlineStr">
        <is>
          <t>,000000000</t>
        </is>
      </c>
      <c r="P663" t="inlineStr">
        <is>
          <t>175,000000000</t>
        </is>
      </c>
      <c r="Q663" t="inlineStr">
        <is>
          <t>6,000000000</t>
        </is>
      </c>
      <c r="R663" t="inlineStr">
        <is>
          <t>,000000000</t>
        </is>
      </c>
      <c r="S663" t="inlineStr">
        <is>
          <t>,000000000</t>
        </is>
      </c>
      <c r="T663" t="inlineStr">
        <is>
          <t>,000000000</t>
        </is>
      </c>
      <c r="U663" t="inlineStr">
        <is>
          <t>,000000000</t>
        </is>
      </c>
      <c r="V663" t="inlineStr">
        <is>
          <t>,000000000</t>
        </is>
      </c>
      <c r="W663" t="inlineStr">
        <is>
          <t>,000000000</t>
        </is>
      </c>
      <c r="X663" t="inlineStr">
        <is>
          <t>,000000000</t>
        </is>
      </c>
      <c r="Y663" t="inlineStr">
        <is>
          <t>,000000000</t>
        </is>
      </c>
      <c r="Z663" t="inlineStr">
        <is>
          <t>,000000000</t>
        </is>
      </c>
      <c r="AA663" t="inlineStr">
        <is>
          <t>,000000000</t>
        </is>
      </c>
      <c r="AB663" t="inlineStr">
        <is>
          <t>1</t>
        </is>
      </c>
      <c r="AC663" t="inlineStr">
        <is>
          <t>1</t>
        </is>
      </c>
      <c r="AD663" s="3">
        <f>UPPER(C3)</f>
        <v/>
      </c>
      <c r="AE663" s="3">
        <f>VLOOKUP(E3,'[1]Nómina Agentes'!$C:$D,3,0)</f>
        <v/>
      </c>
      <c r="AF663" s="5">
        <f>F3</f>
        <v/>
      </c>
      <c r="AG663" s="5">
        <f>H3</f>
        <v/>
      </c>
    </row>
    <row r="664">
      <c r="A664" s="1" t="n"/>
      <c r="F664" s="2" t="n"/>
      <c r="H664" s="2" t="n"/>
      <c r="AC664" t="n">
        <v>5</v>
      </c>
      <c r="AD664" s="3">
        <f>UPPER(C3)</f>
        <v/>
      </c>
      <c r="AE664" s="3">
        <f>VLOOKUP(E3,'[1]Nómina Agentes'!$C:$D,3,0)</f>
        <v/>
      </c>
      <c r="AF664" s="5">
        <f>F3</f>
        <v/>
      </c>
      <c r="AG664" s="5">
        <f>H3</f>
        <v/>
      </c>
    </row>
    <row r="665">
      <c r="A665" s="1" t="n"/>
      <c r="F665" s="2" t="n"/>
      <c r="H665" s="2" t="n"/>
      <c r="AC665" t="n">
        <v>0</v>
      </c>
      <c r="AD665" s="3">
        <f>UPPER(C668)</f>
        <v/>
      </c>
      <c r="AE665" s="3">
        <f>VLOOKUP(E668,'[1]Nómina Agentes'!$C:$D,2,0)</f>
        <v/>
      </c>
      <c r="AF665" s="5">
        <f>F668</f>
        <v/>
      </c>
      <c r="AG665" s="5">
        <f>H668</f>
        <v/>
      </c>
    </row>
    <row r="666">
      <c r="A666" s="1" t="n"/>
      <c r="F666" s="2" t="n"/>
      <c r="H666" s="2" t="n"/>
      <c r="AC666" t="n">
        <v>2</v>
      </c>
      <c r="AD666" s="3">
        <f>UPPER(C669)</f>
        <v/>
      </c>
      <c r="AE666" s="3">
        <f>VLOOKUP(E669,'[1]Nómina Agentes'!$C:$D,2,0)</f>
        <v/>
      </c>
      <c r="AF666" s="5">
        <f>F669</f>
        <v/>
      </c>
      <c r="AG666" s="5">
        <f>H669</f>
        <v/>
      </c>
    </row>
    <row r="667">
      <c r="A667" s="1" t="n"/>
      <c r="F667" s="2" t="n"/>
      <c r="H667" s="2" t="n"/>
      <c r="AC667" t="n">
        <v>3</v>
      </c>
      <c r="AD667" s="3">
        <f>UPPER(C670)</f>
        <v/>
      </c>
      <c r="AE667" s="3">
        <f>VLOOKUP(E670,'[1]Nómina Agentes'!$C:$D,2,0)</f>
        <v/>
      </c>
      <c r="AF667" s="5">
        <f>F670</f>
        <v/>
      </c>
      <c r="AG667" s="5">
        <f>H670</f>
        <v/>
      </c>
    </row>
    <row r="668">
      <c r="A668" s="1" t="n"/>
      <c r="F668" s="2" t="n"/>
      <c r="H668" s="2" t="n"/>
      <c r="AC668" t="n">
        <v>3</v>
      </c>
      <c r="AD668" s="3">
        <f>UPPER(C671)</f>
        <v/>
      </c>
      <c r="AE668" s="3">
        <f>VLOOKUP(E671,'[1]Nómina Agentes'!$C:$D,2,0)</f>
        <v/>
      </c>
      <c r="AF668" s="5">
        <f>F671</f>
        <v/>
      </c>
      <c r="AG668" s="5">
        <f>H671</f>
        <v/>
      </c>
    </row>
    <row r="669">
      <c r="A669" s="1" t="n"/>
      <c r="F669" s="2" t="n"/>
      <c r="H669" s="2" t="n"/>
      <c r="AC669" t="n">
        <v>1</v>
      </c>
      <c r="AD669" s="3">
        <f>UPPER(C672)</f>
        <v/>
      </c>
      <c r="AE669" s="3">
        <f>VLOOKUP(E672,'[1]Nómina Agentes'!$C:$D,2,0)</f>
        <v/>
      </c>
      <c r="AF669" s="5">
        <f>F672</f>
        <v/>
      </c>
      <c r="AG669" s="5">
        <f>H672</f>
        <v/>
      </c>
    </row>
    <row r="670">
      <c r="A670" s="1" t="n"/>
      <c r="F670" s="2" t="n"/>
      <c r="H670" s="2" t="n"/>
      <c r="AC670" t="n">
        <v>2</v>
      </c>
      <c r="AD670" s="3">
        <f>UPPER(C673)</f>
        <v/>
      </c>
      <c r="AE670" s="3">
        <f>VLOOKUP(E673,'[1]Nómina Agentes'!$C:$D,2,0)</f>
        <v/>
      </c>
      <c r="AF670" s="5">
        <f>F673</f>
        <v/>
      </c>
      <c r="AG670" s="5">
        <f>H673</f>
        <v/>
      </c>
    </row>
    <row r="671">
      <c r="A671" s="1" t="n"/>
      <c r="F671" s="2" t="n"/>
      <c r="H671" s="2" t="n"/>
      <c r="AC671" t="n">
        <v>4</v>
      </c>
      <c r="AD671" s="3">
        <f>UPPER(C674)</f>
        <v/>
      </c>
      <c r="AE671" s="3">
        <f>VLOOKUP(E674,'[1]Nómina Agentes'!$C:$D,2,0)</f>
        <v/>
      </c>
      <c r="AF671" s="5">
        <f>F674</f>
        <v/>
      </c>
      <c r="AG671" s="5">
        <f>H674</f>
        <v/>
      </c>
    </row>
    <row r="672">
      <c r="A672" s="1" t="n"/>
      <c r="F672" s="2" t="n"/>
      <c r="H672" s="2" t="n"/>
      <c r="AC672" t="n">
        <v>2</v>
      </c>
      <c r="AD672" s="3">
        <f>UPPER(C675)</f>
        <v/>
      </c>
      <c r="AE672" s="3">
        <f>VLOOKUP(E675,'[1]Nómina Agentes'!$C:$D,2,0)</f>
        <v/>
      </c>
      <c r="AF672" s="5">
        <f>F675</f>
        <v/>
      </c>
      <c r="AG672" s="5">
        <f>H675</f>
        <v/>
      </c>
    </row>
    <row r="673">
      <c r="A673" s="1" t="n"/>
      <c r="F673" s="2" t="n"/>
      <c r="H673" s="2" t="n"/>
      <c r="AC673" t="n">
        <v>2</v>
      </c>
      <c r="AD673" s="3">
        <f>UPPER(C676)</f>
        <v/>
      </c>
      <c r="AE673" s="3">
        <f>VLOOKUP(E676,'[1]Nómina Agentes'!$C:$D,2,0)</f>
        <v/>
      </c>
      <c r="AF673" s="5">
        <f>F676</f>
        <v/>
      </c>
      <c r="AG673" s="5">
        <f>H676</f>
        <v/>
      </c>
    </row>
    <row r="674">
      <c r="A674" s="1" t="n"/>
      <c r="F674" s="2" t="n"/>
      <c r="H674" s="2" t="n"/>
      <c r="AC674" t="n">
        <v>5</v>
      </c>
      <c r="AD674" s="3">
        <f>UPPER(C677)</f>
        <v/>
      </c>
      <c r="AE674" s="3">
        <f>VLOOKUP(E677,'[1]Nómina Agentes'!$C:$D,2,0)</f>
        <v/>
      </c>
      <c r="AF674" s="5">
        <f>F677</f>
        <v/>
      </c>
      <c r="AG674" s="5">
        <f>H677</f>
        <v/>
      </c>
    </row>
    <row r="675">
      <c r="A675" s="1" t="n"/>
      <c r="F675" s="2" t="n"/>
      <c r="H675" s="2" t="n"/>
      <c r="AC675" t="n">
        <v>3</v>
      </c>
      <c r="AD675" s="3">
        <f>UPPER(C678)</f>
        <v/>
      </c>
      <c r="AE675" s="3">
        <f>VLOOKUP(E678,'[1]Nómina Agentes'!$C:$D,2,0)</f>
        <v/>
      </c>
      <c r="AF675" s="5">
        <f>F678</f>
        <v/>
      </c>
      <c r="AG675" s="5">
        <f>H678</f>
        <v/>
      </c>
    </row>
    <row r="676">
      <c r="A676" s="1" t="n"/>
      <c r="F676" s="2" t="n"/>
      <c r="H676" s="2" t="n"/>
      <c r="AC676" t="n">
        <v>3</v>
      </c>
      <c r="AD676" s="3">
        <f>UPPER(C679)</f>
        <v/>
      </c>
      <c r="AE676" s="3">
        <f>VLOOKUP(E679,'[1]Nómina Agentes'!$C:$D,2,0)</f>
        <v/>
      </c>
      <c r="AF676" s="5">
        <f>F679</f>
        <v/>
      </c>
      <c r="AG676" s="5">
        <f>H679</f>
        <v/>
      </c>
    </row>
    <row r="677">
      <c r="A677" s="1" t="n"/>
      <c r="F677" s="2" t="n"/>
      <c r="H677" s="2" t="n"/>
      <c r="AC677" t="n">
        <v>0</v>
      </c>
      <c r="AD677" s="3">
        <f>UPPER(C680)</f>
        <v/>
      </c>
      <c r="AE677" s="3">
        <f>VLOOKUP(E680,'[1]Nómina Agentes'!$C:$D,2,0)</f>
        <v/>
      </c>
      <c r="AF677" s="5">
        <f>F680</f>
        <v/>
      </c>
      <c r="AG677" s="5">
        <f>H680</f>
        <v/>
      </c>
    </row>
    <row r="678">
      <c r="A678" s="1" t="n"/>
      <c r="F678" s="2" t="n"/>
      <c r="H678" s="2" t="n"/>
      <c r="AC678" t="n">
        <v>1</v>
      </c>
      <c r="AD678" s="3">
        <f>UPPER(C681)</f>
        <v/>
      </c>
      <c r="AE678" s="3">
        <f>VLOOKUP(E681,'[1]Nómina Agentes'!$C:$D,2,0)</f>
        <v/>
      </c>
      <c r="AF678" s="5">
        <f>F681</f>
        <v/>
      </c>
      <c r="AG678" s="5">
        <f>H681</f>
        <v/>
      </c>
    </row>
    <row r="679">
      <c r="A679" s="1" t="n"/>
      <c r="F679" s="2" t="n"/>
      <c r="H679" s="2" t="n"/>
      <c r="AC679" t="n">
        <v>1</v>
      </c>
      <c r="AD679" s="3">
        <f>UPPER(C682)</f>
        <v/>
      </c>
      <c r="AE679" s="3">
        <f>VLOOKUP(E682,'[1]Nómina Agentes'!$C:$D,2,0)</f>
        <v/>
      </c>
      <c r="AF679" s="5">
        <f>F682</f>
        <v/>
      </c>
      <c r="AG679" s="5">
        <f>H682</f>
        <v/>
      </c>
    </row>
    <row r="680">
      <c r="A680" s="1" t="n"/>
      <c r="F680" s="2" t="n"/>
      <c r="H680" s="2" t="n"/>
      <c r="AC680" t="n">
        <v>4</v>
      </c>
      <c r="AD680" s="3">
        <f>UPPER(C683)</f>
        <v/>
      </c>
      <c r="AE680" s="3">
        <f>VLOOKUP(E683,'[1]Nómina Agentes'!$C:$D,2,0)</f>
        <v/>
      </c>
      <c r="AF680" s="5">
        <f>F683</f>
        <v/>
      </c>
      <c r="AG680" s="5">
        <f>H683</f>
        <v/>
      </c>
    </row>
    <row r="681">
      <c r="A681" s="1" t="n"/>
      <c r="F681" s="2" t="n"/>
      <c r="H681" s="2" t="n"/>
      <c r="AC681" t="n">
        <v>1</v>
      </c>
      <c r="AD681" s="3">
        <f>UPPER(C684)</f>
        <v/>
      </c>
      <c r="AE681" s="3">
        <f>VLOOKUP(E684,'[1]Nómina Agentes'!$C:$D,2,0)</f>
        <v/>
      </c>
      <c r="AF681" s="5">
        <f>F684</f>
        <v/>
      </c>
      <c r="AG681" s="5">
        <f>H684</f>
        <v/>
      </c>
    </row>
    <row r="682">
      <c r="A682" s="1" t="n"/>
      <c r="F682" s="2" t="n"/>
      <c r="H682" s="2" t="n"/>
      <c r="AC682" t="n">
        <v>3</v>
      </c>
      <c r="AD682" s="3">
        <f>UPPER(C685)</f>
        <v/>
      </c>
      <c r="AE682" s="3">
        <f>VLOOKUP(E685,'[1]Nómina Agentes'!$C:$D,2,0)</f>
        <v/>
      </c>
      <c r="AF682" s="5">
        <f>F685</f>
        <v/>
      </c>
      <c r="AG682" s="5">
        <f>H685</f>
        <v/>
      </c>
    </row>
    <row r="683">
      <c r="A683" s="1" t="n"/>
      <c r="F683" s="2" t="n"/>
      <c r="H683" s="2" t="n"/>
      <c r="AC683" t="n">
        <v>2</v>
      </c>
      <c r="AD683" s="3">
        <f>UPPER(C686)</f>
        <v/>
      </c>
      <c r="AE683" s="3">
        <f>VLOOKUP(E686,'[1]Nómina Agentes'!$C:$D,2,0)</f>
        <v/>
      </c>
      <c r="AF683" s="5">
        <f>F686</f>
        <v/>
      </c>
      <c r="AG683" s="5">
        <f>H686</f>
        <v/>
      </c>
    </row>
    <row r="684">
      <c r="A684" s="1" t="n"/>
      <c r="F684" s="2" t="n"/>
      <c r="H684" s="2" t="n"/>
      <c r="AC684" t="n">
        <v>2</v>
      </c>
      <c r="AD684" s="3">
        <f>UPPER(C687)</f>
        <v/>
      </c>
      <c r="AE684" s="3">
        <f>VLOOKUP(E687,'[1]Nómina Agentes'!$C:$D,2,0)</f>
        <v/>
      </c>
      <c r="AF684" s="5">
        <f>F687</f>
        <v/>
      </c>
      <c r="AG684" s="5">
        <f>H687</f>
        <v/>
      </c>
    </row>
    <row r="685">
      <c r="A685" s="1" t="n"/>
      <c r="F685" s="2" t="n"/>
      <c r="H685" s="2" t="n"/>
      <c r="AC685" t="n">
        <v>2</v>
      </c>
      <c r="AD685" s="3">
        <f>UPPER(C688)</f>
        <v/>
      </c>
      <c r="AE685" s="3">
        <f>VLOOKUP(E688,'[1]Nómina Agentes'!$C:$D,2,0)</f>
        <v/>
      </c>
      <c r="AF685" s="5">
        <f>F688</f>
        <v/>
      </c>
      <c r="AG685" s="5">
        <f>H688</f>
        <v/>
      </c>
    </row>
    <row r="686">
      <c r="A686" s="1" t="n"/>
      <c r="F686" s="2" t="n"/>
      <c r="H686" s="2" t="n"/>
      <c r="AC686" t="n">
        <v>2</v>
      </c>
      <c r="AD686" s="3">
        <f>UPPER(C689)</f>
        <v/>
      </c>
      <c r="AE686" s="3">
        <f>VLOOKUP(E689,'[1]Nómina Agentes'!$C:$D,2,0)</f>
        <v/>
      </c>
      <c r="AF686" s="5">
        <f>F689</f>
        <v/>
      </c>
      <c r="AG686" s="5">
        <f>H689</f>
        <v/>
      </c>
    </row>
    <row r="687">
      <c r="A687" s="1" t="n"/>
      <c r="F687" s="2" t="n"/>
      <c r="H687" s="2" t="n"/>
      <c r="AC687" t="n">
        <v>4</v>
      </c>
      <c r="AD687" s="3">
        <f>UPPER(C690)</f>
        <v/>
      </c>
      <c r="AE687" s="3">
        <f>VLOOKUP(E690,'[1]Nómina Agentes'!$C:$D,2,0)</f>
        <v/>
      </c>
      <c r="AF687" s="5">
        <f>F690</f>
        <v/>
      </c>
      <c r="AG687" s="5">
        <f>H690</f>
        <v/>
      </c>
    </row>
    <row r="688">
      <c r="A688" s="1" t="n"/>
      <c r="F688" s="2" t="n"/>
      <c r="H688" s="2" t="n"/>
      <c r="AC688" t="n">
        <v>3</v>
      </c>
      <c r="AD688" s="3">
        <f>UPPER(C691)</f>
        <v/>
      </c>
      <c r="AE688" s="3">
        <f>VLOOKUP(E691,'[1]Nómina Agentes'!$C:$D,2,0)</f>
        <v/>
      </c>
      <c r="AF688" s="5">
        <f>F691</f>
        <v/>
      </c>
      <c r="AG688" s="5">
        <f>H691</f>
        <v/>
      </c>
    </row>
    <row r="689">
      <c r="A689" s="1" t="n"/>
      <c r="F689" s="2" t="n"/>
      <c r="H689" s="2" t="n"/>
      <c r="AC689" t="n">
        <v>0</v>
      </c>
      <c r="AD689" s="3">
        <f>UPPER(C692)</f>
        <v/>
      </c>
      <c r="AE689" s="3">
        <f>VLOOKUP(E692,'[1]Nómina Agentes'!$C:$D,2,0)</f>
        <v/>
      </c>
      <c r="AF689" s="5">
        <f>F692</f>
        <v/>
      </c>
      <c r="AG689" s="5">
        <f>H692</f>
        <v/>
      </c>
    </row>
    <row r="690">
      <c r="A690" s="1" t="n"/>
      <c r="F690" s="2" t="n"/>
      <c r="H690" s="2" t="n"/>
      <c r="AC690" t="n">
        <v>3</v>
      </c>
      <c r="AD690" s="3">
        <f>UPPER(C693)</f>
        <v/>
      </c>
      <c r="AE690" s="3">
        <f>VLOOKUP(E693,'[1]Nómina Agentes'!$C:$D,2,0)</f>
        <v/>
      </c>
      <c r="AF690" s="5">
        <f>F693</f>
        <v/>
      </c>
      <c r="AG690" s="5">
        <f>H693</f>
        <v/>
      </c>
    </row>
    <row r="691">
      <c r="A691" s="1" t="n"/>
      <c r="F691" s="2" t="n"/>
      <c r="H691" s="2" t="n"/>
      <c r="AC691" t="n">
        <v>0</v>
      </c>
      <c r="AD691" s="3">
        <f>UPPER(C694)</f>
        <v/>
      </c>
      <c r="AE691" s="3">
        <f>VLOOKUP(E694,'[1]Nómina Agentes'!$C:$D,2,0)</f>
        <v/>
      </c>
      <c r="AF691" s="5">
        <f>F694</f>
        <v/>
      </c>
      <c r="AG691" s="5">
        <f>H694</f>
        <v/>
      </c>
    </row>
    <row r="692">
      <c r="A692" s="1" t="n"/>
      <c r="F692" s="2" t="n"/>
      <c r="H692" s="2" t="n"/>
      <c r="AC692" t="n">
        <v>2</v>
      </c>
      <c r="AD692" s="3">
        <f>UPPER(C695)</f>
        <v/>
      </c>
      <c r="AE692" s="3">
        <f>VLOOKUP(E695,'[1]Nómina Agentes'!$C:$D,2,0)</f>
        <v/>
      </c>
      <c r="AF692" s="5">
        <f>F695</f>
        <v/>
      </c>
      <c r="AG692" s="5">
        <f>H695</f>
        <v/>
      </c>
    </row>
    <row r="693">
      <c r="A693" s="1" t="n"/>
      <c r="F693" s="2" t="n"/>
      <c r="H693" s="2" t="n"/>
      <c r="AC693" t="n">
        <v>2</v>
      </c>
      <c r="AD693" s="3">
        <f>UPPER(C696)</f>
        <v/>
      </c>
      <c r="AE693" s="3">
        <f>VLOOKUP(E696,'[1]Nómina Agentes'!$C:$D,2,0)</f>
        <v/>
      </c>
      <c r="AF693" s="5">
        <f>F696</f>
        <v/>
      </c>
      <c r="AG693" s="5">
        <f>H696</f>
        <v/>
      </c>
    </row>
    <row r="694">
      <c r="A694" s="1" t="n"/>
      <c r="F694" s="2" t="n"/>
      <c r="H694" s="2" t="n"/>
      <c r="AC694" t="n">
        <v>1</v>
      </c>
      <c r="AD694" s="3">
        <f>UPPER(C697)</f>
        <v/>
      </c>
      <c r="AE694" s="3">
        <f>VLOOKUP(E697,'[1]Nómina Agentes'!$C:$D,2,0)</f>
        <v/>
      </c>
      <c r="AF694" s="5">
        <f>F697</f>
        <v/>
      </c>
      <c r="AG694" s="5">
        <f>H697</f>
        <v/>
      </c>
    </row>
    <row r="695">
      <c r="A695" s="1" t="n"/>
      <c r="F695" s="2" t="n"/>
      <c r="H695" s="2" t="n"/>
      <c r="AC695" t="n">
        <v>3</v>
      </c>
      <c r="AD695" s="3">
        <f>UPPER(C698)</f>
        <v/>
      </c>
      <c r="AE695" s="3">
        <f>VLOOKUP(E698,'[1]Nómina Agentes'!$C:$D,2,0)</f>
        <v/>
      </c>
      <c r="AF695" s="5">
        <f>F698</f>
        <v/>
      </c>
      <c r="AG695" s="5">
        <f>H698</f>
        <v/>
      </c>
    </row>
    <row r="696">
      <c r="A696" s="1" t="n"/>
      <c r="F696" s="2" t="n"/>
      <c r="H696" s="2" t="n"/>
      <c r="AC696" t="n">
        <v>3</v>
      </c>
      <c r="AD696" s="3">
        <f>UPPER(C699)</f>
        <v/>
      </c>
      <c r="AE696" s="3">
        <f>VLOOKUP(E699,'[1]Nómina Agentes'!$C:$D,2,0)</f>
        <v/>
      </c>
      <c r="AF696" s="5">
        <f>F699</f>
        <v/>
      </c>
      <c r="AG696" s="5">
        <f>H699</f>
        <v/>
      </c>
    </row>
    <row r="697">
      <c r="A697" s="1" t="n"/>
      <c r="F697" s="2" t="n"/>
      <c r="H697" s="2" t="n"/>
      <c r="AC697" t="n">
        <v>3</v>
      </c>
      <c r="AD697" s="3">
        <f>UPPER(C700)</f>
        <v/>
      </c>
      <c r="AE697" s="3">
        <f>VLOOKUP(E700,'[1]Nómina Agentes'!$C:$D,2,0)</f>
        <v/>
      </c>
      <c r="AF697" s="5">
        <f>F700</f>
        <v/>
      </c>
      <c r="AG697" s="5">
        <f>H700</f>
        <v/>
      </c>
    </row>
    <row r="698">
      <c r="A698" s="1" t="n"/>
      <c r="F698" s="2" t="n"/>
      <c r="H698" s="2" t="n"/>
      <c r="AC698" t="n">
        <v>0</v>
      </c>
      <c r="AD698" s="3">
        <f>UPPER(C701)</f>
        <v/>
      </c>
      <c r="AE698" s="3">
        <f>VLOOKUP(E701,'[1]Nómina Agentes'!$C:$D,2,0)</f>
        <v/>
      </c>
      <c r="AF698" s="5">
        <f>F701</f>
        <v/>
      </c>
      <c r="AG698" s="5">
        <f>H701</f>
        <v/>
      </c>
    </row>
    <row r="699">
      <c r="A699" s="1" t="n"/>
      <c r="F699" s="2" t="n"/>
      <c r="H699" s="2" t="n"/>
      <c r="AC699" t="n">
        <v>1</v>
      </c>
      <c r="AD699" s="3">
        <f>UPPER(C702)</f>
        <v/>
      </c>
      <c r="AE699" s="3">
        <f>VLOOKUP(E702,'[1]Nómina Agentes'!$C:$D,2,0)</f>
        <v/>
      </c>
      <c r="AF699" s="5">
        <f>F702</f>
        <v/>
      </c>
      <c r="AG699" s="5">
        <f>H702</f>
        <v/>
      </c>
    </row>
    <row r="700">
      <c r="A700" s="1" t="n"/>
      <c r="F700" s="2" t="n"/>
      <c r="H700" s="2" t="n"/>
      <c r="AC700" t="n">
        <v>4</v>
      </c>
      <c r="AD700" s="3">
        <f>UPPER(C703)</f>
        <v/>
      </c>
      <c r="AE700" s="3">
        <f>VLOOKUP(E703,'[1]Nómina Agentes'!$C:$D,2,0)</f>
        <v/>
      </c>
      <c r="AF700" s="5">
        <f>F703</f>
        <v/>
      </c>
      <c r="AG700" s="5">
        <f>H703</f>
        <v/>
      </c>
    </row>
    <row r="701">
      <c r="A701" s="1" t="n"/>
      <c r="F701" s="2" t="n"/>
      <c r="H701" s="2" t="n"/>
      <c r="AC701" t="n">
        <v>1</v>
      </c>
      <c r="AD701" s="3">
        <f>UPPER(C704)</f>
        <v/>
      </c>
      <c r="AE701" s="3">
        <f>VLOOKUP(E704,'[1]Nómina Agentes'!$C:$D,2,0)</f>
        <v/>
      </c>
      <c r="AF701" s="5">
        <f>F704</f>
        <v/>
      </c>
      <c r="AG701" s="5">
        <f>H704</f>
        <v/>
      </c>
    </row>
    <row r="702">
      <c r="A702" s="1" t="n"/>
      <c r="F702" s="2" t="n"/>
      <c r="H702" s="2" t="n"/>
      <c r="AC702" t="n">
        <v>2</v>
      </c>
      <c r="AD702" s="3">
        <f>UPPER(C705)</f>
        <v/>
      </c>
      <c r="AE702" s="3">
        <f>VLOOKUP(E705,'[1]Nómina Agentes'!$C:$D,2,0)</f>
        <v/>
      </c>
      <c r="AF702" s="5">
        <f>F705</f>
        <v/>
      </c>
      <c r="AG702" s="5">
        <f>H705</f>
        <v/>
      </c>
    </row>
    <row r="703">
      <c r="A703" s="1" t="n"/>
      <c r="F703" s="2" t="n"/>
      <c r="H703" s="2" t="n"/>
      <c r="AC703" t="n">
        <v>3</v>
      </c>
      <c r="AD703" s="3">
        <f>UPPER(C706)</f>
        <v/>
      </c>
      <c r="AE703" s="3">
        <f>VLOOKUP(E706,'[1]Nómina Agentes'!$C:$D,2,0)</f>
        <v/>
      </c>
      <c r="AF703" s="5">
        <f>F706</f>
        <v/>
      </c>
      <c r="AG703" s="5">
        <f>H706</f>
        <v/>
      </c>
    </row>
    <row r="704">
      <c r="A704" s="1" t="n"/>
      <c r="F704" s="2" t="n"/>
      <c r="H704" s="2" t="n"/>
      <c r="AC704" t="n">
        <v>2</v>
      </c>
      <c r="AD704" s="3">
        <f>UPPER(C707)</f>
        <v/>
      </c>
      <c r="AE704" s="3">
        <f>VLOOKUP(E707,'[1]Nómina Agentes'!$C:$D,2,0)</f>
        <v/>
      </c>
      <c r="AF704" s="5">
        <f>F707</f>
        <v/>
      </c>
      <c r="AG704" s="5">
        <f>H707</f>
        <v/>
      </c>
    </row>
    <row r="705">
      <c r="A705" s="1" t="n"/>
      <c r="F705" s="2" t="n"/>
      <c r="H705" s="2" t="n"/>
      <c r="AC705" t="n">
        <v>3</v>
      </c>
      <c r="AD705" s="3">
        <f>UPPER(C708)</f>
        <v/>
      </c>
      <c r="AE705" s="3">
        <f>VLOOKUP(E708,'[1]Nómina Agentes'!$C:$D,2,0)</f>
        <v/>
      </c>
      <c r="AF705" s="5">
        <f>F708</f>
        <v/>
      </c>
      <c r="AG705" s="5">
        <f>H708</f>
        <v/>
      </c>
    </row>
    <row r="706">
      <c r="A706" s="1" t="n"/>
      <c r="F706" s="2" t="n"/>
      <c r="H706" s="2" t="n"/>
      <c r="AC706" t="n">
        <v>4</v>
      </c>
      <c r="AD706" s="3">
        <f>UPPER(C709)</f>
        <v/>
      </c>
      <c r="AE706" s="3">
        <f>VLOOKUP(E709,'[1]Nómina Agentes'!$C:$D,2,0)</f>
        <v/>
      </c>
      <c r="AF706" s="5">
        <f>F709</f>
        <v/>
      </c>
      <c r="AG706" s="5">
        <f>H709</f>
        <v/>
      </c>
    </row>
    <row r="707">
      <c r="A707" s="1" t="n"/>
      <c r="F707" s="2" t="n"/>
      <c r="H707" s="2" t="n"/>
      <c r="AC707" t="n">
        <v>1</v>
      </c>
      <c r="AD707" s="3">
        <f>UPPER(C710)</f>
        <v/>
      </c>
      <c r="AE707" s="3">
        <f>VLOOKUP(E710,'[1]Nómina Agentes'!$C:$D,2,0)</f>
        <v/>
      </c>
      <c r="AF707" s="5">
        <f>F710</f>
        <v/>
      </c>
      <c r="AG707" s="5">
        <f>H710</f>
        <v/>
      </c>
    </row>
    <row r="708">
      <c r="A708" s="1" t="n"/>
      <c r="F708" s="2" t="n"/>
      <c r="H708" s="2" t="n"/>
      <c r="AC708" t="n">
        <v>5</v>
      </c>
      <c r="AD708" s="3">
        <f>UPPER(C711)</f>
        <v/>
      </c>
      <c r="AE708" s="3">
        <f>VLOOKUP(E711,'[1]Nómina Agentes'!$C:$D,2,0)</f>
        <v/>
      </c>
      <c r="AF708" s="5">
        <f>F711</f>
        <v/>
      </c>
      <c r="AG708" s="5">
        <f>H711</f>
        <v/>
      </c>
    </row>
    <row r="709">
      <c r="A709" s="1" t="n"/>
      <c r="F709" s="2" t="n"/>
      <c r="H709" s="2" t="n"/>
      <c r="AC709" t="n">
        <v>0</v>
      </c>
      <c r="AD709" s="3">
        <f>UPPER(C712)</f>
        <v/>
      </c>
      <c r="AE709" s="3">
        <f>VLOOKUP(E712,'[1]Nómina Agentes'!$C:$D,2,0)</f>
        <v/>
      </c>
      <c r="AF709" s="5">
        <f>F712</f>
        <v/>
      </c>
      <c r="AG709" s="5">
        <f>H712</f>
        <v/>
      </c>
    </row>
    <row r="710">
      <c r="A710" s="1" t="n"/>
      <c r="F710" s="2" t="n"/>
      <c r="H710" s="2" t="n"/>
      <c r="AC710" t="n">
        <v>1</v>
      </c>
      <c r="AD710" s="3">
        <f>UPPER(C713)</f>
        <v/>
      </c>
      <c r="AE710" s="3">
        <f>VLOOKUP(E713,'[1]Nómina Agentes'!$C:$D,2,0)</f>
        <v/>
      </c>
      <c r="AF710" s="5">
        <f>F713</f>
        <v/>
      </c>
      <c r="AG710" s="5">
        <f>H713</f>
        <v/>
      </c>
    </row>
    <row r="711">
      <c r="A711" s="1" t="n"/>
      <c r="F711" s="2" t="n"/>
      <c r="H711" s="2" t="n"/>
      <c r="AC711" t="n">
        <v>1</v>
      </c>
      <c r="AD711" s="3">
        <f>UPPER(C714)</f>
        <v/>
      </c>
      <c r="AE711" s="3">
        <f>VLOOKUP(E714,'[1]Nómina Agentes'!$C:$D,2,0)</f>
        <v/>
      </c>
      <c r="AF711" s="5">
        <f>F714</f>
        <v/>
      </c>
      <c r="AG711" s="5">
        <f>H714</f>
        <v/>
      </c>
    </row>
    <row r="712">
      <c r="A712" s="1" t="n"/>
      <c r="F712" s="2" t="n"/>
      <c r="H712" s="2" t="n"/>
      <c r="AC712" t="n">
        <v>3</v>
      </c>
      <c r="AD712" s="3">
        <f>UPPER(C715)</f>
        <v/>
      </c>
      <c r="AE712" s="3">
        <f>VLOOKUP(E715,'[1]Nómina Agentes'!$C:$D,2,0)</f>
        <v/>
      </c>
      <c r="AF712" s="5">
        <f>F715</f>
        <v/>
      </c>
      <c r="AG712" s="5">
        <f>H715</f>
        <v/>
      </c>
    </row>
    <row r="713">
      <c r="A713" s="1" t="n"/>
      <c r="F713" s="2" t="n"/>
      <c r="H713" s="2" t="n"/>
      <c r="AC713" t="n">
        <v>1</v>
      </c>
      <c r="AD713" s="3">
        <f>UPPER(C716)</f>
        <v/>
      </c>
      <c r="AE713" s="3">
        <f>VLOOKUP(E716,'[1]Nómina Agentes'!$C:$D,2,0)</f>
        <v/>
      </c>
      <c r="AF713" s="5">
        <f>F716</f>
        <v/>
      </c>
      <c r="AG713" s="5">
        <f>H716</f>
        <v/>
      </c>
    </row>
    <row r="714">
      <c r="A714" s="1" t="n"/>
      <c r="F714" s="2" t="n"/>
      <c r="H714" s="2" t="n"/>
      <c r="AC714" t="n">
        <v>4</v>
      </c>
      <c r="AD714" s="3">
        <f>UPPER(C717)</f>
        <v/>
      </c>
      <c r="AE714" s="3">
        <f>VLOOKUP(E717,'[1]Nómina Agentes'!$C:$D,2,0)</f>
        <v/>
      </c>
      <c r="AF714" s="5">
        <f>F717</f>
        <v/>
      </c>
      <c r="AG714" s="5">
        <f>H717</f>
        <v/>
      </c>
    </row>
    <row r="715">
      <c r="A715" s="1" t="n"/>
      <c r="F715" s="2" t="n"/>
      <c r="H715" s="2" t="n"/>
      <c r="AC715" t="n">
        <v>3</v>
      </c>
      <c r="AD715" s="3">
        <f>UPPER(C718)</f>
        <v/>
      </c>
      <c r="AE715" s="3">
        <f>VLOOKUP(E718,'[1]Nómina Agentes'!$C:$D,2,0)</f>
        <v/>
      </c>
      <c r="AF715" s="5">
        <f>F718</f>
        <v/>
      </c>
      <c r="AG715" s="5">
        <f>H718</f>
        <v/>
      </c>
    </row>
    <row r="716">
      <c r="A716" s="1" t="n"/>
      <c r="F716" s="2" t="n"/>
      <c r="H716" s="2" t="n"/>
      <c r="AC716" t="n">
        <v>4</v>
      </c>
      <c r="AD716" s="3">
        <f>UPPER(C719)</f>
        <v/>
      </c>
      <c r="AE716" s="3">
        <f>VLOOKUP(E719,'[1]Nómina Agentes'!$C:$D,2,0)</f>
        <v/>
      </c>
      <c r="AF716" s="5">
        <f>F719</f>
        <v/>
      </c>
      <c r="AG716" s="5">
        <f>H719</f>
        <v/>
      </c>
    </row>
    <row r="717">
      <c r="A717" s="1" t="n"/>
      <c r="F717" s="2" t="n"/>
      <c r="H717" s="2" t="n"/>
      <c r="AC717" t="n">
        <v>3</v>
      </c>
      <c r="AD717" s="3">
        <f>UPPER(C720)</f>
        <v/>
      </c>
      <c r="AE717" s="3">
        <f>VLOOKUP(E720,'[1]Nómina Agentes'!$C:$D,2,0)</f>
        <v/>
      </c>
      <c r="AF717" s="5">
        <f>F720</f>
        <v/>
      </c>
      <c r="AG717" s="5">
        <f>H720</f>
        <v/>
      </c>
    </row>
    <row r="718">
      <c r="A718" s="1" t="n"/>
      <c r="F718" s="2" t="n"/>
      <c r="H718" s="2" t="n"/>
      <c r="AC718" t="n">
        <v>3</v>
      </c>
      <c r="AD718" s="3">
        <f>UPPER(C721)</f>
        <v/>
      </c>
      <c r="AE718" s="3">
        <f>VLOOKUP(E721,'[1]Nómina Agentes'!$C:$D,2,0)</f>
        <v/>
      </c>
      <c r="AF718" s="5">
        <f>F721</f>
        <v/>
      </c>
      <c r="AG718" s="5">
        <f>H721</f>
        <v/>
      </c>
    </row>
    <row r="719">
      <c r="A719" s="1" t="n"/>
      <c r="F719" s="2" t="n"/>
      <c r="H719" s="2" t="n"/>
      <c r="AC719" t="n">
        <v>4</v>
      </c>
      <c r="AD719" s="3">
        <f>UPPER(C722)</f>
        <v/>
      </c>
      <c r="AE719" s="3">
        <f>VLOOKUP(E722,'[1]Nómina Agentes'!$C:$D,2,0)</f>
        <v/>
      </c>
      <c r="AF719" s="5">
        <f>F722</f>
        <v/>
      </c>
      <c r="AG719" s="5">
        <f>H722</f>
        <v/>
      </c>
    </row>
    <row r="720">
      <c r="A720" s="1" t="n"/>
      <c r="F720" s="2" t="n"/>
      <c r="H720" s="2" t="n"/>
      <c r="AC720" t="n">
        <v>1</v>
      </c>
      <c r="AD720" s="3">
        <f>UPPER(C723)</f>
        <v/>
      </c>
      <c r="AE720" s="3">
        <f>VLOOKUP(E723,'[1]Nómina Agentes'!$C:$D,2,0)</f>
        <v/>
      </c>
      <c r="AF720" s="5">
        <f>F723</f>
        <v/>
      </c>
      <c r="AG720" s="5">
        <f>H723</f>
        <v/>
      </c>
    </row>
    <row r="721">
      <c r="A721" s="1" t="n"/>
      <c r="F721" s="2" t="n"/>
      <c r="H721" s="2" t="n"/>
      <c r="AC721" t="n">
        <v>2</v>
      </c>
      <c r="AD721" s="3">
        <f>UPPER(C724)</f>
        <v/>
      </c>
      <c r="AE721" s="3">
        <f>VLOOKUP(E724,'[1]Nómina Agentes'!$C:$D,2,0)</f>
        <v/>
      </c>
      <c r="AF721" s="5">
        <f>F724</f>
        <v/>
      </c>
      <c r="AG721" s="5">
        <f>H724</f>
        <v/>
      </c>
    </row>
    <row r="722">
      <c r="A722" s="1" t="n"/>
      <c r="F722" s="2" t="n"/>
      <c r="H722" s="2" t="n"/>
      <c r="AC722" t="n">
        <v>0</v>
      </c>
      <c r="AD722" s="3">
        <f>UPPER(C725)</f>
        <v/>
      </c>
      <c r="AE722" s="3">
        <f>VLOOKUP(E725,'[1]Nómina Agentes'!$C:$D,2,0)</f>
        <v/>
      </c>
      <c r="AF722" s="5">
        <f>F725</f>
        <v/>
      </c>
      <c r="AG722" s="5">
        <f>H725</f>
        <v/>
      </c>
    </row>
    <row r="723">
      <c r="A723" s="1" t="n"/>
      <c r="F723" s="2" t="n"/>
      <c r="H723" s="2" t="n"/>
      <c r="AC723" t="n">
        <v>0</v>
      </c>
      <c r="AD723" s="3">
        <f>UPPER(C726)</f>
        <v/>
      </c>
      <c r="AE723" s="3">
        <f>VLOOKUP(E726,'[1]Nómina Agentes'!$C:$D,2,0)</f>
        <v/>
      </c>
      <c r="AF723" s="5">
        <f>F726</f>
        <v/>
      </c>
      <c r="AG723" s="5">
        <f>H726</f>
        <v/>
      </c>
    </row>
    <row r="724">
      <c r="A724" s="1" t="n"/>
      <c r="F724" s="2" t="n"/>
      <c r="H724" s="2" t="n"/>
      <c r="AC724" t="n">
        <v>4</v>
      </c>
      <c r="AD724" s="3">
        <f>UPPER(C727)</f>
        <v/>
      </c>
      <c r="AE724" s="3">
        <f>VLOOKUP(E727,'[1]Nómina Agentes'!$C:$D,2,0)</f>
        <v/>
      </c>
      <c r="AF724" s="5">
        <f>F727</f>
        <v/>
      </c>
      <c r="AG724" s="5">
        <f>H727</f>
        <v/>
      </c>
    </row>
    <row r="725">
      <c r="A725" s="1" t="n"/>
      <c r="F725" s="2" t="n"/>
      <c r="H725" s="2" t="n"/>
      <c r="AC725" t="n">
        <v>0</v>
      </c>
      <c r="AD725" s="3">
        <f>UPPER(C728)</f>
        <v/>
      </c>
      <c r="AE725" s="3">
        <f>VLOOKUP(E728,'[1]Nómina Agentes'!$C:$D,2,0)</f>
        <v/>
      </c>
      <c r="AF725" s="5">
        <f>F728</f>
        <v/>
      </c>
      <c r="AG725" s="5">
        <f>H728</f>
        <v/>
      </c>
    </row>
    <row r="726">
      <c r="A726" s="1" t="n"/>
      <c r="F726" s="2" t="n"/>
      <c r="H726" s="2" t="n"/>
      <c r="AC726" t="n">
        <v>2</v>
      </c>
      <c r="AD726" s="3">
        <f>UPPER(C729)</f>
        <v/>
      </c>
      <c r="AE726" s="3">
        <f>VLOOKUP(E729,'[1]Nómina Agentes'!$C:$D,2,0)</f>
        <v/>
      </c>
      <c r="AF726" s="5">
        <f>F729</f>
        <v/>
      </c>
      <c r="AG726" s="5">
        <f>H729</f>
        <v/>
      </c>
    </row>
    <row r="727">
      <c r="A727" s="1" t="n"/>
      <c r="F727" s="2" t="n"/>
      <c r="H727" s="2" t="n"/>
      <c r="AC727" t="n">
        <v>2</v>
      </c>
      <c r="AD727" s="3">
        <f>UPPER(C730)</f>
        <v/>
      </c>
      <c r="AE727" s="3">
        <f>VLOOKUP(E730,'[1]Nómina Agentes'!$C:$D,2,0)</f>
        <v/>
      </c>
      <c r="AF727" s="5">
        <f>F730</f>
        <v/>
      </c>
      <c r="AG727" s="5">
        <f>H730</f>
        <v/>
      </c>
    </row>
    <row r="728">
      <c r="A728" s="1" t="n"/>
      <c r="F728" s="2" t="n"/>
      <c r="H728" s="2" t="n"/>
      <c r="AC728" t="n">
        <v>1</v>
      </c>
      <c r="AD728" s="3">
        <f>UPPER(C731)</f>
        <v/>
      </c>
      <c r="AE728" s="3">
        <f>VLOOKUP(E731,'[1]Nómina Agentes'!$C:$D,2,0)</f>
        <v/>
      </c>
      <c r="AF728" s="5">
        <f>F731</f>
        <v/>
      </c>
      <c r="AG728" s="5">
        <f>H731</f>
        <v/>
      </c>
    </row>
    <row r="729">
      <c r="A729" s="1" t="n"/>
      <c r="F729" s="2" t="n"/>
      <c r="H729" s="2" t="n"/>
      <c r="AC729" t="n">
        <v>1</v>
      </c>
      <c r="AD729" s="3">
        <f>UPPER(C732)</f>
        <v/>
      </c>
      <c r="AE729" s="3">
        <f>VLOOKUP(E732,'[1]Nómina Agentes'!$C:$D,2,0)</f>
        <v/>
      </c>
      <c r="AF729" s="5">
        <f>F732</f>
        <v/>
      </c>
      <c r="AG729" s="5">
        <f>H732</f>
        <v/>
      </c>
    </row>
    <row r="730">
      <c r="A730" s="1" t="n"/>
      <c r="F730" s="2" t="n"/>
      <c r="H730" s="2" t="n"/>
      <c r="AC730" t="n">
        <v>2</v>
      </c>
      <c r="AD730" s="3">
        <f>UPPER(C733)</f>
        <v/>
      </c>
      <c r="AE730" s="3">
        <f>VLOOKUP(E733,'[1]Nómina Agentes'!$C:$D,2,0)</f>
        <v/>
      </c>
      <c r="AF730" s="5">
        <f>F733</f>
        <v/>
      </c>
      <c r="AG730" s="5">
        <f>H733</f>
        <v/>
      </c>
    </row>
    <row r="731">
      <c r="A731" s="1" t="n"/>
      <c r="F731" s="2" t="n"/>
      <c r="H731" s="2" t="n"/>
      <c r="AC731" t="n">
        <v>0</v>
      </c>
      <c r="AD731" s="3">
        <f>UPPER(C734)</f>
        <v/>
      </c>
      <c r="AE731" s="3">
        <f>VLOOKUP(E734,'[1]Nómina Agentes'!$C:$D,2,0)</f>
        <v/>
      </c>
      <c r="AF731" s="5">
        <f>F734</f>
        <v/>
      </c>
      <c r="AG731" s="5">
        <f>H734</f>
        <v/>
      </c>
    </row>
    <row r="732">
      <c r="A732" s="1" t="n"/>
      <c r="F732" s="2" t="n"/>
      <c r="H732" s="2" t="n"/>
      <c r="AC732" t="n">
        <v>2</v>
      </c>
      <c r="AD732" s="3">
        <f>UPPER(C735)</f>
        <v/>
      </c>
      <c r="AE732" s="3">
        <f>VLOOKUP(E735,'[1]Nómina Agentes'!$C:$D,2,0)</f>
        <v/>
      </c>
      <c r="AF732" s="5">
        <f>F735</f>
        <v/>
      </c>
      <c r="AG732" s="5">
        <f>H735</f>
        <v/>
      </c>
    </row>
    <row r="733">
      <c r="A733" s="1" t="n"/>
      <c r="F733" s="2" t="n"/>
      <c r="H733" s="2" t="n"/>
      <c r="AC733" t="n">
        <v>3</v>
      </c>
      <c r="AD733" s="3">
        <f>UPPER(C736)</f>
        <v/>
      </c>
      <c r="AE733" s="3">
        <f>VLOOKUP(E736,'[1]Nómina Agentes'!$C:$D,2,0)</f>
        <v/>
      </c>
      <c r="AF733" s="5">
        <f>F736</f>
        <v/>
      </c>
      <c r="AG733" s="5">
        <f>H736</f>
        <v/>
      </c>
    </row>
    <row r="734">
      <c r="A734" s="1" t="n"/>
      <c r="F734" s="2" t="n"/>
      <c r="H734" s="2" t="n"/>
      <c r="AC734" t="n">
        <v>2</v>
      </c>
      <c r="AD734" s="3">
        <f>UPPER(C737)</f>
        <v/>
      </c>
      <c r="AE734" s="3">
        <f>VLOOKUP(E737,'[1]Nómina Agentes'!$C:$D,2,0)</f>
        <v/>
      </c>
      <c r="AF734" s="5">
        <f>F737</f>
        <v/>
      </c>
      <c r="AG734" s="5">
        <f>H737</f>
        <v/>
      </c>
    </row>
    <row r="735">
      <c r="A735" s="1" t="n"/>
      <c r="F735" s="2" t="n"/>
      <c r="H735" s="2" t="n"/>
      <c r="AC735" t="n">
        <v>0</v>
      </c>
      <c r="AD735" s="3">
        <f>UPPER(C738)</f>
        <v/>
      </c>
      <c r="AE735" s="3">
        <f>VLOOKUP(E738,'[1]Nómina Agentes'!$C:$D,2,0)</f>
        <v/>
      </c>
      <c r="AF735" s="5">
        <f>F738</f>
        <v/>
      </c>
      <c r="AG735" s="5">
        <f>H738</f>
        <v/>
      </c>
    </row>
    <row r="736">
      <c r="A736" s="1" t="n"/>
      <c r="F736" s="2" t="n"/>
      <c r="H736" s="2" t="n"/>
      <c r="AC736" t="n">
        <v>2</v>
      </c>
      <c r="AD736" s="3">
        <f>UPPER(C739)</f>
        <v/>
      </c>
      <c r="AE736" s="3">
        <f>VLOOKUP(E739,'[1]Nómina Agentes'!$C:$D,2,0)</f>
        <v/>
      </c>
      <c r="AF736" s="5">
        <f>F739</f>
        <v/>
      </c>
      <c r="AG736" s="5">
        <f>H739</f>
        <v/>
      </c>
    </row>
    <row r="737">
      <c r="A737" s="1" t="n"/>
      <c r="F737" s="2" t="n"/>
      <c r="H737" s="2" t="n"/>
      <c r="AC737" t="n">
        <v>4</v>
      </c>
      <c r="AD737" s="3">
        <f>UPPER(C740)</f>
        <v/>
      </c>
      <c r="AE737" s="3">
        <f>VLOOKUP(E740,'[1]Nómina Agentes'!$C:$D,2,0)</f>
        <v/>
      </c>
      <c r="AF737" s="5">
        <f>F740</f>
        <v/>
      </c>
      <c r="AG737" s="5">
        <f>H740</f>
        <v/>
      </c>
    </row>
    <row r="738">
      <c r="A738" s="1" t="n"/>
      <c r="F738" s="2" t="n"/>
      <c r="H738" s="2" t="n"/>
      <c r="AC738" t="n">
        <v>1</v>
      </c>
      <c r="AD738" s="3">
        <f>UPPER(C741)</f>
        <v/>
      </c>
      <c r="AE738" s="3">
        <f>VLOOKUP(E741,'[1]Nómina Agentes'!$C:$D,2,0)</f>
        <v/>
      </c>
      <c r="AF738" s="5">
        <f>F741</f>
        <v/>
      </c>
      <c r="AG738" s="5">
        <f>H741</f>
        <v/>
      </c>
    </row>
    <row r="739">
      <c r="A739" s="1" t="n"/>
      <c r="F739" s="2" t="n"/>
      <c r="H739" s="2" t="n"/>
      <c r="AC739" t="n">
        <v>4</v>
      </c>
      <c r="AD739" s="3">
        <f>UPPER(C742)</f>
        <v/>
      </c>
      <c r="AE739" s="3">
        <f>VLOOKUP(E742,'[1]Nómina Agentes'!$C:$D,2,0)</f>
        <v/>
      </c>
      <c r="AF739" s="5">
        <f>F742</f>
        <v/>
      </c>
      <c r="AG739" s="5">
        <f>H742</f>
        <v/>
      </c>
    </row>
    <row r="740">
      <c r="A740" s="1" t="n"/>
      <c r="F740" s="2" t="n"/>
      <c r="H740" s="2" t="n"/>
      <c r="AC740" t="n">
        <v>2</v>
      </c>
      <c r="AD740" s="3">
        <f>UPPER(C743)</f>
        <v/>
      </c>
      <c r="AE740" s="3">
        <f>VLOOKUP(E743,'[1]Nómina Agentes'!$C:$D,2,0)</f>
        <v/>
      </c>
      <c r="AF740" s="5">
        <f>F743</f>
        <v/>
      </c>
      <c r="AG740" s="5">
        <f>H743</f>
        <v/>
      </c>
    </row>
    <row r="741">
      <c r="A741" s="1" t="n"/>
      <c r="F741" s="2" t="n"/>
      <c r="H741" s="2" t="n"/>
      <c r="AC741" t="n">
        <v>2</v>
      </c>
      <c r="AD741" s="3">
        <f>UPPER(C744)</f>
        <v/>
      </c>
      <c r="AE741" s="3">
        <f>VLOOKUP(E744,'[1]Nómina Agentes'!$C:$D,2,0)</f>
        <v/>
      </c>
      <c r="AF741" s="5">
        <f>F744</f>
        <v/>
      </c>
      <c r="AG741" s="5">
        <f>H744</f>
        <v/>
      </c>
    </row>
    <row r="742">
      <c r="A742" s="1" t="n"/>
      <c r="F742" s="2" t="n"/>
      <c r="H742" s="2" t="n"/>
      <c r="AC742" t="n">
        <v>1</v>
      </c>
      <c r="AD742" s="3">
        <f>UPPER(C745)</f>
        <v/>
      </c>
      <c r="AE742" s="3">
        <f>VLOOKUP(E745,'[1]Nómina Agentes'!$C:$D,2,0)</f>
        <v/>
      </c>
      <c r="AF742" s="5">
        <f>F745</f>
        <v/>
      </c>
      <c r="AG742" s="5">
        <f>H745</f>
        <v/>
      </c>
    </row>
    <row r="743">
      <c r="A743" s="1" t="n"/>
      <c r="F743" s="2" t="n"/>
      <c r="H743" s="2" t="n"/>
      <c r="AC743" t="n">
        <v>1</v>
      </c>
      <c r="AD743" s="3">
        <f>UPPER(C746)</f>
        <v/>
      </c>
      <c r="AE743" s="3">
        <f>VLOOKUP(E746,'[1]Nómina Agentes'!$C:$D,2,0)</f>
        <v/>
      </c>
      <c r="AF743" s="5">
        <f>F746</f>
        <v/>
      </c>
      <c r="AG743" s="5">
        <f>H746</f>
        <v/>
      </c>
    </row>
    <row r="744">
      <c r="A744" s="1" t="n"/>
      <c r="F744" s="2" t="n"/>
      <c r="H744" s="2" t="n"/>
      <c r="AC744" t="n">
        <v>0</v>
      </c>
      <c r="AD744" s="3">
        <f>UPPER(C747)</f>
        <v/>
      </c>
      <c r="AE744" s="3">
        <f>VLOOKUP(E747,'[1]Nómina Agentes'!$C:$D,2,0)</f>
        <v/>
      </c>
      <c r="AF744" s="5">
        <f>F747</f>
        <v/>
      </c>
      <c r="AG744" s="5">
        <f>H747</f>
        <v/>
      </c>
    </row>
    <row r="745">
      <c r="A745" s="1" t="n"/>
      <c r="F745" s="2" t="n"/>
      <c r="H745" s="2" t="n"/>
      <c r="AC745" t="n">
        <v>2</v>
      </c>
      <c r="AD745" s="3">
        <f>UPPER(C748)</f>
        <v/>
      </c>
      <c r="AE745" s="3">
        <f>VLOOKUP(E748,'[1]Nómina Agentes'!$C:$D,2,0)</f>
        <v/>
      </c>
      <c r="AF745" s="5">
        <f>F748</f>
        <v/>
      </c>
      <c r="AG745" s="5">
        <f>H748</f>
        <v/>
      </c>
    </row>
    <row r="746">
      <c r="A746" s="1" t="n"/>
      <c r="F746" s="2" t="n"/>
      <c r="H746" s="2" t="n"/>
      <c r="AC746" t="n">
        <v>1</v>
      </c>
      <c r="AD746" s="3">
        <f>UPPER(C749)</f>
        <v/>
      </c>
      <c r="AE746" s="3">
        <f>VLOOKUP(E749,'[1]Nómina Agentes'!$C:$D,2,0)</f>
        <v/>
      </c>
      <c r="AF746" s="5">
        <f>F749</f>
        <v/>
      </c>
      <c r="AG746" s="5">
        <f>H749</f>
        <v/>
      </c>
    </row>
    <row r="747">
      <c r="A747" s="1" t="n"/>
      <c r="F747" s="2" t="n"/>
      <c r="H747" s="2" t="n"/>
      <c r="AC747" t="n">
        <v>4</v>
      </c>
      <c r="AD747" s="3">
        <f>UPPER(C750)</f>
        <v/>
      </c>
      <c r="AE747" s="3">
        <f>VLOOKUP(E750,'[1]Nómina Agentes'!$C:$D,2,0)</f>
        <v/>
      </c>
      <c r="AF747" s="5">
        <f>F750</f>
        <v/>
      </c>
      <c r="AG747" s="5">
        <f>H750</f>
        <v/>
      </c>
    </row>
    <row r="748">
      <c r="A748" s="1" t="n"/>
      <c r="F748" s="2" t="n"/>
      <c r="H748" s="2" t="n"/>
      <c r="AC748" t="n">
        <v>4</v>
      </c>
      <c r="AD748" s="3">
        <f>UPPER(C751)</f>
        <v/>
      </c>
      <c r="AE748" s="3">
        <f>VLOOKUP(E751,'[1]Nómina Agentes'!$C:$D,2,0)</f>
        <v/>
      </c>
      <c r="AF748" s="5">
        <f>F751</f>
        <v/>
      </c>
      <c r="AG748" s="5">
        <f>H751</f>
        <v/>
      </c>
    </row>
    <row r="749">
      <c r="A749" s="1" t="n"/>
      <c r="F749" s="2" t="n"/>
      <c r="H749" s="2" t="n"/>
      <c r="AC749" t="n">
        <v>2</v>
      </c>
      <c r="AD749" s="3">
        <f>UPPER(C752)</f>
        <v/>
      </c>
      <c r="AE749" s="3">
        <f>VLOOKUP(E752,'[1]Nómina Agentes'!$C:$D,2,0)</f>
        <v/>
      </c>
      <c r="AF749" s="5">
        <f>F752</f>
        <v/>
      </c>
      <c r="AG749" s="5">
        <f>H752</f>
        <v/>
      </c>
    </row>
    <row r="750">
      <c r="A750" s="1" t="n"/>
      <c r="F750" s="2" t="n"/>
      <c r="H750" s="2" t="n"/>
      <c r="AC750" t="n">
        <v>3</v>
      </c>
      <c r="AD750" s="3">
        <f>UPPER(C753)</f>
        <v/>
      </c>
      <c r="AE750" s="3">
        <f>VLOOKUP(E753,'[1]Nómina Agentes'!$C:$D,2,0)</f>
        <v/>
      </c>
      <c r="AF750" s="5">
        <f>F753</f>
        <v/>
      </c>
      <c r="AG750" s="5">
        <f>H753</f>
        <v/>
      </c>
    </row>
    <row r="751">
      <c r="A751" s="1" t="n"/>
      <c r="F751" s="2" t="n"/>
      <c r="H751" s="2" t="n"/>
      <c r="AC751" t="n">
        <v>2</v>
      </c>
      <c r="AD751" s="3">
        <f>UPPER(C754)</f>
        <v/>
      </c>
      <c r="AE751" s="3">
        <f>VLOOKUP(E754,'[1]Nómina Agentes'!$C:$D,2,0)</f>
        <v/>
      </c>
      <c r="AF751" s="5">
        <f>F754</f>
        <v/>
      </c>
      <c r="AG751" s="5">
        <f>H754</f>
        <v/>
      </c>
    </row>
    <row r="752">
      <c r="A752" s="1" t="n"/>
      <c r="F752" s="2" t="n"/>
      <c r="H752" s="2" t="n"/>
      <c r="AC752" t="n">
        <v>3</v>
      </c>
      <c r="AD752" s="3">
        <f>UPPER(C755)</f>
        <v/>
      </c>
      <c r="AE752" s="3">
        <f>VLOOKUP(E755,'[1]Nómina Agentes'!$C:$D,2,0)</f>
        <v/>
      </c>
      <c r="AF752" s="5">
        <f>F755</f>
        <v/>
      </c>
      <c r="AG752" s="5">
        <f>H755</f>
        <v/>
      </c>
    </row>
    <row r="753">
      <c r="A753" s="1" t="n"/>
      <c r="F753" s="2" t="n"/>
      <c r="H753" s="2" t="n"/>
      <c r="AC753" t="n">
        <v>3</v>
      </c>
      <c r="AD753" s="3">
        <f>UPPER(C756)</f>
        <v/>
      </c>
      <c r="AE753" s="3">
        <f>VLOOKUP(E756,'[1]Nómina Agentes'!$C:$D,2,0)</f>
        <v/>
      </c>
      <c r="AF753" s="5">
        <f>F756</f>
        <v/>
      </c>
      <c r="AG753" s="5">
        <f>H756</f>
        <v/>
      </c>
    </row>
    <row r="754">
      <c r="A754" s="1" t="n"/>
      <c r="F754" s="2" t="n"/>
      <c r="H754" s="2" t="n"/>
      <c r="AC754" t="n">
        <v>5</v>
      </c>
      <c r="AD754" s="3">
        <f>UPPER(C757)</f>
        <v/>
      </c>
      <c r="AE754" s="3">
        <f>VLOOKUP(E757,'[1]Nómina Agentes'!$C:$D,2,0)</f>
        <v/>
      </c>
      <c r="AF754" s="5">
        <f>F757</f>
        <v/>
      </c>
      <c r="AG754" s="5">
        <f>H757</f>
        <v/>
      </c>
    </row>
    <row r="755">
      <c r="A755" s="1" t="n"/>
      <c r="F755" s="2" t="n"/>
      <c r="H755" s="2" t="n"/>
      <c r="AC755" t="n">
        <v>2</v>
      </c>
      <c r="AD755" s="3">
        <f>UPPER(C758)</f>
        <v/>
      </c>
      <c r="AE755" s="3">
        <f>VLOOKUP(E758,'[1]Nómina Agentes'!$C:$D,2,0)</f>
        <v/>
      </c>
      <c r="AF755" s="5">
        <f>F758</f>
        <v/>
      </c>
      <c r="AG755" s="5">
        <f>H758</f>
        <v/>
      </c>
    </row>
    <row r="756">
      <c r="A756" s="1" t="n"/>
      <c r="F756" s="2" t="n"/>
      <c r="H756" s="2" t="n"/>
      <c r="AC756" t="n">
        <v>4</v>
      </c>
      <c r="AD756" s="3">
        <f>UPPER(C759)</f>
        <v/>
      </c>
      <c r="AE756" s="3">
        <f>VLOOKUP(E759,'[1]Nómina Agentes'!$C:$D,2,0)</f>
        <v/>
      </c>
      <c r="AF756" s="5">
        <f>F759</f>
        <v/>
      </c>
      <c r="AG756" s="5">
        <f>H759</f>
        <v/>
      </c>
    </row>
    <row r="757">
      <c r="A757" s="1" t="n"/>
      <c r="F757" s="2" t="n"/>
      <c r="H757" s="2" t="n"/>
      <c r="AC757" t="n">
        <v>1</v>
      </c>
      <c r="AD757" s="3">
        <f>UPPER(C760)</f>
        <v/>
      </c>
      <c r="AE757" s="3">
        <f>VLOOKUP(E760,'[1]Nómina Agentes'!$C:$D,2,0)</f>
        <v/>
      </c>
      <c r="AF757" s="5">
        <f>F760</f>
        <v/>
      </c>
      <c r="AG757" s="5">
        <f>H760</f>
        <v/>
      </c>
    </row>
    <row r="758">
      <c r="A758" s="1" t="n"/>
      <c r="F758" s="2" t="n"/>
      <c r="H758" s="2" t="n"/>
      <c r="AC758" t="n">
        <v>4</v>
      </c>
      <c r="AD758" s="3">
        <f>UPPER(C761)</f>
        <v/>
      </c>
      <c r="AE758" s="3">
        <f>VLOOKUP(E761,'[1]Nómina Agentes'!$C:$D,2,0)</f>
        <v/>
      </c>
      <c r="AF758" s="5">
        <f>F761</f>
        <v/>
      </c>
      <c r="AG758" s="5">
        <f>H761</f>
        <v/>
      </c>
    </row>
    <row r="759">
      <c r="A759" s="1" t="n"/>
      <c r="F759" s="2" t="n"/>
      <c r="H759" s="2" t="n"/>
      <c r="AC759" t="n">
        <v>2</v>
      </c>
      <c r="AD759" s="3">
        <f>UPPER(C762)</f>
        <v/>
      </c>
      <c r="AE759" s="3">
        <f>VLOOKUP(E762,'[1]Nómina Agentes'!$C:$D,2,0)</f>
        <v/>
      </c>
      <c r="AF759" s="5">
        <f>F762</f>
        <v/>
      </c>
      <c r="AG759" s="5">
        <f>H762</f>
        <v/>
      </c>
    </row>
    <row r="760">
      <c r="A760" s="1" t="n"/>
      <c r="F760" s="2" t="n"/>
      <c r="H760" s="2" t="n"/>
      <c r="AC760" t="n">
        <v>1</v>
      </c>
      <c r="AD760" s="3">
        <f>UPPER(C763)</f>
        <v/>
      </c>
      <c r="AE760" s="3">
        <f>VLOOKUP(E763,'[1]Nómina Agentes'!$C:$D,2,0)</f>
        <v/>
      </c>
      <c r="AF760" s="5">
        <f>F763</f>
        <v/>
      </c>
      <c r="AG760" s="5">
        <f>H763</f>
        <v/>
      </c>
    </row>
    <row r="761">
      <c r="A761" s="1" t="n"/>
      <c r="F761" s="2" t="n"/>
      <c r="H761" s="2" t="n"/>
      <c r="AC761" t="n">
        <v>0</v>
      </c>
      <c r="AD761" s="3">
        <f>UPPER(C764)</f>
        <v/>
      </c>
      <c r="AE761" s="3">
        <f>VLOOKUP(E764,'[1]Nómina Agentes'!$C:$D,2,0)</f>
        <v/>
      </c>
      <c r="AF761" s="5">
        <f>F764</f>
        <v/>
      </c>
      <c r="AG761" s="5">
        <f>H764</f>
        <v/>
      </c>
    </row>
    <row r="762">
      <c r="A762" s="1" t="n"/>
      <c r="F762" s="2" t="n"/>
      <c r="H762" s="2" t="n"/>
      <c r="AC762" t="n">
        <v>0</v>
      </c>
      <c r="AD762" s="3">
        <f>UPPER(C765)</f>
        <v/>
      </c>
      <c r="AE762" s="3">
        <f>VLOOKUP(E765,'[1]Nómina Agentes'!$C:$D,2,0)</f>
        <v/>
      </c>
      <c r="AF762" s="5">
        <f>F765</f>
        <v/>
      </c>
      <c r="AG762" s="5">
        <f>H765</f>
        <v/>
      </c>
    </row>
    <row r="763">
      <c r="A763" s="1" t="n"/>
      <c r="F763" s="2" t="n"/>
      <c r="H763" s="2" t="n"/>
      <c r="AC763" t="n">
        <v>1</v>
      </c>
      <c r="AD763" s="3">
        <f>UPPER(C766)</f>
        <v/>
      </c>
      <c r="AE763" s="3">
        <f>VLOOKUP(E766,'[1]Nómina Agentes'!$C:$D,2,0)</f>
        <v/>
      </c>
      <c r="AF763" s="5">
        <f>F766</f>
        <v/>
      </c>
      <c r="AG763" s="5">
        <f>H766</f>
        <v/>
      </c>
    </row>
    <row r="764">
      <c r="A764" s="1" t="n"/>
      <c r="F764" s="2" t="n"/>
      <c r="H764" s="2" t="n"/>
      <c r="AC764" t="n">
        <v>2</v>
      </c>
      <c r="AD764" s="3">
        <f>UPPER(C767)</f>
        <v/>
      </c>
      <c r="AE764" s="3">
        <f>VLOOKUP(E767,'[1]Nómina Agentes'!$C:$D,2,0)</f>
        <v/>
      </c>
      <c r="AF764" s="5">
        <f>F767</f>
        <v/>
      </c>
      <c r="AG764" s="5">
        <f>H767</f>
        <v/>
      </c>
    </row>
    <row r="765">
      <c r="A765" s="1" t="n"/>
      <c r="F765" s="2" t="n"/>
      <c r="H765" s="2" t="n"/>
      <c r="AC765" t="n">
        <v>3</v>
      </c>
      <c r="AD765" s="3">
        <f>UPPER(C768)</f>
        <v/>
      </c>
      <c r="AE765" s="3">
        <f>VLOOKUP(E768,'[1]Nómina Agentes'!$C:$D,2,0)</f>
        <v/>
      </c>
      <c r="AF765" s="5">
        <f>F768</f>
        <v/>
      </c>
      <c r="AG765" s="5">
        <f>H768</f>
        <v/>
      </c>
    </row>
    <row r="766">
      <c r="A766" s="1" t="n"/>
      <c r="F766" s="2" t="n"/>
      <c r="H766" s="2" t="n"/>
      <c r="AC766" t="n">
        <v>3</v>
      </c>
      <c r="AD766" s="3">
        <f>UPPER(C769)</f>
        <v/>
      </c>
      <c r="AE766" s="3">
        <f>VLOOKUP(E769,'[1]Nómina Agentes'!$C:$D,2,0)</f>
        <v/>
      </c>
      <c r="AF766" s="5">
        <f>F769</f>
        <v/>
      </c>
      <c r="AG766" s="5">
        <f>H769</f>
        <v/>
      </c>
    </row>
    <row r="767">
      <c r="A767" s="1" t="n"/>
      <c r="F767" s="2" t="n"/>
      <c r="H767" s="2" t="n"/>
      <c r="AC767" t="n">
        <v>2</v>
      </c>
      <c r="AD767" s="3">
        <f>UPPER(C770)</f>
        <v/>
      </c>
      <c r="AE767" s="3">
        <f>VLOOKUP(E770,'[1]Nómina Agentes'!$C:$D,2,0)</f>
        <v/>
      </c>
      <c r="AF767" s="5">
        <f>F770</f>
        <v/>
      </c>
      <c r="AG767" s="5">
        <f>H770</f>
        <v/>
      </c>
    </row>
    <row r="768">
      <c r="A768" s="1" t="n"/>
      <c r="F768" s="2" t="n"/>
      <c r="H768" s="2" t="n"/>
      <c r="AC768" t="n">
        <v>3</v>
      </c>
      <c r="AD768" s="3">
        <f>UPPER(C771)</f>
        <v/>
      </c>
      <c r="AE768" s="3">
        <f>VLOOKUP(E771,'[1]Nómina Agentes'!$C:$D,2,0)</f>
        <v/>
      </c>
      <c r="AF768" s="5">
        <f>F771</f>
        <v/>
      </c>
      <c r="AG768" s="5">
        <f>H771</f>
        <v/>
      </c>
    </row>
    <row r="769">
      <c r="A769" s="1" t="n"/>
      <c r="F769" s="2" t="n"/>
      <c r="H769" s="2" t="n"/>
      <c r="AC769" t="n">
        <v>4</v>
      </c>
      <c r="AD769" s="3">
        <f>UPPER(C772)</f>
        <v/>
      </c>
      <c r="AE769" s="3">
        <f>VLOOKUP(E772,'[1]Nómina Agentes'!$C:$D,2,0)</f>
        <v/>
      </c>
      <c r="AF769" s="5">
        <f>F772</f>
        <v/>
      </c>
      <c r="AG769" s="5">
        <f>H772</f>
        <v/>
      </c>
    </row>
    <row r="770">
      <c r="A770" s="1" t="n"/>
      <c r="F770" s="2" t="n"/>
      <c r="H770" s="2" t="n"/>
      <c r="AC770" t="n">
        <v>1</v>
      </c>
      <c r="AD770" s="3">
        <f>UPPER(C773)</f>
        <v/>
      </c>
      <c r="AE770" s="3">
        <f>VLOOKUP(E773,'[1]Nómina Agentes'!$C:$D,2,0)</f>
        <v/>
      </c>
      <c r="AF770" s="5">
        <f>F773</f>
        <v/>
      </c>
      <c r="AG770" s="5">
        <f>H773</f>
        <v/>
      </c>
    </row>
    <row r="771">
      <c r="A771" s="1" t="n"/>
      <c r="F771" s="2" t="n"/>
      <c r="H771" s="2" t="n"/>
      <c r="AC771" t="n">
        <v>4</v>
      </c>
      <c r="AD771" s="3">
        <f>UPPER(C774)</f>
        <v/>
      </c>
      <c r="AE771" s="3">
        <f>VLOOKUP(E774,'[1]Nómina Agentes'!$C:$D,2,0)</f>
        <v/>
      </c>
      <c r="AF771" s="5">
        <f>F774</f>
        <v/>
      </c>
      <c r="AG771" s="5">
        <f>H774</f>
        <v/>
      </c>
    </row>
    <row r="772">
      <c r="A772" s="1" t="n"/>
      <c r="F772" s="2" t="n"/>
      <c r="H772" s="2" t="n"/>
      <c r="AC772" t="n">
        <v>3</v>
      </c>
      <c r="AD772" s="3">
        <f>UPPER(C775)</f>
        <v/>
      </c>
      <c r="AE772" s="3">
        <f>VLOOKUP(E775,'[1]Nómina Agentes'!$C:$D,2,0)</f>
        <v/>
      </c>
      <c r="AF772" s="5">
        <f>F775</f>
        <v/>
      </c>
      <c r="AG772" s="5">
        <f>H775</f>
        <v/>
      </c>
    </row>
    <row r="773">
      <c r="A773" s="1" t="n"/>
      <c r="F773" s="2" t="n"/>
      <c r="H773" s="2" t="n"/>
      <c r="AC773" t="n">
        <v>0</v>
      </c>
      <c r="AD773" s="3">
        <f>UPPER(C776)</f>
        <v/>
      </c>
      <c r="AE773" s="3">
        <f>VLOOKUP(E776,'[1]Nómina Agentes'!$C:$D,2,0)</f>
        <v/>
      </c>
      <c r="AF773" s="5">
        <f>F776</f>
        <v/>
      </c>
      <c r="AG773" s="5">
        <f>H776</f>
        <v/>
      </c>
    </row>
    <row r="774">
      <c r="A774" s="1" t="n"/>
      <c r="F774" s="2" t="n"/>
      <c r="H774" s="2" t="n"/>
      <c r="AC774" t="n">
        <v>1</v>
      </c>
      <c r="AD774" s="3">
        <f>UPPER(C777)</f>
        <v/>
      </c>
      <c r="AE774" s="3">
        <f>VLOOKUP(E777,'[1]Nómina Agentes'!$C:$D,2,0)</f>
        <v/>
      </c>
      <c r="AF774" s="5">
        <f>F777</f>
        <v/>
      </c>
      <c r="AG774" s="5">
        <f>H777</f>
        <v/>
      </c>
    </row>
    <row r="775">
      <c r="A775" s="1" t="n"/>
      <c r="F775" s="2" t="n"/>
      <c r="H775" s="2" t="n"/>
      <c r="AC775" t="n">
        <v>0</v>
      </c>
      <c r="AD775" s="3">
        <f>UPPER(C778)</f>
        <v/>
      </c>
      <c r="AE775" s="3">
        <f>VLOOKUP(E778,'[1]Nómina Agentes'!$C:$D,2,0)</f>
        <v/>
      </c>
      <c r="AF775" s="5">
        <f>F778</f>
        <v/>
      </c>
      <c r="AG775" s="5">
        <f>H778</f>
        <v/>
      </c>
    </row>
    <row r="776">
      <c r="A776" s="1" t="n"/>
      <c r="F776" s="2" t="n"/>
      <c r="H776" s="2" t="n"/>
      <c r="AC776" t="n">
        <v>0</v>
      </c>
      <c r="AD776" s="3">
        <f>UPPER(C779)</f>
        <v/>
      </c>
      <c r="AE776" s="3">
        <f>VLOOKUP(E779,'[1]Nómina Agentes'!$C:$D,2,0)</f>
        <v/>
      </c>
      <c r="AF776" s="5">
        <f>F779</f>
        <v/>
      </c>
      <c r="AG776" s="5">
        <f>H779</f>
        <v/>
      </c>
    </row>
    <row r="777">
      <c r="A777" s="1" t="n"/>
      <c r="F777" s="2" t="n"/>
      <c r="H777" s="2" t="n"/>
      <c r="AC777" t="n">
        <v>1</v>
      </c>
      <c r="AD777" s="3">
        <f>UPPER(C780)</f>
        <v/>
      </c>
      <c r="AE777" s="3">
        <f>VLOOKUP(E780,'[1]Nómina Agentes'!$C:$D,2,0)</f>
        <v/>
      </c>
      <c r="AF777" s="5">
        <f>F780</f>
        <v/>
      </c>
      <c r="AG777" s="5">
        <f>H780</f>
        <v/>
      </c>
    </row>
    <row r="778">
      <c r="A778" s="1" t="n"/>
      <c r="F778" s="2" t="n"/>
      <c r="H778" s="2" t="n"/>
      <c r="AC778" t="n">
        <v>4</v>
      </c>
      <c r="AD778" s="3">
        <f>UPPER(C781)</f>
        <v/>
      </c>
      <c r="AE778" s="3">
        <f>VLOOKUP(E781,'[1]Nómina Agentes'!$C:$D,2,0)</f>
        <v/>
      </c>
      <c r="AF778" s="5">
        <f>F781</f>
        <v/>
      </c>
      <c r="AG778" s="5">
        <f>H781</f>
        <v/>
      </c>
    </row>
    <row r="779">
      <c r="A779" s="1" t="n"/>
      <c r="F779" s="2" t="n"/>
      <c r="H779" s="2" t="n"/>
      <c r="AC779" t="n">
        <v>5</v>
      </c>
      <c r="AD779" s="3">
        <f>UPPER(C782)</f>
        <v/>
      </c>
      <c r="AE779" s="3">
        <f>VLOOKUP(E782,'[1]Nómina Agentes'!$C:$D,2,0)</f>
        <v/>
      </c>
      <c r="AF779" s="5">
        <f>F782</f>
        <v/>
      </c>
      <c r="AG779" s="5">
        <f>H782</f>
        <v/>
      </c>
    </row>
    <row r="780">
      <c r="A780" s="1" t="n"/>
      <c r="F780" s="2" t="n"/>
      <c r="H780" s="2" t="n"/>
      <c r="AC780" t="n">
        <v>1</v>
      </c>
      <c r="AD780" s="3">
        <f>UPPER(C783)</f>
        <v/>
      </c>
      <c r="AE780" s="3">
        <f>VLOOKUP(E783,'[1]Nómina Agentes'!$C:$D,2,0)</f>
        <v/>
      </c>
      <c r="AF780" s="5">
        <f>F783</f>
        <v/>
      </c>
      <c r="AG780" s="5">
        <f>H783</f>
        <v/>
      </c>
    </row>
    <row r="781">
      <c r="A781" s="1" t="n"/>
      <c r="F781" s="2" t="n"/>
      <c r="H781" s="2" t="n"/>
      <c r="AC781" t="n">
        <v>2</v>
      </c>
      <c r="AD781" s="3">
        <f>UPPER(C784)</f>
        <v/>
      </c>
      <c r="AE781" s="3">
        <f>VLOOKUP(E784,'[1]Nómina Agentes'!$C:$D,2,0)</f>
        <v/>
      </c>
      <c r="AF781" s="5">
        <f>F784</f>
        <v/>
      </c>
      <c r="AG781" s="5">
        <f>H784</f>
        <v/>
      </c>
    </row>
    <row r="782">
      <c r="A782" s="1" t="n"/>
      <c r="F782" s="2" t="n"/>
      <c r="H782" s="2" t="n"/>
      <c r="AC782" t="n">
        <v>0</v>
      </c>
      <c r="AD782" s="3">
        <f>UPPER(C785)</f>
        <v/>
      </c>
      <c r="AE782" s="3">
        <f>VLOOKUP(E785,'[1]Nómina Agentes'!$C:$D,2,0)</f>
        <v/>
      </c>
      <c r="AF782" s="5">
        <f>F785</f>
        <v/>
      </c>
      <c r="AG782" s="5">
        <f>H785</f>
        <v/>
      </c>
    </row>
    <row r="783">
      <c r="A783" s="1" t="n"/>
      <c r="F783" s="2" t="n"/>
      <c r="H783" s="2" t="n"/>
      <c r="AC783" t="n">
        <v>3</v>
      </c>
      <c r="AD783" s="3">
        <f>UPPER(C786)</f>
        <v/>
      </c>
      <c r="AE783" s="3">
        <f>VLOOKUP(E786,'[1]Nómina Agentes'!$C:$D,2,0)</f>
        <v/>
      </c>
      <c r="AF783" s="5">
        <f>F786</f>
        <v/>
      </c>
      <c r="AG783" s="5">
        <f>H786</f>
        <v/>
      </c>
    </row>
    <row r="784">
      <c r="A784" s="1" t="n"/>
      <c r="F784" s="2" t="n"/>
      <c r="H784" s="2" t="n"/>
      <c r="AC784" t="n">
        <v>2</v>
      </c>
      <c r="AD784" s="3">
        <f>UPPER(C787)</f>
        <v/>
      </c>
      <c r="AE784" s="3">
        <f>VLOOKUP(E787,'[1]Nómina Agentes'!$C:$D,2,0)</f>
        <v/>
      </c>
      <c r="AF784" s="5">
        <f>F787</f>
        <v/>
      </c>
      <c r="AG784" s="5">
        <f>H787</f>
        <v/>
      </c>
    </row>
    <row r="785">
      <c r="A785" s="1" t="n"/>
      <c r="F785" s="2" t="n"/>
      <c r="H785" s="2" t="n"/>
      <c r="AC785" t="n">
        <v>0</v>
      </c>
      <c r="AD785" s="3">
        <f>UPPER(C788)</f>
        <v/>
      </c>
      <c r="AE785" s="3">
        <f>VLOOKUP(E788,'[1]Nómina Agentes'!$C:$D,2,0)</f>
        <v/>
      </c>
      <c r="AF785" s="5">
        <f>F788</f>
        <v/>
      </c>
      <c r="AG785" s="5">
        <f>H788</f>
        <v/>
      </c>
    </row>
    <row r="786">
      <c r="A786" s="1" t="n"/>
      <c r="F786" s="2" t="n"/>
      <c r="H786" s="2" t="n"/>
      <c r="AC786" t="n">
        <v>2</v>
      </c>
      <c r="AD786" s="3">
        <f>UPPER(C789)</f>
        <v/>
      </c>
      <c r="AE786" s="3">
        <f>VLOOKUP(E789,'[1]Nómina Agentes'!$C:$D,2,0)</f>
        <v/>
      </c>
      <c r="AF786" s="5">
        <f>F789</f>
        <v/>
      </c>
      <c r="AG786" s="5">
        <f>H789</f>
        <v/>
      </c>
    </row>
    <row r="787">
      <c r="A787" s="1" t="n"/>
      <c r="F787" s="2" t="n"/>
      <c r="H787" s="2" t="n"/>
      <c r="AC787" t="n">
        <v>3</v>
      </c>
      <c r="AD787" s="3">
        <f>UPPER(C790)</f>
        <v/>
      </c>
      <c r="AE787" s="3">
        <f>VLOOKUP(E790,'[1]Nómina Agentes'!$C:$D,2,0)</f>
        <v/>
      </c>
      <c r="AF787" s="5">
        <f>F790</f>
        <v/>
      </c>
      <c r="AG787" s="5">
        <f>H790</f>
        <v/>
      </c>
    </row>
    <row r="788">
      <c r="A788" s="1" t="n"/>
      <c r="F788" s="2" t="n"/>
      <c r="H788" s="2" t="n"/>
      <c r="AC788" t="n">
        <v>4</v>
      </c>
      <c r="AD788" s="3">
        <f>UPPER(C791)</f>
        <v/>
      </c>
      <c r="AE788" s="3">
        <f>VLOOKUP(E791,'[1]Nómina Agentes'!$C:$D,2,0)</f>
        <v/>
      </c>
      <c r="AF788" s="5">
        <f>F791</f>
        <v/>
      </c>
      <c r="AG788" s="5">
        <f>H791</f>
        <v/>
      </c>
    </row>
    <row r="789">
      <c r="A789" s="1" t="n"/>
      <c r="F789" s="2" t="n"/>
      <c r="H789" s="2" t="n"/>
      <c r="AC789" t="n">
        <v>2</v>
      </c>
      <c r="AD789" s="3">
        <f>UPPER(C792)</f>
        <v/>
      </c>
      <c r="AE789" s="3">
        <f>VLOOKUP(E792,'[1]Nómina Agentes'!$C:$D,2,0)</f>
        <v/>
      </c>
      <c r="AF789" s="5">
        <f>F792</f>
        <v/>
      </c>
      <c r="AG789" s="5">
        <f>H792</f>
        <v/>
      </c>
    </row>
    <row r="790">
      <c r="A790" s="1" t="n"/>
      <c r="F790" s="2" t="n"/>
      <c r="H790" s="2" t="n"/>
      <c r="AC790" t="n">
        <v>2</v>
      </c>
      <c r="AD790" s="3">
        <f>UPPER(C793)</f>
        <v/>
      </c>
      <c r="AE790" s="3">
        <f>VLOOKUP(E793,'[1]Nómina Agentes'!$C:$D,2,0)</f>
        <v/>
      </c>
      <c r="AF790" s="5">
        <f>F793</f>
        <v/>
      </c>
      <c r="AG790" s="5">
        <f>H793</f>
        <v/>
      </c>
    </row>
    <row r="791">
      <c r="A791" s="1" t="n"/>
      <c r="F791" s="2" t="n"/>
      <c r="H791" s="2" t="n"/>
      <c r="AC791" t="n">
        <v>2</v>
      </c>
      <c r="AD791" s="3">
        <f>UPPER(C794)</f>
        <v/>
      </c>
      <c r="AE791" s="3">
        <f>VLOOKUP(E794,'[1]Nómina Agentes'!$C:$D,2,0)</f>
        <v/>
      </c>
      <c r="AF791" s="5">
        <f>F794</f>
        <v/>
      </c>
      <c r="AG791" s="5">
        <f>H794</f>
        <v/>
      </c>
    </row>
    <row r="792">
      <c r="A792" s="1" t="n"/>
      <c r="F792" s="2" t="n"/>
      <c r="H792" s="2" t="n"/>
      <c r="AC792" t="n">
        <v>5</v>
      </c>
      <c r="AD792" s="3">
        <f>UPPER(C795)</f>
        <v/>
      </c>
      <c r="AE792" s="3">
        <f>VLOOKUP(E795,'[1]Nómina Agentes'!$C:$D,2,0)</f>
        <v/>
      </c>
      <c r="AF792" s="5">
        <f>F795</f>
        <v/>
      </c>
      <c r="AG792" s="5">
        <f>H795</f>
        <v/>
      </c>
    </row>
    <row r="793">
      <c r="A793" s="1" t="n"/>
      <c r="F793" s="2" t="n"/>
      <c r="H793" s="2" t="n"/>
      <c r="AC793" t="n">
        <v>3</v>
      </c>
      <c r="AD793" s="3">
        <f>UPPER(C796)</f>
        <v/>
      </c>
      <c r="AE793" s="3">
        <f>VLOOKUP(E796,'[1]Nómina Agentes'!$C:$D,2,0)</f>
        <v/>
      </c>
      <c r="AF793" s="5">
        <f>F796</f>
        <v/>
      </c>
      <c r="AG793" s="5">
        <f>H796</f>
        <v/>
      </c>
    </row>
    <row r="794">
      <c r="A794" s="1" t="n"/>
      <c r="F794" s="2" t="n"/>
      <c r="H794" s="2" t="n"/>
      <c r="AC794" t="n">
        <v>5</v>
      </c>
      <c r="AD794" s="3">
        <f>UPPER(C797)</f>
        <v/>
      </c>
      <c r="AE794" s="3">
        <f>VLOOKUP(E797,'[1]Nómina Agentes'!$C:$D,2,0)</f>
        <v/>
      </c>
      <c r="AF794" s="5">
        <f>F797</f>
        <v/>
      </c>
      <c r="AG794" s="5">
        <f>H797</f>
        <v/>
      </c>
    </row>
    <row r="795">
      <c r="A795" s="1" t="n"/>
      <c r="F795" s="2" t="n"/>
      <c r="H795" s="2" t="n"/>
      <c r="AC795" t="n">
        <v>0</v>
      </c>
      <c r="AD795" s="3">
        <f>UPPER(C798)</f>
        <v/>
      </c>
      <c r="AE795" s="3">
        <f>VLOOKUP(E798,'[1]Nómina Agentes'!$C:$D,2,0)</f>
        <v/>
      </c>
      <c r="AF795" s="5">
        <f>F798</f>
        <v/>
      </c>
      <c r="AG795" s="5">
        <f>H798</f>
        <v/>
      </c>
    </row>
    <row r="796">
      <c r="A796" s="1" t="n"/>
      <c r="F796" s="2" t="n"/>
      <c r="H796" s="2" t="n"/>
      <c r="AC796" t="n">
        <v>0</v>
      </c>
      <c r="AD796" s="3">
        <f>UPPER(C799)</f>
        <v/>
      </c>
      <c r="AE796" s="3">
        <f>VLOOKUP(E799,'[1]Nómina Agentes'!$C:$D,2,0)</f>
        <v/>
      </c>
      <c r="AF796" s="5">
        <f>F799</f>
        <v/>
      </c>
      <c r="AG796" s="5">
        <f>H799</f>
        <v/>
      </c>
    </row>
    <row r="797">
      <c r="A797" s="1" t="n"/>
      <c r="F797" s="2" t="n"/>
      <c r="H797" s="2" t="n"/>
      <c r="AC797" t="n">
        <v>0</v>
      </c>
      <c r="AD797" s="3">
        <f>UPPER(C800)</f>
        <v/>
      </c>
      <c r="AE797" s="3">
        <f>VLOOKUP(E800,'[1]Nómina Agentes'!$C:$D,2,0)</f>
        <v/>
      </c>
      <c r="AF797" s="5">
        <f>F800</f>
        <v/>
      </c>
      <c r="AG797" s="5">
        <f>H800</f>
        <v/>
      </c>
    </row>
    <row r="798">
      <c r="A798" s="1" t="n"/>
      <c r="F798" s="2" t="n"/>
      <c r="H798" s="2" t="n"/>
      <c r="AC798" t="n">
        <v>0</v>
      </c>
      <c r="AD798" s="3">
        <f>UPPER(C801)</f>
        <v/>
      </c>
      <c r="AE798" s="3">
        <f>VLOOKUP(E801,'[1]Nómina Agentes'!$C:$D,2,0)</f>
        <v/>
      </c>
      <c r="AF798" s="5">
        <f>F801</f>
        <v/>
      </c>
      <c r="AG798" s="5">
        <f>H801</f>
        <v/>
      </c>
    </row>
    <row r="799">
      <c r="A799" s="1" t="n"/>
      <c r="F799" s="2" t="n"/>
      <c r="H799" s="2" t="n"/>
      <c r="AC799" t="n">
        <v>2</v>
      </c>
      <c r="AD799" s="3">
        <f>UPPER(C802)</f>
        <v/>
      </c>
      <c r="AE799" s="3">
        <f>VLOOKUP(E802,'[1]Nómina Agentes'!$C:$D,2,0)</f>
        <v/>
      </c>
      <c r="AF799" s="5">
        <f>F802</f>
        <v/>
      </c>
      <c r="AG799" s="5">
        <f>H802</f>
        <v/>
      </c>
    </row>
    <row r="800">
      <c r="A800" s="1" t="n"/>
      <c r="F800" s="2" t="n"/>
      <c r="H800" s="2" t="n"/>
      <c r="AC800" t="n">
        <v>3</v>
      </c>
      <c r="AD800" s="3">
        <f>UPPER(C803)</f>
        <v/>
      </c>
      <c r="AE800" s="3">
        <f>VLOOKUP(E803,'[1]Nómina Agentes'!$C:$D,2,0)</f>
        <v/>
      </c>
      <c r="AF800" s="5">
        <f>F803</f>
        <v/>
      </c>
      <c r="AG800" s="5">
        <f>H803</f>
        <v/>
      </c>
    </row>
    <row r="801">
      <c r="A801" s="1" t="n"/>
      <c r="F801" s="2" t="n"/>
      <c r="H801" s="2" t="n"/>
      <c r="AC801" t="n">
        <v>1</v>
      </c>
      <c r="AD801" s="3">
        <f>UPPER(C804)</f>
        <v/>
      </c>
      <c r="AE801" s="3">
        <f>VLOOKUP(E804,'[1]Nómina Agentes'!$C:$D,2,0)</f>
        <v/>
      </c>
      <c r="AF801" s="5">
        <f>F804</f>
        <v/>
      </c>
      <c r="AG801" s="5">
        <f>H804</f>
        <v/>
      </c>
    </row>
    <row r="802">
      <c r="A802" s="1" t="n"/>
      <c r="F802" s="2" t="n"/>
      <c r="H802" s="2" t="n"/>
      <c r="AC802" t="n">
        <v>1</v>
      </c>
      <c r="AD802" s="3">
        <f>UPPER(C805)</f>
        <v/>
      </c>
      <c r="AE802" s="3">
        <f>VLOOKUP(E805,'[1]Nómina Agentes'!$C:$D,2,0)</f>
        <v/>
      </c>
      <c r="AF802" s="5">
        <f>F805</f>
        <v/>
      </c>
      <c r="AG802" s="5">
        <f>H805</f>
        <v/>
      </c>
    </row>
    <row r="803">
      <c r="A803" s="1" t="n"/>
      <c r="F803" s="2" t="n"/>
      <c r="H803" s="2" t="n"/>
      <c r="AC803" t="n">
        <v>3</v>
      </c>
      <c r="AD803" s="3">
        <f>UPPER(C806)</f>
        <v/>
      </c>
      <c r="AE803" s="3">
        <f>VLOOKUP(E806,'[1]Nómina Agentes'!$C:$D,2,0)</f>
        <v/>
      </c>
      <c r="AF803" s="5">
        <f>F806</f>
        <v/>
      </c>
      <c r="AG803" s="5">
        <f>H806</f>
        <v/>
      </c>
    </row>
    <row r="804">
      <c r="A804" s="1" t="n"/>
      <c r="F804" s="2" t="n"/>
      <c r="H804" s="2" t="n"/>
      <c r="AC804" t="n">
        <v>0</v>
      </c>
      <c r="AD804" s="3">
        <f>UPPER(C807)</f>
        <v/>
      </c>
      <c r="AE804" s="3">
        <f>VLOOKUP(E807,'[1]Nómina Agentes'!$C:$D,2,0)</f>
        <v/>
      </c>
      <c r="AF804" s="5">
        <f>F807</f>
        <v/>
      </c>
      <c r="AG804" s="5">
        <f>H807</f>
        <v/>
      </c>
    </row>
    <row r="805">
      <c r="A805" s="1" t="n"/>
      <c r="F805" s="2" t="n"/>
      <c r="H805" s="2" t="n"/>
      <c r="AC805" t="n">
        <v>3</v>
      </c>
      <c r="AD805" s="3">
        <f>UPPER(C808)</f>
        <v/>
      </c>
      <c r="AE805" s="3">
        <f>VLOOKUP(E808,'[1]Nómina Agentes'!$C:$D,2,0)</f>
        <v/>
      </c>
      <c r="AF805" s="5">
        <f>F808</f>
        <v/>
      </c>
      <c r="AG805" s="5">
        <f>H808</f>
        <v/>
      </c>
    </row>
    <row r="806">
      <c r="A806" s="1" t="n"/>
      <c r="F806" s="2" t="n"/>
      <c r="H806" s="2" t="n"/>
      <c r="AC806" t="n">
        <v>0</v>
      </c>
      <c r="AD806" s="3">
        <f>UPPER(C809)</f>
        <v/>
      </c>
      <c r="AE806" s="3">
        <f>VLOOKUP(E809,'[1]Nómina Agentes'!$C:$D,2,0)</f>
        <v/>
      </c>
      <c r="AF806" s="5">
        <f>F809</f>
        <v/>
      </c>
      <c r="AG806" s="5">
        <f>H809</f>
        <v/>
      </c>
    </row>
    <row r="807">
      <c r="A807" s="1" t="n"/>
      <c r="F807" s="2" t="n"/>
      <c r="H807" s="2" t="n"/>
      <c r="AC807" t="n">
        <v>3</v>
      </c>
      <c r="AD807" s="3">
        <f>UPPER(C810)</f>
        <v/>
      </c>
      <c r="AE807" s="3">
        <f>VLOOKUP(E810,'[1]Nómina Agentes'!$C:$D,2,0)</f>
        <v/>
      </c>
      <c r="AF807" s="5">
        <f>F810</f>
        <v/>
      </c>
      <c r="AG807" s="5">
        <f>H810</f>
        <v/>
      </c>
    </row>
    <row r="808">
      <c r="A808" s="1" t="n"/>
      <c r="F808" s="2" t="n"/>
      <c r="H808" s="2" t="n"/>
      <c r="AC808" t="n">
        <v>1</v>
      </c>
      <c r="AD808" s="3">
        <f>UPPER(C811)</f>
        <v/>
      </c>
      <c r="AE808" s="3">
        <f>VLOOKUP(E811,'[1]Nómina Agentes'!$C:$D,2,0)</f>
        <v/>
      </c>
      <c r="AF808" s="5">
        <f>F811</f>
        <v/>
      </c>
      <c r="AG808" s="5">
        <f>H811</f>
        <v/>
      </c>
    </row>
    <row r="809">
      <c r="A809" s="1" t="n"/>
      <c r="F809" s="2" t="n"/>
      <c r="H809" s="2" t="n"/>
      <c r="AC809" t="n">
        <v>0</v>
      </c>
      <c r="AD809" s="3">
        <f>UPPER(C812)</f>
        <v/>
      </c>
      <c r="AE809" s="3">
        <f>VLOOKUP(E812,'[1]Nómina Agentes'!$C:$D,2,0)</f>
        <v/>
      </c>
      <c r="AF809" s="5">
        <f>F812</f>
        <v/>
      </c>
      <c r="AG809" s="5">
        <f>H812</f>
        <v/>
      </c>
    </row>
    <row r="810">
      <c r="A810" s="1" t="n"/>
      <c r="F810" s="2" t="n"/>
      <c r="H810" s="2" t="n"/>
      <c r="AC810" t="n">
        <v>3</v>
      </c>
      <c r="AD810" s="3">
        <f>UPPER(C813)</f>
        <v/>
      </c>
      <c r="AE810" s="3">
        <f>VLOOKUP(E813,'[1]Nómina Agentes'!$C:$D,2,0)</f>
        <v/>
      </c>
      <c r="AF810" s="5">
        <f>F813</f>
        <v/>
      </c>
      <c r="AG810" s="5">
        <f>H813</f>
        <v/>
      </c>
    </row>
    <row r="811">
      <c r="A811" s="1" t="n"/>
      <c r="F811" s="2" t="n"/>
      <c r="H811" s="2" t="n"/>
      <c r="AC811" t="n">
        <v>0</v>
      </c>
      <c r="AD811" s="3">
        <f>UPPER(C814)</f>
        <v/>
      </c>
      <c r="AE811" s="3">
        <f>VLOOKUP(E814,'[1]Nómina Agentes'!$C:$D,2,0)</f>
        <v/>
      </c>
      <c r="AF811" s="5">
        <f>F814</f>
        <v/>
      </c>
      <c r="AG811" s="5">
        <f>H814</f>
        <v/>
      </c>
    </row>
    <row r="812">
      <c r="A812" s="1" t="n"/>
      <c r="F812" s="2" t="n"/>
      <c r="H812" s="2" t="n"/>
      <c r="AC812" t="n">
        <v>2</v>
      </c>
      <c r="AD812" s="3">
        <f>UPPER(C815)</f>
        <v/>
      </c>
      <c r="AE812" s="3">
        <f>VLOOKUP(E815,'[1]Nómina Agentes'!$C:$D,2,0)</f>
        <v/>
      </c>
      <c r="AF812" s="5">
        <f>F815</f>
        <v/>
      </c>
      <c r="AG812" s="5">
        <f>H815</f>
        <v/>
      </c>
    </row>
    <row r="813">
      <c r="A813" s="1" t="n"/>
      <c r="F813" s="2" t="n"/>
      <c r="H813" s="2" t="n"/>
      <c r="AC813" t="n">
        <v>4</v>
      </c>
      <c r="AD813" s="3">
        <f>UPPER(C816)</f>
        <v/>
      </c>
      <c r="AE813" s="3">
        <f>VLOOKUP(E816,'[1]Nómina Agentes'!$C:$D,2,0)</f>
        <v/>
      </c>
      <c r="AF813" s="5">
        <f>F816</f>
        <v/>
      </c>
      <c r="AG813" s="5">
        <f>H816</f>
        <v/>
      </c>
    </row>
    <row r="814">
      <c r="A814" s="1" t="n"/>
      <c r="F814" s="2" t="n"/>
      <c r="H814" s="2" t="n"/>
      <c r="AC814" t="n">
        <v>4</v>
      </c>
      <c r="AD814" s="3">
        <f>UPPER(C817)</f>
        <v/>
      </c>
      <c r="AE814" s="3">
        <f>VLOOKUP(E817,'[1]Nómina Agentes'!$C:$D,2,0)</f>
        <v/>
      </c>
      <c r="AF814" s="5">
        <f>F817</f>
        <v/>
      </c>
      <c r="AG814" s="5">
        <f>H817</f>
        <v/>
      </c>
    </row>
    <row r="815">
      <c r="A815" s="1" t="n"/>
      <c r="F815" s="2" t="n"/>
      <c r="H815" s="2" t="n"/>
      <c r="AC815" t="n">
        <v>3</v>
      </c>
      <c r="AD815" s="3">
        <f>UPPER(C818)</f>
        <v/>
      </c>
      <c r="AE815" s="3">
        <f>VLOOKUP(E818,'[1]Nómina Agentes'!$C:$D,2,0)</f>
        <v/>
      </c>
      <c r="AF815" s="5">
        <f>F818</f>
        <v/>
      </c>
      <c r="AG815" s="5">
        <f>H818</f>
        <v/>
      </c>
    </row>
    <row r="816">
      <c r="A816" s="1" t="n"/>
      <c r="F816" s="2" t="n"/>
      <c r="H816" s="2" t="n"/>
      <c r="AC816" t="n">
        <v>4</v>
      </c>
      <c r="AD816" s="3">
        <f>UPPER(C819)</f>
        <v/>
      </c>
      <c r="AE816" s="3">
        <f>VLOOKUP(E819,'[1]Nómina Agentes'!$C:$D,2,0)</f>
        <v/>
      </c>
      <c r="AF816" s="5">
        <f>F819</f>
        <v/>
      </c>
      <c r="AG816" s="5">
        <f>H819</f>
        <v/>
      </c>
    </row>
    <row r="817">
      <c r="A817" s="1" t="n"/>
      <c r="F817" s="2" t="n"/>
      <c r="H817" s="2" t="n"/>
      <c r="AC817" t="n">
        <v>3</v>
      </c>
      <c r="AD817" s="3">
        <f>UPPER(C820)</f>
        <v/>
      </c>
      <c r="AE817" s="3">
        <f>VLOOKUP(E820,'[1]Nómina Agentes'!$C:$D,2,0)</f>
        <v/>
      </c>
      <c r="AF817" s="5">
        <f>F820</f>
        <v/>
      </c>
      <c r="AG817" s="5">
        <f>H820</f>
        <v/>
      </c>
    </row>
    <row r="818">
      <c r="A818" s="1" t="n"/>
      <c r="F818" s="2" t="n"/>
      <c r="H818" s="2" t="n"/>
      <c r="AC818" t="n">
        <v>3</v>
      </c>
      <c r="AD818" s="3">
        <f>UPPER(C821)</f>
        <v/>
      </c>
      <c r="AE818" s="3">
        <f>VLOOKUP(E821,'[1]Nómina Agentes'!$C:$D,2,0)</f>
        <v/>
      </c>
      <c r="AF818" s="5">
        <f>F821</f>
        <v/>
      </c>
      <c r="AG818" s="5">
        <f>H821</f>
        <v/>
      </c>
    </row>
    <row r="819">
      <c r="A819" s="1" t="n"/>
      <c r="F819" s="2" t="n"/>
      <c r="H819" s="2" t="n"/>
      <c r="AC819" t="n">
        <v>2</v>
      </c>
      <c r="AD819" s="3">
        <f>UPPER(C822)</f>
        <v/>
      </c>
      <c r="AE819" s="3">
        <f>VLOOKUP(E822,'[1]Nómina Agentes'!$C:$D,2,0)</f>
        <v/>
      </c>
      <c r="AF819" s="5">
        <f>F822</f>
        <v/>
      </c>
      <c r="AG819" s="5">
        <f>H822</f>
        <v/>
      </c>
    </row>
    <row r="820">
      <c r="A820" s="1" t="n"/>
      <c r="F820" s="2" t="n"/>
      <c r="H820" s="2" t="n"/>
      <c r="AC820" t="n">
        <v>0</v>
      </c>
      <c r="AD820" s="3">
        <f>UPPER(C823)</f>
        <v/>
      </c>
      <c r="AE820" s="3">
        <f>VLOOKUP(E823,'[1]Nómina Agentes'!$C:$D,2,0)</f>
        <v/>
      </c>
      <c r="AF820" s="5">
        <f>F823</f>
        <v/>
      </c>
      <c r="AG820" s="5">
        <f>H823</f>
        <v/>
      </c>
    </row>
    <row r="821">
      <c r="A821" s="1" t="n"/>
      <c r="F821" s="2" t="n"/>
      <c r="H821" s="2" t="n"/>
      <c r="AC821" t="n">
        <v>1</v>
      </c>
      <c r="AD821" s="3">
        <f>UPPER(C824)</f>
        <v/>
      </c>
      <c r="AE821" s="3">
        <f>VLOOKUP(E824,'[1]Nómina Agentes'!$C:$D,2,0)</f>
        <v/>
      </c>
      <c r="AF821" s="5">
        <f>F824</f>
        <v/>
      </c>
      <c r="AG821" s="5">
        <f>H824</f>
        <v/>
      </c>
    </row>
    <row r="822">
      <c r="A822" s="1" t="n"/>
      <c r="F822" s="2" t="n"/>
      <c r="H822" s="2" t="n"/>
      <c r="AC822" t="n">
        <v>1</v>
      </c>
      <c r="AD822" s="3">
        <f>UPPER(C825)</f>
        <v/>
      </c>
      <c r="AE822" s="3">
        <f>VLOOKUP(E825,'[1]Nómina Agentes'!$C:$D,2,0)</f>
        <v/>
      </c>
      <c r="AF822" s="5">
        <f>F825</f>
        <v/>
      </c>
      <c r="AG822" s="5">
        <f>H825</f>
        <v/>
      </c>
    </row>
    <row r="823">
      <c r="A823" s="1" t="n"/>
      <c r="F823" s="2" t="n"/>
      <c r="H823" s="2" t="n"/>
      <c r="AC823" t="n">
        <v>2</v>
      </c>
      <c r="AD823" s="3">
        <f>UPPER(C826)</f>
        <v/>
      </c>
      <c r="AE823" s="3">
        <f>VLOOKUP(E826,'[1]Nómina Agentes'!$C:$D,2,0)</f>
        <v/>
      </c>
      <c r="AF823" s="5">
        <f>F826</f>
        <v/>
      </c>
      <c r="AG823" s="5">
        <f>H826</f>
        <v/>
      </c>
    </row>
    <row r="824">
      <c r="A824" s="1" t="n"/>
      <c r="F824" s="2" t="n"/>
      <c r="H824" s="2" t="n"/>
      <c r="AC824" t="n">
        <v>1</v>
      </c>
      <c r="AD824" s="3">
        <f>UPPER(C827)</f>
        <v/>
      </c>
      <c r="AE824" s="3">
        <f>VLOOKUP(E827,'[1]Nómina Agentes'!$C:$D,2,0)</f>
        <v/>
      </c>
      <c r="AF824" s="5">
        <f>F827</f>
        <v/>
      </c>
      <c r="AG824" s="5">
        <f>H827</f>
        <v/>
      </c>
    </row>
    <row r="825">
      <c r="A825" s="1" t="n"/>
      <c r="F825" s="2" t="n"/>
      <c r="H825" s="2" t="n"/>
      <c r="AC825" t="n">
        <v>1</v>
      </c>
      <c r="AD825" s="3">
        <f>UPPER(C828)</f>
        <v/>
      </c>
      <c r="AE825" s="3">
        <f>VLOOKUP(E828,'[1]Nómina Agentes'!$C:$D,2,0)</f>
        <v/>
      </c>
      <c r="AF825" s="5">
        <f>F828</f>
        <v/>
      </c>
      <c r="AG825" s="5">
        <f>H828</f>
        <v/>
      </c>
    </row>
    <row r="826">
      <c r="A826" s="1" t="n"/>
      <c r="F826" s="2" t="n"/>
      <c r="H826" s="2" t="n"/>
      <c r="AC826" t="n">
        <v>3</v>
      </c>
      <c r="AD826" s="3">
        <f>UPPER(C829)</f>
        <v/>
      </c>
      <c r="AE826" s="3">
        <f>VLOOKUP(E829,'[1]Nómina Agentes'!$C:$D,2,0)</f>
        <v/>
      </c>
      <c r="AF826" s="5">
        <f>F829</f>
        <v/>
      </c>
      <c r="AG826" s="5">
        <f>H829</f>
        <v/>
      </c>
    </row>
    <row r="827">
      <c r="A827" s="1" t="n"/>
      <c r="F827" s="2" t="n"/>
      <c r="H827" s="2" t="n"/>
      <c r="AC827" t="n">
        <v>3</v>
      </c>
      <c r="AD827" s="3">
        <f>UPPER(C830)</f>
        <v/>
      </c>
      <c r="AE827" s="3">
        <f>VLOOKUP(E830,'[1]Nómina Agentes'!$C:$D,2,0)</f>
        <v/>
      </c>
      <c r="AF827" s="5">
        <f>F830</f>
        <v/>
      </c>
      <c r="AG827" s="5">
        <f>H830</f>
        <v/>
      </c>
    </row>
    <row r="828">
      <c r="A828" s="1" t="n"/>
      <c r="F828" s="2" t="n"/>
      <c r="H828" s="2" t="n"/>
      <c r="AC828" t="n">
        <v>2</v>
      </c>
      <c r="AD828" s="3">
        <f>UPPER(C831)</f>
        <v/>
      </c>
      <c r="AE828" s="3">
        <f>VLOOKUP(E831,'[1]Nómina Agentes'!$C:$D,2,0)</f>
        <v/>
      </c>
      <c r="AF828" s="5">
        <f>F831</f>
        <v/>
      </c>
      <c r="AG828" s="5">
        <f>H831</f>
        <v/>
      </c>
    </row>
    <row r="829">
      <c r="A829" s="1" t="n"/>
      <c r="F829" s="2" t="n"/>
      <c r="H829" s="2" t="n"/>
      <c r="AC829" t="n">
        <v>2</v>
      </c>
      <c r="AD829" s="3">
        <f>UPPER(C832)</f>
        <v/>
      </c>
      <c r="AE829" s="3">
        <f>VLOOKUP(E832,'[1]Nómina Agentes'!$C:$D,2,0)</f>
        <v/>
      </c>
      <c r="AF829" s="5">
        <f>F832</f>
        <v/>
      </c>
      <c r="AG829" s="5">
        <f>H832</f>
        <v/>
      </c>
    </row>
    <row r="830">
      <c r="A830" s="1" t="n"/>
      <c r="F830" s="2" t="n"/>
      <c r="H830" s="2" t="n"/>
      <c r="AC830" t="n">
        <v>3</v>
      </c>
      <c r="AD830" s="3">
        <f>UPPER(C833)</f>
        <v/>
      </c>
      <c r="AE830" s="3">
        <f>VLOOKUP(E833,'[1]Nómina Agentes'!$C:$D,2,0)</f>
        <v/>
      </c>
      <c r="AF830" s="5">
        <f>F833</f>
        <v/>
      </c>
      <c r="AG830" s="5">
        <f>H833</f>
        <v/>
      </c>
    </row>
    <row r="831">
      <c r="A831" s="1" t="n"/>
      <c r="F831" s="2" t="n"/>
      <c r="H831" s="2" t="n"/>
      <c r="AC831" t="n">
        <v>2</v>
      </c>
      <c r="AD831" s="3">
        <f>UPPER(C834)</f>
        <v/>
      </c>
      <c r="AE831" s="3">
        <f>VLOOKUP(E834,'[1]Nómina Agentes'!$C:$D,2,0)</f>
        <v/>
      </c>
      <c r="AF831" s="5">
        <f>F834</f>
        <v/>
      </c>
      <c r="AG831" s="5">
        <f>H834</f>
        <v/>
      </c>
    </row>
    <row r="832">
      <c r="A832" s="1" t="n"/>
      <c r="F832" s="2" t="n"/>
      <c r="H832" s="2" t="n"/>
      <c r="AC832" t="n">
        <v>0</v>
      </c>
      <c r="AD832" s="3">
        <f>UPPER(C835)</f>
        <v/>
      </c>
      <c r="AE832" s="3">
        <f>VLOOKUP(E835,'[1]Nómina Agentes'!$C:$D,2,0)</f>
        <v/>
      </c>
      <c r="AF832" s="5">
        <f>F835</f>
        <v/>
      </c>
      <c r="AG832" s="5">
        <f>H835</f>
        <v/>
      </c>
    </row>
    <row r="833">
      <c r="A833" s="1" t="n"/>
      <c r="F833" s="2" t="n"/>
      <c r="H833" s="2" t="n"/>
      <c r="AC833" t="n">
        <v>4</v>
      </c>
      <c r="AD833" s="3">
        <f>UPPER(C836)</f>
        <v/>
      </c>
      <c r="AE833" s="3">
        <f>VLOOKUP(E836,'[1]Nómina Agentes'!$C:$D,2,0)</f>
        <v/>
      </c>
      <c r="AF833" s="5">
        <f>F836</f>
        <v/>
      </c>
      <c r="AG833" s="5">
        <f>H836</f>
        <v/>
      </c>
    </row>
    <row r="834">
      <c r="A834" s="1" t="n"/>
      <c r="F834" s="2" t="n"/>
      <c r="H834" s="2" t="n"/>
      <c r="AC834" t="n">
        <v>3</v>
      </c>
      <c r="AD834" s="3">
        <f>UPPER(C837)</f>
        <v/>
      </c>
      <c r="AE834" s="3">
        <f>VLOOKUP(E837,'[1]Nómina Agentes'!$C:$D,2,0)</f>
        <v/>
      </c>
      <c r="AF834" s="5">
        <f>F837</f>
        <v/>
      </c>
      <c r="AG834" s="5">
        <f>H837</f>
        <v/>
      </c>
    </row>
    <row r="835">
      <c r="A835" s="1" t="n"/>
      <c r="F835" s="2" t="n"/>
      <c r="H835" s="2" t="n"/>
      <c r="AC835" t="n">
        <v>2</v>
      </c>
      <c r="AD835" s="3">
        <f>UPPER(C838)</f>
        <v/>
      </c>
      <c r="AE835" s="3">
        <f>VLOOKUP(E838,'[1]Nómina Agentes'!$C:$D,2,0)</f>
        <v/>
      </c>
      <c r="AF835" s="5">
        <f>F838</f>
        <v/>
      </c>
      <c r="AG835" s="5">
        <f>H838</f>
        <v/>
      </c>
    </row>
    <row r="836">
      <c r="A836" s="1" t="n"/>
      <c r="F836" s="2" t="n"/>
      <c r="H836" s="2" t="n"/>
      <c r="AC836" t="n">
        <v>1</v>
      </c>
      <c r="AD836" s="3">
        <f>UPPER(C839)</f>
        <v/>
      </c>
      <c r="AE836" s="3">
        <f>VLOOKUP(E839,'[1]Nómina Agentes'!$C:$D,2,0)</f>
        <v/>
      </c>
      <c r="AF836" s="5">
        <f>F839</f>
        <v/>
      </c>
      <c r="AG836" s="5">
        <f>H839</f>
        <v/>
      </c>
    </row>
    <row r="837">
      <c r="A837" s="1" t="n"/>
      <c r="F837" s="2" t="n"/>
      <c r="H837" s="2" t="n"/>
      <c r="AC837" t="n">
        <v>0</v>
      </c>
      <c r="AD837" s="3">
        <f>UPPER(C840)</f>
        <v/>
      </c>
      <c r="AE837" s="3">
        <f>VLOOKUP(E840,'[1]Nómina Agentes'!$C:$D,2,0)</f>
        <v/>
      </c>
      <c r="AF837" s="5">
        <f>F840</f>
        <v/>
      </c>
      <c r="AG837" s="5">
        <f>H840</f>
        <v/>
      </c>
    </row>
    <row r="838">
      <c r="A838" s="1" t="n"/>
      <c r="F838" s="2" t="n"/>
      <c r="H838" s="2" t="n"/>
      <c r="AC838" t="n">
        <v>5</v>
      </c>
      <c r="AD838" s="3">
        <f>UPPER(C841)</f>
        <v/>
      </c>
      <c r="AE838" s="3">
        <f>VLOOKUP(E841,'[1]Nómina Agentes'!$C:$D,2,0)</f>
        <v/>
      </c>
      <c r="AF838" s="5">
        <f>F841</f>
        <v/>
      </c>
      <c r="AG838" s="5">
        <f>H841</f>
        <v/>
      </c>
    </row>
    <row r="839">
      <c r="A839" s="1" t="n"/>
      <c r="F839" s="2" t="n"/>
      <c r="H839" s="2" t="n"/>
      <c r="AC839" t="n">
        <v>2</v>
      </c>
      <c r="AD839" s="3">
        <f>UPPER(C842)</f>
        <v/>
      </c>
      <c r="AE839" s="3">
        <f>VLOOKUP(E842,'[1]Nómina Agentes'!$C:$D,2,0)</f>
        <v/>
      </c>
      <c r="AF839" s="5">
        <f>F842</f>
        <v/>
      </c>
      <c r="AG839" s="5">
        <f>H842</f>
        <v/>
      </c>
    </row>
    <row r="840">
      <c r="A840" s="1" t="n"/>
      <c r="F840" s="2" t="n"/>
      <c r="H840" s="2" t="n"/>
      <c r="AC840" t="n">
        <v>4</v>
      </c>
      <c r="AD840" s="3">
        <f>UPPER(C843)</f>
        <v/>
      </c>
      <c r="AE840" s="3">
        <f>VLOOKUP(E843,'[1]Nómina Agentes'!$C:$D,2,0)</f>
        <v/>
      </c>
      <c r="AF840" s="5">
        <f>F843</f>
        <v/>
      </c>
      <c r="AG840" s="5">
        <f>H843</f>
        <v/>
      </c>
    </row>
    <row r="841">
      <c r="A841" s="1" t="n"/>
      <c r="F841" s="2" t="n"/>
      <c r="H841" s="2" t="n"/>
      <c r="AC841" t="n">
        <v>2</v>
      </c>
      <c r="AD841" s="3">
        <f>UPPER(C844)</f>
        <v/>
      </c>
      <c r="AE841" s="3">
        <f>VLOOKUP(E844,'[1]Nómina Agentes'!$C:$D,2,0)</f>
        <v/>
      </c>
      <c r="AF841" s="5">
        <f>F844</f>
        <v/>
      </c>
      <c r="AG841" s="5">
        <f>H844</f>
        <v/>
      </c>
    </row>
    <row r="842">
      <c r="A842" s="1" t="n"/>
      <c r="F842" s="2" t="n"/>
      <c r="H842" s="2" t="n"/>
      <c r="AC842" t="n">
        <v>2</v>
      </c>
      <c r="AD842" s="3">
        <f>UPPER(C845)</f>
        <v/>
      </c>
      <c r="AE842" s="3">
        <f>VLOOKUP(E845,'[1]Nómina Agentes'!$C:$D,2,0)</f>
        <v/>
      </c>
      <c r="AF842" s="5">
        <f>F845</f>
        <v/>
      </c>
      <c r="AG842" s="5">
        <f>H845</f>
        <v/>
      </c>
    </row>
    <row r="843">
      <c r="A843" s="1" t="n"/>
      <c r="F843" s="2" t="n"/>
      <c r="H843" s="2" t="n"/>
      <c r="AC843" t="n">
        <v>3</v>
      </c>
      <c r="AD843" s="3">
        <f>UPPER(C846)</f>
        <v/>
      </c>
      <c r="AE843" s="3">
        <f>VLOOKUP(E846,'[1]Nómina Agentes'!$C:$D,2,0)</f>
        <v/>
      </c>
      <c r="AF843" s="5">
        <f>F846</f>
        <v/>
      </c>
      <c r="AG843" s="5">
        <f>H846</f>
        <v/>
      </c>
    </row>
    <row r="844">
      <c r="A844" s="1" t="n"/>
      <c r="F844" s="2" t="n"/>
      <c r="H844" s="2" t="n"/>
      <c r="AC844" t="n">
        <v>3</v>
      </c>
      <c r="AD844" s="3">
        <f>UPPER(C847)</f>
        <v/>
      </c>
      <c r="AE844" s="3">
        <f>VLOOKUP(E847,'[1]Nómina Agentes'!$C:$D,2,0)</f>
        <v/>
      </c>
      <c r="AF844" s="5">
        <f>F847</f>
        <v/>
      </c>
      <c r="AG844" s="5">
        <f>H847</f>
        <v/>
      </c>
    </row>
    <row r="845">
      <c r="A845" s="1" t="n"/>
      <c r="F845" s="2" t="n"/>
      <c r="H845" s="2" t="n"/>
      <c r="AC845" t="n">
        <v>4</v>
      </c>
      <c r="AD845" s="3">
        <f>UPPER(C848)</f>
        <v/>
      </c>
      <c r="AE845" s="3">
        <f>VLOOKUP(E848,'[1]Nómina Agentes'!$C:$D,2,0)</f>
        <v/>
      </c>
      <c r="AF845" s="5">
        <f>F848</f>
        <v/>
      </c>
      <c r="AG845" s="5">
        <f>H848</f>
        <v/>
      </c>
    </row>
    <row r="846">
      <c r="A846" s="1" t="n"/>
      <c r="F846" s="2" t="n"/>
      <c r="H846" s="2" t="n"/>
      <c r="AC846" t="n">
        <v>1</v>
      </c>
      <c r="AD846" s="3">
        <f>UPPER(C849)</f>
        <v/>
      </c>
      <c r="AE846" s="3">
        <f>VLOOKUP(E849,'[1]Nómina Agentes'!$C:$D,2,0)</f>
        <v/>
      </c>
      <c r="AF846" s="5">
        <f>F849</f>
        <v/>
      </c>
      <c r="AG846" s="5">
        <f>H849</f>
        <v/>
      </c>
    </row>
    <row r="847">
      <c r="A847" s="1" t="n"/>
      <c r="F847" s="2" t="n"/>
      <c r="H847" s="2" t="n"/>
      <c r="AC847" t="n">
        <v>0</v>
      </c>
      <c r="AD847" s="3">
        <f>UPPER(C850)</f>
        <v/>
      </c>
      <c r="AE847" s="3">
        <f>VLOOKUP(E850,'[1]Nómina Agentes'!$C:$D,2,0)</f>
        <v/>
      </c>
      <c r="AF847" s="5">
        <f>F850</f>
        <v/>
      </c>
      <c r="AG847" s="5">
        <f>H850</f>
        <v/>
      </c>
    </row>
    <row r="848">
      <c r="A848" s="1" t="n"/>
      <c r="F848" s="2" t="n"/>
      <c r="H848" s="2" t="n"/>
      <c r="AC848" t="n">
        <v>1</v>
      </c>
      <c r="AD848" s="3">
        <f>UPPER(C851)</f>
        <v/>
      </c>
      <c r="AE848" s="3">
        <f>VLOOKUP(E851,'[1]Nómina Agentes'!$C:$D,2,0)</f>
        <v/>
      </c>
      <c r="AF848" s="5">
        <f>F851</f>
        <v/>
      </c>
      <c r="AG848" s="5">
        <f>H851</f>
        <v/>
      </c>
    </row>
    <row r="849">
      <c r="A849" s="1" t="n"/>
      <c r="F849" s="2" t="n"/>
      <c r="H849" s="2" t="n"/>
      <c r="AC849" t="n">
        <v>0</v>
      </c>
      <c r="AD849" s="3">
        <f>UPPER(C852)</f>
        <v/>
      </c>
      <c r="AE849" s="3">
        <f>VLOOKUP(E852,'[1]Nómina Agentes'!$C:$D,2,0)</f>
        <v/>
      </c>
      <c r="AF849" s="5">
        <f>F852</f>
        <v/>
      </c>
      <c r="AG849" s="5">
        <f>H852</f>
        <v/>
      </c>
    </row>
    <row r="850">
      <c r="A850" s="1" t="n"/>
      <c r="F850" s="2" t="n"/>
      <c r="H850" s="2" t="n"/>
      <c r="AC850" t="n">
        <v>3</v>
      </c>
      <c r="AD850" s="3">
        <f>UPPER(C853)</f>
        <v/>
      </c>
      <c r="AE850" s="3">
        <f>VLOOKUP(E853,'[1]Nómina Agentes'!$C:$D,2,0)</f>
        <v/>
      </c>
      <c r="AF850" s="5">
        <f>F853</f>
        <v/>
      </c>
      <c r="AG850" s="5">
        <f>H853</f>
        <v/>
      </c>
    </row>
    <row r="851">
      <c r="A851" s="1" t="n"/>
      <c r="F851" s="2" t="n"/>
      <c r="H851" s="2" t="n"/>
      <c r="AC851" t="n">
        <v>2</v>
      </c>
      <c r="AD851" s="3">
        <f>UPPER(C854)</f>
        <v/>
      </c>
      <c r="AE851" s="3">
        <f>VLOOKUP(E854,'[1]Nómina Agentes'!$C:$D,2,0)</f>
        <v/>
      </c>
      <c r="AF851" s="5">
        <f>F854</f>
        <v/>
      </c>
      <c r="AG851" s="5">
        <f>H854</f>
        <v/>
      </c>
    </row>
    <row r="852">
      <c r="A852" s="1" t="n"/>
      <c r="F852" s="2" t="n"/>
      <c r="H852" s="2" t="n"/>
      <c r="AC852" t="n">
        <v>3</v>
      </c>
      <c r="AD852" s="3">
        <f>UPPER(C855)</f>
        <v/>
      </c>
      <c r="AE852" s="3">
        <f>VLOOKUP(E855,'[1]Nómina Agentes'!$C:$D,2,0)</f>
        <v/>
      </c>
      <c r="AF852" s="5">
        <f>F855</f>
        <v/>
      </c>
      <c r="AG852" s="5">
        <f>H855</f>
        <v/>
      </c>
    </row>
    <row r="853">
      <c r="A853" s="1" t="n"/>
      <c r="F853" s="2" t="n"/>
      <c r="H853" s="2" t="n"/>
      <c r="AC853" t="n">
        <v>3</v>
      </c>
      <c r="AD853" s="3">
        <f>UPPER(C856)</f>
        <v/>
      </c>
      <c r="AE853" s="3">
        <f>VLOOKUP(E856,'[1]Nómina Agentes'!$C:$D,2,0)</f>
        <v/>
      </c>
      <c r="AF853" s="5">
        <f>F856</f>
        <v/>
      </c>
      <c r="AG853" s="5">
        <f>H856</f>
        <v/>
      </c>
    </row>
    <row r="854">
      <c r="A854" s="1" t="n"/>
      <c r="F854" s="2" t="n"/>
      <c r="H854" s="2" t="n"/>
      <c r="AC854" t="n">
        <v>3</v>
      </c>
      <c r="AD854" s="3">
        <f>UPPER(C857)</f>
        <v/>
      </c>
      <c r="AE854" s="3">
        <f>VLOOKUP(E857,'[1]Nómina Agentes'!$C:$D,2,0)</f>
        <v/>
      </c>
      <c r="AF854" s="5">
        <f>F857</f>
        <v/>
      </c>
      <c r="AG854" s="5">
        <f>H857</f>
        <v/>
      </c>
    </row>
    <row r="855">
      <c r="A855" s="1" t="n"/>
      <c r="F855" s="2" t="n"/>
      <c r="H855" s="2" t="n"/>
      <c r="AC855" t="n">
        <v>4</v>
      </c>
      <c r="AD855" s="3">
        <f>UPPER(C858)</f>
        <v/>
      </c>
      <c r="AE855" s="3">
        <f>VLOOKUP(E858,'[1]Nómina Agentes'!$C:$D,2,0)</f>
        <v/>
      </c>
      <c r="AF855" s="5">
        <f>F858</f>
        <v/>
      </c>
      <c r="AG855" s="5">
        <f>H858</f>
        <v/>
      </c>
    </row>
    <row r="856">
      <c r="A856" s="1" t="n"/>
      <c r="F856" s="2" t="n"/>
      <c r="H856" s="2" t="n"/>
      <c r="AC856" t="n">
        <v>5</v>
      </c>
      <c r="AD856" s="3">
        <f>UPPER(C859)</f>
        <v/>
      </c>
      <c r="AE856" s="3">
        <f>VLOOKUP(E859,'[1]Nómina Agentes'!$C:$D,2,0)</f>
        <v/>
      </c>
      <c r="AF856" s="5">
        <f>F859</f>
        <v/>
      </c>
      <c r="AG856" s="5">
        <f>H859</f>
        <v/>
      </c>
    </row>
    <row r="857">
      <c r="A857" s="1" t="n"/>
      <c r="F857" s="2" t="n"/>
      <c r="H857" s="2" t="n"/>
      <c r="AC857" t="n">
        <v>1</v>
      </c>
      <c r="AD857" s="3">
        <f>UPPER(C860)</f>
        <v/>
      </c>
      <c r="AE857" s="3">
        <f>VLOOKUP(E860,'[1]Nómina Agentes'!$C:$D,2,0)</f>
        <v/>
      </c>
      <c r="AF857" s="5">
        <f>F860</f>
        <v/>
      </c>
      <c r="AG857" s="5">
        <f>H860</f>
        <v/>
      </c>
    </row>
    <row r="858">
      <c r="A858" s="1" t="n"/>
      <c r="F858" s="2" t="n"/>
      <c r="H858" s="2" t="n"/>
      <c r="AC858" t="n">
        <v>1</v>
      </c>
      <c r="AD858" s="3">
        <f>UPPER(C861)</f>
        <v/>
      </c>
      <c r="AE858" s="3">
        <f>VLOOKUP(E861,'[1]Nómina Agentes'!$C:$D,2,0)</f>
        <v/>
      </c>
      <c r="AF858" s="5">
        <f>F861</f>
        <v/>
      </c>
      <c r="AG858" s="5">
        <f>H861</f>
        <v/>
      </c>
    </row>
    <row r="859">
      <c r="A859" s="1" t="n"/>
      <c r="F859" s="2" t="n"/>
      <c r="H859" s="2" t="n"/>
      <c r="AC859" t="n">
        <v>0</v>
      </c>
      <c r="AD859" s="3">
        <f>UPPER(C862)</f>
        <v/>
      </c>
      <c r="AE859" s="3">
        <f>VLOOKUP(E862,'[1]Nómina Agentes'!$C:$D,2,0)</f>
        <v/>
      </c>
      <c r="AF859" s="5">
        <f>F862</f>
        <v/>
      </c>
      <c r="AG859" s="5">
        <f>H862</f>
        <v/>
      </c>
    </row>
    <row r="860">
      <c r="A860" s="1" t="n"/>
      <c r="F860" s="2" t="n"/>
      <c r="H860" s="2" t="n"/>
      <c r="AC860" t="n">
        <v>1</v>
      </c>
      <c r="AD860" s="3">
        <f>UPPER(C863)</f>
        <v/>
      </c>
      <c r="AE860" s="3">
        <f>VLOOKUP(E863,'[1]Nómina Agentes'!$C:$D,2,0)</f>
        <v/>
      </c>
      <c r="AF860" s="5">
        <f>F863</f>
        <v/>
      </c>
      <c r="AG860" s="5">
        <f>H863</f>
        <v/>
      </c>
    </row>
    <row r="861">
      <c r="A861" s="1" t="n"/>
      <c r="F861" s="2" t="n"/>
      <c r="H861" s="2" t="n"/>
      <c r="AC861" t="n">
        <v>3</v>
      </c>
      <c r="AD861" s="3">
        <f>UPPER(C864)</f>
        <v/>
      </c>
      <c r="AE861" s="3">
        <f>VLOOKUP(E864,'[1]Nómina Agentes'!$C:$D,2,0)</f>
        <v/>
      </c>
      <c r="AF861" s="5">
        <f>F864</f>
        <v/>
      </c>
      <c r="AG861" s="5">
        <f>H864</f>
        <v/>
      </c>
    </row>
    <row r="862">
      <c r="A862" s="1" t="n"/>
      <c r="F862" s="2" t="n"/>
      <c r="H862" s="2" t="n"/>
      <c r="AC862" t="n">
        <v>4</v>
      </c>
      <c r="AD862" s="3">
        <f>UPPER(C865)</f>
        <v/>
      </c>
      <c r="AE862" s="3">
        <f>VLOOKUP(E865,'[1]Nómina Agentes'!$C:$D,2,0)</f>
        <v/>
      </c>
      <c r="AF862" s="5">
        <f>F865</f>
        <v/>
      </c>
      <c r="AG862" s="5">
        <f>H865</f>
        <v/>
      </c>
    </row>
    <row r="863">
      <c r="A863" s="1" t="n"/>
      <c r="F863" s="2" t="n"/>
      <c r="H863" s="2" t="n"/>
      <c r="AC863" t="n">
        <v>2</v>
      </c>
      <c r="AD863" s="3">
        <f>UPPER(C866)</f>
        <v/>
      </c>
      <c r="AE863" s="3">
        <f>VLOOKUP(E866,'[1]Nómina Agentes'!$C:$D,2,0)</f>
        <v/>
      </c>
      <c r="AF863" s="5">
        <f>F866</f>
        <v/>
      </c>
      <c r="AG863" s="5">
        <f>H866</f>
        <v/>
      </c>
    </row>
    <row r="864">
      <c r="A864" s="1" t="n"/>
      <c r="F864" s="2" t="n"/>
      <c r="H864" s="2" t="n"/>
      <c r="AC864" t="n">
        <v>0</v>
      </c>
      <c r="AD864" s="3">
        <f>UPPER(C867)</f>
        <v/>
      </c>
      <c r="AE864" s="3">
        <f>VLOOKUP(E867,'[1]Nómina Agentes'!$C:$D,2,0)</f>
        <v/>
      </c>
      <c r="AF864" s="5">
        <f>F867</f>
        <v/>
      </c>
      <c r="AG864" s="5">
        <f>H867</f>
        <v/>
      </c>
    </row>
    <row r="865">
      <c r="A865" s="1" t="n"/>
      <c r="F865" s="2" t="n"/>
      <c r="H865" s="2" t="n"/>
      <c r="AC865" t="n">
        <v>1</v>
      </c>
      <c r="AD865" s="3">
        <f>UPPER(C868)</f>
        <v/>
      </c>
      <c r="AE865" s="3">
        <f>VLOOKUP(E868,'[1]Nómina Agentes'!$C:$D,2,0)</f>
        <v/>
      </c>
      <c r="AF865" s="5">
        <f>F868</f>
        <v/>
      </c>
      <c r="AG865" s="5">
        <f>H868</f>
        <v/>
      </c>
    </row>
    <row r="866">
      <c r="A866" s="1" t="n"/>
      <c r="F866" s="2" t="n"/>
      <c r="H866" s="2" t="n"/>
      <c r="AC866" t="n">
        <v>2</v>
      </c>
      <c r="AD866" s="3">
        <f>UPPER(C869)</f>
        <v/>
      </c>
      <c r="AE866" s="3">
        <f>VLOOKUP(E869,'[1]Nómina Agentes'!$C:$D,2,0)</f>
        <v/>
      </c>
      <c r="AF866" s="5">
        <f>F869</f>
        <v/>
      </c>
      <c r="AG866" s="5">
        <f>H869</f>
        <v/>
      </c>
    </row>
    <row r="867">
      <c r="A867" s="1" t="n"/>
      <c r="F867" s="2" t="n"/>
      <c r="H867" s="2" t="n"/>
      <c r="AC867" t="n">
        <v>2</v>
      </c>
      <c r="AD867" s="3">
        <f>UPPER(C870)</f>
        <v/>
      </c>
      <c r="AE867" s="3">
        <f>VLOOKUP(E870,'[1]Nómina Agentes'!$C:$D,2,0)</f>
        <v/>
      </c>
      <c r="AF867" s="5">
        <f>F870</f>
        <v/>
      </c>
      <c r="AG867" s="5">
        <f>H870</f>
        <v/>
      </c>
    </row>
    <row r="868">
      <c r="A868" s="1" t="n"/>
      <c r="F868" s="2" t="n"/>
      <c r="H868" s="2" t="n"/>
      <c r="AC868" t="n">
        <v>3</v>
      </c>
      <c r="AD868" s="3">
        <f>UPPER(C871)</f>
        <v/>
      </c>
      <c r="AE868" s="3">
        <f>VLOOKUP(E871,'[1]Nómina Agentes'!$C:$D,2,0)</f>
        <v/>
      </c>
      <c r="AF868" s="5">
        <f>F871</f>
        <v/>
      </c>
      <c r="AG868" s="5">
        <f>H871</f>
        <v/>
      </c>
    </row>
    <row r="869">
      <c r="A869" s="1" t="n"/>
      <c r="F869" s="2" t="n"/>
      <c r="H869" s="2" t="n"/>
      <c r="AC869" t="n">
        <v>1</v>
      </c>
      <c r="AD869" s="3">
        <f>UPPER(C872)</f>
        <v/>
      </c>
      <c r="AE869" s="3">
        <f>VLOOKUP(E872,'[1]Nómina Agentes'!$C:$D,2,0)</f>
        <v/>
      </c>
      <c r="AF869" s="5">
        <f>F872</f>
        <v/>
      </c>
      <c r="AG869" s="5">
        <f>H872</f>
        <v/>
      </c>
    </row>
    <row r="870">
      <c r="A870" s="1" t="n"/>
      <c r="F870" s="2" t="n"/>
      <c r="H870" s="2" t="n"/>
      <c r="AC870" t="n">
        <v>5</v>
      </c>
      <c r="AD870" s="3">
        <f>UPPER(C873)</f>
        <v/>
      </c>
      <c r="AE870" s="3">
        <f>VLOOKUP(E873,'[1]Nómina Agentes'!$C:$D,2,0)</f>
        <v/>
      </c>
      <c r="AF870" s="5">
        <f>F873</f>
        <v/>
      </c>
      <c r="AG870" s="5">
        <f>H873</f>
        <v/>
      </c>
    </row>
    <row r="871">
      <c r="A871" s="1" t="n"/>
      <c r="F871" s="2" t="n"/>
      <c r="H871" s="2" t="n"/>
      <c r="AC871" t="n">
        <v>4</v>
      </c>
      <c r="AD871" s="3">
        <f>UPPER(C874)</f>
        <v/>
      </c>
      <c r="AE871" s="3">
        <f>VLOOKUP(E874,'[1]Nómina Agentes'!$C:$D,2,0)</f>
        <v/>
      </c>
      <c r="AF871" s="5">
        <f>F874</f>
        <v/>
      </c>
      <c r="AG871" s="5">
        <f>H874</f>
        <v/>
      </c>
    </row>
    <row r="872">
      <c r="A872" s="1" t="n"/>
      <c r="F872" s="2" t="n"/>
      <c r="H872" s="2" t="n"/>
      <c r="AC872" t="n">
        <v>3</v>
      </c>
      <c r="AD872" s="3">
        <f>UPPER(C875)</f>
        <v/>
      </c>
      <c r="AE872" s="3">
        <f>VLOOKUP(E875,'[1]Nómina Agentes'!$C:$D,2,0)</f>
        <v/>
      </c>
      <c r="AF872" s="5">
        <f>F875</f>
        <v/>
      </c>
      <c r="AG872" s="5">
        <f>H875</f>
        <v/>
      </c>
    </row>
    <row r="873">
      <c r="A873" s="1" t="n"/>
      <c r="F873" s="2" t="n"/>
      <c r="H873" s="2" t="n"/>
      <c r="AC873" t="n">
        <v>4</v>
      </c>
      <c r="AD873" s="3">
        <f>UPPER(C876)</f>
        <v/>
      </c>
      <c r="AE873" s="3">
        <f>VLOOKUP(E876,'[1]Nómina Agentes'!$C:$D,2,0)</f>
        <v/>
      </c>
      <c r="AF873" s="5">
        <f>F876</f>
        <v/>
      </c>
      <c r="AG873" s="5">
        <f>H876</f>
        <v/>
      </c>
    </row>
    <row r="874">
      <c r="A874" s="1" t="n"/>
      <c r="F874" s="2" t="n"/>
      <c r="H874" s="2" t="n"/>
      <c r="AC874" t="n">
        <v>0</v>
      </c>
      <c r="AD874" s="3">
        <f>UPPER(C877)</f>
        <v/>
      </c>
      <c r="AE874" s="3">
        <f>VLOOKUP(E877,'[1]Nómina Agentes'!$C:$D,2,0)</f>
        <v/>
      </c>
      <c r="AF874" s="5">
        <f>F877</f>
        <v/>
      </c>
      <c r="AG874" s="5">
        <f>H877</f>
        <v/>
      </c>
    </row>
    <row r="875">
      <c r="A875" s="1" t="n"/>
      <c r="F875" s="2" t="n"/>
      <c r="H875" s="2" t="n"/>
      <c r="AC875" t="n">
        <v>2</v>
      </c>
      <c r="AD875" s="3">
        <f>UPPER(C878)</f>
        <v/>
      </c>
      <c r="AE875" s="3">
        <f>VLOOKUP(E878,'[1]Nómina Agentes'!$C:$D,2,0)</f>
        <v/>
      </c>
      <c r="AF875" s="5">
        <f>F878</f>
        <v/>
      </c>
      <c r="AG875" s="5">
        <f>H878</f>
        <v/>
      </c>
    </row>
    <row r="876">
      <c r="A876" s="1" t="n"/>
      <c r="F876" s="2" t="n"/>
      <c r="H876" s="2" t="n"/>
      <c r="AC876" t="n">
        <v>1</v>
      </c>
      <c r="AD876" s="3">
        <f>UPPER(C879)</f>
        <v/>
      </c>
      <c r="AE876" s="3">
        <f>VLOOKUP(E879,'[1]Nómina Agentes'!$C:$D,2,0)</f>
        <v/>
      </c>
      <c r="AF876" s="5">
        <f>F879</f>
        <v/>
      </c>
      <c r="AG876" s="5">
        <f>H879</f>
        <v/>
      </c>
    </row>
    <row r="877">
      <c r="A877" s="1" t="n"/>
      <c r="F877" s="2" t="n"/>
      <c r="H877" s="2" t="n"/>
      <c r="AC877" t="n">
        <v>1</v>
      </c>
      <c r="AD877" s="3">
        <f>UPPER(C880)</f>
        <v/>
      </c>
      <c r="AE877" s="3">
        <f>VLOOKUP(E880,'[1]Nómina Agentes'!$C:$D,2,0)</f>
        <v/>
      </c>
      <c r="AF877" s="5">
        <f>F880</f>
        <v/>
      </c>
      <c r="AG877" s="5">
        <f>H880</f>
        <v/>
      </c>
    </row>
    <row r="878">
      <c r="A878" s="1" t="n"/>
      <c r="F878" s="2" t="n"/>
      <c r="H878" s="2" t="n"/>
      <c r="AC878" t="n">
        <v>2</v>
      </c>
      <c r="AD878" s="3">
        <f>UPPER(C881)</f>
        <v/>
      </c>
      <c r="AE878" s="3">
        <f>VLOOKUP(E881,'[1]Nómina Agentes'!$C:$D,2,0)</f>
        <v/>
      </c>
      <c r="AF878" s="5">
        <f>F881</f>
        <v/>
      </c>
      <c r="AG878" s="5">
        <f>H881</f>
        <v/>
      </c>
    </row>
    <row r="879">
      <c r="A879" s="1" t="n"/>
      <c r="F879" s="2" t="n"/>
      <c r="H879" s="2" t="n"/>
      <c r="AC879" t="n">
        <v>1</v>
      </c>
      <c r="AD879" s="3">
        <f>UPPER(C882)</f>
        <v/>
      </c>
      <c r="AE879" s="3">
        <f>VLOOKUP(E882,'[1]Nómina Agentes'!$C:$D,2,0)</f>
        <v/>
      </c>
      <c r="AF879" s="5">
        <f>F882</f>
        <v/>
      </c>
      <c r="AG879" s="5">
        <f>H882</f>
        <v/>
      </c>
    </row>
    <row r="880">
      <c r="A880" s="1" t="n"/>
      <c r="F880" s="2" t="n"/>
      <c r="H880" s="2" t="n"/>
      <c r="AC880" t="n">
        <v>2</v>
      </c>
      <c r="AD880" s="3">
        <f>UPPER(C883)</f>
        <v/>
      </c>
      <c r="AE880" s="3">
        <f>VLOOKUP(E883,'[1]Nómina Agentes'!$C:$D,2,0)</f>
        <v/>
      </c>
      <c r="AF880" s="5">
        <f>F883</f>
        <v/>
      </c>
      <c r="AG880" s="5">
        <f>H883</f>
        <v/>
      </c>
    </row>
    <row r="881">
      <c r="A881" s="1" t="n"/>
      <c r="F881" s="2" t="n"/>
      <c r="H881" s="2" t="n"/>
      <c r="AC881" t="n">
        <v>2</v>
      </c>
      <c r="AD881" s="3">
        <f>UPPER(C884)</f>
        <v/>
      </c>
      <c r="AE881" s="3">
        <f>VLOOKUP(E884,'[1]Nómina Agentes'!$C:$D,2,0)</f>
        <v/>
      </c>
      <c r="AF881" s="5">
        <f>F884</f>
        <v/>
      </c>
      <c r="AG881" s="5">
        <f>H884</f>
        <v/>
      </c>
    </row>
    <row r="882">
      <c r="A882" s="1" t="n"/>
      <c r="F882" s="2" t="n"/>
      <c r="H882" s="2" t="n"/>
      <c r="AC882" t="n">
        <v>1</v>
      </c>
      <c r="AD882" s="3">
        <f>UPPER(C885)</f>
        <v/>
      </c>
      <c r="AE882" s="3">
        <f>VLOOKUP(E885,'[1]Nómina Agentes'!$C:$D,2,0)</f>
        <v/>
      </c>
      <c r="AF882" s="5">
        <f>F885</f>
        <v/>
      </c>
      <c r="AG882" s="5">
        <f>H885</f>
        <v/>
      </c>
    </row>
    <row r="883">
      <c r="A883" s="1" t="n"/>
      <c r="F883" s="2" t="n"/>
      <c r="H883" s="2" t="n"/>
      <c r="AC883" t="n">
        <v>0</v>
      </c>
      <c r="AD883" s="3">
        <f>UPPER(C886)</f>
        <v/>
      </c>
      <c r="AE883" s="3">
        <f>VLOOKUP(E886,'[1]Nómina Agentes'!$C:$D,2,0)</f>
        <v/>
      </c>
      <c r="AF883" s="5">
        <f>F886</f>
        <v/>
      </c>
      <c r="AG883" s="5">
        <f>H886</f>
        <v/>
      </c>
    </row>
    <row r="884">
      <c r="A884" s="1" t="n"/>
      <c r="F884" s="2" t="n"/>
      <c r="H884" s="2" t="n"/>
      <c r="AC884" t="n">
        <v>4</v>
      </c>
      <c r="AD884" s="3">
        <f>UPPER(C887)</f>
        <v/>
      </c>
      <c r="AE884" s="3">
        <f>VLOOKUP(E887,'[1]Nómina Agentes'!$C:$D,2,0)</f>
        <v/>
      </c>
      <c r="AF884" s="5">
        <f>F887</f>
        <v/>
      </c>
      <c r="AG884" s="5">
        <f>H887</f>
        <v/>
      </c>
    </row>
    <row r="885">
      <c r="A885" s="1" t="n"/>
      <c r="F885" s="2" t="n"/>
      <c r="H885" s="2" t="n"/>
      <c r="AC885" t="n">
        <v>4</v>
      </c>
      <c r="AD885" s="3">
        <f>UPPER(C888)</f>
        <v/>
      </c>
      <c r="AE885" s="3">
        <f>VLOOKUP(E888,'[1]Nómina Agentes'!$C:$D,2,0)</f>
        <v/>
      </c>
      <c r="AF885" s="5">
        <f>F888</f>
        <v/>
      </c>
      <c r="AG885" s="5">
        <f>H888</f>
        <v/>
      </c>
    </row>
    <row r="886">
      <c r="A886" s="1" t="n"/>
      <c r="F886" s="2" t="n"/>
      <c r="H886" s="2" t="n"/>
      <c r="AC886" t="n">
        <v>1</v>
      </c>
      <c r="AD886" s="3">
        <f>UPPER(C889)</f>
        <v/>
      </c>
      <c r="AE886" s="3">
        <f>VLOOKUP(E889,'[1]Nómina Agentes'!$C:$D,2,0)</f>
        <v/>
      </c>
      <c r="AF886" s="5">
        <f>F889</f>
        <v/>
      </c>
      <c r="AG886" s="5">
        <f>H889</f>
        <v/>
      </c>
    </row>
    <row r="887">
      <c r="A887" s="1" t="n"/>
      <c r="F887" s="2" t="n"/>
      <c r="H887" s="2" t="n"/>
      <c r="AC887" t="n">
        <v>2</v>
      </c>
      <c r="AD887" s="3">
        <f>UPPER(C890)</f>
        <v/>
      </c>
      <c r="AE887" s="3">
        <f>VLOOKUP(E890,'[1]Nómina Agentes'!$C:$D,2,0)</f>
        <v/>
      </c>
      <c r="AF887" s="5">
        <f>F890</f>
        <v/>
      </c>
      <c r="AG887" s="5">
        <f>H890</f>
        <v/>
      </c>
    </row>
    <row r="888">
      <c r="A888" s="1" t="n"/>
      <c r="F888" s="2" t="n"/>
      <c r="H888" s="2" t="n"/>
      <c r="AC888" t="n">
        <v>1</v>
      </c>
      <c r="AD888" s="3">
        <f>UPPER(C891)</f>
        <v/>
      </c>
      <c r="AE888" s="3">
        <f>VLOOKUP(E891,'[1]Nómina Agentes'!$C:$D,2,0)</f>
        <v/>
      </c>
      <c r="AF888" s="5">
        <f>F891</f>
        <v/>
      </c>
      <c r="AG888" s="5">
        <f>H891</f>
        <v/>
      </c>
    </row>
    <row r="889">
      <c r="A889" s="1" t="n"/>
      <c r="F889" s="2" t="n"/>
      <c r="H889" s="2" t="n"/>
      <c r="AC889" t="n">
        <v>2</v>
      </c>
      <c r="AD889" s="3">
        <f>UPPER(C892)</f>
        <v/>
      </c>
      <c r="AE889" s="3">
        <f>VLOOKUP(E892,'[1]Nómina Agentes'!$C:$D,2,0)</f>
        <v/>
      </c>
      <c r="AF889" s="5">
        <f>F892</f>
        <v/>
      </c>
      <c r="AG889" s="5">
        <f>H892</f>
        <v/>
      </c>
    </row>
    <row r="890">
      <c r="A890" s="1" t="n"/>
      <c r="F890" s="2" t="n"/>
      <c r="H890" s="2" t="n"/>
      <c r="AC890" t="n">
        <v>2</v>
      </c>
      <c r="AD890" s="3">
        <f>UPPER(C893)</f>
        <v/>
      </c>
      <c r="AE890" s="3">
        <f>VLOOKUP(E893,'[1]Nómina Agentes'!$C:$D,2,0)</f>
        <v/>
      </c>
      <c r="AF890" s="5">
        <f>F893</f>
        <v/>
      </c>
      <c r="AG890" s="5">
        <f>H893</f>
        <v/>
      </c>
    </row>
    <row r="891">
      <c r="A891" s="1" t="n"/>
      <c r="F891" s="2" t="n"/>
      <c r="H891" s="2" t="n"/>
      <c r="AC891" t="n">
        <v>0</v>
      </c>
      <c r="AD891" s="3">
        <f>UPPER(C894)</f>
        <v/>
      </c>
      <c r="AE891" s="3">
        <f>VLOOKUP(E894,'[1]Nómina Agentes'!$C:$D,2,0)</f>
        <v/>
      </c>
      <c r="AF891" s="5">
        <f>F894</f>
        <v/>
      </c>
      <c r="AG891" s="5">
        <f>H894</f>
        <v/>
      </c>
    </row>
    <row r="892">
      <c r="A892" s="1" t="n"/>
      <c r="F892" s="2" t="n"/>
      <c r="H892" s="2" t="n"/>
      <c r="AC892" t="n">
        <v>3</v>
      </c>
      <c r="AD892" s="3">
        <f>UPPER(C895)</f>
        <v/>
      </c>
      <c r="AE892" s="3">
        <f>VLOOKUP(E895,'[1]Nómina Agentes'!$C:$D,2,0)</f>
        <v/>
      </c>
      <c r="AF892" s="5">
        <f>F895</f>
        <v/>
      </c>
      <c r="AG892" s="5">
        <f>H895</f>
        <v/>
      </c>
    </row>
    <row r="893">
      <c r="A893" s="1" t="n"/>
      <c r="F893" s="2" t="n"/>
      <c r="H893" s="2" t="n"/>
      <c r="AC893" t="n">
        <v>1</v>
      </c>
      <c r="AD893" s="3">
        <f>UPPER(C896)</f>
        <v/>
      </c>
      <c r="AE893" s="3">
        <f>VLOOKUP(E896,'[1]Nómina Agentes'!$C:$D,2,0)</f>
        <v/>
      </c>
      <c r="AF893" s="5">
        <f>F896</f>
        <v/>
      </c>
      <c r="AG893" s="5">
        <f>H896</f>
        <v/>
      </c>
    </row>
    <row r="894">
      <c r="A894" s="1" t="n"/>
      <c r="F894" s="2" t="n"/>
      <c r="H894" s="2" t="n"/>
      <c r="AC894" t="n">
        <v>2</v>
      </c>
      <c r="AD894" s="3">
        <f>UPPER(C897)</f>
        <v/>
      </c>
      <c r="AE894" s="3">
        <f>VLOOKUP(E897,'[1]Nómina Agentes'!$C:$D,2,0)</f>
        <v/>
      </c>
      <c r="AF894" s="5">
        <f>F897</f>
        <v/>
      </c>
      <c r="AG894" s="5">
        <f>H897</f>
        <v/>
      </c>
    </row>
    <row r="895">
      <c r="A895" s="1" t="n"/>
      <c r="F895" s="2" t="n"/>
      <c r="H895" s="2" t="n"/>
      <c r="AC895" t="n">
        <v>2</v>
      </c>
      <c r="AD895" s="3">
        <f>UPPER(C898)</f>
        <v/>
      </c>
      <c r="AE895" s="3">
        <f>VLOOKUP(E898,'[1]Nómina Agentes'!$C:$D,2,0)</f>
        <v/>
      </c>
      <c r="AF895" s="5">
        <f>F898</f>
        <v/>
      </c>
      <c r="AG895" s="5">
        <f>H898</f>
        <v/>
      </c>
    </row>
    <row r="896">
      <c r="A896" s="1" t="n"/>
      <c r="F896" s="2" t="n"/>
      <c r="H896" s="2" t="n"/>
      <c r="AC896" t="n">
        <v>2</v>
      </c>
      <c r="AD896" s="3">
        <f>UPPER(C899)</f>
        <v/>
      </c>
      <c r="AE896" s="3">
        <f>VLOOKUP(E899,'[1]Nómina Agentes'!$C:$D,2,0)</f>
        <v/>
      </c>
      <c r="AF896" s="5">
        <f>F899</f>
        <v/>
      </c>
      <c r="AG896" s="5">
        <f>H899</f>
        <v/>
      </c>
    </row>
    <row r="897">
      <c r="A897" s="1" t="n"/>
      <c r="F897" s="2" t="n"/>
      <c r="H897" s="2" t="n"/>
      <c r="AC897" t="n">
        <v>3</v>
      </c>
      <c r="AD897" s="3">
        <f>UPPER(C900)</f>
        <v/>
      </c>
      <c r="AE897" s="3">
        <f>VLOOKUP(E900,'[1]Nómina Agentes'!$C:$D,2,0)</f>
        <v/>
      </c>
      <c r="AF897" s="5">
        <f>F900</f>
        <v/>
      </c>
      <c r="AG897" s="5">
        <f>H900</f>
        <v/>
      </c>
    </row>
    <row r="898">
      <c r="A898" s="1" t="n"/>
      <c r="F898" s="2" t="n"/>
      <c r="H898" s="2" t="n"/>
      <c r="AC898" t="n">
        <v>3</v>
      </c>
      <c r="AD898" s="3">
        <f>UPPER(C901)</f>
        <v/>
      </c>
      <c r="AE898" s="3">
        <f>VLOOKUP(E901,'[1]Nómina Agentes'!$C:$D,2,0)</f>
        <v/>
      </c>
      <c r="AF898" s="5">
        <f>F901</f>
        <v/>
      </c>
      <c r="AG898" s="5">
        <f>H901</f>
        <v/>
      </c>
    </row>
    <row r="899">
      <c r="A899" s="1" t="n"/>
      <c r="F899" s="2" t="n"/>
      <c r="H899" s="2" t="n"/>
      <c r="AC899" t="n">
        <v>4</v>
      </c>
      <c r="AD899" s="3">
        <f>UPPER(C902)</f>
        <v/>
      </c>
      <c r="AE899" s="3">
        <f>VLOOKUP(E902,'[1]Nómina Agentes'!$C:$D,2,0)</f>
        <v/>
      </c>
      <c r="AF899" s="5">
        <f>F902</f>
        <v/>
      </c>
      <c r="AG899" s="5">
        <f>H902</f>
        <v/>
      </c>
    </row>
    <row r="900">
      <c r="A900" s="1" t="n"/>
      <c r="F900" s="2" t="n"/>
      <c r="H900" s="2" t="n"/>
      <c r="AC900" t="n">
        <v>4</v>
      </c>
      <c r="AD900" s="3">
        <f>UPPER(C903)</f>
        <v/>
      </c>
      <c r="AE900" s="3">
        <f>VLOOKUP(E903,'[1]Nómina Agentes'!$C:$D,2,0)</f>
        <v/>
      </c>
      <c r="AF900" s="5">
        <f>F903</f>
        <v/>
      </c>
      <c r="AG900" s="5">
        <f>H903</f>
        <v/>
      </c>
    </row>
    <row r="901">
      <c r="A901" s="1" t="n"/>
      <c r="F901" s="2" t="n"/>
      <c r="H901" s="2" t="n"/>
      <c r="AC901" t="n">
        <v>4</v>
      </c>
      <c r="AD901" s="3">
        <f>UPPER(C904)</f>
        <v/>
      </c>
      <c r="AE901" s="3">
        <f>VLOOKUP(E904,'[1]Nómina Agentes'!$C:$D,2,0)</f>
        <v/>
      </c>
      <c r="AF901" s="5">
        <f>F904</f>
        <v/>
      </c>
      <c r="AG901" s="5">
        <f>H904</f>
        <v/>
      </c>
    </row>
    <row r="902">
      <c r="A902" s="1" t="n"/>
      <c r="F902" s="2" t="n"/>
      <c r="H902" s="2" t="n"/>
      <c r="AC902" t="n">
        <v>3</v>
      </c>
      <c r="AD902" s="3">
        <f>UPPER(C905)</f>
        <v/>
      </c>
      <c r="AE902" s="3">
        <f>VLOOKUP(E905,'[1]Nómina Agentes'!$C:$D,2,0)</f>
        <v/>
      </c>
      <c r="AF902" s="5">
        <f>F905</f>
        <v/>
      </c>
      <c r="AG902" s="5">
        <f>H905</f>
        <v/>
      </c>
    </row>
    <row r="903">
      <c r="A903" s="1" t="n"/>
      <c r="F903" s="2" t="n"/>
      <c r="H903" s="2" t="n"/>
      <c r="AC903" t="n">
        <v>1</v>
      </c>
      <c r="AD903" s="3">
        <f>UPPER(C906)</f>
        <v/>
      </c>
      <c r="AE903" s="3">
        <f>VLOOKUP(E906,'[1]Nómina Agentes'!$C:$D,2,0)</f>
        <v/>
      </c>
      <c r="AF903" s="5">
        <f>F906</f>
        <v/>
      </c>
      <c r="AG903" s="5">
        <f>H906</f>
        <v/>
      </c>
    </row>
    <row r="904">
      <c r="A904" s="1" t="n"/>
      <c r="F904" s="2" t="n"/>
      <c r="H904" s="2" t="n"/>
      <c r="AC904" t="n">
        <v>1</v>
      </c>
      <c r="AD904" s="3">
        <f>UPPER(C907)</f>
        <v/>
      </c>
      <c r="AE904" s="3">
        <f>VLOOKUP(E907,'[1]Nómina Agentes'!$C:$D,2,0)</f>
        <v/>
      </c>
      <c r="AF904" s="5">
        <f>F907</f>
        <v/>
      </c>
      <c r="AG904" s="5">
        <f>H907</f>
        <v/>
      </c>
    </row>
    <row r="905">
      <c r="A905" s="1" t="n"/>
      <c r="F905" s="2" t="n"/>
      <c r="H905" s="2" t="n"/>
      <c r="AC905" t="n">
        <v>2</v>
      </c>
      <c r="AD905" s="3">
        <f>UPPER(C908)</f>
        <v/>
      </c>
      <c r="AE905" s="3">
        <f>VLOOKUP(E908,'[1]Nómina Agentes'!$C:$D,2,0)</f>
        <v/>
      </c>
      <c r="AF905" s="5">
        <f>F908</f>
        <v/>
      </c>
      <c r="AG905" s="5">
        <f>H908</f>
        <v/>
      </c>
    </row>
    <row r="906">
      <c r="A906" s="1" t="n"/>
      <c r="F906" s="2" t="n"/>
      <c r="H906" s="2" t="n"/>
      <c r="AC906" t="n">
        <v>1</v>
      </c>
      <c r="AD906" s="3">
        <f>UPPER(C909)</f>
        <v/>
      </c>
      <c r="AE906" s="3">
        <f>VLOOKUP(E909,'[1]Nómina Agentes'!$C:$D,2,0)</f>
        <v/>
      </c>
      <c r="AF906" s="5">
        <f>F909</f>
        <v/>
      </c>
      <c r="AG906" s="5">
        <f>H909</f>
        <v/>
      </c>
    </row>
    <row r="907">
      <c r="A907" s="1" t="n"/>
      <c r="F907" s="2" t="n"/>
      <c r="H907" s="2" t="n"/>
      <c r="AC907" t="n">
        <v>2</v>
      </c>
      <c r="AD907" s="3">
        <f>UPPER(C910)</f>
        <v/>
      </c>
      <c r="AE907" s="3">
        <f>VLOOKUP(E910,'[1]Nómina Agentes'!$C:$D,2,0)</f>
        <v/>
      </c>
      <c r="AF907" s="5">
        <f>F910</f>
        <v/>
      </c>
      <c r="AG907" s="5">
        <f>H910</f>
        <v/>
      </c>
    </row>
    <row r="908">
      <c r="A908" s="1" t="n"/>
      <c r="F908" s="2" t="n"/>
      <c r="H908" s="2" t="n"/>
      <c r="AC908" t="n">
        <v>2</v>
      </c>
      <c r="AD908" s="3">
        <f>UPPER(C911)</f>
        <v/>
      </c>
      <c r="AE908" s="3">
        <f>VLOOKUP(E911,'[1]Nómina Agentes'!$C:$D,2,0)</f>
        <v/>
      </c>
      <c r="AF908" s="5">
        <f>F911</f>
        <v/>
      </c>
      <c r="AG908" s="5">
        <f>H911</f>
        <v/>
      </c>
    </row>
    <row r="909">
      <c r="A909" s="1" t="n"/>
      <c r="F909" s="2" t="n"/>
      <c r="H909" s="2" t="n"/>
      <c r="AC909" t="n">
        <v>4</v>
      </c>
      <c r="AD909" s="3">
        <f>UPPER(C912)</f>
        <v/>
      </c>
      <c r="AE909" s="3">
        <f>VLOOKUP(E912,'[1]Nómina Agentes'!$C:$D,2,0)</f>
        <v/>
      </c>
      <c r="AF909" s="5">
        <f>F912</f>
        <v/>
      </c>
      <c r="AG909" s="5">
        <f>H912</f>
        <v/>
      </c>
    </row>
    <row r="910">
      <c r="A910" s="1" t="n"/>
      <c r="F910" s="2" t="n"/>
      <c r="H910" s="2" t="n"/>
      <c r="AC910" t="n">
        <v>5</v>
      </c>
      <c r="AD910" s="3">
        <f>UPPER(C913)</f>
        <v/>
      </c>
      <c r="AE910" s="3">
        <f>VLOOKUP(E913,'[1]Nómina Agentes'!$C:$D,2,0)</f>
        <v/>
      </c>
      <c r="AF910" s="5">
        <f>F913</f>
        <v/>
      </c>
      <c r="AG910" s="5">
        <f>H913</f>
        <v/>
      </c>
    </row>
    <row r="911">
      <c r="A911" s="1" t="n"/>
      <c r="F911" s="2" t="n"/>
      <c r="H911" s="2" t="n"/>
      <c r="AC911" t="n">
        <v>3</v>
      </c>
      <c r="AD911" s="3">
        <f>UPPER(C914)</f>
        <v/>
      </c>
      <c r="AE911" s="3">
        <f>VLOOKUP(E914,'[1]Nómina Agentes'!$C:$D,2,0)</f>
        <v/>
      </c>
      <c r="AF911" s="5">
        <f>F914</f>
        <v/>
      </c>
      <c r="AG911" s="5">
        <f>H914</f>
        <v/>
      </c>
    </row>
    <row r="912">
      <c r="A912" s="1" t="n"/>
      <c r="F912" s="2" t="n"/>
      <c r="H912" s="2" t="n"/>
      <c r="AC912" t="n">
        <v>2</v>
      </c>
      <c r="AD912" s="3">
        <f>UPPER(C915)</f>
        <v/>
      </c>
      <c r="AE912" s="3">
        <f>VLOOKUP(E915,'[1]Nómina Agentes'!$C:$D,2,0)</f>
        <v/>
      </c>
      <c r="AF912" s="5">
        <f>F915</f>
        <v/>
      </c>
      <c r="AG912" s="5">
        <f>H915</f>
        <v/>
      </c>
    </row>
    <row r="913">
      <c r="A913" s="1" t="n"/>
      <c r="F913" s="2" t="n"/>
      <c r="H913" s="2" t="n"/>
      <c r="AC913" t="n">
        <v>0</v>
      </c>
      <c r="AD913" s="3">
        <f>UPPER(C916)</f>
        <v/>
      </c>
      <c r="AE913" s="3">
        <f>VLOOKUP(E916,'[1]Nómina Agentes'!$C:$D,2,0)</f>
        <v/>
      </c>
      <c r="AF913" s="5">
        <f>F916</f>
        <v/>
      </c>
      <c r="AG913" s="5">
        <f>H916</f>
        <v/>
      </c>
    </row>
    <row r="914">
      <c r="A914" s="1" t="n"/>
      <c r="F914" s="2" t="n"/>
      <c r="H914" s="2" t="n"/>
      <c r="AC914" t="n">
        <v>2</v>
      </c>
      <c r="AD914" s="3">
        <f>UPPER(C917)</f>
        <v/>
      </c>
      <c r="AE914" s="3">
        <f>VLOOKUP(E917,'[1]Nómina Agentes'!$C:$D,2,0)</f>
        <v/>
      </c>
      <c r="AF914" s="5">
        <f>F917</f>
        <v/>
      </c>
      <c r="AG914" s="5">
        <f>H917</f>
        <v/>
      </c>
    </row>
    <row r="915">
      <c r="A915" s="1" t="n"/>
      <c r="F915" s="2" t="n"/>
      <c r="H915" s="2" t="n"/>
      <c r="AC915" t="n">
        <v>3</v>
      </c>
      <c r="AD915" s="3">
        <f>UPPER(C918)</f>
        <v/>
      </c>
      <c r="AE915" s="3">
        <f>VLOOKUP(E918,'[1]Nómina Agentes'!$C:$D,2,0)</f>
        <v/>
      </c>
      <c r="AF915" s="5">
        <f>F918</f>
        <v/>
      </c>
      <c r="AG915" s="5">
        <f>H918</f>
        <v/>
      </c>
    </row>
    <row r="916">
      <c r="A916" s="1" t="n"/>
      <c r="F916" s="2" t="n"/>
      <c r="H916" s="2" t="n"/>
      <c r="AC916" t="n">
        <v>0</v>
      </c>
      <c r="AD916" s="3">
        <f>UPPER(C919)</f>
        <v/>
      </c>
      <c r="AE916" s="3">
        <f>VLOOKUP(E919,'[1]Nómina Agentes'!$C:$D,2,0)</f>
        <v/>
      </c>
      <c r="AF916" s="5">
        <f>F919</f>
        <v/>
      </c>
      <c r="AG916" s="5">
        <f>H919</f>
        <v/>
      </c>
    </row>
    <row r="917">
      <c r="A917" s="1" t="n"/>
      <c r="F917" s="2" t="n"/>
      <c r="H917" s="2" t="n"/>
      <c r="AC917" t="n">
        <v>1</v>
      </c>
      <c r="AD917" s="3">
        <f>UPPER(C920)</f>
        <v/>
      </c>
      <c r="AE917" s="3">
        <f>VLOOKUP(E920,'[1]Nómina Agentes'!$C:$D,2,0)</f>
        <v/>
      </c>
      <c r="AF917" s="5">
        <f>F920</f>
        <v/>
      </c>
      <c r="AG917" s="5">
        <f>H920</f>
        <v/>
      </c>
    </row>
    <row r="918">
      <c r="A918" s="1" t="n"/>
      <c r="F918" s="2" t="n"/>
      <c r="H918" s="2" t="n"/>
      <c r="AC918" t="n">
        <v>0</v>
      </c>
      <c r="AD918" s="3">
        <f>UPPER(C921)</f>
        <v/>
      </c>
      <c r="AE918" s="3">
        <f>VLOOKUP(E921,'[1]Nómina Agentes'!$C:$D,2,0)</f>
        <v/>
      </c>
      <c r="AF918" s="5">
        <f>F921</f>
        <v/>
      </c>
      <c r="AG918" s="5">
        <f>H921</f>
        <v/>
      </c>
    </row>
    <row r="919">
      <c r="A919" s="1" t="n"/>
      <c r="F919" s="2" t="n"/>
      <c r="H919" s="2" t="n"/>
      <c r="AC919" t="n">
        <v>2</v>
      </c>
      <c r="AD919" s="3">
        <f>UPPER(C922)</f>
        <v/>
      </c>
      <c r="AE919" s="3">
        <f>VLOOKUP(E922,'[1]Nómina Agentes'!$C:$D,2,0)</f>
        <v/>
      </c>
      <c r="AF919" s="5">
        <f>F922</f>
        <v/>
      </c>
      <c r="AG919" s="5">
        <f>H922</f>
        <v/>
      </c>
    </row>
    <row r="920">
      <c r="A920" s="1" t="n"/>
      <c r="F920" s="2" t="n"/>
      <c r="H920" s="2" t="n"/>
      <c r="AC920" t="n">
        <v>1</v>
      </c>
      <c r="AD920" s="3">
        <f>UPPER(C923)</f>
        <v/>
      </c>
      <c r="AE920" s="3">
        <f>VLOOKUP(E923,'[1]Nómina Agentes'!$C:$D,2,0)</f>
        <v/>
      </c>
      <c r="AF920" s="5">
        <f>F923</f>
        <v/>
      </c>
      <c r="AG920" s="5">
        <f>H923</f>
        <v/>
      </c>
    </row>
    <row r="921">
      <c r="A921" s="1" t="n"/>
      <c r="F921" s="2" t="n"/>
      <c r="H921" s="2" t="n"/>
      <c r="AC921" t="n">
        <v>2</v>
      </c>
      <c r="AD921" s="3">
        <f>UPPER(C924)</f>
        <v/>
      </c>
      <c r="AE921" s="3">
        <f>VLOOKUP(E924,'[1]Nómina Agentes'!$C:$D,2,0)</f>
        <v/>
      </c>
      <c r="AF921" s="5">
        <f>F924</f>
        <v/>
      </c>
      <c r="AG921" s="5">
        <f>H924</f>
        <v/>
      </c>
    </row>
    <row r="922">
      <c r="A922" s="1" t="n"/>
      <c r="F922" s="2" t="n"/>
      <c r="H922" s="2" t="n"/>
      <c r="AC922" t="n">
        <v>1</v>
      </c>
      <c r="AD922" s="3">
        <f>UPPER(C925)</f>
        <v/>
      </c>
      <c r="AE922" s="3">
        <f>VLOOKUP(E925,'[1]Nómina Agentes'!$C:$D,2,0)</f>
        <v/>
      </c>
      <c r="AF922" s="5">
        <f>F925</f>
        <v/>
      </c>
      <c r="AG922" s="5">
        <f>H925</f>
        <v/>
      </c>
    </row>
    <row r="923">
      <c r="A923" s="1" t="n"/>
      <c r="F923" s="2" t="n"/>
      <c r="H923" s="2" t="n"/>
      <c r="AC923" t="n">
        <v>2</v>
      </c>
      <c r="AD923" s="3">
        <f>UPPER(C926)</f>
        <v/>
      </c>
      <c r="AE923" s="3">
        <f>VLOOKUP(E926,'[1]Nómina Agentes'!$C:$D,2,0)</f>
        <v/>
      </c>
      <c r="AF923" s="5">
        <f>F926</f>
        <v/>
      </c>
      <c r="AG923" s="5">
        <f>H926</f>
        <v/>
      </c>
    </row>
    <row r="924">
      <c r="A924" s="1" t="n"/>
      <c r="F924" s="2" t="n"/>
      <c r="H924" s="2" t="n"/>
      <c r="AC924" t="n">
        <v>2</v>
      </c>
      <c r="AD924" s="3">
        <f>UPPER(C927)</f>
        <v/>
      </c>
      <c r="AE924" s="3">
        <f>VLOOKUP(E927,'[1]Nómina Agentes'!$C:$D,2,0)</f>
        <v/>
      </c>
      <c r="AF924" s="5">
        <f>F927</f>
        <v/>
      </c>
      <c r="AG924" s="5">
        <f>H927</f>
        <v/>
      </c>
    </row>
    <row r="925">
      <c r="A925" s="1" t="n"/>
      <c r="F925" s="2" t="n"/>
      <c r="H925" s="2" t="n"/>
      <c r="AC925" t="n">
        <v>3</v>
      </c>
      <c r="AD925" s="3">
        <f>UPPER(C928)</f>
        <v/>
      </c>
      <c r="AE925" s="3">
        <f>VLOOKUP(E928,'[1]Nómina Agentes'!$C:$D,2,0)</f>
        <v/>
      </c>
      <c r="AF925" s="5">
        <f>F928</f>
        <v/>
      </c>
      <c r="AG925" s="5">
        <f>H928</f>
        <v/>
      </c>
    </row>
    <row r="926">
      <c r="A926" s="1" t="n"/>
      <c r="F926" s="2" t="n"/>
      <c r="H926" s="2" t="n"/>
      <c r="AC926" t="n">
        <v>5</v>
      </c>
      <c r="AD926" s="3">
        <f>UPPER(C929)</f>
        <v/>
      </c>
      <c r="AE926" s="3">
        <f>VLOOKUP(E929,'[1]Nómina Agentes'!$C:$D,2,0)</f>
        <v/>
      </c>
      <c r="AF926" s="5">
        <f>F929</f>
        <v/>
      </c>
      <c r="AG926" s="5">
        <f>H929</f>
        <v/>
      </c>
    </row>
    <row r="927">
      <c r="A927" s="1" t="n"/>
      <c r="F927" s="2" t="n"/>
      <c r="H927" s="2" t="n"/>
      <c r="AC927" t="n">
        <v>2</v>
      </c>
      <c r="AD927" s="3">
        <f>UPPER(C930)</f>
        <v/>
      </c>
      <c r="AE927" s="3">
        <f>VLOOKUP(E930,'[1]Nómina Agentes'!$C:$D,2,0)</f>
        <v/>
      </c>
      <c r="AF927" s="5">
        <f>F930</f>
        <v/>
      </c>
      <c r="AG927" s="5">
        <f>H930</f>
        <v/>
      </c>
    </row>
    <row r="928">
      <c r="A928" s="1" t="n"/>
      <c r="F928" s="2" t="n"/>
      <c r="H928" s="2" t="n"/>
      <c r="AC928" t="n">
        <v>0</v>
      </c>
      <c r="AD928" s="3">
        <f>UPPER(C931)</f>
        <v/>
      </c>
      <c r="AE928" s="3">
        <f>VLOOKUP(E931,'[1]Nómina Agentes'!$C:$D,2,0)</f>
        <v/>
      </c>
      <c r="AF928" s="5">
        <f>F931</f>
        <v/>
      </c>
      <c r="AG928" s="5">
        <f>H931</f>
        <v/>
      </c>
    </row>
    <row r="929">
      <c r="A929" s="1" t="n"/>
      <c r="F929" s="2" t="n"/>
      <c r="H929" s="2" t="n"/>
      <c r="AC929" t="n">
        <v>2</v>
      </c>
      <c r="AD929" s="3">
        <f>UPPER(C932)</f>
        <v/>
      </c>
      <c r="AE929" s="3">
        <f>VLOOKUP(E932,'[1]Nómina Agentes'!$C:$D,2,0)</f>
        <v/>
      </c>
      <c r="AF929" s="5">
        <f>F932</f>
        <v/>
      </c>
      <c r="AG929" s="5">
        <f>H932</f>
        <v/>
      </c>
    </row>
    <row r="930">
      <c r="A930" s="1" t="n"/>
      <c r="F930" s="2" t="n"/>
      <c r="H930" s="2" t="n"/>
      <c r="AC930" t="n">
        <v>4</v>
      </c>
      <c r="AD930" s="3">
        <f>UPPER(C933)</f>
        <v/>
      </c>
      <c r="AE930" s="3">
        <f>VLOOKUP(E933,'[1]Nómina Agentes'!$C:$D,2,0)</f>
        <v/>
      </c>
      <c r="AF930" s="5">
        <f>F933</f>
        <v/>
      </c>
      <c r="AG930" s="5">
        <f>H933</f>
        <v/>
      </c>
    </row>
    <row r="931">
      <c r="A931" s="1" t="n"/>
      <c r="F931" s="2" t="n"/>
      <c r="H931" s="2" t="n"/>
      <c r="AC931" t="n">
        <v>4</v>
      </c>
      <c r="AD931" s="3">
        <f>UPPER(C934)</f>
        <v/>
      </c>
      <c r="AE931" s="3">
        <f>VLOOKUP(E934,'[1]Nómina Agentes'!$C:$D,2,0)</f>
        <v/>
      </c>
      <c r="AF931" s="5">
        <f>F934</f>
        <v/>
      </c>
      <c r="AG931" s="5">
        <f>H934</f>
        <v/>
      </c>
    </row>
    <row r="932">
      <c r="A932" s="1" t="n"/>
      <c r="F932" s="2" t="n"/>
      <c r="H932" s="2" t="n"/>
      <c r="AC932" t="n">
        <v>4</v>
      </c>
      <c r="AD932" s="3">
        <f>UPPER(C935)</f>
        <v/>
      </c>
      <c r="AE932" s="3">
        <f>VLOOKUP(E935,'[1]Nómina Agentes'!$C:$D,2,0)</f>
        <v/>
      </c>
      <c r="AF932" s="5">
        <f>F935</f>
        <v/>
      </c>
      <c r="AG932" s="5">
        <f>H935</f>
        <v/>
      </c>
    </row>
    <row r="933">
      <c r="A933" s="1" t="n"/>
      <c r="F933" s="2" t="n"/>
      <c r="H933" s="2" t="n"/>
      <c r="AC933" t="n">
        <v>5</v>
      </c>
      <c r="AD933" s="3">
        <f>UPPER(C936)</f>
        <v/>
      </c>
      <c r="AE933" s="3">
        <f>VLOOKUP(E936,'[1]Nómina Agentes'!$C:$D,2,0)</f>
        <v/>
      </c>
      <c r="AF933" s="5">
        <f>F936</f>
        <v/>
      </c>
      <c r="AG933" s="5">
        <f>H936</f>
        <v/>
      </c>
    </row>
    <row r="934">
      <c r="A934" s="1" t="n"/>
      <c r="F934" s="2" t="n"/>
      <c r="H934" s="2" t="n"/>
      <c r="AC934" t="n">
        <v>4</v>
      </c>
      <c r="AD934" s="3">
        <f>UPPER(C937)</f>
        <v/>
      </c>
      <c r="AE934" s="3">
        <f>VLOOKUP(E937,'[1]Nómina Agentes'!$C:$D,2,0)</f>
        <v/>
      </c>
      <c r="AF934" s="5">
        <f>F937</f>
        <v/>
      </c>
      <c r="AG934" s="5">
        <f>H937</f>
        <v/>
      </c>
    </row>
    <row r="935">
      <c r="A935" s="1" t="n"/>
      <c r="F935" s="2" t="n"/>
      <c r="H935" s="2" t="n"/>
      <c r="AC935" t="n">
        <v>5</v>
      </c>
      <c r="AD935" s="3">
        <f>UPPER(C938)</f>
        <v/>
      </c>
      <c r="AE935" s="3">
        <f>VLOOKUP(E938,'[1]Nómina Agentes'!$C:$D,2,0)</f>
        <v/>
      </c>
      <c r="AF935" s="5">
        <f>F938</f>
        <v/>
      </c>
      <c r="AG935" s="5">
        <f>H938</f>
        <v/>
      </c>
    </row>
    <row r="936">
      <c r="A936" s="1" t="n"/>
      <c r="F936" s="2" t="n"/>
      <c r="H936" s="2" t="n"/>
      <c r="AC936" t="n">
        <v>4</v>
      </c>
      <c r="AD936" s="3">
        <f>UPPER(C939)</f>
        <v/>
      </c>
      <c r="AE936" s="3">
        <f>VLOOKUP(E939,'[1]Nómina Agentes'!$C:$D,2,0)</f>
        <v/>
      </c>
      <c r="AF936" s="5">
        <f>F939</f>
        <v/>
      </c>
      <c r="AG936" s="5">
        <f>H939</f>
        <v/>
      </c>
    </row>
    <row r="937">
      <c r="A937" s="1" t="n"/>
      <c r="F937" s="2" t="n"/>
      <c r="H937" s="2" t="n"/>
      <c r="AC937" t="n">
        <v>1</v>
      </c>
      <c r="AD937" s="3">
        <f>UPPER(C940)</f>
        <v/>
      </c>
      <c r="AE937" s="3">
        <f>VLOOKUP(E940,'[1]Nómina Agentes'!$C:$D,2,0)</f>
        <v/>
      </c>
      <c r="AF937" s="5">
        <f>F940</f>
        <v/>
      </c>
      <c r="AG937" s="5">
        <f>H940</f>
        <v/>
      </c>
    </row>
    <row r="938">
      <c r="A938" s="1" t="n"/>
      <c r="F938" s="2" t="n"/>
      <c r="H938" s="2" t="n"/>
      <c r="AC938" t="n">
        <v>0</v>
      </c>
      <c r="AD938" s="3">
        <f>UPPER(C941)</f>
        <v/>
      </c>
      <c r="AE938" s="3">
        <f>VLOOKUP(E941,'[1]Nómina Agentes'!$C:$D,2,0)</f>
        <v/>
      </c>
      <c r="AF938" s="5">
        <f>F941</f>
        <v/>
      </c>
      <c r="AG938" s="5">
        <f>H941</f>
        <v/>
      </c>
    </row>
    <row r="939">
      <c r="A939" s="1" t="n"/>
      <c r="F939" s="2" t="n"/>
      <c r="H939" s="2" t="n"/>
      <c r="AC939" t="n">
        <v>0</v>
      </c>
      <c r="AD939" s="3">
        <f>UPPER(C942)</f>
        <v/>
      </c>
      <c r="AE939" s="3">
        <f>VLOOKUP(E942,'[1]Nómina Agentes'!$C:$D,2,0)</f>
        <v/>
      </c>
      <c r="AF939" s="5">
        <f>F942</f>
        <v/>
      </c>
      <c r="AG939" s="5">
        <f>H942</f>
        <v/>
      </c>
    </row>
    <row r="940">
      <c r="A940" s="1" t="n"/>
      <c r="F940" s="2" t="n"/>
      <c r="H940" s="2" t="n"/>
      <c r="AC940" t="n">
        <v>0</v>
      </c>
      <c r="AD940" s="3">
        <f>UPPER(C943)</f>
        <v/>
      </c>
      <c r="AE940" s="3">
        <f>VLOOKUP(E943,'[1]Nómina Agentes'!$C:$D,2,0)</f>
        <v/>
      </c>
      <c r="AF940" s="5">
        <f>F943</f>
        <v/>
      </c>
      <c r="AG940" s="5">
        <f>H943</f>
        <v/>
      </c>
    </row>
    <row r="941">
      <c r="A941" s="1" t="n"/>
      <c r="F941" s="2" t="n"/>
      <c r="H941" s="2" t="n"/>
      <c r="AC941" t="n">
        <v>0</v>
      </c>
      <c r="AD941" s="3">
        <f>UPPER(C944)</f>
        <v/>
      </c>
      <c r="AE941" s="3">
        <f>VLOOKUP(E944,'[1]Nómina Agentes'!$C:$D,2,0)</f>
        <v/>
      </c>
      <c r="AF941" s="5">
        <f>F944</f>
        <v/>
      </c>
      <c r="AG941" s="5">
        <f>H944</f>
        <v/>
      </c>
    </row>
    <row r="942">
      <c r="A942" s="1" t="n"/>
      <c r="F942" s="2" t="n"/>
      <c r="H942" s="2" t="n"/>
      <c r="AC942" t="n">
        <v>0</v>
      </c>
      <c r="AD942" s="3">
        <f>UPPER(C945)</f>
        <v/>
      </c>
      <c r="AE942" s="3">
        <f>VLOOKUP(E945,'[1]Nómina Agentes'!$C:$D,2,0)</f>
        <v/>
      </c>
      <c r="AF942" s="5">
        <f>F945</f>
        <v/>
      </c>
      <c r="AG942" s="5">
        <f>H945</f>
        <v/>
      </c>
    </row>
    <row r="943">
      <c r="A943" s="1" t="n"/>
      <c r="F943" s="2" t="n"/>
      <c r="H943" s="2" t="n"/>
      <c r="AC943" t="n">
        <v>0</v>
      </c>
      <c r="AD943" s="3">
        <f>UPPER(C946)</f>
        <v/>
      </c>
      <c r="AE943" s="3">
        <f>VLOOKUP(E946,'[1]Nómina Agentes'!$C:$D,2,0)</f>
        <v/>
      </c>
      <c r="AF943" s="5">
        <f>F946</f>
        <v/>
      </c>
      <c r="AG943" s="5">
        <f>H946</f>
        <v/>
      </c>
    </row>
    <row r="944">
      <c r="A944" s="1" t="n"/>
      <c r="F944" s="2" t="n"/>
      <c r="H944" s="2" t="n"/>
      <c r="AC944" t="n">
        <v>0</v>
      </c>
      <c r="AD944" s="3">
        <f>UPPER(C947)</f>
        <v/>
      </c>
      <c r="AE944" s="3">
        <f>VLOOKUP(E947,'[1]Nómina Agentes'!$C:$D,2,0)</f>
        <v/>
      </c>
      <c r="AF944" s="5">
        <f>F947</f>
        <v/>
      </c>
      <c r="AG944" s="5">
        <f>H947</f>
        <v/>
      </c>
    </row>
    <row r="945">
      <c r="A945" s="1" t="n"/>
      <c r="F945" s="2" t="n"/>
      <c r="H945" s="2" t="n"/>
      <c r="AC945" t="n">
        <v>1</v>
      </c>
      <c r="AD945" s="3">
        <f>UPPER(C948)</f>
        <v/>
      </c>
      <c r="AE945" s="3">
        <f>VLOOKUP(E948,'[1]Nómina Agentes'!$C:$D,2,0)</f>
        <v/>
      </c>
      <c r="AF945" s="5">
        <f>F948</f>
        <v/>
      </c>
      <c r="AG945" s="5">
        <f>H948</f>
        <v/>
      </c>
    </row>
    <row r="946">
      <c r="A946" s="1" t="n"/>
      <c r="F946" s="2" t="n"/>
      <c r="H946" s="2" t="n"/>
      <c r="AC946" t="n">
        <v>0</v>
      </c>
      <c r="AD946" s="3">
        <f>UPPER(C949)</f>
        <v/>
      </c>
      <c r="AE946" s="3">
        <f>VLOOKUP(E949,'[1]Nómina Agentes'!$C:$D,2,0)</f>
        <v/>
      </c>
      <c r="AF946" s="5">
        <f>F949</f>
        <v/>
      </c>
      <c r="AG946" s="5">
        <f>H949</f>
        <v/>
      </c>
    </row>
    <row r="947">
      <c r="A947" s="1" t="n"/>
      <c r="F947" s="2" t="n"/>
      <c r="H947" s="2" t="n"/>
      <c r="AC947" t="n">
        <v>1</v>
      </c>
      <c r="AD947" s="3">
        <f>UPPER(C950)</f>
        <v/>
      </c>
      <c r="AE947" s="3">
        <f>VLOOKUP(E950,'[1]Nómina Agentes'!$C:$D,2,0)</f>
        <v/>
      </c>
      <c r="AF947" s="5">
        <f>F950</f>
        <v/>
      </c>
      <c r="AG947" s="5">
        <f>H950</f>
        <v/>
      </c>
    </row>
    <row r="948">
      <c r="A948" s="1" t="n"/>
      <c r="F948" s="2" t="n"/>
      <c r="H948" s="2" t="n"/>
      <c r="AC948" t="n">
        <v>3</v>
      </c>
      <c r="AD948" s="3">
        <f>UPPER(C951)</f>
        <v/>
      </c>
      <c r="AE948" s="3">
        <f>VLOOKUP(E951,'[1]Nómina Agentes'!$C:$D,2,0)</f>
        <v/>
      </c>
      <c r="AF948" s="5">
        <f>F951</f>
        <v/>
      </c>
      <c r="AG948" s="5">
        <f>H951</f>
        <v/>
      </c>
    </row>
    <row r="949">
      <c r="A949" s="1" t="n"/>
      <c r="F949" s="2" t="n"/>
      <c r="H949" s="2" t="n"/>
      <c r="AC949" t="n">
        <v>2</v>
      </c>
      <c r="AD949" s="3">
        <f>UPPER(C952)</f>
        <v/>
      </c>
      <c r="AE949" s="3">
        <f>VLOOKUP(E952,'[1]Nómina Agentes'!$C:$D,2,0)</f>
        <v/>
      </c>
      <c r="AF949" s="5">
        <f>F952</f>
        <v/>
      </c>
      <c r="AG949" s="5">
        <f>H952</f>
        <v/>
      </c>
    </row>
    <row r="950">
      <c r="A950" s="1" t="n"/>
      <c r="F950" s="2" t="n"/>
      <c r="H950" s="2" t="n"/>
      <c r="AC950" t="n">
        <v>2</v>
      </c>
      <c r="AD950" s="3">
        <f>UPPER(C953)</f>
        <v/>
      </c>
      <c r="AE950" s="3">
        <f>VLOOKUP(E953,'[1]Nómina Agentes'!$C:$D,2,0)</f>
        <v/>
      </c>
      <c r="AF950" s="5">
        <f>F953</f>
        <v/>
      </c>
      <c r="AG950" s="5">
        <f>H953</f>
        <v/>
      </c>
    </row>
    <row r="951">
      <c r="A951" s="1" t="n"/>
      <c r="F951" s="2" t="n"/>
      <c r="H951" s="2" t="n"/>
      <c r="AC951" t="n">
        <v>1</v>
      </c>
      <c r="AD951" s="3">
        <f>UPPER(C954)</f>
        <v/>
      </c>
      <c r="AE951" s="3">
        <f>VLOOKUP(E954,'[1]Nómina Agentes'!$C:$D,2,0)</f>
        <v/>
      </c>
      <c r="AF951" s="5">
        <f>F954</f>
        <v/>
      </c>
      <c r="AG951" s="5">
        <f>H954</f>
        <v/>
      </c>
    </row>
    <row r="952">
      <c r="A952" s="1" t="n"/>
      <c r="F952" s="2" t="n"/>
      <c r="H952" s="2" t="n"/>
      <c r="AC952" t="n">
        <v>1</v>
      </c>
      <c r="AD952" s="3">
        <f>UPPER(C955)</f>
        <v/>
      </c>
      <c r="AE952" s="3">
        <f>VLOOKUP(E955,'[1]Nómina Agentes'!$C:$D,2,0)</f>
        <v/>
      </c>
      <c r="AF952" s="5">
        <f>F955</f>
        <v/>
      </c>
      <c r="AG952" s="5">
        <f>H955</f>
        <v/>
      </c>
    </row>
    <row r="953">
      <c r="A953" s="1" t="n"/>
      <c r="F953" s="2" t="n"/>
      <c r="H953" s="2" t="n"/>
      <c r="AC953" t="n">
        <v>4</v>
      </c>
      <c r="AD953" s="3">
        <f>UPPER(C956)</f>
        <v/>
      </c>
      <c r="AE953" s="3">
        <f>VLOOKUP(E956,'[1]Nómina Agentes'!$C:$D,2,0)</f>
        <v/>
      </c>
      <c r="AF953" s="5">
        <f>F956</f>
        <v/>
      </c>
      <c r="AG953" s="5">
        <f>H956</f>
        <v/>
      </c>
    </row>
    <row r="954">
      <c r="A954" s="1" t="n"/>
      <c r="F954" s="2" t="n"/>
      <c r="H954" s="2" t="n"/>
      <c r="AC954" t="n">
        <v>3</v>
      </c>
      <c r="AD954" s="3">
        <f>UPPER(C957)</f>
        <v/>
      </c>
      <c r="AE954" s="3">
        <f>VLOOKUP(E957,'[1]Nómina Agentes'!$C:$D,2,0)</f>
        <v/>
      </c>
      <c r="AF954" s="5">
        <f>F957</f>
        <v/>
      </c>
      <c r="AG954" s="5">
        <f>H957</f>
        <v/>
      </c>
    </row>
    <row r="955">
      <c r="A955" s="1" t="n"/>
      <c r="F955" s="2" t="n"/>
      <c r="H955" s="2" t="n"/>
      <c r="AC955" t="n">
        <v>2</v>
      </c>
      <c r="AD955" s="3">
        <f>UPPER(C958)</f>
        <v/>
      </c>
      <c r="AE955" s="3">
        <f>VLOOKUP(E958,'[1]Nómina Agentes'!$C:$D,2,0)</f>
        <v/>
      </c>
      <c r="AF955" s="5">
        <f>F958</f>
        <v/>
      </c>
      <c r="AG955" s="5">
        <f>H958</f>
        <v/>
      </c>
    </row>
    <row r="956">
      <c r="A956" s="1" t="n"/>
      <c r="F956" s="2" t="n"/>
      <c r="H956" s="2" t="n"/>
      <c r="AC956" t="n">
        <v>2</v>
      </c>
      <c r="AD956" s="3">
        <f>UPPER(C959)</f>
        <v/>
      </c>
      <c r="AE956" s="3">
        <f>VLOOKUP(E959,'[1]Nómina Agentes'!$C:$D,2,0)</f>
        <v/>
      </c>
      <c r="AF956" s="5">
        <f>F959</f>
        <v/>
      </c>
      <c r="AG956" s="5">
        <f>H959</f>
        <v/>
      </c>
    </row>
    <row r="957">
      <c r="A957" s="1" t="n"/>
      <c r="F957" s="2" t="n"/>
      <c r="H957" s="2" t="n"/>
      <c r="AC957" t="n">
        <v>2</v>
      </c>
      <c r="AD957" s="3">
        <f>UPPER(C960)</f>
        <v/>
      </c>
      <c r="AE957" s="3">
        <f>VLOOKUP(E960,'[1]Nómina Agentes'!$C:$D,2,0)</f>
        <v/>
      </c>
      <c r="AF957" s="5">
        <f>F960</f>
        <v/>
      </c>
      <c r="AG957" s="5">
        <f>H960</f>
        <v/>
      </c>
    </row>
    <row r="958">
      <c r="A958" s="1" t="n"/>
      <c r="F958" s="2" t="n"/>
      <c r="H958" s="2" t="n"/>
      <c r="AC958" t="n">
        <v>2</v>
      </c>
      <c r="AD958" s="3">
        <f>UPPER(C961)</f>
        <v/>
      </c>
      <c r="AE958" s="3">
        <f>VLOOKUP(E961,'[1]Nómina Agentes'!$C:$D,2,0)</f>
        <v/>
      </c>
      <c r="AF958" s="5">
        <f>F961</f>
        <v/>
      </c>
      <c r="AG958" s="5">
        <f>H961</f>
        <v/>
      </c>
    </row>
    <row r="959">
      <c r="A959" s="1" t="n"/>
      <c r="F959" s="2" t="n"/>
      <c r="H959" s="2" t="n"/>
      <c r="AC959" t="n">
        <v>2</v>
      </c>
      <c r="AD959" s="3">
        <f>UPPER(C962)</f>
        <v/>
      </c>
      <c r="AE959" s="3">
        <f>VLOOKUP(E962,'[1]Nómina Agentes'!$C:$D,2,0)</f>
        <v/>
      </c>
      <c r="AF959" s="5">
        <f>F962</f>
        <v/>
      </c>
      <c r="AG959" s="5">
        <f>H962</f>
        <v/>
      </c>
    </row>
    <row r="960">
      <c r="A960" s="1" t="n"/>
      <c r="F960" s="2" t="n"/>
      <c r="H960" s="2" t="n"/>
      <c r="AC960" t="n">
        <v>3</v>
      </c>
      <c r="AD960" s="3">
        <f>UPPER(C963)</f>
        <v/>
      </c>
      <c r="AE960" s="3">
        <f>VLOOKUP(E963,'[1]Nómina Agentes'!$C:$D,2,0)</f>
        <v/>
      </c>
      <c r="AF960" s="5">
        <f>F963</f>
        <v/>
      </c>
      <c r="AG960" s="5">
        <f>H963</f>
        <v/>
      </c>
    </row>
    <row r="961">
      <c r="A961" s="1" t="n"/>
      <c r="F961" s="2" t="n"/>
      <c r="H961" s="2" t="n"/>
      <c r="AC961" t="n">
        <v>1</v>
      </c>
      <c r="AD961" s="3">
        <f>UPPER(C964)</f>
        <v/>
      </c>
      <c r="AE961" s="3">
        <f>VLOOKUP(E964,'[1]Nómina Agentes'!$C:$D,2,0)</f>
        <v/>
      </c>
      <c r="AF961" s="5">
        <f>F964</f>
        <v/>
      </c>
      <c r="AG961" s="5">
        <f>H964</f>
        <v/>
      </c>
    </row>
    <row r="962">
      <c r="A962" s="1" t="n"/>
      <c r="F962" s="2" t="n"/>
      <c r="H962" s="2" t="n"/>
      <c r="AC962" t="n">
        <v>3</v>
      </c>
      <c r="AD962" s="3">
        <f>UPPER(C965)</f>
        <v/>
      </c>
      <c r="AE962" s="3">
        <f>VLOOKUP(E965,'[1]Nómina Agentes'!$C:$D,2,0)</f>
        <v/>
      </c>
      <c r="AF962" s="5">
        <f>F965</f>
        <v/>
      </c>
      <c r="AG962" s="5">
        <f>H965</f>
        <v/>
      </c>
    </row>
    <row r="963">
      <c r="A963" s="1" t="n"/>
      <c r="F963" s="2" t="n"/>
      <c r="H963" s="2" t="n"/>
      <c r="AC963" t="n">
        <v>1</v>
      </c>
      <c r="AD963" s="3">
        <f>UPPER(C966)</f>
        <v/>
      </c>
      <c r="AE963" s="3">
        <f>VLOOKUP(E966,'[1]Nómina Agentes'!$C:$D,2,0)</f>
        <v/>
      </c>
      <c r="AF963" s="5">
        <f>F966</f>
        <v/>
      </c>
      <c r="AG963" s="5">
        <f>H966</f>
        <v/>
      </c>
    </row>
    <row r="964">
      <c r="A964" s="1" t="n"/>
      <c r="F964" s="2" t="n"/>
      <c r="H964" s="2" t="n"/>
      <c r="AC964" t="n">
        <v>3</v>
      </c>
      <c r="AD964" s="3">
        <f>UPPER(C967)</f>
        <v/>
      </c>
      <c r="AE964" s="3">
        <f>VLOOKUP(E967,'[1]Nómina Agentes'!$C:$D,2,0)</f>
        <v/>
      </c>
      <c r="AF964" s="5">
        <f>F967</f>
        <v/>
      </c>
      <c r="AG964" s="5">
        <f>H967</f>
        <v/>
      </c>
    </row>
    <row r="965">
      <c r="A965" s="1" t="n"/>
      <c r="F965" s="2" t="n"/>
      <c r="H965" s="2" t="n"/>
      <c r="AC965" t="n">
        <v>4</v>
      </c>
      <c r="AD965" s="3">
        <f>UPPER(C968)</f>
        <v/>
      </c>
      <c r="AE965" s="3">
        <f>VLOOKUP(E968,'[1]Nómina Agentes'!$C:$D,2,0)</f>
        <v/>
      </c>
      <c r="AF965" s="5">
        <f>F968</f>
        <v/>
      </c>
      <c r="AG965" s="5">
        <f>H968</f>
        <v/>
      </c>
    </row>
    <row r="966">
      <c r="A966" s="1" t="n"/>
      <c r="F966" s="2" t="n"/>
      <c r="H966" s="2" t="n"/>
      <c r="AC966" t="n">
        <v>2</v>
      </c>
      <c r="AD966" s="3">
        <f>UPPER(C969)</f>
        <v/>
      </c>
      <c r="AE966" s="3">
        <f>VLOOKUP(E969,'[1]Nómina Agentes'!$C:$D,2,0)</f>
        <v/>
      </c>
      <c r="AF966" s="5">
        <f>F969</f>
        <v/>
      </c>
      <c r="AG966" s="5">
        <f>H969</f>
        <v/>
      </c>
    </row>
    <row r="967">
      <c r="A967" s="1" t="n"/>
      <c r="F967" s="2" t="n"/>
      <c r="H967" s="2" t="n"/>
      <c r="AC967" t="n">
        <v>1</v>
      </c>
      <c r="AD967" s="3">
        <f>UPPER(C970)</f>
        <v/>
      </c>
      <c r="AE967" s="3">
        <f>VLOOKUP(E970,'[1]Nómina Agentes'!$C:$D,2,0)</f>
        <v/>
      </c>
      <c r="AF967" s="5">
        <f>F970</f>
        <v/>
      </c>
      <c r="AG967" s="5">
        <f>H970</f>
        <v/>
      </c>
    </row>
    <row r="968">
      <c r="A968" s="1" t="n"/>
      <c r="F968" s="2" t="n"/>
      <c r="H968" s="2" t="n"/>
      <c r="AC968" t="n">
        <v>5</v>
      </c>
      <c r="AD968" s="3">
        <f>UPPER(C971)</f>
        <v/>
      </c>
      <c r="AE968" s="3">
        <f>VLOOKUP(E971,'[1]Nómina Agentes'!$C:$D,2,0)</f>
        <v/>
      </c>
      <c r="AF968" s="5">
        <f>F971</f>
        <v/>
      </c>
      <c r="AG968" s="5">
        <f>H971</f>
        <v/>
      </c>
    </row>
    <row r="969">
      <c r="A969" s="1" t="n"/>
      <c r="F969" s="2" t="n"/>
      <c r="H969" s="2" t="n"/>
      <c r="AC969" t="n">
        <v>3</v>
      </c>
      <c r="AD969" s="3">
        <f>UPPER(C972)</f>
        <v/>
      </c>
      <c r="AE969" s="3">
        <f>VLOOKUP(E972,'[1]Nómina Agentes'!$C:$D,2,0)</f>
        <v/>
      </c>
      <c r="AF969" s="5">
        <f>F972</f>
        <v/>
      </c>
      <c r="AG969" s="5">
        <f>H972</f>
        <v/>
      </c>
    </row>
    <row r="970">
      <c r="A970" s="1" t="n"/>
      <c r="F970" s="2" t="n"/>
      <c r="H970" s="2" t="n"/>
      <c r="AC970" t="n">
        <v>1</v>
      </c>
      <c r="AD970" s="3">
        <f>UPPER(C973)</f>
        <v/>
      </c>
      <c r="AE970" s="3">
        <f>VLOOKUP(E973,'[1]Nómina Agentes'!$C:$D,2,0)</f>
        <v/>
      </c>
      <c r="AF970" s="5">
        <f>F973</f>
        <v/>
      </c>
      <c r="AG970" s="5">
        <f>H973</f>
        <v/>
      </c>
    </row>
    <row r="971">
      <c r="A971" s="1" t="n"/>
      <c r="F971" s="2" t="n"/>
      <c r="H971" s="2" t="n"/>
      <c r="AC971" t="n">
        <v>3</v>
      </c>
      <c r="AD971" s="3">
        <f>UPPER(C974)</f>
        <v/>
      </c>
      <c r="AE971" s="3">
        <f>VLOOKUP(E974,'[1]Nómina Agentes'!$C:$D,2,0)</f>
        <v/>
      </c>
      <c r="AF971" s="5">
        <f>F974</f>
        <v/>
      </c>
      <c r="AG971" s="5">
        <f>H974</f>
        <v/>
      </c>
    </row>
    <row r="972">
      <c r="A972" s="1" t="n"/>
      <c r="F972" s="2" t="n"/>
      <c r="H972" s="2" t="n"/>
      <c r="AC972" t="n">
        <v>3</v>
      </c>
      <c r="AD972" s="3">
        <f>UPPER(C975)</f>
        <v/>
      </c>
      <c r="AE972" s="3">
        <f>VLOOKUP(E975,'[1]Nómina Agentes'!$C:$D,2,0)</f>
        <v/>
      </c>
      <c r="AF972" s="5">
        <f>F975</f>
        <v/>
      </c>
      <c r="AG972" s="5">
        <f>H975</f>
        <v/>
      </c>
    </row>
    <row r="973">
      <c r="A973" s="1" t="n"/>
      <c r="F973" s="2" t="n"/>
      <c r="H973" s="2" t="n"/>
      <c r="AC973" t="n">
        <v>0</v>
      </c>
      <c r="AD973" s="3">
        <f>UPPER(C976)</f>
        <v/>
      </c>
      <c r="AE973" s="3">
        <f>VLOOKUP(E976,'[1]Nómina Agentes'!$C:$D,2,0)</f>
        <v/>
      </c>
      <c r="AF973" s="5">
        <f>F976</f>
        <v/>
      </c>
      <c r="AG973" s="5">
        <f>H976</f>
        <v/>
      </c>
    </row>
    <row r="974">
      <c r="A974" s="1" t="n"/>
      <c r="F974" s="2" t="n"/>
      <c r="H974" s="2" t="n"/>
      <c r="AC974" t="n">
        <v>0</v>
      </c>
      <c r="AD974" s="3">
        <f>UPPER(C977)</f>
        <v/>
      </c>
      <c r="AE974" s="3">
        <f>VLOOKUP(E977,'[1]Nómina Agentes'!$C:$D,2,0)</f>
        <v/>
      </c>
      <c r="AF974" s="5">
        <f>F977</f>
        <v/>
      </c>
      <c r="AG974" s="5">
        <f>H977</f>
        <v/>
      </c>
    </row>
    <row r="975">
      <c r="A975" s="1" t="n"/>
      <c r="F975" s="2" t="n"/>
      <c r="H975" s="2" t="n"/>
      <c r="AC975" t="n">
        <v>3</v>
      </c>
      <c r="AD975" s="3">
        <f>UPPER(C978)</f>
        <v/>
      </c>
      <c r="AE975" s="3">
        <f>VLOOKUP(E978,'[1]Nómina Agentes'!$C:$D,2,0)</f>
        <v/>
      </c>
      <c r="AF975" s="5">
        <f>F978</f>
        <v/>
      </c>
      <c r="AG975" s="5">
        <f>H978</f>
        <v/>
      </c>
    </row>
    <row r="976">
      <c r="A976" s="1" t="n"/>
      <c r="F976" s="2" t="n"/>
      <c r="H976" s="2" t="n"/>
      <c r="AC976" t="n">
        <v>1</v>
      </c>
      <c r="AD976" s="3">
        <f>UPPER(C979)</f>
        <v/>
      </c>
      <c r="AE976" s="3">
        <f>VLOOKUP(E979,'[1]Nómina Agentes'!$C:$D,2,0)</f>
        <v/>
      </c>
      <c r="AF976" s="5">
        <f>F979</f>
        <v/>
      </c>
      <c r="AG976" s="5">
        <f>H979</f>
        <v/>
      </c>
    </row>
    <row r="977">
      <c r="A977" s="1" t="n"/>
      <c r="F977" s="2" t="n"/>
      <c r="H977" s="2" t="n"/>
      <c r="AC977" t="n">
        <v>1</v>
      </c>
      <c r="AD977" s="3">
        <f>UPPER(C980)</f>
        <v/>
      </c>
      <c r="AE977" s="3">
        <f>VLOOKUP(E980,'[1]Nómina Agentes'!$C:$D,2,0)</f>
        <v/>
      </c>
      <c r="AF977" s="5">
        <f>F980</f>
        <v/>
      </c>
      <c r="AG977" s="5">
        <f>H980</f>
        <v/>
      </c>
    </row>
    <row r="978">
      <c r="A978" s="1" t="n"/>
      <c r="F978" s="2" t="n"/>
      <c r="H978" s="2" t="n"/>
      <c r="AC978" t="n">
        <v>2</v>
      </c>
      <c r="AD978" s="3">
        <f>UPPER(C981)</f>
        <v/>
      </c>
      <c r="AE978" s="3">
        <f>VLOOKUP(E981,'[1]Nómina Agentes'!$C:$D,2,0)</f>
        <v/>
      </c>
      <c r="AF978" s="5">
        <f>F981</f>
        <v/>
      </c>
      <c r="AG978" s="5">
        <f>H981</f>
        <v/>
      </c>
    </row>
    <row r="979">
      <c r="A979" s="1" t="n"/>
      <c r="F979" s="2" t="n"/>
      <c r="H979" s="2" t="n"/>
      <c r="AC979" t="n">
        <v>2</v>
      </c>
      <c r="AD979" s="3">
        <f>UPPER(C982)</f>
        <v/>
      </c>
      <c r="AE979" s="3">
        <f>VLOOKUP(E982,'[1]Nómina Agentes'!$C:$D,2,0)</f>
        <v/>
      </c>
      <c r="AF979" s="5">
        <f>F982</f>
        <v/>
      </c>
      <c r="AG979" s="5">
        <f>H982</f>
        <v/>
      </c>
    </row>
    <row r="980">
      <c r="A980" s="1" t="n"/>
      <c r="F980" s="2" t="n"/>
      <c r="H980" s="2" t="n"/>
      <c r="AC980" t="n">
        <v>1</v>
      </c>
      <c r="AD980" s="3">
        <f>UPPER(C983)</f>
        <v/>
      </c>
      <c r="AE980" s="3">
        <f>VLOOKUP(E983,'[1]Nómina Agentes'!$C:$D,2,0)</f>
        <v/>
      </c>
      <c r="AF980" s="5">
        <f>F983</f>
        <v/>
      </c>
      <c r="AG980" s="5">
        <f>H983</f>
        <v/>
      </c>
    </row>
    <row r="981">
      <c r="A981" s="1" t="n"/>
      <c r="F981" s="2" t="n"/>
      <c r="H981" s="2" t="n"/>
      <c r="AC981" t="n">
        <v>2</v>
      </c>
      <c r="AD981" s="3">
        <f>UPPER(C984)</f>
        <v/>
      </c>
      <c r="AE981" s="3">
        <f>VLOOKUP(E984,'[1]Nómina Agentes'!$C:$D,2,0)</f>
        <v/>
      </c>
      <c r="AF981" s="5">
        <f>F984</f>
        <v/>
      </c>
      <c r="AG981" s="5">
        <f>H984</f>
        <v/>
      </c>
    </row>
    <row r="982">
      <c r="A982" s="1" t="n"/>
      <c r="F982" s="2" t="n"/>
      <c r="H982" s="2" t="n"/>
      <c r="AC982" t="n">
        <v>2</v>
      </c>
      <c r="AD982" s="3">
        <f>UPPER(C985)</f>
        <v/>
      </c>
      <c r="AE982" s="3">
        <f>VLOOKUP(E985,'[1]Nómina Agentes'!$C:$D,2,0)</f>
        <v/>
      </c>
      <c r="AF982" s="5">
        <f>F985</f>
        <v/>
      </c>
      <c r="AG982" s="5">
        <f>H985</f>
        <v/>
      </c>
    </row>
    <row r="983">
      <c r="A983" s="1" t="n"/>
      <c r="F983" s="2" t="n"/>
      <c r="H983" s="2" t="n"/>
      <c r="AC983" t="n">
        <v>0</v>
      </c>
      <c r="AD983" s="3">
        <f>UPPER(C986)</f>
        <v/>
      </c>
      <c r="AE983" s="3">
        <f>VLOOKUP(E986,'[1]Nómina Agentes'!$C:$D,2,0)</f>
        <v/>
      </c>
      <c r="AF983" s="5">
        <f>F986</f>
        <v/>
      </c>
      <c r="AG983" s="5">
        <f>H986</f>
        <v/>
      </c>
    </row>
    <row r="984">
      <c r="A984" s="1" t="n"/>
      <c r="F984" s="2" t="n"/>
      <c r="H984" s="2" t="n"/>
      <c r="AC984" t="n">
        <v>1</v>
      </c>
      <c r="AD984" s="3">
        <f>UPPER(C987)</f>
        <v/>
      </c>
      <c r="AE984" s="3">
        <f>VLOOKUP(E987,'[1]Nómina Agentes'!$C:$D,2,0)</f>
        <v/>
      </c>
      <c r="AF984" s="5">
        <f>F987</f>
        <v/>
      </c>
      <c r="AG984" s="5">
        <f>H987</f>
        <v/>
      </c>
    </row>
    <row r="985">
      <c r="A985" s="1" t="n"/>
      <c r="F985" s="2" t="n"/>
      <c r="H985" s="2" t="n"/>
      <c r="AC985" t="n">
        <v>2</v>
      </c>
      <c r="AD985" s="3">
        <f>UPPER(C988)</f>
        <v/>
      </c>
      <c r="AE985" s="3">
        <f>VLOOKUP(E988,'[1]Nómina Agentes'!$C:$D,2,0)</f>
        <v/>
      </c>
      <c r="AF985" s="5">
        <f>F988</f>
        <v/>
      </c>
      <c r="AG985" s="5">
        <f>H988</f>
        <v/>
      </c>
    </row>
    <row r="986">
      <c r="A986" s="1" t="n"/>
      <c r="F986" s="2" t="n"/>
      <c r="H986" s="2" t="n"/>
      <c r="AC986" t="n">
        <v>4</v>
      </c>
      <c r="AD986" s="3">
        <f>UPPER(C989)</f>
        <v/>
      </c>
      <c r="AE986" s="3">
        <f>VLOOKUP(E989,'[1]Nómina Agentes'!$C:$D,2,0)</f>
        <v/>
      </c>
      <c r="AF986" s="5">
        <f>F989</f>
        <v/>
      </c>
      <c r="AG986" s="5">
        <f>H989</f>
        <v/>
      </c>
    </row>
    <row r="987">
      <c r="A987" s="1" t="n"/>
      <c r="F987" s="2" t="n"/>
      <c r="H987" s="2" t="n"/>
      <c r="AC987" t="n">
        <v>4</v>
      </c>
      <c r="AD987" s="3">
        <f>UPPER(C990)</f>
        <v/>
      </c>
      <c r="AE987" s="3">
        <f>VLOOKUP(E990,'[1]Nómina Agentes'!$C:$D,2,0)</f>
        <v/>
      </c>
      <c r="AF987" s="5">
        <f>F990</f>
        <v/>
      </c>
      <c r="AG987" s="5">
        <f>H990</f>
        <v/>
      </c>
    </row>
    <row r="988">
      <c r="A988" s="1" t="n"/>
      <c r="F988" s="2" t="n"/>
      <c r="H988" s="2" t="n"/>
      <c r="AC988" t="n">
        <v>3</v>
      </c>
      <c r="AD988" s="3">
        <f>UPPER(C991)</f>
        <v/>
      </c>
      <c r="AE988" s="3">
        <f>VLOOKUP(E991,'[1]Nómina Agentes'!$C:$D,2,0)</f>
        <v/>
      </c>
      <c r="AF988" s="5">
        <f>F991</f>
        <v/>
      </c>
      <c r="AG988" s="5">
        <f>H991</f>
        <v/>
      </c>
    </row>
    <row r="989">
      <c r="A989" s="1" t="n"/>
      <c r="F989" s="2" t="n"/>
      <c r="H989" s="2" t="n"/>
      <c r="AC989" t="n">
        <v>4</v>
      </c>
      <c r="AD989" s="3">
        <f>UPPER(C992)</f>
        <v/>
      </c>
      <c r="AE989" s="3">
        <f>VLOOKUP(E992,'[1]Nómina Agentes'!$C:$D,2,0)</f>
        <v/>
      </c>
      <c r="AF989" s="5">
        <f>F992</f>
        <v/>
      </c>
      <c r="AG989" s="5">
        <f>H992</f>
        <v/>
      </c>
    </row>
    <row r="990">
      <c r="A990" s="1" t="n"/>
      <c r="F990" s="2" t="n"/>
      <c r="H990" s="2" t="n"/>
      <c r="AC990" t="n">
        <v>3</v>
      </c>
      <c r="AD990" s="3">
        <f>UPPER(C993)</f>
        <v/>
      </c>
      <c r="AE990" s="3">
        <f>VLOOKUP(E993,'[1]Nómina Agentes'!$C:$D,2,0)</f>
        <v/>
      </c>
      <c r="AF990" s="5">
        <f>F993</f>
        <v/>
      </c>
      <c r="AG990" s="5">
        <f>H993</f>
        <v/>
      </c>
    </row>
    <row r="991">
      <c r="A991" s="1" t="n"/>
      <c r="F991" s="2" t="n"/>
      <c r="H991" s="2" t="n"/>
      <c r="AC991" t="n">
        <v>3</v>
      </c>
      <c r="AD991" s="3">
        <f>UPPER(C994)</f>
        <v/>
      </c>
      <c r="AE991" s="3">
        <f>VLOOKUP(E994,'[1]Nómina Agentes'!$C:$D,2,0)</f>
        <v/>
      </c>
      <c r="AF991" s="5">
        <f>F994</f>
        <v/>
      </c>
      <c r="AG991" s="5">
        <f>H994</f>
        <v/>
      </c>
    </row>
    <row r="992">
      <c r="A992" s="1" t="n"/>
      <c r="F992" s="2" t="n"/>
      <c r="H992" s="2" t="n"/>
      <c r="AC992" t="n">
        <v>3</v>
      </c>
      <c r="AD992" s="3">
        <f>UPPER(C995)</f>
        <v/>
      </c>
      <c r="AE992" s="3">
        <f>VLOOKUP(E995,'[1]Nómina Agentes'!$C:$D,2,0)</f>
        <v/>
      </c>
      <c r="AF992" s="5">
        <f>F995</f>
        <v/>
      </c>
      <c r="AG992" s="5">
        <f>H995</f>
        <v/>
      </c>
    </row>
    <row r="993">
      <c r="A993" s="1" t="n"/>
      <c r="F993" s="2" t="n"/>
      <c r="H993" s="2" t="n"/>
      <c r="AC993" t="n">
        <v>2</v>
      </c>
      <c r="AD993" s="3">
        <f>UPPER(C996)</f>
        <v/>
      </c>
      <c r="AE993" s="3">
        <f>VLOOKUP(E996,'[1]Nómina Agentes'!$C:$D,2,0)</f>
        <v/>
      </c>
      <c r="AF993" s="5">
        <f>F996</f>
        <v/>
      </c>
      <c r="AG993" s="5">
        <f>H996</f>
        <v/>
      </c>
    </row>
    <row r="994">
      <c r="A994" s="1" t="n"/>
      <c r="F994" s="2" t="n"/>
      <c r="H994" s="2" t="n"/>
      <c r="AC994" t="n">
        <v>0</v>
      </c>
      <c r="AD994" s="3">
        <f>UPPER(C997)</f>
        <v/>
      </c>
      <c r="AE994" s="3">
        <f>VLOOKUP(E997,'[1]Nómina Agentes'!$C:$D,2,0)</f>
        <v/>
      </c>
      <c r="AF994" s="5">
        <f>F997</f>
        <v/>
      </c>
      <c r="AG994" s="5">
        <f>H997</f>
        <v/>
      </c>
    </row>
    <row r="995">
      <c r="A995" s="1" t="n"/>
      <c r="F995" s="2" t="n"/>
      <c r="H995" s="2" t="n"/>
      <c r="AC995" t="n">
        <v>0</v>
      </c>
      <c r="AD995" s="3">
        <f>UPPER(C998)</f>
        <v/>
      </c>
      <c r="AE995" s="3">
        <f>VLOOKUP(E998,'[1]Nómina Agentes'!$C:$D,2,0)</f>
        <v/>
      </c>
      <c r="AF995" s="5">
        <f>F998</f>
        <v/>
      </c>
      <c r="AG995" s="5">
        <f>H998</f>
        <v/>
      </c>
    </row>
    <row r="996">
      <c r="A996" s="1" t="n"/>
      <c r="F996" s="2" t="n"/>
      <c r="H996" s="2" t="n"/>
      <c r="AC996" t="n">
        <v>2</v>
      </c>
      <c r="AD996" s="3">
        <f>UPPER(C999)</f>
        <v/>
      </c>
      <c r="AE996" s="3">
        <f>VLOOKUP(E999,'[1]Nómina Agentes'!$C:$D,2,0)</f>
        <v/>
      </c>
      <c r="AF996" s="5">
        <f>F999</f>
        <v/>
      </c>
      <c r="AG996" s="5">
        <f>H999</f>
        <v/>
      </c>
    </row>
    <row r="997">
      <c r="A997" s="1" t="n"/>
      <c r="F997" s="2" t="n"/>
      <c r="H997" s="2" t="n"/>
      <c r="AC997" t="n">
        <v>2</v>
      </c>
      <c r="AD997" s="3">
        <f>UPPER(C1000)</f>
        <v/>
      </c>
      <c r="AE997" s="3">
        <f>VLOOKUP(E1000,'[1]Nómina Agentes'!$C:$D,2,0)</f>
        <v/>
      </c>
      <c r="AF997" s="5">
        <f>F1000</f>
        <v/>
      </c>
      <c r="AG997" s="5">
        <f>H1000</f>
        <v/>
      </c>
    </row>
    <row r="998">
      <c r="A998" s="1" t="n"/>
      <c r="F998" s="2" t="n"/>
      <c r="H998" s="2" t="n"/>
      <c r="AC998" t="n">
        <v>2</v>
      </c>
      <c r="AD998" s="3">
        <f>UPPER(C1001)</f>
        <v/>
      </c>
      <c r="AE998" s="3">
        <f>VLOOKUP(E1001,'[1]Nómina Agentes'!$C:$D,2,0)</f>
        <v/>
      </c>
      <c r="AF998" s="5">
        <f>F1001</f>
        <v/>
      </c>
      <c r="AG998" s="5">
        <f>H1001</f>
        <v/>
      </c>
    </row>
    <row r="999">
      <c r="A999" s="1" t="n"/>
      <c r="F999" s="2" t="n"/>
      <c r="H999" s="2" t="n"/>
      <c r="AC999" t="n">
        <v>3</v>
      </c>
      <c r="AD999" s="3">
        <f>UPPER(C1002)</f>
        <v/>
      </c>
      <c r="AE999" s="3">
        <f>VLOOKUP(E1002,'[1]Nómina Agentes'!$C:$D,2,0)</f>
        <v/>
      </c>
      <c r="AF999" s="5">
        <f>F1002</f>
        <v/>
      </c>
      <c r="AG999" s="5">
        <f>H1002</f>
        <v/>
      </c>
    </row>
    <row r="1000">
      <c r="A1000" s="1" t="n"/>
      <c r="F1000" s="2" t="n"/>
      <c r="H1000" s="2" t="n"/>
      <c r="AC1000" t="n">
        <v>3</v>
      </c>
      <c r="AD1000" s="3">
        <f>UPPER(C1003)</f>
        <v/>
      </c>
      <c r="AE1000" s="3">
        <f>VLOOKUP(E1003,'[1]Nómina Agentes'!$C:$D,2,0)</f>
        <v/>
      </c>
      <c r="AF1000" s="5">
        <f>F1003</f>
        <v/>
      </c>
      <c r="AG1000" s="5">
        <f>H1003</f>
        <v/>
      </c>
    </row>
    <row r="1001">
      <c r="A1001" s="1" t="n"/>
      <c r="F1001" s="2" t="n"/>
      <c r="H1001" s="2" t="n"/>
      <c r="AC1001" t="n">
        <v>1</v>
      </c>
      <c r="AD1001" s="3">
        <f>UPPER(C1004)</f>
        <v/>
      </c>
      <c r="AE1001" s="3">
        <f>VLOOKUP(E1004,'[1]Nómina Agentes'!$C:$D,2,0)</f>
        <v/>
      </c>
      <c r="AF1001" s="5">
        <f>F1004</f>
        <v/>
      </c>
      <c r="AG1001" s="5">
        <f>H1004</f>
        <v/>
      </c>
    </row>
    <row r="1002">
      <c r="A1002" s="1" t="n"/>
      <c r="F1002" s="2" t="n"/>
      <c r="H1002" s="2" t="n"/>
      <c r="AC1002" t="n">
        <v>3</v>
      </c>
      <c r="AD1002" s="3">
        <f>UPPER(C1005)</f>
        <v/>
      </c>
      <c r="AE1002" s="3">
        <f>VLOOKUP(E1005,'[1]Nómina Agentes'!$C:$D,2,0)</f>
        <v/>
      </c>
      <c r="AF1002" s="5">
        <f>F1005</f>
        <v/>
      </c>
      <c r="AG1002" s="5">
        <f>H1005</f>
        <v/>
      </c>
    </row>
    <row r="1003">
      <c r="A1003" s="1" t="n"/>
      <c r="F1003" s="2" t="n"/>
      <c r="H1003" s="2" t="n"/>
      <c r="AC1003" t="n">
        <v>3</v>
      </c>
      <c r="AD1003" s="3">
        <f>UPPER(C1006)</f>
        <v/>
      </c>
      <c r="AE1003" s="3">
        <f>VLOOKUP(E1006,'[1]Nómina Agentes'!$C:$D,2,0)</f>
        <v/>
      </c>
      <c r="AF1003" s="5">
        <f>F1006</f>
        <v/>
      </c>
      <c r="AG1003" s="5">
        <f>H1006</f>
        <v/>
      </c>
    </row>
    <row r="1004">
      <c r="A1004" s="1" t="n"/>
      <c r="F1004" s="2" t="n"/>
      <c r="H1004" s="2" t="n"/>
      <c r="AC1004" t="n">
        <v>1</v>
      </c>
      <c r="AD1004" s="3">
        <f>UPPER(C1007)</f>
        <v/>
      </c>
      <c r="AE1004" s="3">
        <f>VLOOKUP(E1007,'[1]Nómina Agentes'!$C:$D,2,0)</f>
        <v/>
      </c>
      <c r="AF1004" s="5">
        <f>F1007</f>
        <v/>
      </c>
      <c r="AG1004" s="5">
        <f>H1007</f>
        <v/>
      </c>
    </row>
    <row r="1005">
      <c r="A1005" s="1" t="n"/>
      <c r="F1005" s="2" t="n"/>
      <c r="H1005" s="2" t="n"/>
      <c r="AC1005" t="n">
        <v>1</v>
      </c>
      <c r="AD1005" s="3">
        <f>UPPER(C1008)</f>
        <v/>
      </c>
      <c r="AE1005" s="3">
        <f>VLOOKUP(E1008,'[1]Nómina Agentes'!$C:$D,2,0)</f>
        <v/>
      </c>
      <c r="AF1005" s="5">
        <f>F1008</f>
        <v/>
      </c>
      <c r="AG1005" s="5">
        <f>H1008</f>
        <v/>
      </c>
    </row>
    <row r="1006">
      <c r="A1006" s="1" t="n"/>
      <c r="F1006" s="2" t="n"/>
      <c r="H1006" s="2" t="n"/>
      <c r="AC1006" t="n">
        <v>2</v>
      </c>
      <c r="AD1006" s="3">
        <f>UPPER(C1009)</f>
        <v/>
      </c>
      <c r="AE1006" s="3">
        <f>VLOOKUP(E1009,'[1]Nómina Agentes'!$C:$D,2,0)</f>
        <v/>
      </c>
      <c r="AF1006" s="5">
        <f>F1009</f>
        <v/>
      </c>
      <c r="AG1006" s="5">
        <f>H1009</f>
        <v/>
      </c>
    </row>
    <row r="1007">
      <c r="A1007" s="1" t="n"/>
      <c r="F1007" s="2" t="n"/>
      <c r="H1007" s="2" t="n"/>
      <c r="AC1007" t="n">
        <v>1</v>
      </c>
      <c r="AD1007" s="3">
        <f>UPPER(C1010)</f>
        <v/>
      </c>
      <c r="AE1007" s="3">
        <f>VLOOKUP(E1010,'[1]Nómina Agentes'!$C:$D,2,0)</f>
        <v/>
      </c>
      <c r="AF1007" s="5">
        <f>F1010</f>
        <v/>
      </c>
      <c r="AG1007" s="5">
        <f>H1010</f>
        <v/>
      </c>
    </row>
    <row r="1008">
      <c r="A1008" s="1" t="n"/>
      <c r="F1008" s="2" t="n"/>
      <c r="H1008" s="2" t="n"/>
      <c r="AC1008" t="n">
        <v>0</v>
      </c>
      <c r="AD1008" s="3">
        <f>UPPER(C1011)</f>
        <v/>
      </c>
      <c r="AE1008" s="3">
        <f>VLOOKUP(E1011,'[1]Nómina Agentes'!$C:$D,2,0)</f>
        <v/>
      </c>
      <c r="AF1008" s="5">
        <f>F1011</f>
        <v/>
      </c>
      <c r="AG1008" s="5">
        <f>H1011</f>
        <v/>
      </c>
    </row>
    <row r="1009">
      <c r="A1009" s="1" t="n"/>
      <c r="F1009" s="2" t="n"/>
      <c r="H1009" s="2" t="n"/>
      <c r="AC1009" t="n">
        <v>0</v>
      </c>
      <c r="AD1009" s="3">
        <f>UPPER(C1012)</f>
        <v/>
      </c>
      <c r="AE1009" s="3">
        <f>VLOOKUP(E1012,'[1]Nómina Agentes'!$C:$D,2,0)</f>
        <v/>
      </c>
      <c r="AF1009" s="5">
        <f>F1012</f>
        <v/>
      </c>
      <c r="AG1009" s="5">
        <f>H1012</f>
        <v/>
      </c>
    </row>
    <row r="1010">
      <c r="A1010" s="1" t="n"/>
      <c r="F1010" s="2" t="n"/>
      <c r="H1010" s="2" t="n"/>
      <c r="AC1010" t="n">
        <v>1</v>
      </c>
      <c r="AD1010" s="3">
        <f>UPPER(C1013)</f>
        <v/>
      </c>
      <c r="AE1010" s="3">
        <f>VLOOKUP(E1013,'[1]Nómina Agentes'!$C:$D,2,0)</f>
        <v/>
      </c>
      <c r="AF1010" s="5">
        <f>F1013</f>
        <v/>
      </c>
      <c r="AG1010" s="5">
        <f>H1013</f>
        <v/>
      </c>
    </row>
    <row r="1011">
      <c r="A1011" s="1" t="n"/>
      <c r="F1011" s="2" t="n"/>
      <c r="H1011" s="2" t="n"/>
      <c r="AC1011" t="n">
        <v>1</v>
      </c>
      <c r="AD1011" s="3">
        <f>UPPER(C1014)</f>
        <v/>
      </c>
      <c r="AE1011" s="3">
        <f>VLOOKUP(E1014,'[1]Nómina Agentes'!$C:$D,2,0)</f>
        <v/>
      </c>
      <c r="AF1011" s="5">
        <f>F1014</f>
        <v/>
      </c>
      <c r="AG1011" s="5">
        <f>H1014</f>
        <v/>
      </c>
    </row>
    <row r="1012">
      <c r="A1012" s="1" t="n"/>
      <c r="F1012" s="2" t="n"/>
      <c r="H1012" s="2" t="n"/>
      <c r="AC1012" t="n">
        <v>1</v>
      </c>
      <c r="AD1012" s="3">
        <f>UPPER(C1015)</f>
        <v/>
      </c>
      <c r="AE1012" s="3">
        <f>VLOOKUP(E1015,'[1]Nómina Agentes'!$C:$D,2,0)</f>
        <v/>
      </c>
      <c r="AF1012" s="5">
        <f>F1015</f>
        <v/>
      </c>
      <c r="AG1012" s="5">
        <f>H1015</f>
        <v/>
      </c>
    </row>
    <row r="1013">
      <c r="A1013" s="1" t="n"/>
      <c r="F1013" s="2" t="n"/>
      <c r="H1013" s="2" t="n"/>
      <c r="AC1013" t="n">
        <v>1</v>
      </c>
      <c r="AD1013" s="3">
        <f>UPPER(C1016)</f>
        <v/>
      </c>
      <c r="AE1013" s="3">
        <f>VLOOKUP(E1016,'[1]Nómina Agentes'!$C:$D,2,0)</f>
        <v/>
      </c>
      <c r="AF1013" s="5">
        <f>F1016</f>
        <v/>
      </c>
      <c r="AG1013" s="5">
        <f>H1016</f>
        <v/>
      </c>
    </row>
    <row r="1014">
      <c r="A1014" s="1" t="n"/>
      <c r="F1014" s="2" t="n"/>
      <c r="H1014" s="2" t="n"/>
      <c r="AC1014" t="n">
        <v>0</v>
      </c>
      <c r="AD1014" s="3">
        <f>UPPER(C1017)</f>
        <v/>
      </c>
      <c r="AE1014" s="3">
        <f>VLOOKUP(E1017,'[1]Nómina Agentes'!$C:$D,2,0)</f>
        <v/>
      </c>
      <c r="AF1014" s="5">
        <f>F1017</f>
        <v/>
      </c>
      <c r="AG1014" s="5">
        <f>H1017</f>
        <v/>
      </c>
    </row>
    <row r="1015">
      <c r="A1015" s="1" t="n"/>
      <c r="F1015" s="2" t="n"/>
      <c r="H1015" s="2" t="n"/>
      <c r="AC1015" t="n">
        <v>0</v>
      </c>
      <c r="AD1015" s="3">
        <f>UPPER(C1018)</f>
        <v/>
      </c>
      <c r="AE1015" s="3">
        <f>VLOOKUP(E1018,'[1]Nómina Agentes'!$C:$D,2,0)</f>
        <v/>
      </c>
      <c r="AF1015" s="5">
        <f>F1018</f>
        <v/>
      </c>
      <c r="AG1015" s="5">
        <f>H1018</f>
        <v/>
      </c>
    </row>
    <row r="1016">
      <c r="A1016" s="1" t="n"/>
      <c r="F1016" s="2" t="n"/>
      <c r="H1016" s="2" t="n"/>
      <c r="AC1016" t="n">
        <v>0</v>
      </c>
      <c r="AD1016" s="3">
        <f>UPPER(C1019)</f>
        <v/>
      </c>
      <c r="AE1016" s="3">
        <f>VLOOKUP(E1019,'[1]Nómina Agentes'!$C:$D,2,0)</f>
        <v/>
      </c>
      <c r="AF1016" s="5">
        <f>F1019</f>
        <v/>
      </c>
      <c r="AG1016" s="5">
        <f>H1019</f>
        <v/>
      </c>
    </row>
    <row r="1017">
      <c r="A1017" s="1" t="n"/>
      <c r="F1017" s="2" t="n"/>
      <c r="H1017" s="2" t="n"/>
      <c r="AC1017" t="n">
        <v>0</v>
      </c>
      <c r="AD1017" s="3">
        <f>UPPER(C1020)</f>
        <v/>
      </c>
      <c r="AE1017" s="3">
        <f>VLOOKUP(E1020,'[1]Nómina Agentes'!$C:$D,2,0)</f>
        <v/>
      </c>
      <c r="AF1017" s="5">
        <f>F1020</f>
        <v/>
      </c>
      <c r="AG1017" s="5">
        <f>H1020</f>
        <v/>
      </c>
    </row>
    <row r="1018">
      <c r="A1018" s="1" t="n"/>
      <c r="F1018" s="2" t="n"/>
      <c r="H1018" s="2" t="n"/>
      <c r="AC1018" t="n">
        <v>0</v>
      </c>
      <c r="AD1018" s="3">
        <f>UPPER(C1021)</f>
        <v/>
      </c>
      <c r="AE1018" s="3">
        <f>VLOOKUP(E1021,'[1]Nómina Agentes'!$C:$D,2,0)</f>
        <v/>
      </c>
      <c r="AF1018" s="5">
        <f>F1021</f>
        <v/>
      </c>
      <c r="AG1018" s="5">
        <f>H1021</f>
        <v/>
      </c>
    </row>
    <row r="1019">
      <c r="A1019" s="1" t="n"/>
      <c r="F1019" s="2" t="n"/>
      <c r="H1019" s="2" t="n"/>
      <c r="AC1019" t="n">
        <v>0</v>
      </c>
      <c r="AD1019" s="3">
        <f>UPPER(C1022)</f>
        <v/>
      </c>
      <c r="AE1019" s="3">
        <f>VLOOKUP(E1022,'[1]Nómina Agentes'!$C:$D,2,0)</f>
        <v/>
      </c>
      <c r="AF1019" s="5">
        <f>F1022</f>
        <v/>
      </c>
      <c r="AG1019" s="5">
        <f>H1022</f>
        <v/>
      </c>
    </row>
    <row r="1020">
      <c r="A1020" s="1" t="n"/>
      <c r="F1020" s="2" t="n"/>
      <c r="H1020" s="2" t="n"/>
      <c r="AC1020" t="n">
        <v>1</v>
      </c>
      <c r="AD1020" s="3">
        <f>UPPER(C1023)</f>
        <v/>
      </c>
      <c r="AE1020" s="3">
        <f>VLOOKUP(E1023,'[1]Nómina Agentes'!$C:$D,2,0)</f>
        <v/>
      </c>
      <c r="AF1020" s="5">
        <f>F1023</f>
        <v/>
      </c>
      <c r="AG1020" s="5">
        <f>H1023</f>
        <v/>
      </c>
    </row>
    <row r="1021">
      <c r="A1021" s="1" t="n"/>
      <c r="F1021" s="2" t="n"/>
      <c r="H1021" s="2" t="n"/>
      <c r="AC1021" t="n">
        <v>2</v>
      </c>
      <c r="AD1021" s="3">
        <f>UPPER(C1024)</f>
        <v/>
      </c>
      <c r="AE1021" s="3">
        <f>VLOOKUP(E1024,'[1]Nómina Agentes'!$C:$D,2,0)</f>
        <v/>
      </c>
      <c r="AF1021" s="5">
        <f>F1024</f>
        <v/>
      </c>
      <c r="AG1021" s="5">
        <f>H1024</f>
        <v/>
      </c>
    </row>
    <row r="1022">
      <c r="A1022" s="1" t="n"/>
      <c r="F1022" s="2" t="n"/>
      <c r="H1022" s="2" t="n"/>
      <c r="AC1022" t="n">
        <v>0</v>
      </c>
      <c r="AD1022" s="3">
        <f>UPPER(C1025)</f>
        <v/>
      </c>
      <c r="AE1022" s="3">
        <f>VLOOKUP(E1025,'[1]Nómina Agentes'!$C:$D,2,0)</f>
        <v/>
      </c>
      <c r="AF1022" s="5">
        <f>F1025</f>
        <v/>
      </c>
      <c r="AG1022" s="5">
        <f>H1025</f>
        <v/>
      </c>
    </row>
    <row r="1023">
      <c r="A1023" s="1" t="n"/>
      <c r="F1023" s="2" t="n"/>
      <c r="H1023" s="2" t="n"/>
      <c r="AC1023" t="n">
        <v>2</v>
      </c>
      <c r="AD1023" s="3">
        <f>UPPER(C1026)</f>
        <v/>
      </c>
      <c r="AE1023" s="3">
        <f>VLOOKUP(E1026,'[1]Nómina Agentes'!$C:$D,2,0)</f>
        <v/>
      </c>
      <c r="AF1023" s="5">
        <f>F1026</f>
        <v/>
      </c>
      <c r="AG1023" s="5">
        <f>H1026</f>
        <v/>
      </c>
    </row>
    <row r="1024">
      <c r="A1024" s="1" t="n"/>
      <c r="F1024" s="2" t="n"/>
      <c r="H1024" s="2" t="n"/>
      <c r="AC1024" t="n">
        <v>1</v>
      </c>
      <c r="AD1024" s="3">
        <f>UPPER(C1027)</f>
        <v/>
      </c>
      <c r="AE1024" s="3">
        <f>VLOOKUP(E1027,'[1]Nómina Agentes'!$C:$D,2,0)</f>
        <v/>
      </c>
      <c r="AF1024" s="5">
        <f>F1027</f>
        <v/>
      </c>
      <c r="AG1024" s="5">
        <f>H1027</f>
        <v/>
      </c>
    </row>
    <row r="1025">
      <c r="A1025" s="1" t="n"/>
      <c r="F1025" s="2" t="n"/>
      <c r="H1025" s="2" t="n"/>
      <c r="AC1025" t="n">
        <v>1</v>
      </c>
      <c r="AD1025" s="3">
        <f>UPPER(C1028)</f>
        <v/>
      </c>
      <c r="AE1025" s="3">
        <f>VLOOKUP(E1028,'[1]Nómina Agentes'!$C:$D,2,0)</f>
        <v/>
      </c>
      <c r="AF1025" s="5">
        <f>F1028</f>
        <v/>
      </c>
      <c r="AG1025" s="5">
        <f>H1028</f>
        <v/>
      </c>
    </row>
    <row r="1026">
      <c r="A1026" s="1" t="n"/>
      <c r="F1026" s="2" t="n"/>
      <c r="H1026" s="2" t="n"/>
      <c r="AC1026" t="n">
        <v>2</v>
      </c>
      <c r="AD1026" s="3">
        <f>UPPER(C1029)</f>
        <v/>
      </c>
      <c r="AE1026" s="3">
        <f>VLOOKUP(E1029,'[1]Nómina Agentes'!$C:$D,2,0)</f>
        <v/>
      </c>
      <c r="AF1026" s="5">
        <f>F1029</f>
        <v/>
      </c>
      <c r="AG1026" s="5">
        <f>H1029</f>
        <v/>
      </c>
    </row>
    <row r="1027">
      <c r="A1027" s="1" t="n"/>
      <c r="F1027" s="2" t="n"/>
      <c r="H1027" s="2" t="n"/>
      <c r="AC1027" t="n">
        <v>2</v>
      </c>
      <c r="AD1027" s="3">
        <f>UPPER(C1030)</f>
        <v/>
      </c>
      <c r="AE1027" s="3">
        <f>VLOOKUP(E1030,'[1]Nómina Agentes'!$C:$D,2,0)</f>
        <v/>
      </c>
      <c r="AF1027" s="5">
        <f>F1030</f>
        <v/>
      </c>
      <c r="AG1027" s="5">
        <f>H1030</f>
        <v/>
      </c>
    </row>
    <row r="1028">
      <c r="A1028" s="1" t="n"/>
      <c r="F1028" s="2" t="n"/>
      <c r="H1028" s="2" t="n"/>
      <c r="AC1028" t="n">
        <v>3</v>
      </c>
      <c r="AD1028" s="3">
        <f>UPPER(C1031)</f>
        <v/>
      </c>
      <c r="AE1028" s="3">
        <f>VLOOKUP(E1031,'[1]Nómina Agentes'!$C:$D,2,0)</f>
        <v/>
      </c>
      <c r="AF1028" s="5">
        <f>F1031</f>
        <v/>
      </c>
      <c r="AG1028" s="5">
        <f>H1031</f>
        <v/>
      </c>
    </row>
    <row r="1029">
      <c r="A1029" s="1" t="n"/>
      <c r="F1029" s="2" t="n"/>
      <c r="H1029" s="2" t="n"/>
      <c r="AC1029" t="n">
        <v>3</v>
      </c>
      <c r="AD1029" s="3">
        <f>UPPER(C1032)</f>
        <v/>
      </c>
      <c r="AE1029" s="3">
        <f>VLOOKUP(E1032,'[1]Nómina Agentes'!$C:$D,2,0)</f>
        <v/>
      </c>
      <c r="AF1029" s="5">
        <f>F1032</f>
        <v/>
      </c>
      <c r="AG1029" s="5">
        <f>H1032</f>
        <v/>
      </c>
    </row>
    <row r="1030">
      <c r="A1030" s="1" t="n"/>
      <c r="F1030" s="2" t="n"/>
      <c r="H1030" s="2" t="n"/>
      <c r="AC1030" t="n">
        <v>3</v>
      </c>
      <c r="AD1030" s="3">
        <f>UPPER(C1033)</f>
        <v/>
      </c>
      <c r="AE1030" s="3">
        <f>VLOOKUP(E1033,'[1]Nómina Agentes'!$C:$D,2,0)</f>
        <v/>
      </c>
      <c r="AF1030" s="5">
        <f>F1033</f>
        <v/>
      </c>
      <c r="AG1030" s="5">
        <f>H1033</f>
        <v/>
      </c>
    </row>
    <row r="1031">
      <c r="A1031" s="1" t="n"/>
      <c r="F1031" s="2" t="n"/>
      <c r="H1031" s="2" t="n"/>
      <c r="AC1031" t="n">
        <v>5</v>
      </c>
      <c r="AD1031" s="3">
        <f>UPPER(C1034)</f>
        <v/>
      </c>
      <c r="AE1031" s="3">
        <f>VLOOKUP(E1034,'[1]Nómina Agentes'!$C:$D,2,0)</f>
        <v/>
      </c>
      <c r="AF1031" s="5">
        <f>F1034</f>
        <v/>
      </c>
      <c r="AG1031" s="5">
        <f>H1034</f>
        <v/>
      </c>
    </row>
    <row r="1032">
      <c r="A1032" s="1" t="n"/>
      <c r="F1032" s="2" t="n"/>
      <c r="H1032" s="2" t="n"/>
      <c r="AC1032" t="n">
        <v>4</v>
      </c>
      <c r="AD1032" s="3">
        <f>UPPER(C1035)</f>
        <v/>
      </c>
      <c r="AE1032" s="3">
        <f>VLOOKUP(E1035,'[1]Nómina Agentes'!$C:$D,2,0)</f>
        <v/>
      </c>
      <c r="AF1032" s="5">
        <f>F1035</f>
        <v/>
      </c>
      <c r="AG1032" s="5">
        <f>H1035</f>
        <v/>
      </c>
    </row>
    <row r="1033">
      <c r="A1033" s="1" t="n"/>
      <c r="F1033" s="2" t="n"/>
      <c r="H1033" s="2" t="n"/>
      <c r="AC1033" t="n">
        <v>2</v>
      </c>
      <c r="AD1033" s="3">
        <f>UPPER(C1036)</f>
        <v/>
      </c>
      <c r="AE1033" s="3">
        <f>VLOOKUP(E1036,'[1]Nómina Agentes'!$C:$D,2,0)</f>
        <v/>
      </c>
      <c r="AF1033" s="5">
        <f>F1036</f>
        <v/>
      </c>
      <c r="AG1033" s="5">
        <f>H1036</f>
        <v/>
      </c>
    </row>
    <row r="1034">
      <c r="A1034" s="1" t="n"/>
      <c r="F1034" s="2" t="n"/>
      <c r="H1034" s="2" t="n"/>
      <c r="AC1034" t="n">
        <v>4</v>
      </c>
      <c r="AD1034" s="3">
        <f>UPPER(C1037)</f>
        <v/>
      </c>
      <c r="AE1034" s="3">
        <f>VLOOKUP(E1037,'[1]Nómina Agentes'!$C:$D,2,0)</f>
        <v/>
      </c>
      <c r="AF1034" s="5">
        <f>F1037</f>
        <v/>
      </c>
      <c r="AG1034" s="5">
        <f>H1037</f>
        <v/>
      </c>
    </row>
    <row r="1035">
      <c r="A1035" s="1" t="n"/>
      <c r="F1035" s="2" t="n"/>
      <c r="H1035" s="2" t="n"/>
      <c r="AC1035" t="n">
        <v>4</v>
      </c>
      <c r="AD1035" s="3">
        <f>UPPER(C1038)</f>
        <v/>
      </c>
      <c r="AE1035" s="3">
        <f>VLOOKUP(E1038,'[1]Nómina Agentes'!$C:$D,2,0)</f>
        <v/>
      </c>
      <c r="AF1035" s="5">
        <f>F1038</f>
        <v/>
      </c>
      <c r="AG1035" s="5">
        <f>H1038</f>
        <v/>
      </c>
    </row>
    <row r="1036">
      <c r="A1036" s="1" t="n"/>
      <c r="F1036" s="2" t="n"/>
      <c r="H1036" s="2" t="n"/>
      <c r="AC1036" t="n">
        <v>2</v>
      </c>
      <c r="AD1036" s="3">
        <f>UPPER(C1039)</f>
        <v/>
      </c>
      <c r="AE1036" s="3">
        <f>VLOOKUP(E1039,'[1]Nómina Agentes'!$C:$D,2,0)</f>
        <v/>
      </c>
      <c r="AF1036" s="5">
        <f>F1039</f>
        <v/>
      </c>
      <c r="AG1036" s="5">
        <f>H1039</f>
        <v/>
      </c>
    </row>
    <row r="1037">
      <c r="A1037" s="1" t="n"/>
      <c r="F1037" s="2" t="n"/>
      <c r="H1037" s="2" t="n"/>
      <c r="AC1037" t="n">
        <v>2</v>
      </c>
      <c r="AD1037" s="3">
        <f>UPPER(C1040)</f>
        <v/>
      </c>
      <c r="AE1037" s="3">
        <f>VLOOKUP(E1040,'[1]Nómina Agentes'!$C:$D,2,0)</f>
        <v/>
      </c>
      <c r="AF1037" s="5">
        <f>F1040</f>
        <v/>
      </c>
      <c r="AG1037" s="5">
        <f>H1040</f>
        <v/>
      </c>
    </row>
    <row r="1038">
      <c r="A1038" s="1" t="n"/>
      <c r="F1038" s="2" t="n"/>
      <c r="H1038" s="2" t="n"/>
      <c r="AC1038" t="n">
        <v>2</v>
      </c>
      <c r="AD1038" s="3">
        <f>UPPER(C1041)</f>
        <v/>
      </c>
      <c r="AE1038" s="3">
        <f>VLOOKUP(E1041,'[1]Nómina Agentes'!$C:$D,2,0)</f>
        <v/>
      </c>
      <c r="AF1038" s="5">
        <f>F1041</f>
        <v/>
      </c>
      <c r="AG1038" s="5">
        <f>H1041</f>
        <v/>
      </c>
    </row>
    <row r="1039">
      <c r="A1039" s="1" t="n"/>
      <c r="F1039" s="2" t="n"/>
      <c r="H1039" s="2" t="n"/>
      <c r="AC1039" t="n">
        <v>3</v>
      </c>
      <c r="AD1039" s="3">
        <f>UPPER(C1042)</f>
        <v/>
      </c>
      <c r="AE1039" s="3">
        <f>VLOOKUP(E1042,'[1]Nómina Agentes'!$C:$D,2,0)</f>
        <v/>
      </c>
      <c r="AF1039" s="5">
        <f>F1042</f>
        <v/>
      </c>
      <c r="AG1039" s="5">
        <f>H1042</f>
        <v/>
      </c>
    </row>
    <row r="1040">
      <c r="A1040" s="1" t="n"/>
      <c r="F1040" s="2" t="n"/>
      <c r="H1040" s="2" t="n"/>
      <c r="AC1040" t="n">
        <v>3</v>
      </c>
      <c r="AD1040" s="3">
        <f>UPPER(C1043)</f>
        <v/>
      </c>
      <c r="AE1040" s="3">
        <f>VLOOKUP(E1043,'[1]Nómina Agentes'!$C:$D,2,0)</f>
        <v/>
      </c>
      <c r="AF1040" s="5">
        <f>F1043</f>
        <v/>
      </c>
      <c r="AG1040" s="5">
        <f>H1043</f>
        <v/>
      </c>
    </row>
    <row r="1041">
      <c r="A1041" s="1" t="n"/>
      <c r="F1041" s="2" t="n"/>
      <c r="H1041" s="2" t="n"/>
      <c r="AC1041" t="n">
        <v>4</v>
      </c>
      <c r="AD1041" s="3">
        <f>UPPER(C1044)</f>
        <v/>
      </c>
      <c r="AE1041" s="3">
        <f>VLOOKUP(E1044,'[1]Nómina Agentes'!$C:$D,2,0)</f>
        <v/>
      </c>
      <c r="AF1041" s="5">
        <f>F1044</f>
        <v/>
      </c>
      <c r="AG1041" s="5">
        <f>H1044</f>
        <v/>
      </c>
    </row>
    <row r="1042">
      <c r="A1042" s="1" t="n"/>
      <c r="F1042" s="2" t="n"/>
      <c r="H1042" s="2" t="n"/>
      <c r="AC1042" t="n">
        <v>3</v>
      </c>
      <c r="AD1042" s="3">
        <f>UPPER(C1045)</f>
        <v/>
      </c>
      <c r="AE1042" s="3">
        <f>VLOOKUP(E1045,'[1]Nómina Agentes'!$C:$D,2,0)</f>
        <v/>
      </c>
      <c r="AF1042" s="5">
        <f>F1045</f>
        <v/>
      </c>
      <c r="AG1042" s="5">
        <f>H1045</f>
        <v/>
      </c>
    </row>
    <row r="1043">
      <c r="A1043" s="1" t="n"/>
      <c r="F1043" s="2" t="n"/>
      <c r="H1043" s="2" t="n"/>
      <c r="AC1043" t="n">
        <v>2</v>
      </c>
      <c r="AD1043" s="3">
        <f>UPPER(C1046)</f>
        <v/>
      </c>
      <c r="AE1043" s="3">
        <f>VLOOKUP(E1046,'[1]Nómina Agentes'!$C:$D,2,0)</f>
        <v/>
      </c>
      <c r="AF1043" s="5">
        <f>F1046</f>
        <v/>
      </c>
      <c r="AG1043" s="5">
        <f>H1046</f>
        <v/>
      </c>
    </row>
    <row r="1044">
      <c r="A1044" s="1" t="n"/>
      <c r="F1044" s="2" t="n"/>
      <c r="H1044" s="2" t="n"/>
      <c r="AC1044" t="n">
        <v>4</v>
      </c>
      <c r="AD1044" s="3">
        <f>UPPER(C1047)</f>
        <v/>
      </c>
      <c r="AE1044" s="3">
        <f>VLOOKUP(E1047,'[1]Nómina Agentes'!$C:$D,2,0)</f>
        <v/>
      </c>
      <c r="AF1044" s="5">
        <f>F1047</f>
        <v/>
      </c>
      <c r="AG1044" s="5">
        <f>H1047</f>
        <v/>
      </c>
    </row>
    <row r="1045">
      <c r="A1045" s="1" t="n"/>
      <c r="F1045" s="2" t="n"/>
      <c r="H1045" s="2" t="n"/>
      <c r="AC1045" t="n">
        <v>0</v>
      </c>
      <c r="AD1045" s="3">
        <f>UPPER(C1048)</f>
        <v/>
      </c>
      <c r="AE1045" s="3">
        <f>VLOOKUP(E1048,'[1]Nómina Agentes'!$C:$D,2,0)</f>
        <v/>
      </c>
      <c r="AF1045" s="5">
        <f>F1048</f>
        <v/>
      </c>
      <c r="AG1045" s="5">
        <f>H1048</f>
        <v/>
      </c>
    </row>
    <row r="1046">
      <c r="A1046" s="1" t="n"/>
      <c r="F1046" s="2" t="n"/>
      <c r="H1046" s="2" t="n"/>
      <c r="AC1046" t="n">
        <v>1</v>
      </c>
      <c r="AD1046" s="3">
        <f>UPPER(C1049)</f>
        <v/>
      </c>
      <c r="AE1046" s="3">
        <f>VLOOKUP(E1049,'[1]Nómina Agentes'!$C:$D,2,0)</f>
        <v/>
      </c>
      <c r="AF1046" s="5">
        <f>F1049</f>
        <v/>
      </c>
      <c r="AG1046" s="5">
        <f>H1049</f>
        <v/>
      </c>
    </row>
    <row r="1047">
      <c r="A1047" s="1" t="n"/>
      <c r="F1047" s="2" t="n"/>
      <c r="H1047" s="2" t="n"/>
      <c r="AC1047" t="n">
        <v>1</v>
      </c>
      <c r="AD1047" s="3">
        <f>UPPER(C1050)</f>
        <v/>
      </c>
      <c r="AE1047" s="3">
        <f>VLOOKUP(E1050,'[1]Nómina Agentes'!$C:$D,2,0)</f>
        <v/>
      </c>
      <c r="AF1047" s="5">
        <f>F1050</f>
        <v/>
      </c>
      <c r="AG1047" s="5">
        <f>H1050</f>
        <v/>
      </c>
    </row>
    <row r="1048">
      <c r="A1048" s="1" t="n"/>
      <c r="F1048" s="2" t="n"/>
      <c r="H1048" s="2" t="n"/>
      <c r="AC1048" t="n">
        <v>1</v>
      </c>
      <c r="AD1048" s="3">
        <f>UPPER(C1051)</f>
        <v/>
      </c>
      <c r="AE1048" s="3">
        <f>VLOOKUP(E1051,'[1]Nómina Agentes'!$C:$D,2,0)</f>
        <v/>
      </c>
      <c r="AF1048" s="5">
        <f>F1051</f>
        <v/>
      </c>
      <c r="AG1048" s="5">
        <f>H1051</f>
        <v/>
      </c>
    </row>
    <row r="1049">
      <c r="A1049" s="1" t="n"/>
      <c r="F1049" s="2" t="n"/>
      <c r="H1049" s="2" t="n"/>
      <c r="AC1049" t="n">
        <v>2</v>
      </c>
      <c r="AD1049" s="3">
        <f>UPPER(C1052)</f>
        <v/>
      </c>
      <c r="AE1049" s="3">
        <f>VLOOKUP(E1052,'[1]Nómina Agentes'!$C:$D,2,0)</f>
        <v/>
      </c>
      <c r="AF1049" s="5">
        <f>F1052</f>
        <v/>
      </c>
      <c r="AG1049" s="5">
        <f>H1052</f>
        <v/>
      </c>
    </row>
    <row r="1050">
      <c r="A1050" s="1" t="n"/>
      <c r="F1050" s="2" t="n"/>
      <c r="H1050" s="2" t="n"/>
      <c r="AC1050" t="n">
        <v>4</v>
      </c>
      <c r="AD1050" s="3">
        <f>UPPER(C1053)</f>
        <v/>
      </c>
      <c r="AE1050" s="3">
        <f>VLOOKUP(E1053,'[1]Nómina Agentes'!$C:$D,2,0)</f>
        <v/>
      </c>
      <c r="AF1050" s="5">
        <f>F1053</f>
        <v/>
      </c>
      <c r="AG1050" s="5">
        <f>H1053</f>
        <v/>
      </c>
    </row>
    <row r="1051">
      <c r="A1051" s="1" t="n"/>
      <c r="F1051" s="2" t="n"/>
      <c r="H1051" s="2" t="n"/>
      <c r="AC1051" t="n">
        <v>4</v>
      </c>
      <c r="AD1051" s="3">
        <f>UPPER(C1054)</f>
        <v/>
      </c>
      <c r="AE1051" s="3">
        <f>VLOOKUP(E1054,'[1]Nómina Agentes'!$C:$D,2,0)</f>
        <v/>
      </c>
      <c r="AF1051" s="5">
        <f>F1054</f>
        <v/>
      </c>
      <c r="AG1051" s="5">
        <f>H1054</f>
        <v/>
      </c>
    </row>
    <row r="1052">
      <c r="A1052" s="1" t="n"/>
      <c r="F1052" s="2" t="n"/>
      <c r="H1052" s="2" t="n"/>
      <c r="AC1052" t="n">
        <v>3</v>
      </c>
      <c r="AD1052" s="3">
        <f>UPPER(C1055)</f>
        <v/>
      </c>
      <c r="AE1052" s="3">
        <f>VLOOKUP(E1055,'[1]Nómina Agentes'!$C:$D,2,0)</f>
        <v/>
      </c>
      <c r="AF1052" s="5">
        <f>F1055</f>
        <v/>
      </c>
      <c r="AG1052" s="5">
        <f>H1055</f>
        <v/>
      </c>
    </row>
    <row r="1053">
      <c r="A1053" s="1" t="n"/>
      <c r="F1053" s="2" t="n"/>
      <c r="H1053" s="2" t="n"/>
      <c r="AC1053" t="n">
        <v>4</v>
      </c>
      <c r="AD1053" s="3">
        <f>UPPER(C1056)</f>
        <v/>
      </c>
      <c r="AE1053" s="3">
        <f>VLOOKUP(E1056,'[1]Nómina Agentes'!$C:$D,2,0)</f>
        <v/>
      </c>
      <c r="AF1053" s="5">
        <f>F1056</f>
        <v/>
      </c>
      <c r="AG1053" s="5">
        <f>H1056</f>
        <v/>
      </c>
    </row>
    <row r="1054">
      <c r="A1054" s="1" t="n"/>
      <c r="F1054" s="2" t="n"/>
      <c r="H1054" s="2" t="n"/>
      <c r="AC1054" t="n">
        <v>4</v>
      </c>
      <c r="AD1054" s="3">
        <f>UPPER(C1057)</f>
        <v/>
      </c>
      <c r="AE1054" s="3">
        <f>VLOOKUP(E1057,'[1]Nómina Agentes'!$C:$D,2,0)</f>
        <v/>
      </c>
      <c r="AF1054" s="5">
        <f>F1057</f>
        <v/>
      </c>
      <c r="AG1054" s="5">
        <f>H1057</f>
        <v/>
      </c>
    </row>
    <row r="1055">
      <c r="A1055" s="1" t="n"/>
      <c r="F1055" s="2" t="n"/>
      <c r="H1055" s="2" t="n"/>
      <c r="AC1055" t="n">
        <v>4</v>
      </c>
      <c r="AD1055" s="3">
        <f>UPPER(C1058)</f>
        <v/>
      </c>
      <c r="AE1055" s="3">
        <f>VLOOKUP(E1058,'[1]Nómina Agentes'!$C:$D,2,0)</f>
        <v/>
      </c>
      <c r="AF1055" s="5">
        <f>F1058</f>
        <v/>
      </c>
      <c r="AG1055" s="5">
        <f>H1058</f>
        <v/>
      </c>
    </row>
    <row r="1056">
      <c r="A1056" s="1" t="n"/>
      <c r="F1056" s="2" t="n"/>
      <c r="H1056" s="2" t="n"/>
      <c r="AC1056" t="n">
        <v>6</v>
      </c>
      <c r="AD1056" s="3">
        <f>UPPER(C1059)</f>
        <v/>
      </c>
      <c r="AE1056" s="3">
        <f>VLOOKUP(E1059,'[1]Nómina Agentes'!$C:$D,2,0)</f>
        <v/>
      </c>
      <c r="AF1056" s="5">
        <f>F1059</f>
        <v/>
      </c>
      <c r="AG1056" s="5">
        <f>H1059</f>
        <v/>
      </c>
    </row>
    <row r="1057">
      <c r="A1057" s="1" t="n"/>
      <c r="F1057" s="2" t="n"/>
      <c r="H1057" s="2" t="n"/>
      <c r="AC1057" t="n">
        <v>2</v>
      </c>
      <c r="AD1057" s="3">
        <f>UPPER(C1060)</f>
        <v/>
      </c>
      <c r="AE1057" s="3">
        <f>VLOOKUP(E1060,'[1]Nómina Agentes'!$C:$D,2,0)</f>
        <v/>
      </c>
      <c r="AF1057" s="5">
        <f>F1060</f>
        <v/>
      </c>
      <c r="AG1057" s="5">
        <f>H1060</f>
        <v/>
      </c>
    </row>
    <row r="1058">
      <c r="A1058" s="1" t="n"/>
      <c r="F1058" s="2" t="n"/>
      <c r="H1058" s="2" t="n"/>
      <c r="AC1058" t="n">
        <v>0</v>
      </c>
      <c r="AD1058" s="3">
        <f>UPPER(C1061)</f>
        <v/>
      </c>
      <c r="AE1058" s="3">
        <f>VLOOKUP(E1061,'[1]Nómina Agentes'!$C:$D,2,0)</f>
        <v/>
      </c>
      <c r="AF1058" s="5">
        <f>F1061</f>
        <v/>
      </c>
      <c r="AG1058" s="5">
        <f>H1061</f>
        <v/>
      </c>
    </row>
    <row r="1059">
      <c r="A1059" s="1" t="n"/>
      <c r="F1059" s="2" t="n"/>
      <c r="H1059" s="2" t="n"/>
      <c r="AC1059" t="n">
        <v>1</v>
      </c>
      <c r="AD1059" s="3">
        <f>UPPER(C1062)</f>
        <v/>
      </c>
      <c r="AE1059" s="3">
        <f>VLOOKUP(E1062,'[1]Nómina Agentes'!$C:$D,2,0)</f>
        <v/>
      </c>
      <c r="AF1059" s="5">
        <f>F1062</f>
        <v/>
      </c>
      <c r="AG1059" s="5">
        <f>H1062</f>
        <v/>
      </c>
    </row>
    <row r="1060">
      <c r="A1060" s="1" t="n"/>
      <c r="F1060" s="2" t="n"/>
      <c r="H1060" s="2" t="n"/>
      <c r="AC1060" t="n">
        <v>3</v>
      </c>
      <c r="AD1060" s="3">
        <f>UPPER(C1063)</f>
        <v/>
      </c>
      <c r="AE1060" s="3">
        <f>VLOOKUP(E1063,'[1]Nómina Agentes'!$C:$D,2,0)</f>
        <v/>
      </c>
      <c r="AF1060" s="5">
        <f>F1063</f>
        <v/>
      </c>
      <c r="AG1060" s="5">
        <f>H1063</f>
        <v/>
      </c>
    </row>
    <row r="1061">
      <c r="A1061" s="1" t="n"/>
      <c r="F1061" s="2" t="n"/>
      <c r="H1061" s="2" t="n"/>
      <c r="AC1061" t="n">
        <v>1</v>
      </c>
      <c r="AD1061" s="3">
        <f>UPPER(C1064)</f>
        <v/>
      </c>
      <c r="AE1061" s="3">
        <f>VLOOKUP(E1064,'[1]Nómina Agentes'!$C:$D,2,0)</f>
        <v/>
      </c>
      <c r="AF1061" s="5">
        <f>F1064</f>
        <v/>
      </c>
      <c r="AG1061" s="5">
        <f>H1064</f>
        <v/>
      </c>
    </row>
    <row r="1062">
      <c r="A1062" s="1" t="n"/>
      <c r="F1062" s="2" t="n"/>
      <c r="H1062" s="2" t="n"/>
      <c r="AC1062" t="n">
        <v>2</v>
      </c>
      <c r="AD1062" s="3">
        <f>UPPER(C1065)</f>
        <v/>
      </c>
      <c r="AE1062" s="3">
        <f>VLOOKUP(E1065,'[1]Nómina Agentes'!$C:$D,2,0)</f>
        <v/>
      </c>
      <c r="AF1062" s="5">
        <f>F1065</f>
        <v/>
      </c>
      <c r="AG1062" s="5">
        <f>H1065</f>
        <v/>
      </c>
    </row>
    <row r="1063">
      <c r="A1063" s="1" t="n"/>
      <c r="F1063" s="2" t="n"/>
      <c r="H1063" s="2" t="n"/>
      <c r="AC1063" t="n">
        <v>2</v>
      </c>
      <c r="AD1063" s="3">
        <f>UPPER(C1066)</f>
        <v/>
      </c>
      <c r="AE1063" s="3">
        <f>VLOOKUP(E1066,'[1]Nómina Agentes'!$C:$D,2,0)</f>
        <v/>
      </c>
      <c r="AF1063" s="5">
        <f>F1066</f>
        <v/>
      </c>
      <c r="AG1063" s="5">
        <f>H1066</f>
        <v/>
      </c>
    </row>
    <row r="1064">
      <c r="A1064" s="1" t="n"/>
      <c r="F1064" s="2" t="n"/>
      <c r="H1064" s="2" t="n"/>
      <c r="AC1064" t="n">
        <v>2</v>
      </c>
      <c r="AD1064" s="3">
        <f>UPPER(C1067)</f>
        <v/>
      </c>
      <c r="AE1064" s="3">
        <f>VLOOKUP(E1067,'[1]Nómina Agentes'!$C:$D,2,0)</f>
        <v/>
      </c>
      <c r="AF1064" s="5">
        <f>F1067</f>
        <v/>
      </c>
      <c r="AG1064" s="5">
        <f>H1067</f>
        <v/>
      </c>
    </row>
    <row r="1065">
      <c r="A1065" s="1" t="n"/>
      <c r="F1065" s="2" t="n"/>
      <c r="H1065" s="2" t="n"/>
      <c r="AC1065" t="n">
        <v>1</v>
      </c>
      <c r="AD1065" s="3">
        <f>UPPER(C1068)</f>
        <v/>
      </c>
      <c r="AE1065" s="3">
        <f>VLOOKUP(E1068,'[1]Nómina Agentes'!$C:$D,2,0)</f>
        <v/>
      </c>
      <c r="AF1065" s="5">
        <f>F1068</f>
        <v/>
      </c>
      <c r="AG1065" s="5">
        <f>H1068</f>
        <v/>
      </c>
    </row>
    <row r="1066">
      <c r="A1066" s="1" t="n"/>
      <c r="F1066" s="2" t="n"/>
      <c r="H1066" s="2" t="n"/>
      <c r="AC1066" t="n">
        <v>2</v>
      </c>
      <c r="AD1066" s="3">
        <f>UPPER(C1069)</f>
        <v/>
      </c>
      <c r="AE1066" s="3">
        <f>VLOOKUP(E1069,'[1]Nómina Agentes'!$C:$D,2,0)</f>
        <v/>
      </c>
      <c r="AF1066" s="5">
        <f>F1069</f>
        <v/>
      </c>
      <c r="AG1066" s="5">
        <f>H1069</f>
        <v/>
      </c>
    </row>
    <row r="1067">
      <c r="A1067" s="1" t="n"/>
      <c r="F1067" s="2" t="n"/>
      <c r="H1067" s="2" t="n"/>
      <c r="AC1067" t="n">
        <v>2</v>
      </c>
      <c r="AD1067" s="3">
        <f>UPPER(C1070)</f>
        <v/>
      </c>
      <c r="AE1067" s="3">
        <f>VLOOKUP(E1070,'[1]Nómina Agentes'!$C:$D,2,0)</f>
        <v/>
      </c>
      <c r="AF1067" s="5">
        <f>F1070</f>
        <v/>
      </c>
      <c r="AG1067" s="5">
        <f>H1070</f>
        <v/>
      </c>
    </row>
    <row r="1068">
      <c r="A1068" s="1" t="n"/>
      <c r="F1068" s="2" t="n"/>
      <c r="H1068" s="2" t="n"/>
      <c r="AC1068" t="n">
        <v>4</v>
      </c>
      <c r="AD1068" s="3">
        <f>UPPER(C1071)</f>
        <v/>
      </c>
      <c r="AE1068" s="3">
        <f>VLOOKUP(E1071,'[1]Nómina Agentes'!$C:$D,2,0)</f>
        <v/>
      </c>
      <c r="AF1068" s="5">
        <f>F1071</f>
        <v/>
      </c>
      <c r="AG1068" s="5">
        <f>H1071</f>
        <v/>
      </c>
    </row>
    <row r="1069">
      <c r="A1069" s="1" t="n"/>
      <c r="F1069" s="2" t="n"/>
      <c r="H1069" s="2" t="n"/>
      <c r="AC1069" t="n">
        <v>3</v>
      </c>
      <c r="AD1069" s="3">
        <f>UPPER(C1072)</f>
        <v/>
      </c>
      <c r="AE1069" s="3">
        <f>VLOOKUP(E1072,'[1]Nómina Agentes'!$C:$D,2,0)</f>
        <v/>
      </c>
      <c r="AF1069" s="5">
        <f>F1072</f>
        <v/>
      </c>
      <c r="AG1069" s="5">
        <f>H1072</f>
        <v/>
      </c>
    </row>
    <row r="1070">
      <c r="A1070" s="1" t="n"/>
      <c r="F1070" s="2" t="n"/>
      <c r="H1070" s="2" t="n"/>
      <c r="AC1070" t="n">
        <v>2</v>
      </c>
      <c r="AD1070" s="3">
        <f>UPPER(C1073)</f>
        <v/>
      </c>
      <c r="AE1070" s="3">
        <f>VLOOKUP(E1073,'[1]Nómina Agentes'!$C:$D,2,0)</f>
        <v/>
      </c>
      <c r="AF1070" s="5">
        <f>F1073</f>
        <v/>
      </c>
      <c r="AG1070" s="5">
        <f>H1073</f>
        <v/>
      </c>
    </row>
    <row r="1071">
      <c r="A1071" s="1" t="n"/>
      <c r="F1071" s="2" t="n"/>
      <c r="H1071" s="2" t="n"/>
      <c r="AC1071" t="n">
        <v>2</v>
      </c>
      <c r="AD1071" s="3">
        <f>UPPER(C1074)</f>
        <v/>
      </c>
      <c r="AE1071" s="3">
        <f>VLOOKUP(E1074,'[1]Nómina Agentes'!$C:$D,2,0)</f>
        <v/>
      </c>
      <c r="AF1071" s="5">
        <f>F1074</f>
        <v/>
      </c>
      <c r="AG1071" s="5">
        <f>H1074</f>
        <v/>
      </c>
    </row>
    <row r="1072">
      <c r="A1072" s="1" t="n"/>
      <c r="F1072" s="2" t="n"/>
      <c r="H1072" s="2" t="n"/>
      <c r="AC1072" t="n">
        <v>4</v>
      </c>
      <c r="AD1072" s="3">
        <f>UPPER(C1075)</f>
        <v/>
      </c>
      <c r="AE1072" s="3">
        <f>VLOOKUP(E1075,'[1]Nómina Agentes'!$C:$D,2,0)</f>
        <v/>
      </c>
      <c r="AF1072" s="5">
        <f>F1075</f>
        <v/>
      </c>
      <c r="AG1072" s="5">
        <f>H1075</f>
        <v/>
      </c>
    </row>
    <row r="1073">
      <c r="A1073" s="1" t="n"/>
      <c r="F1073" s="2" t="n"/>
      <c r="H1073" s="2" t="n"/>
      <c r="AC1073" t="n">
        <v>2</v>
      </c>
      <c r="AD1073" s="3">
        <f>UPPER(C1076)</f>
        <v/>
      </c>
      <c r="AE1073" s="3">
        <f>VLOOKUP(E1076,'[1]Nómina Agentes'!$C:$D,2,0)</f>
        <v/>
      </c>
      <c r="AF1073" s="5">
        <f>F1076</f>
        <v/>
      </c>
      <c r="AG1073" s="5">
        <f>H1076</f>
        <v/>
      </c>
    </row>
    <row r="1074">
      <c r="A1074" s="1" t="n"/>
      <c r="F1074" s="2" t="n"/>
      <c r="H1074" s="2" t="n"/>
      <c r="AC1074" t="n">
        <v>0</v>
      </c>
      <c r="AD1074" s="3">
        <f>UPPER(C1077)</f>
        <v/>
      </c>
      <c r="AE1074" s="3">
        <f>VLOOKUP(E1077,'[1]Nómina Agentes'!$C:$D,2,0)</f>
        <v/>
      </c>
      <c r="AF1074" s="5">
        <f>F1077</f>
        <v/>
      </c>
      <c r="AG1074" s="5">
        <f>H1077</f>
        <v/>
      </c>
    </row>
    <row r="1075">
      <c r="A1075" s="1" t="n"/>
      <c r="F1075" s="2" t="n"/>
      <c r="H1075" s="2" t="n"/>
      <c r="AC1075" t="n">
        <v>2</v>
      </c>
      <c r="AD1075" s="3">
        <f>UPPER(C1078)</f>
        <v/>
      </c>
      <c r="AE1075" s="3">
        <f>VLOOKUP(E1078,'[1]Nómina Agentes'!$C:$D,2,0)</f>
        <v/>
      </c>
      <c r="AF1075" s="5">
        <f>F1078</f>
        <v/>
      </c>
      <c r="AG1075" s="5">
        <f>H1078</f>
        <v/>
      </c>
    </row>
    <row r="1076">
      <c r="A1076" s="1" t="n"/>
      <c r="F1076" s="2" t="n"/>
      <c r="H1076" s="2" t="n"/>
      <c r="AC1076" t="n">
        <v>2</v>
      </c>
      <c r="AD1076" s="3">
        <f>UPPER(C1079)</f>
        <v/>
      </c>
      <c r="AE1076" s="3">
        <f>VLOOKUP(E1079,'[1]Nómina Agentes'!$C:$D,2,0)</f>
        <v/>
      </c>
      <c r="AF1076" s="5">
        <f>F1079</f>
        <v/>
      </c>
      <c r="AG1076" s="5">
        <f>H1079</f>
        <v/>
      </c>
    </row>
    <row r="1077">
      <c r="A1077" s="1" t="n"/>
      <c r="F1077" s="2" t="n"/>
      <c r="H1077" s="2" t="n"/>
      <c r="AC1077" t="n">
        <v>0</v>
      </c>
      <c r="AD1077" s="3">
        <f>UPPER(C1080)</f>
        <v/>
      </c>
      <c r="AE1077" s="3">
        <f>VLOOKUP(E1080,'[1]Nómina Agentes'!$C:$D,2,0)</f>
        <v/>
      </c>
      <c r="AF1077" s="5">
        <f>F1080</f>
        <v/>
      </c>
      <c r="AG1077" s="5">
        <f>H1080</f>
        <v/>
      </c>
    </row>
    <row r="1078">
      <c r="A1078" s="1" t="n"/>
      <c r="F1078" s="2" t="n"/>
      <c r="H1078" s="2" t="n"/>
      <c r="AC1078" t="n">
        <v>2</v>
      </c>
      <c r="AD1078" s="3">
        <f>UPPER(C1081)</f>
        <v/>
      </c>
      <c r="AE1078" s="3">
        <f>VLOOKUP(E1081,'[1]Nómina Agentes'!$C:$D,2,0)</f>
        <v/>
      </c>
      <c r="AF1078" s="5">
        <f>F1081</f>
        <v/>
      </c>
      <c r="AG1078" s="5">
        <f>H1081</f>
        <v/>
      </c>
    </row>
    <row r="1079">
      <c r="A1079" s="1" t="n"/>
      <c r="F1079" s="2" t="n"/>
      <c r="H1079" s="2" t="n"/>
      <c r="AC1079" t="n">
        <v>3</v>
      </c>
      <c r="AD1079" s="3">
        <f>UPPER(C1082)</f>
        <v/>
      </c>
      <c r="AE1079" s="3">
        <f>VLOOKUP(E1082,'[1]Nómina Agentes'!$C:$D,2,0)</f>
        <v/>
      </c>
      <c r="AF1079" s="5">
        <f>F1082</f>
        <v/>
      </c>
      <c r="AG1079" s="5">
        <f>H1082</f>
        <v/>
      </c>
    </row>
    <row r="1080">
      <c r="A1080" s="1" t="n"/>
      <c r="F1080" s="2" t="n"/>
      <c r="H1080" s="2" t="n"/>
      <c r="AC1080" t="n">
        <v>2</v>
      </c>
      <c r="AD1080" s="3">
        <f>UPPER(C1083)</f>
        <v/>
      </c>
      <c r="AE1080" s="3">
        <f>VLOOKUP(E1083,'[1]Nómina Agentes'!$C:$D,2,0)</f>
        <v/>
      </c>
      <c r="AF1080" s="5">
        <f>F1083</f>
        <v/>
      </c>
      <c r="AG1080" s="5">
        <f>H1083</f>
        <v/>
      </c>
    </row>
    <row r="1081">
      <c r="A1081" s="1" t="n"/>
      <c r="F1081" s="2" t="n"/>
      <c r="H1081" s="2" t="n"/>
      <c r="AC1081" t="n">
        <v>0</v>
      </c>
      <c r="AD1081" s="3">
        <f>UPPER(C1084)</f>
        <v/>
      </c>
      <c r="AE1081" s="3">
        <f>VLOOKUP(E1084,'[1]Nómina Agentes'!$C:$D,2,0)</f>
        <v/>
      </c>
      <c r="AF1081" s="5">
        <f>F1084</f>
        <v/>
      </c>
      <c r="AG1081" s="5">
        <f>H1084</f>
        <v/>
      </c>
    </row>
    <row r="1082">
      <c r="A1082" s="1" t="n"/>
      <c r="F1082" s="2" t="n"/>
      <c r="H1082" s="2" t="n"/>
      <c r="AC1082" t="n">
        <v>0</v>
      </c>
      <c r="AD1082" s="3">
        <f>UPPER(C1085)</f>
        <v/>
      </c>
      <c r="AE1082" s="3">
        <f>VLOOKUP(E1085,'[1]Nómina Agentes'!$C:$D,2,0)</f>
        <v/>
      </c>
      <c r="AF1082" s="5">
        <f>F1085</f>
        <v/>
      </c>
      <c r="AG1082" s="5">
        <f>H1085</f>
        <v/>
      </c>
    </row>
    <row r="1083">
      <c r="A1083" s="1" t="n"/>
      <c r="F1083" s="2" t="n"/>
      <c r="H1083" s="2" t="n"/>
      <c r="AC1083" t="n">
        <v>0</v>
      </c>
      <c r="AD1083" s="3">
        <f>UPPER(C1086)</f>
        <v/>
      </c>
      <c r="AE1083" s="3">
        <f>VLOOKUP(E1086,'[1]Nómina Agentes'!$C:$D,2,0)</f>
        <v/>
      </c>
      <c r="AF1083" s="5">
        <f>F1086</f>
        <v/>
      </c>
      <c r="AG1083" s="5">
        <f>H1086</f>
        <v/>
      </c>
    </row>
    <row r="1084">
      <c r="A1084" s="1" t="n"/>
      <c r="F1084" s="2" t="n"/>
      <c r="H1084" s="2" t="n"/>
      <c r="AC1084" t="n">
        <v>1</v>
      </c>
      <c r="AD1084" s="3">
        <f>UPPER(C1087)</f>
        <v/>
      </c>
      <c r="AE1084" s="3">
        <f>VLOOKUP(E1087,'[1]Nómina Agentes'!$C:$D,2,0)</f>
        <v/>
      </c>
      <c r="AF1084" s="5">
        <f>F1087</f>
        <v/>
      </c>
      <c r="AG1084" s="5">
        <f>H1087</f>
        <v/>
      </c>
    </row>
    <row r="1085">
      <c r="A1085" s="1" t="n"/>
      <c r="F1085" s="2" t="n"/>
      <c r="H1085" s="2" t="n"/>
      <c r="AC1085" t="n">
        <v>1</v>
      </c>
      <c r="AD1085" s="3">
        <f>UPPER(C1088)</f>
        <v/>
      </c>
      <c r="AE1085" s="3">
        <f>VLOOKUP(E1088,'[1]Nómina Agentes'!$C:$D,2,0)</f>
        <v/>
      </c>
      <c r="AF1085" s="5">
        <f>F1088</f>
        <v/>
      </c>
      <c r="AG1085" s="5">
        <f>H1088</f>
        <v/>
      </c>
    </row>
    <row r="1086">
      <c r="A1086" s="1" t="n"/>
      <c r="F1086" s="2" t="n"/>
      <c r="H1086" s="2" t="n"/>
      <c r="AC1086" t="n">
        <v>1</v>
      </c>
      <c r="AD1086" s="3">
        <f>UPPER(C1089)</f>
        <v/>
      </c>
      <c r="AE1086" s="3">
        <f>VLOOKUP(E1089,'[1]Nómina Agentes'!$C:$D,2,0)</f>
        <v/>
      </c>
      <c r="AF1086" s="5">
        <f>F1089</f>
        <v/>
      </c>
      <c r="AG1086" s="5">
        <f>H1089</f>
        <v/>
      </c>
    </row>
    <row r="1087">
      <c r="A1087" s="1" t="n"/>
      <c r="F1087" s="2" t="n"/>
      <c r="H1087" s="2" t="n"/>
      <c r="AC1087" t="n">
        <v>2</v>
      </c>
      <c r="AD1087" s="3">
        <f>UPPER(C1090)</f>
        <v/>
      </c>
      <c r="AE1087" s="3">
        <f>VLOOKUP(E1090,'[1]Nómina Agentes'!$C:$D,2,0)</f>
        <v/>
      </c>
      <c r="AF1087" s="5">
        <f>F1090</f>
        <v/>
      </c>
      <c r="AG1087" s="5">
        <f>H1090</f>
        <v/>
      </c>
    </row>
    <row r="1088">
      <c r="A1088" s="1" t="n"/>
      <c r="F1088" s="2" t="n"/>
      <c r="H1088" s="2" t="n"/>
      <c r="AC1088" t="n">
        <v>2</v>
      </c>
      <c r="AD1088" s="3">
        <f>UPPER(C1091)</f>
        <v/>
      </c>
      <c r="AE1088" s="3">
        <f>VLOOKUP(E1091,'[1]Nómina Agentes'!$C:$D,2,0)</f>
        <v/>
      </c>
      <c r="AF1088" s="5">
        <f>F1091</f>
        <v/>
      </c>
      <c r="AG1088" s="5">
        <f>H1091</f>
        <v/>
      </c>
    </row>
    <row r="1089">
      <c r="A1089" s="1" t="n"/>
      <c r="F1089" s="2" t="n"/>
      <c r="H1089" s="2" t="n"/>
      <c r="AC1089" t="n">
        <v>3</v>
      </c>
      <c r="AD1089" s="3">
        <f>UPPER(C1092)</f>
        <v/>
      </c>
      <c r="AE1089" s="3">
        <f>VLOOKUP(E1092,'[1]Nómina Agentes'!$C:$D,2,0)</f>
        <v/>
      </c>
      <c r="AF1089" s="5">
        <f>F1092</f>
        <v/>
      </c>
      <c r="AG1089" s="5">
        <f>H1092</f>
        <v/>
      </c>
    </row>
    <row r="1090">
      <c r="A1090" s="1" t="n"/>
      <c r="F1090" s="2" t="n"/>
      <c r="H1090" s="2" t="n"/>
      <c r="AC1090" t="n">
        <v>1</v>
      </c>
      <c r="AD1090" s="3">
        <f>UPPER(C1093)</f>
        <v/>
      </c>
      <c r="AE1090" s="3">
        <f>VLOOKUP(E1093,'[1]Nómina Agentes'!$C:$D,2,0)</f>
        <v/>
      </c>
      <c r="AF1090" s="5">
        <f>F1093</f>
        <v/>
      </c>
      <c r="AG1090" s="5">
        <f>H1093</f>
        <v/>
      </c>
    </row>
    <row r="1091">
      <c r="A1091" s="1" t="n"/>
      <c r="F1091" s="2" t="n"/>
      <c r="H1091" s="2" t="n"/>
      <c r="AC1091" t="n">
        <v>3</v>
      </c>
      <c r="AD1091" s="3">
        <f>UPPER(C1094)</f>
        <v/>
      </c>
      <c r="AE1091" s="3">
        <f>VLOOKUP(E1094,'[1]Nómina Agentes'!$C:$D,2,0)</f>
        <v/>
      </c>
      <c r="AF1091" s="5">
        <f>F1094</f>
        <v/>
      </c>
      <c r="AG1091" s="5">
        <f>H1094</f>
        <v/>
      </c>
    </row>
    <row r="1092">
      <c r="A1092" s="1" t="n"/>
      <c r="F1092" s="2" t="n"/>
      <c r="H1092" s="2" t="n"/>
      <c r="AC1092" t="n">
        <v>4</v>
      </c>
      <c r="AD1092" s="3">
        <f>UPPER(C1095)</f>
        <v/>
      </c>
      <c r="AE1092" s="3">
        <f>VLOOKUP(E1095,'[1]Nómina Agentes'!$C:$D,2,0)</f>
        <v/>
      </c>
      <c r="AF1092" s="5">
        <f>F1095</f>
        <v/>
      </c>
      <c r="AG1092" s="5">
        <f>H1095</f>
        <v/>
      </c>
    </row>
    <row r="1093">
      <c r="A1093" s="1" t="n"/>
      <c r="F1093" s="2" t="n"/>
      <c r="H1093" s="2" t="n"/>
      <c r="AC1093" t="n">
        <v>6</v>
      </c>
      <c r="AD1093" s="3">
        <f>UPPER(C1096)</f>
        <v/>
      </c>
      <c r="AE1093" s="3">
        <f>VLOOKUP(E1096,'[1]Nómina Agentes'!$C:$D,2,0)</f>
        <v/>
      </c>
      <c r="AF1093" s="5">
        <f>F1096</f>
        <v/>
      </c>
      <c r="AG1093" s="5">
        <f>H1096</f>
        <v/>
      </c>
    </row>
    <row r="1094">
      <c r="A1094" s="1" t="n"/>
      <c r="F1094" s="2" t="n"/>
      <c r="H1094" s="2" t="n"/>
      <c r="AC1094" t="n">
        <v>0</v>
      </c>
      <c r="AD1094" s="3">
        <f>UPPER(C1097)</f>
        <v/>
      </c>
      <c r="AE1094" s="3">
        <f>VLOOKUP(E1097,'[1]Nómina Agentes'!$C:$D,2,0)</f>
        <v/>
      </c>
      <c r="AF1094" s="5">
        <f>F1097</f>
        <v/>
      </c>
      <c r="AG1094" s="5">
        <f>H1097</f>
        <v/>
      </c>
    </row>
    <row r="1095">
      <c r="A1095" s="1" t="n"/>
      <c r="F1095" s="2" t="n"/>
      <c r="H1095" s="2" t="n"/>
      <c r="AC1095" t="n">
        <v>0</v>
      </c>
      <c r="AD1095" s="3">
        <f>UPPER(C1098)</f>
        <v/>
      </c>
      <c r="AE1095" s="3">
        <f>VLOOKUP(E1098,'[1]Nómina Agentes'!$C:$D,2,0)</f>
        <v/>
      </c>
      <c r="AF1095" s="5">
        <f>F1098</f>
        <v/>
      </c>
      <c r="AG1095" s="5">
        <f>H1098</f>
        <v/>
      </c>
    </row>
    <row r="1096">
      <c r="A1096" s="1" t="n"/>
      <c r="F1096" s="2" t="n"/>
      <c r="H1096" s="2" t="n"/>
      <c r="AC1096" t="n">
        <v>2</v>
      </c>
      <c r="AD1096" s="3">
        <f>UPPER(C1099)</f>
        <v/>
      </c>
      <c r="AE1096" s="3">
        <f>VLOOKUP(E1099,'[1]Nómina Agentes'!$C:$D,2,0)</f>
        <v/>
      </c>
      <c r="AF1096" s="5">
        <f>F1099</f>
        <v/>
      </c>
      <c r="AG1096" s="5">
        <f>H1099</f>
        <v/>
      </c>
    </row>
    <row r="1097">
      <c r="A1097" s="1" t="n"/>
      <c r="F1097" s="2" t="n"/>
      <c r="H1097" s="2" t="n"/>
      <c r="AC1097" t="n">
        <v>3</v>
      </c>
      <c r="AD1097" s="3">
        <f>UPPER(C1100)</f>
        <v/>
      </c>
      <c r="AE1097" s="3">
        <f>VLOOKUP(E1100,'[1]Nómina Agentes'!$C:$D,2,0)</f>
        <v/>
      </c>
      <c r="AF1097" s="5">
        <f>F1100</f>
        <v/>
      </c>
      <c r="AG1097" s="5">
        <f>H1100</f>
        <v/>
      </c>
    </row>
    <row r="1098">
      <c r="A1098" s="1" t="n"/>
      <c r="F1098" s="2" t="n"/>
      <c r="H1098" s="2" t="n"/>
      <c r="AC1098" t="n">
        <v>2</v>
      </c>
      <c r="AD1098" s="3">
        <f>UPPER(C1101)</f>
        <v/>
      </c>
      <c r="AE1098" s="3">
        <f>VLOOKUP(E1101,'[1]Nómina Agentes'!$C:$D,2,0)</f>
        <v/>
      </c>
      <c r="AF1098" s="5">
        <f>F1101</f>
        <v/>
      </c>
      <c r="AG1098" s="5">
        <f>H1101</f>
        <v/>
      </c>
    </row>
    <row r="1099">
      <c r="A1099" s="1" t="n"/>
      <c r="F1099" s="2" t="n"/>
      <c r="H1099" s="2" t="n"/>
      <c r="AC1099" t="n">
        <v>1</v>
      </c>
      <c r="AD1099" s="3">
        <f>UPPER(C1102)</f>
        <v/>
      </c>
      <c r="AE1099" s="3">
        <f>VLOOKUP(E1102,'[1]Nómina Agentes'!$C:$D,2,0)</f>
        <v/>
      </c>
      <c r="AF1099" s="5">
        <f>F1102</f>
        <v/>
      </c>
      <c r="AG1099" s="5">
        <f>H1102</f>
        <v/>
      </c>
    </row>
    <row r="1100">
      <c r="A1100" s="1" t="n"/>
      <c r="F1100" s="2" t="n"/>
      <c r="H1100" s="2" t="n"/>
      <c r="AC1100" t="n">
        <v>3</v>
      </c>
      <c r="AD1100" s="3">
        <f>UPPER(C1103)</f>
        <v/>
      </c>
      <c r="AE1100" s="3">
        <f>VLOOKUP(E1103,'[1]Nómina Agentes'!$C:$D,2,0)</f>
        <v/>
      </c>
      <c r="AF1100" s="5">
        <f>F1103</f>
        <v/>
      </c>
      <c r="AG1100" s="5">
        <f>H1103</f>
        <v/>
      </c>
    </row>
    <row r="1101">
      <c r="A1101" s="1" t="n"/>
      <c r="F1101" s="2" t="n"/>
      <c r="H1101" s="2" t="n"/>
      <c r="AC1101" t="n">
        <v>1</v>
      </c>
      <c r="AD1101" s="3">
        <f>UPPER(C1104)</f>
        <v/>
      </c>
      <c r="AE1101" s="3">
        <f>VLOOKUP(E1104,'[1]Nómina Agentes'!$C:$D,2,0)</f>
        <v/>
      </c>
      <c r="AF1101" s="5">
        <f>F1104</f>
        <v/>
      </c>
      <c r="AG1101" s="5">
        <f>H1104</f>
        <v/>
      </c>
    </row>
    <row r="1102">
      <c r="A1102" s="1" t="n"/>
      <c r="F1102" s="2" t="n"/>
      <c r="H1102" s="2" t="n"/>
      <c r="AC1102" t="n">
        <v>0</v>
      </c>
      <c r="AD1102" s="3">
        <f>UPPER(C1105)</f>
        <v/>
      </c>
      <c r="AE1102" s="3">
        <f>VLOOKUP(E1105,'[1]Nómina Agentes'!$C:$D,2,0)</f>
        <v/>
      </c>
      <c r="AF1102" s="5">
        <f>F1105</f>
        <v/>
      </c>
      <c r="AG1102" s="5">
        <f>H1105</f>
        <v/>
      </c>
    </row>
    <row r="1103">
      <c r="A1103" s="1" t="n"/>
      <c r="F1103" s="2" t="n"/>
      <c r="H1103" s="2" t="n"/>
      <c r="AC1103" t="n">
        <v>4</v>
      </c>
      <c r="AD1103" s="3">
        <f>UPPER(C1106)</f>
        <v/>
      </c>
      <c r="AE1103" s="3">
        <f>VLOOKUP(E1106,'[1]Nómina Agentes'!$C:$D,2,0)</f>
        <v/>
      </c>
      <c r="AF1103" s="5">
        <f>F1106</f>
        <v/>
      </c>
      <c r="AG1103" s="5">
        <f>H1106</f>
        <v/>
      </c>
    </row>
    <row r="1104">
      <c r="A1104" s="1" t="n"/>
      <c r="F1104" s="2" t="n"/>
      <c r="H1104" s="2" t="n"/>
      <c r="AC1104" t="n">
        <v>3</v>
      </c>
      <c r="AD1104" s="3">
        <f>UPPER(C1107)</f>
        <v/>
      </c>
      <c r="AE1104" s="3">
        <f>VLOOKUP(E1107,'[1]Nómina Agentes'!$C:$D,2,0)</f>
        <v/>
      </c>
      <c r="AF1104" s="5">
        <f>F1107</f>
        <v/>
      </c>
      <c r="AG1104" s="5">
        <f>H1107</f>
        <v/>
      </c>
    </row>
    <row r="1105">
      <c r="A1105" s="1" t="n"/>
      <c r="F1105" s="2" t="n"/>
      <c r="H1105" s="2" t="n"/>
      <c r="AC1105" t="n">
        <v>2</v>
      </c>
      <c r="AD1105" s="3">
        <f>UPPER(C1108)</f>
        <v/>
      </c>
      <c r="AE1105" s="3">
        <f>VLOOKUP(E1108,'[1]Nómina Agentes'!$C:$D,2,0)</f>
        <v/>
      </c>
      <c r="AF1105" s="5">
        <f>F1108</f>
        <v/>
      </c>
      <c r="AG1105" s="5">
        <f>H1108</f>
        <v/>
      </c>
    </row>
    <row r="1106">
      <c r="A1106" s="1" t="n"/>
      <c r="F1106" s="2" t="n"/>
      <c r="H1106" s="2" t="n"/>
      <c r="AC1106" t="n">
        <v>1</v>
      </c>
      <c r="AD1106" s="3">
        <f>UPPER(C1109)</f>
        <v/>
      </c>
      <c r="AE1106" s="3">
        <f>VLOOKUP(E1109,'[1]Nómina Agentes'!$C:$D,2,0)</f>
        <v/>
      </c>
      <c r="AF1106" s="5">
        <f>F1109</f>
        <v/>
      </c>
      <c r="AG1106" s="5">
        <f>H1109</f>
        <v/>
      </c>
    </row>
    <row r="1107">
      <c r="A1107" s="1" t="n"/>
      <c r="F1107" s="2" t="n"/>
      <c r="H1107" s="2" t="n"/>
      <c r="AC1107" t="n">
        <v>3</v>
      </c>
      <c r="AD1107" s="3">
        <f>UPPER(C1110)</f>
        <v/>
      </c>
      <c r="AE1107" s="3">
        <f>VLOOKUP(E1110,'[1]Nómina Agentes'!$C:$D,2,0)</f>
        <v/>
      </c>
      <c r="AF1107" s="5">
        <f>F1110</f>
        <v/>
      </c>
      <c r="AG1107" s="5">
        <f>H1110</f>
        <v/>
      </c>
    </row>
    <row r="1108">
      <c r="A1108" s="1" t="n"/>
      <c r="F1108" s="2" t="n"/>
      <c r="H1108" s="2" t="n"/>
      <c r="AC1108" t="n">
        <v>4</v>
      </c>
      <c r="AD1108" s="3">
        <f>UPPER(C1111)</f>
        <v/>
      </c>
      <c r="AE1108" s="3">
        <f>VLOOKUP(E1111,'[1]Nómina Agentes'!$C:$D,2,0)</f>
        <v/>
      </c>
      <c r="AF1108" s="5">
        <f>F1111</f>
        <v/>
      </c>
      <c r="AG1108" s="5">
        <f>H1111</f>
        <v/>
      </c>
    </row>
    <row r="1109">
      <c r="A1109" s="1" t="n"/>
      <c r="F1109" s="2" t="n"/>
      <c r="H1109" s="2" t="n"/>
      <c r="AC1109" t="n">
        <v>2</v>
      </c>
      <c r="AD1109" s="3">
        <f>UPPER(C1112)</f>
        <v/>
      </c>
      <c r="AE1109" s="3">
        <f>VLOOKUP(E1112,'[1]Nómina Agentes'!$C:$D,2,0)</f>
        <v/>
      </c>
      <c r="AF1109" s="5">
        <f>F1112</f>
        <v/>
      </c>
      <c r="AG1109" s="5">
        <f>H1112</f>
        <v/>
      </c>
    </row>
    <row r="1110">
      <c r="A1110" s="1" t="n"/>
      <c r="F1110" s="2" t="n"/>
      <c r="H1110" s="2" t="n"/>
      <c r="AC1110" t="n">
        <v>2</v>
      </c>
      <c r="AD1110" s="3">
        <f>UPPER(C1113)</f>
        <v/>
      </c>
      <c r="AE1110" s="3">
        <f>VLOOKUP(E1113,'[1]Nómina Agentes'!$C:$D,2,0)</f>
        <v/>
      </c>
      <c r="AF1110" s="5">
        <f>F1113</f>
        <v/>
      </c>
      <c r="AG1110" s="5">
        <f>H1113</f>
        <v/>
      </c>
    </row>
    <row r="1111">
      <c r="A1111" s="1" t="n"/>
      <c r="F1111" s="2" t="n"/>
      <c r="H1111" s="2" t="n"/>
      <c r="AC1111" t="n">
        <v>2</v>
      </c>
      <c r="AD1111" s="3">
        <f>UPPER(C1114)</f>
        <v/>
      </c>
      <c r="AE1111" s="3">
        <f>VLOOKUP(E1114,'[1]Nómina Agentes'!$C:$D,2,0)</f>
        <v/>
      </c>
      <c r="AF1111" s="5">
        <f>F1114</f>
        <v/>
      </c>
      <c r="AG1111" s="5">
        <f>H1114</f>
        <v/>
      </c>
    </row>
    <row r="1112">
      <c r="A1112" s="1" t="n"/>
      <c r="F1112" s="2" t="n"/>
      <c r="H1112" s="2" t="n"/>
      <c r="AC1112" t="n">
        <v>4</v>
      </c>
      <c r="AD1112" s="3">
        <f>UPPER(C1115)</f>
        <v/>
      </c>
      <c r="AE1112" s="3">
        <f>VLOOKUP(E1115,'[1]Nómina Agentes'!$C:$D,2,0)</f>
        <v/>
      </c>
      <c r="AF1112" s="5">
        <f>F1115</f>
        <v/>
      </c>
      <c r="AG1112" s="5">
        <f>H1115</f>
        <v/>
      </c>
    </row>
    <row r="1113">
      <c r="A1113" s="1" t="n"/>
      <c r="F1113" s="2" t="n"/>
      <c r="H1113" s="2" t="n"/>
      <c r="AC1113" t="n">
        <v>0</v>
      </c>
      <c r="AD1113" s="3">
        <f>UPPER(C1116)</f>
        <v/>
      </c>
      <c r="AE1113" s="3">
        <f>VLOOKUP(E1116,'[1]Nómina Agentes'!$C:$D,2,0)</f>
        <v/>
      </c>
      <c r="AF1113" s="5">
        <f>F1116</f>
        <v/>
      </c>
      <c r="AG1113" s="5">
        <f>H1116</f>
        <v/>
      </c>
    </row>
    <row r="1114">
      <c r="A1114" s="1" t="n"/>
      <c r="F1114" s="2" t="n"/>
      <c r="H1114" s="2" t="n"/>
      <c r="AC1114" t="n">
        <v>0</v>
      </c>
      <c r="AD1114" s="3">
        <f>UPPER(C1117)</f>
        <v/>
      </c>
      <c r="AE1114" s="3">
        <f>VLOOKUP(E1117,'[1]Nómina Agentes'!$C:$D,2,0)</f>
        <v/>
      </c>
      <c r="AF1114" s="5">
        <f>F1117</f>
        <v/>
      </c>
      <c r="AG1114" s="5">
        <f>H1117</f>
        <v/>
      </c>
    </row>
    <row r="1115">
      <c r="A1115" s="1" t="n"/>
      <c r="F1115" s="2" t="n"/>
      <c r="H1115" s="2" t="n"/>
      <c r="AC1115" t="n">
        <v>0</v>
      </c>
      <c r="AD1115" s="3">
        <f>UPPER(C1118)</f>
        <v/>
      </c>
      <c r="AE1115" s="3">
        <f>VLOOKUP(E1118,'[1]Nómina Agentes'!$C:$D,2,0)</f>
        <v/>
      </c>
      <c r="AF1115" s="5">
        <f>F1118</f>
        <v/>
      </c>
      <c r="AG1115" s="5">
        <f>H1118</f>
        <v/>
      </c>
    </row>
    <row r="1116">
      <c r="A1116" s="1" t="n"/>
      <c r="F1116" s="2" t="n"/>
      <c r="H1116" s="2" t="n"/>
      <c r="AC1116" t="n">
        <v>1</v>
      </c>
      <c r="AD1116" s="3">
        <f>UPPER(C1119)</f>
        <v/>
      </c>
      <c r="AE1116" s="3">
        <f>VLOOKUP(E1119,'[1]Nómina Agentes'!$C:$D,2,0)</f>
        <v/>
      </c>
      <c r="AF1116" s="5">
        <f>F1119</f>
        <v/>
      </c>
      <c r="AG1116" s="5">
        <f>H1119</f>
        <v/>
      </c>
    </row>
    <row r="1117">
      <c r="A1117" s="1" t="n"/>
      <c r="F1117" s="2" t="n"/>
      <c r="H1117" s="2" t="n"/>
      <c r="AC1117" t="n">
        <v>3</v>
      </c>
      <c r="AD1117" s="3">
        <f>UPPER(C1120)</f>
        <v/>
      </c>
      <c r="AE1117" s="3">
        <f>VLOOKUP(E1120,'[1]Nómina Agentes'!$C:$D,2,0)</f>
        <v/>
      </c>
      <c r="AF1117" s="5">
        <f>F1120</f>
        <v/>
      </c>
      <c r="AG1117" s="5">
        <f>H1120</f>
        <v/>
      </c>
    </row>
    <row r="1118">
      <c r="A1118" s="1" t="n"/>
      <c r="F1118" s="2" t="n"/>
      <c r="H1118" s="2" t="n"/>
      <c r="AC1118" t="n">
        <v>4</v>
      </c>
      <c r="AD1118" s="3">
        <f>UPPER(C1121)</f>
        <v/>
      </c>
      <c r="AE1118" s="3">
        <f>VLOOKUP(E1121,'[1]Nómina Agentes'!$C:$D,2,0)</f>
        <v/>
      </c>
      <c r="AF1118" s="5">
        <f>F1121</f>
        <v/>
      </c>
      <c r="AG1118" s="5">
        <f>H1121</f>
        <v/>
      </c>
    </row>
    <row r="1119">
      <c r="A1119" s="1" t="n"/>
      <c r="F1119" s="2" t="n"/>
      <c r="H1119" s="2" t="n"/>
      <c r="AC1119" t="n">
        <v>1</v>
      </c>
      <c r="AD1119" s="3">
        <f>UPPER(C1122)</f>
        <v/>
      </c>
      <c r="AE1119" s="3">
        <f>VLOOKUP(E1122,'[1]Nómina Agentes'!$C:$D,2,0)</f>
        <v/>
      </c>
      <c r="AF1119" s="5">
        <f>F1122</f>
        <v/>
      </c>
      <c r="AG1119" s="5">
        <f>H1122</f>
        <v/>
      </c>
    </row>
    <row r="1120">
      <c r="A1120" s="1" t="n"/>
      <c r="F1120" s="2" t="n"/>
      <c r="H1120" s="2" t="n"/>
      <c r="AC1120" t="n">
        <v>1</v>
      </c>
      <c r="AD1120" s="3">
        <f>UPPER(C1123)</f>
        <v/>
      </c>
      <c r="AE1120" s="3">
        <f>VLOOKUP(E1123,'[1]Nómina Agentes'!$C:$D,2,0)</f>
        <v/>
      </c>
      <c r="AF1120" s="5">
        <f>F1123</f>
        <v/>
      </c>
      <c r="AG1120" s="5">
        <f>H1123</f>
        <v/>
      </c>
    </row>
    <row r="1121">
      <c r="A1121" s="1" t="n"/>
      <c r="F1121" s="2" t="n"/>
      <c r="H1121" s="2" t="n"/>
      <c r="AC1121" t="n">
        <v>2</v>
      </c>
      <c r="AD1121" s="3">
        <f>UPPER(C1124)</f>
        <v/>
      </c>
      <c r="AE1121" s="3">
        <f>VLOOKUP(E1124,'[1]Nómina Agentes'!$C:$D,2,0)</f>
        <v/>
      </c>
      <c r="AF1121" s="5">
        <f>F1124</f>
        <v/>
      </c>
      <c r="AG1121" s="5">
        <f>H1124</f>
        <v/>
      </c>
    </row>
    <row r="1122">
      <c r="A1122" s="1" t="n"/>
      <c r="F1122" s="2" t="n"/>
      <c r="H1122" s="2" t="n"/>
      <c r="AC1122" t="n">
        <v>1</v>
      </c>
      <c r="AD1122" s="3">
        <f>UPPER(C1125)</f>
        <v/>
      </c>
      <c r="AE1122" s="3">
        <f>VLOOKUP(E1125,'[1]Nómina Agentes'!$C:$D,2,0)</f>
        <v/>
      </c>
      <c r="AF1122" s="5">
        <f>F1125</f>
        <v/>
      </c>
      <c r="AG1122" s="5">
        <f>H1125</f>
        <v/>
      </c>
    </row>
    <row r="1123">
      <c r="A1123" s="1" t="n"/>
      <c r="F1123" s="2" t="n"/>
      <c r="H1123" s="2" t="n"/>
      <c r="AC1123" t="n">
        <v>3</v>
      </c>
      <c r="AD1123" s="3">
        <f>UPPER(C1126)</f>
        <v/>
      </c>
      <c r="AE1123" s="3">
        <f>VLOOKUP(E1126,'[1]Nómina Agentes'!$C:$D,2,0)</f>
        <v/>
      </c>
      <c r="AF1123" s="5">
        <f>F1126</f>
        <v/>
      </c>
      <c r="AG1123" s="5">
        <f>H1126</f>
        <v/>
      </c>
    </row>
    <row r="1124">
      <c r="A1124" s="1" t="n"/>
      <c r="F1124" s="2" t="n"/>
      <c r="H1124" s="2" t="n"/>
      <c r="AC1124" t="n">
        <v>0</v>
      </c>
      <c r="AD1124" s="3">
        <f>UPPER(C1127)</f>
        <v/>
      </c>
      <c r="AE1124" s="3">
        <f>VLOOKUP(E1127,'[1]Nómina Agentes'!$C:$D,2,0)</f>
        <v/>
      </c>
      <c r="AF1124" s="5">
        <f>F1127</f>
        <v/>
      </c>
      <c r="AG1124" s="5">
        <f>H1127</f>
        <v/>
      </c>
    </row>
    <row r="1125">
      <c r="A1125" s="1" t="n"/>
      <c r="F1125" s="2" t="n"/>
      <c r="H1125" s="2" t="n"/>
      <c r="AC1125" t="n">
        <v>1</v>
      </c>
      <c r="AD1125" s="3">
        <f>UPPER(C1128)</f>
        <v/>
      </c>
      <c r="AE1125" s="3">
        <f>VLOOKUP(E1128,'[1]Nómina Agentes'!$C:$D,2,0)</f>
        <v/>
      </c>
      <c r="AF1125" s="5">
        <f>F1128</f>
        <v/>
      </c>
      <c r="AG1125" s="5">
        <f>H1128</f>
        <v/>
      </c>
    </row>
    <row r="1126">
      <c r="A1126" s="1" t="n"/>
      <c r="F1126" s="2" t="n"/>
      <c r="H1126" s="2" t="n"/>
      <c r="AC1126" t="n">
        <v>2</v>
      </c>
      <c r="AD1126" s="3">
        <f>UPPER(C1129)</f>
        <v/>
      </c>
      <c r="AE1126" s="3">
        <f>VLOOKUP(E1129,'[1]Nómina Agentes'!$C:$D,2,0)</f>
        <v/>
      </c>
      <c r="AF1126" s="5">
        <f>F1129</f>
        <v/>
      </c>
      <c r="AG1126" s="5">
        <f>H1129</f>
        <v/>
      </c>
    </row>
    <row r="1127">
      <c r="A1127" s="1" t="n"/>
      <c r="F1127" s="2" t="n"/>
      <c r="H1127" s="2" t="n"/>
      <c r="AC1127" t="n">
        <v>0</v>
      </c>
      <c r="AD1127" s="3">
        <f>UPPER(C1130)</f>
        <v/>
      </c>
      <c r="AE1127" s="3">
        <f>VLOOKUP(E1130,'[1]Nómina Agentes'!$C:$D,2,0)</f>
        <v/>
      </c>
      <c r="AF1127" s="5">
        <f>F1130</f>
        <v/>
      </c>
      <c r="AG1127" s="5">
        <f>H1130</f>
        <v/>
      </c>
    </row>
    <row r="1128">
      <c r="A1128" s="1" t="n"/>
      <c r="F1128" s="2" t="n"/>
      <c r="H1128" s="2" t="n"/>
      <c r="AC1128" t="n">
        <v>0</v>
      </c>
      <c r="AD1128" s="3">
        <f>UPPER(C1131)</f>
        <v/>
      </c>
      <c r="AE1128" s="3">
        <f>VLOOKUP(E1131,'[1]Nómina Agentes'!$C:$D,2,0)</f>
        <v/>
      </c>
      <c r="AF1128" s="5">
        <f>F1131</f>
        <v/>
      </c>
      <c r="AG1128" s="5">
        <f>H1131</f>
        <v/>
      </c>
    </row>
    <row r="1129">
      <c r="A1129" s="1" t="n"/>
      <c r="F1129" s="2" t="n"/>
      <c r="H1129" s="2" t="n"/>
      <c r="AC1129" t="n">
        <v>0</v>
      </c>
      <c r="AD1129" s="3">
        <f>UPPER(C1132)</f>
        <v/>
      </c>
      <c r="AE1129" s="3">
        <f>VLOOKUP(E1132,'[1]Nómina Agentes'!$C:$D,2,0)</f>
        <v/>
      </c>
      <c r="AF1129" s="5">
        <f>F1132</f>
        <v/>
      </c>
      <c r="AG1129" s="5">
        <f>H1132</f>
        <v/>
      </c>
    </row>
    <row r="1130">
      <c r="A1130" s="1" t="n"/>
      <c r="F1130" s="2" t="n"/>
      <c r="H1130" s="2" t="n"/>
      <c r="AC1130" t="n">
        <v>1</v>
      </c>
      <c r="AD1130" s="3">
        <f>UPPER(C1133)</f>
        <v/>
      </c>
      <c r="AE1130" s="3">
        <f>VLOOKUP(E1133,'[1]Nómina Agentes'!$C:$D,2,0)</f>
        <v/>
      </c>
      <c r="AF1130" s="5">
        <f>F1133</f>
        <v/>
      </c>
      <c r="AG1130" s="5">
        <f>H1133</f>
        <v/>
      </c>
    </row>
    <row r="1131">
      <c r="A1131" s="1" t="n"/>
      <c r="F1131" s="2" t="n"/>
      <c r="H1131" s="2" t="n"/>
      <c r="AC1131" t="n">
        <v>1</v>
      </c>
      <c r="AD1131" s="3">
        <f>UPPER(C1134)</f>
        <v/>
      </c>
      <c r="AE1131" s="3">
        <f>VLOOKUP(E1134,'[1]Nómina Agentes'!$C:$D,2,0)</f>
        <v/>
      </c>
      <c r="AF1131" s="5">
        <f>F1134</f>
        <v/>
      </c>
      <c r="AG1131" s="5">
        <f>H1134</f>
        <v/>
      </c>
    </row>
    <row r="1132">
      <c r="A1132" s="1" t="n"/>
      <c r="F1132" s="2" t="n"/>
      <c r="H1132" s="2" t="n"/>
      <c r="AC1132" t="n">
        <v>3</v>
      </c>
      <c r="AD1132" s="3">
        <f>UPPER(C1135)</f>
        <v/>
      </c>
      <c r="AE1132" s="3">
        <f>VLOOKUP(E1135,'[1]Nómina Agentes'!$C:$D,2,0)</f>
        <v/>
      </c>
      <c r="AF1132" s="5">
        <f>F1135</f>
        <v/>
      </c>
      <c r="AG1132" s="5">
        <f>H1135</f>
        <v/>
      </c>
    </row>
    <row r="1133">
      <c r="A1133" s="1" t="n"/>
      <c r="F1133" s="2" t="n"/>
      <c r="H1133" s="2" t="n"/>
      <c r="AC1133" t="n">
        <v>1</v>
      </c>
      <c r="AD1133" s="3">
        <f>UPPER(C1136)</f>
        <v/>
      </c>
      <c r="AE1133" s="3">
        <f>VLOOKUP(E1136,'[1]Nómina Agentes'!$C:$D,2,0)</f>
        <v/>
      </c>
      <c r="AF1133" s="5">
        <f>F1136</f>
        <v/>
      </c>
      <c r="AG1133" s="5">
        <f>H1136</f>
        <v/>
      </c>
    </row>
    <row r="1134">
      <c r="A1134" s="1" t="n"/>
      <c r="F1134" s="2" t="n"/>
      <c r="H1134" s="2" t="n"/>
      <c r="AC1134" t="n">
        <v>1</v>
      </c>
      <c r="AD1134" s="3">
        <f>UPPER(C1137)</f>
        <v/>
      </c>
      <c r="AE1134" s="3">
        <f>VLOOKUP(E1137,'[1]Nómina Agentes'!$C:$D,2,0)</f>
        <v/>
      </c>
      <c r="AF1134" s="5">
        <f>F1137</f>
        <v/>
      </c>
      <c r="AG1134" s="5">
        <f>H1137</f>
        <v/>
      </c>
    </row>
    <row r="1135">
      <c r="A1135" s="1" t="n"/>
      <c r="F1135" s="2" t="n"/>
      <c r="H1135" s="2" t="n"/>
      <c r="AC1135" t="n">
        <v>2</v>
      </c>
      <c r="AD1135" s="3">
        <f>UPPER(C1138)</f>
        <v/>
      </c>
      <c r="AE1135" s="3">
        <f>VLOOKUP(E1138,'[1]Nómina Agentes'!$C:$D,2,0)</f>
        <v/>
      </c>
      <c r="AF1135" s="5">
        <f>F1138</f>
        <v/>
      </c>
      <c r="AG1135" s="5">
        <f>H1138</f>
        <v/>
      </c>
    </row>
    <row r="1136">
      <c r="A1136" s="1" t="n"/>
      <c r="F1136" s="2" t="n"/>
      <c r="H1136" s="2" t="n"/>
      <c r="AC1136" t="n">
        <v>0</v>
      </c>
      <c r="AD1136" s="3">
        <f>UPPER(C1139)</f>
        <v/>
      </c>
      <c r="AE1136" s="3">
        <f>VLOOKUP(E1139,'[1]Nómina Agentes'!$C:$D,2,0)</f>
        <v/>
      </c>
      <c r="AF1136" s="5">
        <f>F1139</f>
        <v/>
      </c>
      <c r="AG1136" s="5">
        <f>H1139</f>
        <v/>
      </c>
    </row>
    <row r="1137">
      <c r="A1137" s="1" t="n"/>
      <c r="F1137" s="2" t="n"/>
      <c r="H1137" s="2" t="n"/>
      <c r="AC1137" t="n">
        <v>2</v>
      </c>
      <c r="AD1137" s="3">
        <f>UPPER(C1140)</f>
        <v/>
      </c>
      <c r="AE1137" s="3">
        <f>VLOOKUP(E1140,'[1]Nómina Agentes'!$C:$D,2,0)</f>
        <v/>
      </c>
      <c r="AF1137" s="5">
        <f>F1140</f>
        <v/>
      </c>
      <c r="AG1137" s="5">
        <f>H1140</f>
        <v/>
      </c>
    </row>
    <row r="1138">
      <c r="A1138" s="1" t="n"/>
      <c r="F1138" s="2" t="n"/>
      <c r="H1138" s="2" t="n"/>
      <c r="AC1138" t="n">
        <v>2</v>
      </c>
      <c r="AD1138" s="3">
        <f>UPPER(C1141)</f>
        <v/>
      </c>
      <c r="AE1138" s="3">
        <f>VLOOKUP(E1141,'[1]Nómina Agentes'!$C:$D,2,0)</f>
        <v/>
      </c>
      <c r="AF1138" s="5">
        <f>F1141</f>
        <v/>
      </c>
      <c r="AG1138" s="5">
        <f>H1141</f>
        <v/>
      </c>
    </row>
    <row r="1139">
      <c r="A1139" s="1" t="n"/>
      <c r="F1139" s="2" t="n"/>
      <c r="H1139" s="2" t="n"/>
      <c r="AC1139" t="n">
        <v>0</v>
      </c>
      <c r="AD1139" s="3">
        <f>UPPER(C1142)</f>
        <v/>
      </c>
      <c r="AE1139" s="3">
        <f>VLOOKUP(E1142,'[1]Nómina Agentes'!$C:$D,2,0)</f>
        <v/>
      </c>
      <c r="AF1139" s="5">
        <f>F1142</f>
        <v/>
      </c>
      <c r="AG1139" s="5">
        <f>H1142</f>
        <v/>
      </c>
    </row>
    <row r="1140">
      <c r="A1140" s="1" t="n"/>
      <c r="F1140" s="2" t="n"/>
      <c r="H1140" s="2" t="n"/>
      <c r="AC1140" t="n">
        <v>1</v>
      </c>
      <c r="AD1140" s="3">
        <f>UPPER(C1143)</f>
        <v/>
      </c>
      <c r="AE1140" s="3">
        <f>VLOOKUP(E1143,'[1]Nómina Agentes'!$C:$D,2,0)</f>
        <v/>
      </c>
      <c r="AF1140" s="5">
        <f>F1143</f>
        <v/>
      </c>
      <c r="AG1140" s="5">
        <f>H1143</f>
        <v/>
      </c>
    </row>
    <row r="1141">
      <c r="A1141" s="1" t="n"/>
      <c r="F1141" s="2" t="n"/>
      <c r="H1141" s="2" t="n"/>
      <c r="AC1141" t="n">
        <v>1</v>
      </c>
      <c r="AD1141" s="3">
        <f>UPPER(C1144)</f>
        <v/>
      </c>
      <c r="AE1141" s="3">
        <f>VLOOKUP(E1144,'[1]Nómina Agentes'!$C:$D,2,0)</f>
        <v/>
      </c>
      <c r="AF1141" s="5">
        <f>F1144</f>
        <v/>
      </c>
      <c r="AG1141" s="5">
        <f>H1144</f>
        <v/>
      </c>
    </row>
    <row r="1142">
      <c r="A1142" s="1" t="n"/>
      <c r="F1142" s="2" t="n"/>
      <c r="H1142" s="2" t="n"/>
      <c r="AC1142" t="n">
        <v>2</v>
      </c>
      <c r="AD1142" s="3">
        <f>UPPER(C1145)</f>
        <v/>
      </c>
      <c r="AE1142" s="3">
        <f>VLOOKUP(E1145,'[1]Nómina Agentes'!$C:$D,2,0)</f>
        <v/>
      </c>
      <c r="AF1142" s="5">
        <f>F1145</f>
        <v/>
      </c>
      <c r="AG1142" s="5">
        <f>H1145</f>
        <v/>
      </c>
    </row>
    <row r="1143">
      <c r="A1143" s="1" t="n"/>
      <c r="F1143" s="2" t="n"/>
      <c r="H1143" s="2" t="n"/>
      <c r="AC1143" t="n">
        <v>2</v>
      </c>
      <c r="AD1143" s="3">
        <f>UPPER(C1146)</f>
        <v/>
      </c>
      <c r="AE1143" s="3">
        <f>VLOOKUP(E1146,'[1]Nómina Agentes'!$C:$D,2,0)</f>
        <v/>
      </c>
      <c r="AF1143" s="5">
        <f>F1146</f>
        <v/>
      </c>
      <c r="AG1143" s="5">
        <f>H1146</f>
        <v/>
      </c>
    </row>
    <row r="1144">
      <c r="A1144" s="1" t="n"/>
      <c r="F1144" s="2" t="n"/>
      <c r="H1144" s="2" t="n"/>
      <c r="AC1144" t="n">
        <v>1</v>
      </c>
      <c r="AD1144" s="3">
        <f>UPPER(C1147)</f>
        <v/>
      </c>
      <c r="AE1144" s="3">
        <f>VLOOKUP(E1147,'[1]Nómina Agentes'!$C:$D,2,0)</f>
        <v/>
      </c>
      <c r="AF1144" s="5">
        <f>F1147</f>
        <v/>
      </c>
      <c r="AG1144" s="5">
        <f>H1147</f>
        <v/>
      </c>
    </row>
    <row r="1145">
      <c r="A1145" s="1" t="n"/>
      <c r="F1145" s="2" t="n"/>
      <c r="H1145" s="2" t="n"/>
      <c r="AC1145" t="n">
        <v>2</v>
      </c>
      <c r="AD1145" s="3">
        <f>UPPER(C1148)</f>
        <v/>
      </c>
      <c r="AE1145" s="3">
        <f>VLOOKUP(E1148,'[1]Nómina Agentes'!$C:$D,2,0)</f>
        <v/>
      </c>
      <c r="AF1145" s="5">
        <f>F1148</f>
        <v/>
      </c>
      <c r="AG1145" s="5">
        <f>H1148</f>
        <v/>
      </c>
    </row>
    <row r="1146">
      <c r="A1146" s="1" t="n"/>
      <c r="F1146" s="2" t="n"/>
      <c r="H1146" s="2" t="n"/>
      <c r="AC1146" t="n">
        <v>4</v>
      </c>
      <c r="AD1146" s="3">
        <f>UPPER(C1149)</f>
        <v/>
      </c>
      <c r="AE1146" s="3">
        <f>VLOOKUP(E1149,'[1]Nómina Agentes'!$C:$D,2,0)</f>
        <v/>
      </c>
      <c r="AF1146" s="5">
        <f>F1149</f>
        <v/>
      </c>
      <c r="AG1146" s="5">
        <f>H1149</f>
        <v/>
      </c>
    </row>
    <row r="1147">
      <c r="A1147" s="1" t="n"/>
      <c r="F1147" s="2" t="n"/>
      <c r="H1147" s="2" t="n"/>
      <c r="AC1147" t="n">
        <v>2</v>
      </c>
      <c r="AD1147" s="3">
        <f>UPPER(C1150)</f>
        <v/>
      </c>
      <c r="AE1147" s="3">
        <f>VLOOKUP(E1150,'[1]Nómina Agentes'!$C:$D,2,0)</f>
        <v/>
      </c>
      <c r="AF1147" s="5">
        <f>F1150</f>
        <v/>
      </c>
      <c r="AG1147" s="5">
        <f>H1150</f>
        <v/>
      </c>
    </row>
    <row r="1148">
      <c r="A1148" s="1" t="n"/>
      <c r="F1148" s="2" t="n"/>
      <c r="H1148" s="2" t="n"/>
      <c r="AC1148" t="n">
        <v>1</v>
      </c>
      <c r="AD1148" s="3">
        <f>UPPER(C1151)</f>
        <v/>
      </c>
      <c r="AE1148" s="3">
        <f>VLOOKUP(E1151,'[1]Nómina Agentes'!$C:$D,2,0)</f>
        <v/>
      </c>
      <c r="AF1148" s="5">
        <f>F1151</f>
        <v/>
      </c>
      <c r="AG1148" s="5">
        <f>H1151</f>
        <v/>
      </c>
    </row>
    <row r="1149">
      <c r="A1149" s="1" t="n"/>
      <c r="F1149" s="2" t="n"/>
      <c r="H1149" s="2" t="n"/>
      <c r="AC1149" t="n">
        <v>1</v>
      </c>
      <c r="AD1149" s="3">
        <f>UPPER(C1152)</f>
        <v/>
      </c>
      <c r="AE1149" s="3">
        <f>VLOOKUP(E1152,'[1]Nómina Agentes'!$C:$D,2,0)</f>
        <v/>
      </c>
      <c r="AF1149" s="5">
        <f>F1152</f>
        <v/>
      </c>
      <c r="AG1149" s="5">
        <f>H1152</f>
        <v/>
      </c>
    </row>
    <row r="1150">
      <c r="A1150" s="1" t="n"/>
      <c r="F1150" s="2" t="n"/>
      <c r="H1150" s="2" t="n"/>
      <c r="AC1150" t="n">
        <v>1</v>
      </c>
      <c r="AD1150" s="3">
        <f>UPPER(C1153)</f>
        <v/>
      </c>
      <c r="AE1150" s="3">
        <f>VLOOKUP(E1153,'[1]Nómina Agentes'!$C:$D,2,0)</f>
        <v/>
      </c>
      <c r="AF1150" s="5">
        <f>F1153</f>
        <v/>
      </c>
      <c r="AG1150" s="5">
        <f>H1153</f>
        <v/>
      </c>
    </row>
    <row r="1151">
      <c r="A1151" s="1" t="n"/>
      <c r="F1151" s="2" t="n"/>
      <c r="H1151" s="2" t="n"/>
      <c r="AC1151" t="n">
        <v>3</v>
      </c>
      <c r="AD1151" s="3">
        <f>UPPER(C1154)</f>
        <v/>
      </c>
      <c r="AE1151" s="3">
        <f>VLOOKUP(E1154,'[1]Nómina Agentes'!$C:$D,2,0)</f>
        <v/>
      </c>
      <c r="AF1151" s="5">
        <f>F1154</f>
        <v/>
      </c>
      <c r="AG1151" s="5">
        <f>H1154</f>
        <v/>
      </c>
    </row>
    <row r="1152">
      <c r="A1152" s="1" t="n"/>
      <c r="F1152" s="2" t="n"/>
      <c r="H1152" s="2" t="n"/>
      <c r="AC1152" t="n">
        <v>3</v>
      </c>
      <c r="AD1152" s="3">
        <f>UPPER(C1155)</f>
        <v/>
      </c>
      <c r="AE1152" s="3">
        <f>VLOOKUP(E1155,'[1]Nómina Agentes'!$C:$D,2,0)</f>
        <v/>
      </c>
      <c r="AF1152" s="5">
        <f>F1155</f>
        <v/>
      </c>
      <c r="AG1152" s="5">
        <f>H1155</f>
        <v/>
      </c>
    </row>
    <row r="1153">
      <c r="A1153" s="1" t="n"/>
      <c r="F1153" s="2" t="n"/>
      <c r="H1153" s="2" t="n"/>
      <c r="AC1153" t="n">
        <v>4</v>
      </c>
      <c r="AD1153" s="3">
        <f>UPPER(C1156)</f>
        <v/>
      </c>
      <c r="AE1153" s="3">
        <f>VLOOKUP(E1156,'[1]Nómina Agentes'!$C:$D,2,0)</f>
        <v/>
      </c>
      <c r="AF1153" s="5">
        <f>F1156</f>
        <v/>
      </c>
      <c r="AG1153" s="5">
        <f>H1156</f>
        <v/>
      </c>
    </row>
    <row r="1154">
      <c r="A1154" s="1" t="n"/>
      <c r="F1154" s="2" t="n"/>
      <c r="H1154" s="2" t="n"/>
      <c r="AC1154" t="n">
        <v>5</v>
      </c>
      <c r="AD1154" s="3">
        <f>UPPER(C1157)</f>
        <v/>
      </c>
      <c r="AE1154" s="3">
        <f>VLOOKUP(E1157,'[1]Nómina Agentes'!$C:$D,2,0)</f>
        <v/>
      </c>
      <c r="AF1154" s="5">
        <f>F1157</f>
        <v/>
      </c>
      <c r="AG1154" s="5">
        <f>H1157</f>
        <v/>
      </c>
    </row>
    <row r="1155">
      <c r="A1155" s="1" t="n"/>
      <c r="F1155" s="2" t="n"/>
      <c r="H1155" s="2" t="n"/>
      <c r="AC1155" t="n">
        <v>0</v>
      </c>
      <c r="AD1155" s="3">
        <f>UPPER(C1158)</f>
        <v/>
      </c>
      <c r="AE1155" s="3">
        <f>VLOOKUP(E1158,'[1]Nómina Agentes'!$C:$D,2,0)</f>
        <v/>
      </c>
      <c r="AF1155" s="5">
        <f>F1158</f>
        <v/>
      </c>
      <c r="AG1155" s="5">
        <f>H1158</f>
        <v/>
      </c>
    </row>
    <row r="1156">
      <c r="A1156" s="1" t="n"/>
      <c r="F1156" s="2" t="n"/>
      <c r="H1156" s="2" t="n"/>
      <c r="AC1156" t="n">
        <v>4</v>
      </c>
      <c r="AD1156" s="3">
        <f>UPPER(C1159)</f>
        <v/>
      </c>
      <c r="AE1156" s="3">
        <f>VLOOKUP(E1159,'[1]Nómina Agentes'!$C:$D,2,0)</f>
        <v/>
      </c>
      <c r="AF1156" s="5">
        <f>F1159</f>
        <v/>
      </c>
      <c r="AG1156" s="5">
        <f>H1159</f>
        <v/>
      </c>
    </row>
    <row r="1157">
      <c r="A1157" s="1" t="n"/>
      <c r="F1157" s="2" t="n"/>
      <c r="H1157" s="2" t="n"/>
      <c r="AC1157" t="n">
        <v>1</v>
      </c>
      <c r="AD1157" s="3">
        <f>UPPER(C1160)</f>
        <v/>
      </c>
      <c r="AE1157" s="3">
        <f>VLOOKUP(E1160,'[1]Nómina Agentes'!$C:$D,2,0)</f>
        <v/>
      </c>
      <c r="AF1157" s="5">
        <f>F1160</f>
        <v/>
      </c>
      <c r="AG1157" s="5">
        <f>H1160</f>
        <v/>
      </c>
    </row>
    <row r="1158">
      <c r="A1158" s="1" t="n"/>
      <c r="F1158" s="2" t="n"/>
      <c r="H1158" s="2" t="n"/>
      <c r="AC1158" t="n">
        <v>2</v>
      </c>
      <c r="AD1158" s="3">
        <f>UPPER(C1161)</f>
        <v/>
      </c>
      <c r="AE1158" s="3">
        <f>VLOOKUP(E1161,'[1]Nómina Agentes'!$C:$D,2,0)</f>
        <v/>
      </c>
      <c r="AF1158" s="5">
        <f>F1161</f>
        <v/>
      </c>
      <c r="AG1158" s="5">
        <f>H1161</f>
        <v/>
      </c>
    </row>
    <row r="1159">
      <c r="A1159" s="1" t="n"/>
      <c r="F1159" s="2" t="n"/>
      <c r="H1159" s="2" t="n"/>
      <c r="AC1159" t="n">
        <v>0</v>
      </c>
      <c r="AD1159" s="3">
        <f>UPPER(C1162)</f>
        <v/>
      </c>
      <c r="AE1159" s="3">
        <f>VLOOKUP(E1162,'[1]Nómina Agentes'!$C:$D,2,0)</f>
        <v/>
      </c>
      <c r="AF1159" s="5">
        <f>F1162</f>
        <v/>
      </c>
      <c r="AG1159" s="5">
        <f>H1162</f>
        <v/>
      </c>
    </row>
    <row r="1160">
      <c r="A1160" s="1" t="n"/>
      <c r="F1160" s="2" t="n"/>
      <c r="H1160" s="2" t="n"/>
      <c r="AC1160" t="n">
        <v>2</v>
      </c>
      <c r="AD1160" s="3">
        <f>UPPER(C1163)</f>
        <v/>
      </c>
      <c r="AE1160" s="3">
        <f>VLOOKUP(E1163,'[1]Nómina Agentes'!$C:$D,2,0)</f>
        <v/>
      </c>
      <c r="AF1160" s="5">
        <f>F1163</f>
        <v/>
      </c>
      <c r="AG1160" s="5">
        <f>H1163</f>
        <v/>
      </c>
    </row>
    <row r="1161">
      <c r="A1161" s="1" t="n"/>
      <c r="F1161" s="2" t="n"/>
      <c r="H1161" s="2" t="n"/>
      <c r="AC1161" t="n">
        <v>0</v>
      </c>
      <c r="AD1161" s="3">
        <f>UPPER(C1164)</f>
        <v/>
      </c>
      <c r="AE1161" s="3">
        <f>VLOOKUP(E1164,'[1]Nómina Agentes'!$C:$D,2,0)</f>
        <v/>
      </c>
      <c r="AF1161" s="5">
        <f>F1164</f>
        <v/>
      </c>
      <c r="AG1161" s="5">
        <f>H1164</f>
        <v/>
      </c>
    </row>
    <row r="1162">
      <c r="A1162" s="1" t="n"/>
      <c r="F1162" s="2" t="n"/>
      <c r="H1162" s="2" t="n"/>
      <c r="AC1162" t="n">
        <v>0</v>
      </c>
      <c r="AD1162" s="3">
        <f>UPPER(C1165)</f>
        <v/>
      </c>
      <c r="AE1162" s="3">
        <f>VLOOKUP(E1165,'[1]Nómina Agentes'!$C:$D,2,0)</f>
        <v/>
      </c>
      <c r="AF1162" s="5">
        <f>F1165</f>
        <v/>
      </c>
      <c r="AG1162" s="5">
        <f>H1165</f>
        <v/>
      </c>
    </row>
    <row r="1163">
      <c r="A1163" s="1" t="n"/>
      <c r="F1163" s="2" t="n"/>
      <c r="H1163" s="2" t="n"/>
      <c r="AC1163" t="n">
        <v>2</v>
      </c>
      <c r="AD1163" s="3">
        <f>UPPER(C1166)</f>
        <v/>
      </c>
      <c r="AE1163" s="3">
        <f>VLOOKUP(E1166,'[1]Nómina Agentes'!$C:$D,2,0)</f>
        <v/>
      </c>
      <c r="AF1163" s="5">
        <f>F1166</f>
        <v/>
      </c>
      <c r="AG1163" s="5">
        <f>H1166</f>
        <v/>
      </c>
    </row>
    <row r="1164">
      <c r="A1164" s="1" t="n"/>
      <c r="F1164" s="2" t="n"/>
      <c r="H1164" s="2" t="n"/>
      <c r="AC1164" t="n">
        <v>2</v>
      </c>
      <c r="AD1164" s="3">
        <f>UPPER(C1167)</f>
        <v/>
      </c>
      <c r="AE1164" s="3">
        <f>VLOOKUP(E1167,'[1]Nómina Agentes'!$C:$D,2,0)</f>
        <v/>
      </c>
      <c r="AF1164" s="5">
        <f>F1167</f>
        <v/>
      </c>
      <c r="AG1164" s="5">
        <f>H1167</f>
        <v/>
      </c>
    </row>
    <row r="1165">
      <c r="A1165" s="1" t="n"/>
      <c r="F1165" s="2" t="n"/>
      <c r="H1165" s="2" t="n"/>
      <c r="AC1165" t="n">
        <v>0</v>
      </c>
      <c r="AD1165" s="3">
        <f>UPPER(C1168)</f>
        <v/>
      </c>
      <c r="AE1165" s="3">
        <f>VLOOKUP(E1168,'[1]Nómina Agentes'!$C:$D,2,0)</f>
        <v/>
      </c>
      <c r="AF1165" s="5">
        <f>F1168</f>
        <v/>
      </c>
      <c r="AG1165" s="5">
        <f>H1168</f>
        <v/>
      </c>
    </row>
    <row r="1166">
      <c r="A1166" s="1" t="n"/>
      <c r="F1166" s="2" t="n"/>
      <c r="H1166" s="2" t="n"/>
      <c r="AC1166" t="n">
        <v>0</v>
      </c>
      <c r="AD1166" s="3">
        <f>UPPER(C1169)</f>
        <v/>
      </c>
      <c r="AE1166" s="3">
        <f>VLOOKUP(E1169,'[1]Nómina Agentes'!$C:$D,2,0)</f>
        <v/>
      </c>
      <c r="AF1166" s="5">
        <f>F1169</f>
        <v/>
      </c>
      <c r="AG1166" s="5">
        <f>H1169</f>
        <v/>
      </c>
    </row>
    <row r="1167">
      <c r="A1167" s="1" t="n"/>
      <c r="F1167" s="2" t="n"/>
      <c r="H1167" s="2" t="n"/>
      <c r="AC1167" t="n">
        <v>0</v>
      </c>
      <c r="AD1167" s="3">
        <f>UPPER(C1170)</f>
        <v/>
      </c>
      <c r="AE1167" s="3">
        <f>VLOOKUP(E1170,'[1]Nómina Agentes'!$C:$D,2,0)</f>
        <v/>
      </c>
      <c r="AF1167" s="5">
        <f>F1170</f>
        <v/>
      </c>
      <c r="AG1167" s="5">
        <f>H1170</f>
        <v/>
      </c>
    </row>
    <row r="1168">
      <c r="A1168" s="1" t="n"/>
      <c r="F1168" s="2" t="n"/>
      <c r="H1168" s="2" t="n"/>
      <c r="AC1168" t="n">
        <v>0</v>
      </c>
      <c r="AD1168" s="3">
        <f>UPPER(C1171)</f>
        <v/>
      </c>
      <c r="AE1168" s="3">
        <f>VLOOKUP(E1171,'[1]Nómina Agentes'!$C:$D,2,0)</f>
        <v/>
      </c>
      <c r="AF1168" s="5">
        <f>F1171</f>
        <v/>
      </c>
      <c r="AG1168" s="5">
        <f>H1171</f>
        <v/>
      </c>
    </row>
    <row r="1169">
      <c r="A1169" s="1" t="n"/>
      <c r="F1169" s="2" t="n"/>
      <c r="H1169" s="2" t="n"/>
      <c r="AC1169" t="n">
        <v>0</v>
      </c>
      <c r="AD1169" s="3">
        <f>UPPER(C1172)</f>
        <v/>
      </c>
      <c r="AE1169" s="3">
        <f>VLOOKUP(E1172,'[1]Nómina Agentes'!$C:$D,2,0)</f>
        <v/>
      </c>
      <c r="AF1169" s="5">
        <f>F1172</f>
        <v/>
      </c>
      <c r="AG1169" s="5">
        <f>H1172</f>
        <v/>
      </c>
    </row>
    <row r="1170">
      <c r="A1170" s="1" t="n"/>
      <c r="F1170" s="2" t="n"/>
      <c r="H1170" s="2" t="n"/>
      <c r="AC1170" t="n">
        <v>0</v>
      </c>
      <c r="AD1170" s="3">
        <f>UPPER(C1173)</f>
        <v/>
      </c>
      <c r="AE1170" s="3">
        <f>VLOOKUP(E1173,'[1]Nómina Agentes'!$C:$D,2,0)</f>
        <v/>
      </c>
      <c r="AF1170" s="5">
        <f>F1173</f>
        <v/>
      </c>
      <c r="AG1170" s="5">
        <f>H1173</f>
        <v/>
      </c>
    </row>
    <row r="1171">
      <c r="A1171" s="1" t="n"/>
      <c r="F1171" s="2" t="n"/>
      <c r="H1171" s="2" t="n"/>
      <c r="AC1171" t="n">
        <v>0</v>
      </c>
      <c r="AD1171" s="3">
        <f>UPPER(C1174)</f>
        <v/>
      </c>
      <c r="AE1171" s="3">
        <f>VLOOKUP(E1174,'[1]Nómina Agentes'!$C:$D,2,0)</f>
        <v/>
      </c>
      <c r="AF1171" s="5">
        <f>F1174</f>
        <v/>
      </c>
      <c r="AG1171" s="5">
        <f>H1174</f>
        <v/>
      </c>
    </row>
    <row r="1172">
      <c r="A1172" s="1" t="n"/>
      <c r="F1172" s="2" t="n"/>
      <c r="H1172" s="2" t="n"/>
      <c r="AC1172" t="n">
        <v>0</v>
      </c>
      <c r="AD1172" s="3">
        <f>UPPER(C1175)</f>
        <v/>
      </c>
      <c r="AE1172" s="3">
        <f>VLOOKUP(E1175,'[1]Nómina Agentes'!$C:$D,2,0)</f>
        <v/>
      </c>
      <c r="AF1172" s="5">
        <f>F1175</f>
        <v/>
      </c>
      <c r="AG1172" s="5">
        <f>H1175</f>
        <v/>
      </c>
    </row>
    <row r="1173">
      <c r="A1173" s="1" t="n"/>
      <c r="F1173" s="2" t="n"/>
      <c r="H1173" s="2" t="n"/>
      <c r="AC1173" t="n">
        <v>0</v>
      </c>
      <c r="AD1173" s="3">
        <f>UPPER(C1176)</f>
        <v/>
      </c>
      <c r="AE1173" s="3">
        <f>VLOOKUP(E1176,'[1]Nómina Agentes'!$C:$D,2,0)</f>
        <v/>
      </c>
      <c r="AF1173" s="5">
        <f>F1176</f>
        <v/>
      </c>
      <c r="AG1173" s="5">
        <f>H1176</f>
        <v/>
      </c>
    </row>
    <row r="1174">
      <c r="A1174" s="1" t="n"/>
      <c r="F1174" s="2" t="n"/>
      <c r="H1174" s="2" t="n"/>
      <c r="AC1174" t="n">
        <v>0</v>
      </c>
      <c r="AD1174" s="3">
        <f>UPPER(C1177)</f>
        <v/>
      </c>
      <c r="AE1174" s="3">
        <f>VLOOKUP(E1177,'[1]Nómina Agentes'!$C:$D,2,0)</f>
        <v/>
      </c>
      <c r="AF1174" s="5">
        <f>F1177</f>
        <v/>
      </c>
      <c r="AG1174" s="5">
        <f>H1177</f>
        <v/>
      </c>
    </row>
    <row r="1175">
      <c r="A1175" s="1" t="n"/>
      <c r="F1175" s="2" t="n"/>
      <c r="H1175" s="2" t="n"/>
      <c r="AC1175" t="n">
        <v>0</v>
      </c>
      <c r="AD1175" s="3">
        <f>UPPER(C1178)</f>
        <v/>
      </c>
      <c r="AE1175" s="3">
        <f>VLOOKUP(E1178,'[1]Nómina Agentes'!$C:$D,2,0)</f>
        <v/>
      </c>
      <c r="AF1175" s="5">
        <f>F1178</f>
        <v/>
      </c>
      <c r="AG1175" s="5">
        <f>H1178</f>
        <v/>
      </c>
    </row>
    <row r="1176">
      <c r="A1176" s="1" t="n"/>
      <c r="F1176" s="2" t="n"/>
      <c r="H1176" s="2" t="n"/>
      <c r="AC1176" t="n">
        <v>0</v>
      </c>
      <c r="AD1176" s="3">
        <f>UPPER(C1179)</f>
        <v/>
      </c>
      <c r="AE1176" s="3">
        <f>VLOOKUP(E1179,'[1]Nómina Agentes'!$C:$D,2,0)</f>
        <v/>
      </c>
      <c r="AF1176" s="5">
        <f>F1179</f>
        <v/>
      </c>
      <c r="AG1176" s="5">
        <f>H1179</f>
        <v/>
      </c>
    </row>
    <row r="1177">
      <c r="A1177" s="1" t="n"/>
      <c r="F1177" s="2" t="n"/>
      <c r="H1177" s="2" t="n"/>
      <c r="AC1177" t="n">
        <v>3</v>
      </c>
      <c r="AD1177" s="3">
        <f>UPPER(C1180)</f>
        <v/>
      </c>
      <c r="AE1177" s="3">
        <f>VLOOKUP(E1180,'[1]Nómina Agentes'!$C:$D,2,0)</f>
        <v/>
      </c>
      <c r="AF1177" s="5">
        <f>F1180</f>
        <v/>
      </c>
      <c r="AG1177" s="5">
        <f>H1180</f>
        <v/>
      </c>
    </row>
    <row r="1178">
      <c r="A1178" s="1" t="n"/>
      <c r="F1178" s="2" t="n"/>
      <c r="H1178" s="2" t="n"/>
      <c r="AC1178" t="n">
        <v>1</v>
      </c>
      <c r="AD1178" s="3">
        <f>UPPER(C1181)</f>
        <v/>
      </c>
      <c r="AE1178" s="3">
        <f>VLOOKUP(E1181,'[1]Nómina Agentes'!$C:$D,2,0)</f>
        <v/>
      </c>
      <c r="AF1178" s="5">
        <f>F1181</f>
        <v/>
      </c>
      <c r="AG1178" s="5">
        <f>H1181</f>
        <v/>
      </c>
    </row>
    <row r="1179">
      <c r="A1179" s="1" t="n"/>
      <c r="F1179" s="2" t="n"/>
      <c r="H1179" s="2" t="n"/>
      <c r="AC1179" t="n">
        <v>0</v>
      </c>
      <c r="AD1179" s="3">
        <f>UPPER(C1182)</f>
        <v/>
      </c>
      <c r="AE1179" s="3">
        <f>VLOOKUP(E1182,'[1]Nómina Agentes'!$C:$D,2,0)</f>
        <v/>
      </c>
      <c r="AF1179" s="5">
        <f>F1182</f>
        <v/>
      </c>
      <c r="AG1179" s="5">
        <f>H1182</f>
        <v/>
      </c>
    </row>
    <row r="1180">
      <c r="A1180" s="1" t="n"/>
      <c r="F1180" s="2" t="n"/>
      <c r="H1180" s="2" t="n"/>
      <c r="AC1180" t="n">
        <v>0</v>
      </c>
      <c r="AD1180" s="3">
        <f>UPPER(C1183)</f>
        <v/>
      </c>
      <c r="AE1180" s="3">
        <f>VLOOKUP(E1183,'[1]Nómina Agentes'!$C:$D,2,0)</f>
        <v/>
      </c>
      <c r="AF1180" s="5">
        <f>F1183</f>
        <v/>
      </c>
      <c r="AG1180" s="5">
        <f>H1183</f>
        <v/>
      </c>
    </row>
    <row r="1181">
      <c r="A1181" s="1" t="n"/>
      <c r="F1181" s="2" t="n"/>
      <c r="H1181" s="2" t="n"/>
      <c r="AC1181" t="n">
        <v>1</v>
      </c>
      <c r="AD1181" s="3">
        <f>UPPER(C1184)</f>
        <v/>
      </c>
      <c r="AE1181" s="3">
        <f>VLOOKUP(E1184,'[1]Nómina Agentes'!$C:$D,2,0)</f>
        <v/>
      </c>
      <c r="AF1181" s="5">
        <f>F1184</f>
        <v/>
      </c>
      <c r="AG1181" s="5">
        <f>H1184</f>
        <v/>
      </c>
    </row>
    <row r="1182">
      <c r="A1182" s="1" t="n"/>
      <c r="F1182" s="2" t="n"/>
      <c r="H1182" s="2" t="n"/>
      <c r="AC1182" t="n">
        <v>1</v>
      </c>
      <c r="AD1182" s="3">
        <f>UPPER(C1185)</f>
        <v/>
      </c>
      <c r="AE1182" s="3">
        <f>VLOOKUP(E1185,'[1]Nómina Agentes'!$C:$D,2,0)</f>
        <v/>
      </c>
      <c r="AF1182" s="5">
        <f>F1185</f>
        <v/>
      </c>
      <c r="AG1182" s="5">
        <f>H1185</f>
        <v/>
      </c>
    </row>
    <row r="1183">
      <c r="A1183" s="1" t="n"/>
      <c r="F1183" s="2" t="n"/>
      <c r="H1183" s="2" t="n"/>
      <c r="AC1183" t="n">
        <v>1</v>
      </c>
      <c r="AD1183" s="3">
        <f>UPPER(C1186)</f>
        <v/>
      </c>
      <c r="AE1183" s="3">
        <f>VLOOKUP(E1186,'[1]Nómina Agentes'!$C:$D,2,0)</f>
        <v/>
      </c>
      <c r="AF1183" s="5">
        <f>F1186</f>
        <v/>
      </c>
      <c r="AG1183" s="5">
        <f>H1186</f>
        <v/>
      </c>
    </row>
    <row r="1184">
      <c r="A1184" s="1" t="n"/>
      <c r="F1184" s="2" t="n"/>
      <c r="H1184" s="2" t="n"/>
      <c r="AC1184" t="n">
        <v>2</v>
      </c>
      <c r="AD1184" s="3">
        <f>UPPER(C1187)</f>
        <v/>
      </c>
      <c r="AE1184" s="3">
        <f>VLOOKUP(E1187,'[1]Nómina Agentes'!$C:$D,2,0)</f>
        <v/>
      </c>
      <c r="AF1184" s="5">
        <f>F1187</f>
        <v/>
      </c>
      <c r="AG1184" s="5">
        <f>H1187</f>
        <v/>
      </c>
    </row>
    <row r="1185">
      <c r="A1185" s="1" t="n"/>
      <c r="F1185" s="2" t="n"/>
      <c r="H1185" s="2" t="n"/>
      <c r="AC1185" t="n">
        <v>1</v>
      </c>
      <c r="AD1185" s="3">
        <f>UPPER(C1188)</f>
        <v/>
      </c>
      <c r="AE1185" s="3">
        <f>VLOOKUP(E1188,'[1]Nómina Agentes'!$C:$D,2,0)</f>
        <v/>
      </c>
      <c r="AF1185" s="5">
        <f>F1188</f>
        <v/>
      </c>
      <c r="AG1185" s="5">
        <f>H1188</f>
        <v/>
      </c>
    </row>
    <row r="1186">
      <c r="A1186" s="1" t="n"/>
      <c r="F1186" s="2" t="n"/>
      <c r="H1186" s="2" t="n"/>
      <c r="AC1186" t="n">
        <v>3</v>
      </c>
      <c r="AD1186" s="3">
        <f>UPPER(C1189)</f>
        <v/>
      </c>
      <c r="AE1186" s="3">
        <f>VLOOKUP(E1189,'[1]Nómina Agentes'!$C:$D,2,0)</f>
        <v/>
      </c>
      <c r="AF1186" s="5">
        <f>F1189</f>
        <v/>
      </c>
      <c r="AG1186" s="5">
        <f>H1189</f>
        <v/>
      </c>
    </row>
    <row r="1187">
      <c r="A1187" s="1" t="n"/>
      <c r="F1187" s="2" t="n"/>
      <c r="H1187" s="2" t="n"/>
      <c r="AC1187" t="n">
        <v>1</v>
      </c>
      <c r="AD1187" s="3">
        <f>UPPER(C1190)</f>
        <v/>
      </c>
      <c r="AE1187" s="3">
        <f>VLOOKUP(E1190,'[1]Nómina Agentes'!$C:$D,2,0)</f>
        <v/>
      </c>
      <c r="AF1187" s="5">
        <f>F1190</f>
        <v/>
      </c>
      <c r="AG1187" s="5">
        <f>H1190</f>
        <v/>
      </c>
    </row>
    <row r="1188">
      <c r="A1188" s="1" t="n"/>
      <c r="F1188" s="2" t="n"/>
      <c r="H1188" s="2" t="n"/>
      <c r="AC1188" t="n">
        <v>3</v>
      </c>
      <c r="AD1188" s="3">
        <f>UPPER(C1191)</f>
        <v/>
      </c>
      <c r="AE1188" s="3">
        <f>VLOOKUP(E1191,'[1]Nómina Agentes'!$C:$D,2,0)</f>
        <v/>
      </c>
      <c r="AF1188" s="5">
        <f>F1191</f>
        <v/>
      </c>
      <c r="AG1188" s="5">
        <f>H1191</f>
        <v/>
      </c>
    </row>
    <row r="1189">
      <c r="A1189" s="1" t="n"/>
      <c r="F1189" s="2" t="n"/>
      <c r="H1189" s="2" t="n"/>
      <c r="AC1189" t="n">
        <v>0</v>
      </c>
      <c r="AD1189" s="3">
        <f>UPPER(C1192)</f>
        <v/>
      </c>
      <c r="AE1189" s="3">
        <f>VLOOKUP(E1192,'[1]Nómina Agentes'!$C:$D,2,0)</f>
        <v/>
      </c>
      <c r="AF1189" s="5">
        <f>F1192</f>
        <v/>
      </c>
      <c r="AG1189" s="5">
        <f>H1192</f>
        <v/>
      </c>
    </row>
    <row r="1190">
      <c r="A1190" s="1" t="n"/>
      <c r="F1190" s="2" t="n"/>
      <c r="H1190" s="2" t="n"/>
      <c r="AC1190" t="n">
        <v>0</v>
      </c>
      <c r="AD1190" s="3">
        <f>UPPER(C1193)</f>
        <v/>
      </c>
      <c r="AE1190" s="3">
        <f>VLOOKUP(E1193,'[1]Nómina Agentes'!$C:$D,2,0)</f>
        <v/>
      </c>
      <c r="AF1190" s="5">
        <f>F1193</f>
        <v/>
      </c>
      <c r="AG1190" s="5">
        <f>H1193</f>
        <v/>
      </c>
    </row>
    <row r="1191">
      <c r="A1191" s="1" t="n"/>
      <c r="F1191" s="2" t="n"/>
      <c r="H1191" s="2" t="n"/>
      <c r="AC1191" t="n">
        <v>2</v>
      </c>
      <c r="AD1191" s="3">
        <f>UPPER(C1194)</f>
        <v/>
      </c>
      <c r="AE1191" s="3">
        <f>VLOOKUP(E1194,'[1]Nómina Agentes'!$C:$D,2,0)</f>
        <v/>
      </c>
      <c r="AF1191" s="5">
        <f>F1194</f>
        <v/>
      </c>
      <c r="AG1191" s="5">
        <f>H1194</f>
        <v/>
      </c>
    </row>
    <row r="1192">
      <c r="A1192" s="1" t="n"/>
      <c r="F1192" s="2" t="n"/>
      <c r="H1192" s="2" t="n"/>
      <c r="AC1192" t="n">
        <v>0</v>
      </c>
      <c r="AD1192" s="3">
        <f>UPPER(C1195)</f>
        <v/>
      </c>
      <c r="AE1192" s="3">
        <f>VLOOKUP(E1195,'[1]Nómina Agentes'!$C:$D,2,0)</f>
        <v/>
      </c>
      <c r="AF1192" s="5">
        <f>F1195</f>
        <v/>
      </c>
      <c r="AG1192" s="5">
        <f>H1195</f>
        <v/>
      </c>
    </row>
    <row r="1193">
      <c r="A1193" s="1" t="n"/>
      <c r="F1193" s="2" t="n"/>
      <c r="H1193" s="2" t="n"/>
      <c r="AC1193" t="n">
        <v>2</v>
      </c>
      <c r="AD1193" s="3">
        <f>UPPER(C1196)</f>
        <v/>
      </c>
      <c r="AE1193" s="3">
        <f>VLOOKUP(E1196,'[1]Nómina Agentes'!$C:$D,2,0)</f>
        <v/>
      </c>
      <c r="AF1193" s="5">
        <f>F1196</f>
        <v/>
      </c>
      <c r="AG1193" s="5">
        <f>H1196</f>
        <v/>
      </c>
    </row>
    <row r="1194">
      <c r="A1194" s="1" t="n"/>
      <c r="F1194" s="2" t="n"/>
      <c r="H1194" s="2" t="n"/>
      <c r="AC1194" t="n">
        <v>1</v>
      </c>
      <c r="AD1194" s="3">
        <f>UPPER(C1197)</f>
        <v/>
      </c>
      <c r="AE1194" s="3">
        <f>VLOOKUP(E1197,'[1]Nómina Agentes'!$C:$D,2,0)</f>
        <v/>
      </c>
      <c r="AF1194" s="5">
        <f>F1197</f>
        <v/>
      </c>
      <c r="AG1194" s="5">
        <f>H1197</f>
        <v/>
      </c>
    </row>
    <row r="1195">
      <c r="A1195" s="1" t="n"/>
      <c r="F1195" s="2" t="n"/>
      <c r="H1195" s="2" t="n"/>
      <c r="AC1195" t="n">
        <v>3</v>
      </c>
      <c r="AD1195" s="3">
        <f>UPPER(C1198)</f>
        <v/>
      </c>
      <c r="AE1195" s="3">
        <f>VLOOKUP(E1198,'[1]Nómina Agentes'!$C:$D,2,0)</f>
        <v/>
      </c>
      <c r="AF1195" s="5">
        <f>F1198</f>
        <v/>
      </c>
      <c r="AG1195" s="5">
        <f>H1198</f>
        <v/>
      </c>
    </row>
    <row r="1196">
      <c r="A1196" s="1" t="n"/>
      <c r="F1196" s="2" t="n"/>
      <c r="H1196" s="2" t="n"/>
      <c r="AC1196" t="n">
        <v>2</v>
      </c>
      <c r="AD1196" s="3">
        <f>UPPER(C1199)</f>
        <v/>
      </c>
      <c r="AE1196" s="3">
        <f>VLOOKUP(E1199,'[1]Nómina Agentes'!$C:$D,2,0)</f>
        <v/>
      </c>
      <c r="AF1196" s="5">
        <f>F1199</f>
        <v/>
      </c>
      <c r="AG1196" s="5">
        <f>H1199</f>
        <v/>
      </c>
    </row>
    <row r="1197">
      <c r="A1197" s="1" t="n"/>
      <c r="F1197" s="2" t="n"/>
      <c r="H1197" s="2" t="n"/>
      <c r="AC1197" t="n">
        <v>0</v>
      </c>
      <c r="AD1197" s="3">
        <f>UPPER(C1200)</f>
        <v/>
      </c>
      <c r="AE1197" s="3">
        <f>VLOOKUP(E1200,'[1]Nómina Agentes'!$C:$D,2,0)</f>
        <v/>
      </c>
      <c r="AF1197" s="5">
        <f>F1200</f>
        <v/>
      </c>
      <c r="AG1197" s="5">
        <f>H1200</f>
        <v/>
      </c>
    </row>
    <row r="1198">
      <c r="A1198" s="1" t="n"/>
      <c r="F1198" s="2" t="n"/>
      <c r="H1198" s="2" t="n"/>
      <c r="AC1198" t="n">
        <v>1</v>
      </c>
      <c r="AD1198" s="3">
        <f>UPPER(C1201)</f>
        <v/>
      </c>
      <c r="AE1198" s="3">
        <f>VLOOKUP(E1201,'[1]Nómina Agentes'!$C:$D,2,0)</f>
        <v/>
      </c>
      <c r="AF1198" s="5">
        <f>F1201</f>
        <v/>
      </c>
      <c r="AG1198" s="5">
        <f>H1201</f>
        <v/>
      </c>
    </row>
    <row r="1199">
      <c r="A1199" s="1" t="n"/>
      <c r="F1199" s="2" t="n"/>
      <c r="H1199" s="2" t="n"/>
      <c r="AC1199" t="n">
        <v>1</v>
      </c>
      <c r="AD1199" s="3">
        <f>UPPER(C1202)</f>
        <v/>
      </c>
      <c r="AE1199" s="3">
        <f>VLOOKUP(E1202,'[1]Nómina Agentes'!$C:$D,2,0)</f>
        <v/>
      </c>
      <c r="AF1199" s="5">
        <f>F1202</f>
        <v/>
      </c>
      <c r="AG1199" s="5">
        <f>H1202</f>
        <v/>
      </c>
    </row>
    <row r="1200">
      <c r="A1200" s="1" t="n"/>
      <c r="F1200" s="2" t="n"/>
      <c r="H1200" s="2" t="n"/>
      <c r="AC1200" t="n">
        <v>2</v>
      </c>
      <c r="AD1200" s="3">
        <f>UPPER(C1203)</f>
        <v/>
      </c>
      <c r="AE1200" s="3">
        <f>VLOOKUP(E1203,'[1]Nómina Agentes'!$C:$D,2,0)</f>
        <v/>
      </c>
      <c r="AF1200" s="5">
        <f>F1203</f>
        <v/>
      </c>
      <c r="AG1200" s="5">
        <f>H1203</f>
        <v/>
      </c>
    </row>
    <row r="1201">
      <c r="A1201" s="1" t="n"/>
      <c r="F1201" s="2" t="n"/>
      <c r="H1201" s="2" t="n"/>
      <c r="AC1201" t="n">
        <v>2</v>
      </c>
      <c r="AD1201" s="3">
        <f>UPPER(C1204)</f>
        <v/>
      </c>
      <c r="AE1201" s="3">
        <f>VLOOKUP(E1204,'[1]Nómina Agentes'!$C:$D,2,0)</f>
        <v/>
      </c>
      <c r="AF1201" s="5">
        <f>F1204</f>
        <v/>
      </c>
      <c r="AG1201" s="5">
        <f>H1204</f>
        <v/>
      </c>
    </row>
    <row r="1202">
      <c r="A1202" s="1" t="n"/>
      <c r="F1202" s="2" t="n"/>
      <c r="H1202" s="2" t="n"/>
      <c r="AC1202" t="n">
        <v>1</v>
      </c>
      <c r="AD1202" s="3">
        <f>UPPER(C1205)</f>
        <v/>
      </c>
      <c r="AE1202" s="3">
        <f>VLOOKUP(E1205,'[1]Nómina Agentes'!$C:$D,2,0)</f>
        <v/>
      </c>
      <c r="AF1202" s="5">
        <f>F1205</f>
        <v/>
      </c>
      <c r="AG1202" s="5">
        <f>H1205</f>
        <v/>
      </c>
    </row>
    <row r="1203">
      <c r="A1203" s="1" t="n"/>
      <c r="F1203" s="2" t="n"/>
      <c r="H1203" s="2" t="n"/>
      <c r="AC1203" t="n">
        <v>4</v>
      </c>
      <c r="AD1203" s="3">
        <f>UPPER(C1206)</f>
        <v/>
      </c>
      <c r="AE1203" s="3">
        <f>VLOOKUP(E1206,'[1]Nómina Agentes'!$C:$D,2,0)</f>
        <v/>
      </c>
      <c r="AF1203" s="5">
        <f>F1206</f>
        <v/>
      </c>
      <c r="AG1203" s="5">
        <f>H1206</f>
        <v/>
      </c>
    </row>
    <row r="1204">
      <c r="A1204" s="1" t="n"/>
      <c r="F1204" s="2" t="n"/>
      <c r="H1204" s="2" t="n"/>
      <c r="AC1204" t="n">
        <v>3</v>
      </c>
      <c r="AD1204" s="3">
        <f>UPPER(C1207)</f>
        <v/>
      </c>
      <c r="AE1204" s="3">
        <f>VLOOKUP(E1207,'[1]Nómina Agentes'!$C:$D,2,0)</f>
        <v/>
      </c>
      <c r="AF1204" s="5">
        <f>F1207</f>
        <v/>
      </c>
      <c r="AG1204" s="5">
        <f>H1207</f>
        <v/>
      </c>
    </row>
    <row r="1205">
      <c r="A1205" s="1" t="n"/>
      <c r="F1205" s="2" t="n"/>
      <c r="H1205" s="2" t="n"/>
      <c r="AC1205" t="n">
        <v>1</v>
      </c>
      <c r="AD1205" s="3">
        <f>UPPER(C1208)</f>
        <v/>
      </c>
      <c r="AE1205" s="3">
        <f>VLOOKUP(E1208,'[1]Nómina Agentes'!$C:$D,2,0)</f>
        <v/>
      </c>
      <c r="AF1205" s="5">
        <f>F1208</f>
        <v/>
      </c>
      <c r="AG1205" s="5">
        <f>H1208</f>
        <v/>
      </c>
    </row>
    <row r="1206">
      <c r="A1206" s="1" t="n"/>
      <c r="F1206" s="2" t="n"/>
      <c r="H1206" s="2" t="n"/>
      <c r="AC1206" t="n">
        <v>1</v>
      </c>
      <c r="AD1206" s="3">
        <f>UPPER(C1209)</f>
        <v/>
      </c>
      <c r="AE1206" s="3">
        <f>VLOOKUP(E1209,'[1]Nómina Agentes'!$C:$D,2,0)</f>
        <v/>
      </c>
      <c r="AF1206" s="5">
        <f>F1209</f>
        <v/>
      </c>
      <c r="AG1206" s="5">
        <f>H1209</f>
        <v/>
      </c>
    </row>
    <row r="1207">
      <c r="A1207" s="1" t="n"/>
      <c r="F1207" s="2" t="n"/>
      <c r="H1207" s="2" t="n"/>
      <c r="AC1207" t="n">
        <v>2</v>
      </c>
      <c r="AD1207" s="3">
        <f>UPPER(C1210)</f>
        <v/>
      </c>
      <c r="AE1207" s="3">
        <f>VLOOKUP(E1210,'[1]Nómina Agentes'!$C:$D,2,0)</f>
        <v/>
      </c>
      <c r="AF1207" s="5">
        <f>F1210</f>
        <v/>
      </c>
      <c r="AG1207" s="5">
        <f>H1210</f>
        <v/>
      </c>
    </row>
    <row r="1208">
      <c r="A1208" s="1" t="n"/>
      <c r="F1208" s="2" t="n"/>
      <c r="H1208" s="2" t="n"/>
      <c r="AC1208" t="n">
        <v>3</v>
      </c>
      <c r="AD1208" s="3">
        <f>UPPER(C1211)</f>
        <v/>
      </c>
      <c r="AE1208" s="3">
        <f>VLOOKUP(E1211,'[1]Nómina Agentes'!$C:$D,2,0)</f>
        <v/>
      </c>
      <c r="AF1208" s="5">
        <f>F1211</f>
        <v/>
      </c>
      <c r="AG1208" s="5">
        <f>H1211</f>
        <v/>
      </c>
    </row>
    <row r="1209">
      <c r="A1209" s="1" t="n"/>
      <c r="F1209" s="2" t="n"/>
      <c r="H1209" s="2" t="n"/>
      <c r="AC1209" t="n">
        <v>3</v>
      </c>
      <c r="AD1209" s="3">
        <f>UPPER(C1212)</f>
        <v/>
      </c>
      <c r="AE1209" s="3">
        <f>VLOOKUP(E1212,'[1]Nómina Agentes'!$C:$D,2,0)</f>
        <v/>
      </c>
      <c r="AF1209" s="5">
        <f>F1212</f>
        <v/>
      </c>
      <c r="AG1209" s="5">
        <f>H1212</f>
        <v/>
      </c>
    </row>
    <row r="1210">
      <c r="A1210" s="1" t="n"/>
      <c r="F1210" s="2" t="n"/>
      <c r="H1210" s="2" t="n"/>
      <c r="AC1210" t="n">
        <v>3</v>
      </c>
      <c r="AD1210" s="3">
        <f>UPPER(C1213)</f>
        <v/>
      </c>
      <c r="AE1210" s="3">
        <f>VLOOKUP(E1213,'[1]Nómina Agentes'!$C:$D,2,0)</f>
        <v/>
      </c>
      <c r="AF1210" s="5">
        <f>F1213</f>
        <v/>
      </c>
      <c r="AG1210" s="5">
        <f>H1213</f>
        <v/>
      </c>
    </row>
    <row r="1211">
      <c r="A1211" s="1" t="n"/>
      <c r="F1211" s="2" t="n"/>
      <c r="H1211" s="2" t="n"/>
      <c r="AC1211" t="n">
        <v>4</v>
      </c>
      <c r="AD1211" s="3">
        <f>UPPER(C1214)</f>
        <v/>
      </c>
      <c r="AE1211" s="3">
        <f>VLOOKUP(E1214,'[1]Nómina Agentes'!$C:$D,2,0)</f>
        <v/>
      </c>
      <c r="AF1211" s="5">
        <f>F1214</f>
        <v/>
      </c>
      <c r="AG1211" s="5">
        <f>H1214</f>
        <v/>
      </c>
    </row>
    <row r="1212">
      <c r="A1212" s="1" t="n"/>
      <c r="F1212" s="2" t="n"/>
      <c r="H1212" s="2" t="n"/>
      <c r="AC1212" t="n">
        <v>0</v>
      </c>
      <c r="AD1212" s="3">
        <f>UPPER(C1215)</f>
        <v/>
      </c>
      <c r="AE1212" s="3">
        <f>VLOOKUP(E1215,'[1]Nómina Agentes'!$C:$D,2,0)</f>
        <v/>
      </c>
      <c r="AF1212" s="5">
        <f>F1215</f>
        <v/>
      </c>
      <c r="AG1212" s="5">
        <f>H1215</f>
        <v/>
      </c>
    </row>
    <row r="1213">
      <c r="A1213" s="1" t="n"/>
      <c r="F1213" s="2" t="n"/>
      <c r="H1213" s="2" t="n"/>
      <c r="AC1213" t="n">
        <v>1</v>
      </c>
      <c r="AD1213" s="3">
        <f>UPPER(C1216)</f>
        <v/>
      </c>
      <c r="AE1213" s="3">
        <f>VLOOKUP(E1216,'[1]Nómina Agentes'!$C:$D,2,0)</f>
        <v/>
      </c>
      <c r="AF1213" s="5">
        <f>F1216</f>
        <v/>
      </c>
      <c r="AG1213" s="5">
        <f>H1216</f>
        <v/>
      </c>
    </row>
    <row r="1214">
      <c r="A1214" s="1" t="n"/>
      <c r="F1214" s="2" t="n"/>
      <c r="H1214" s="2" t="n"/>
      <c r="AC1214" t="n">
        <v>2</v>
      </c>
      <c r="AD1214" s="3">
        <f>UPPER(C1217)</f>
        <v/>
      </c>
      <c r="AE1214" s="3">
        <f>VLOOKUP(E1217,'[1]Nómina Agentes'!$C:$D,2,0)</f>
        <v/>
      </c>
      <c r="AF1214" s="5">
        <f>F1217</f>
        <v/>
      </c>
      <c r="AG1214" s="5">
        <f>H1217</f>
        <v/>
      </c>
    </row>
    <row r="1215">
      <c r="A1215" s="1" t="n"/>
      <c r="F1215" s="2" t="n"/>
      <c r="H1215" s="2" t="n"/>
      <c r="AC1215" t="n">
        <v>2</v>
      </c>
      <c r="AD1215" s="3">
        <f>UPPER(C1218)</f>
        <v/>
      </c>
      <c r="AE1215" s="3">
        <f>VLOOKUP(E1218,'[1]Nómina Agentes'!$C:$D,2,0)</f>
        <v/>
      </c>
      <c r="AF1215" s="5">
        <f>F1218</f>
        <v/>
      </c>
      <c r="AG1215" s="5">
        <f>H1218</f>
        <v/>
      </c>
    </row>
    <row r="1216">
      <c r="A1216" s="1" t="n"/>
      <c r="F1216" s="2" t="n"/>
      <c r="H1216" s="2" t="n"/>
      <c r="AC1216" t="n">
        <v>3</v>
      </c>
      <c r="AD1216" s="3">
        <f>UPPER(C1219)</f>
        <v/>
      </c>
      <c r="AE1216" s="3">
        <f>VLOOKUP(E1219,'[1]Nómina Agentes'!$C:$D,2,0)</f>
        <v/>
      </c>
      <c r="AF1216" s="5">
        <f>F1219</f>
        <v/>
      </c>
      <c r="AG1216" s="5">
        <f>H1219</f>
        <v/>
      </c>
    </row>
    <row r="1217">
      <c r="A1217" s="1" t="n"/>
      <c r="F1217" s="2" t="n"/>
      <c r="H1217" s="2" t="n"/>
      <c r="AC1217" t="n">
        <v>2</v>
      </c>
      <c r="AD1217" s="3">
        <f>UPPER(C1220)</f>
        <v/>
      </c>
      <c r="AE1217" s="3">
        <f>VLOOKUP(E1220,'[1]Nómina Agentes'!$C:$D,2,0)</f>
        <v/>
      </c>
      <c r="AF1217" s="5">
        <f>F1220</f>
        <v/>
      </c>
      <c r="AG1217" s="5">
        <f>H1220</f>
        <v/>
      </c>
    </row>
    <row r="1218">
      <c r="A1218" s="1" t="n"/>
      <c r="F1218" s="2" t="n"/>
      <c r="H1218" s="2" t="n"/>
      <c r="AC1218" t="n">
        <v>2</v>
      </c>
      <c r="AD1218" s="3">
        <f>UPPER(C1221)</f>
        <v/>
      </c>
      <c r="AE1218" s="3">
        <f>VLOOKUP(E1221,'[1]Nómina Agentes'!$C:$D,2,0)</f>
        <v/>
      </c>
      <c r="AF1218" s="5">
        <f>F1221</f>
        <v/>
      </c>
      <c r="AG1218" s="5">
        <f>H1221</f>
        <v/>
      </c>
    </row>
    <row r="1219">
      <c r="A1219" s="1" t="n"/>
      <c r="F1219" s="2" t="n"/>
      <c r="H1219" s="2" t="n"/>
      <c r="AC1219" t="n">
        <v>4</v>
      </c>
      <c r="AD1219" s="3">
        <f>UPPER(C1222)</f>
        <v/>
      </c>
      <c r="AE1219" s="3">
        <f>VLOOKUP(E1222,'[1]Nómina Agentes'!$C:$D,2,0)</f>
        <v/>
      </c>
      <c r="AF1219" s="5">
        <f>F1222</f>
        <v/>
      </c>
      <c r="AG1219" s="5">
        <f>H1222</f>
        <v/>
      </c>
    </row>
    <row r="1220">
      <c r="A1220" s="1" t="n"/>
      <c r="F1220" s="2" t="n"/>
      <c r="H1220" s="2" t="n"/>
      <c r="AC1220" t="n">
        <v>3</v>
      </c>
      <c r="AD1220" s="3">
        <f>UPPER(C1223)</f>
        <v/>
      </c>
      <c r="AE1220" s="3">
        <f>VLOOKUP(E1223,'[1]Nómina Agentes'!$C:$D,2,0)</f>
        <v/>
      </c>
      <c r="AF1220" s="5">
        <f>F1223</f>
        <v/>
      </c>
      <c r="AG1220" s="5">
        <f>H1223</f>
        <v/>
      </c>
    </row>
    <row r="1221">
      <c r="A1221" s="1" t="n"/>
      <c r="F1221" s="2" t="n"/>
      <c r="H1221" s="2" t="n"/>
      <c r="AC1221" t="n">
        <v>4</v>
      </c>
      <c r="AD1221" s="3">
        <f>UPPER(C1224)</f>
        <v/>
      </c>
      <c r="AE1221" s="3">
        <f>VLOOKUP(E1224,'[1]Nómina Agentes'!$C:$D,2,0)</f>
        <v/>
      </c>
      <c r="AF1221" s="5">
        <f>F1224</f>
        <v/>
      </c>
      <c r="AG1221" s="5">
        <f>H1224</f>
        <v/>
      </c>
    </row>
    <row r="1222">
      <c r="A1222" s="1" t="n"/>
      <c r="F1222" s="2" t="n"/>
      <c r="H1222" s="2" t="n"/>
      <c r="AC1222" t="n">
        <v>3</v>
      </c>
      <c r="AD1222" s="3">
        <f>UPPER(C1225)</f>
        <v/>
      </c>
      <c r="AE1222" s="3">
        <f>VLOOKUP(E1225,'[1]Nómina Agentes'!$C:$D,2,0)</f>
        <v/>
      </c>
      <c r="AF1222" s="5">
        <f>F1225</f>
        <v/>
      </c>
      <c r="AG1222" s="5">
        <f>H1225</f>
        <v/>
      </c>
    </row>
    <row r="1223">
      <c r="A1223" s="1" t="n"/>
      <c r="F1223" s="2" t="n"/>
      <c r="H1223" s="2" t="n"/>
      <c r="AC1223" t="n">
        <v>2</v>
      </c>
      <c r="AD1223" s="3">
        <f>UPPER(C1226)</f>
        <v/>
      </c>
      <c r="AE1223" s="3">
        <f>VLOOKUP(E1226,'[1]Nómina Agentes'!$C:$D,2,0)</f>
        <v/>
      </c>
      <c r="AF1223" s="5">
        <f>F1226</f>
        <v/>
      </c>
      <c r="AG1223" s="5">
        <f>H1226</f>
        <v/>
      </c>
    </row>
  </sheetData>
  <autoFilter ref="A1:AG623"/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2:K230"/>
  <sheetViews>
    <sheetView showGridLines="0" tabSelected="1" zoomScale="80" zoomScaleNormal="80" workbookViewId="0">
      <selection activeCell="H4" sqref="H4"/>
    </sheetView>
  </sheetViews>
  <sheetFormatPr baseColWidth="10" defaultRowHeight="14.4" outlineLevelCol="0"/>
  <cols>
    <col width="5.33203125" customWidth="1" min="1" max="1"/>
    <col width="28.109375" customWidth="1" min="2" max="2"/>
    <col width="46.88671875" customWidth="1" min="3" max="3"/>
    <col width="17.109375" bestFit="1" customWidth="1" min="4" max="4"/>
    <col width="6.88671875" bestFit="1" customWidth="1" min="5" max="5"/>
    <col width="14.44140625" customWidth="1" min="6" max="6"/>
    <col width="13.44140625" bestFit="1" customWidth="1" min="8" max="8"/>
    <col width="38.5546875" customWidth="1" min="9" max="9"/>
  </cols>
  <sheetData>
    <row r="1" ht="12" customHeight="1"/>
    <row r="2">
      <c r="A2" s="6" t="n"/>
      <c r="B2" s="6" t="n"/>
      <c r="C2" s="6" t="n"/>
      <c r="D2" s="6" t="n"/>
      <c r="E2" s="6" t="n"/>
      <c r="F2" s="6" t="n"/>
    </row>
    <row r="3" ht="25.95" customHeight="1">
      <c r="A3" s="6" t="n"/>
      <c r="B3" s="7" t="inlineStr">
        <is>
          <t>OPERADORES S2S - CSV MERA</t>
        </is>
      </c>
      <c r="C3" s="7" t="n"/>
      <c r="D3" s="6" t="n"/>
      <c r="E3" s="6" t="n"/>
      <c r="F3" s="6" t="n"/>
    </row>
    <row r="4" ht="14.4" customHeight="1">
      <c r="A4" s="6" t="n"/>
      <c r="B4" s="7" t="n"/>
      <c r="C4" s="7" t="n"/>
      <c r="D4" s="6" t="n"/>
      <c r="E4" s="6" t="n"/>
      <c r="F4" s="6" t="n"/>
    </row>
    <row r="5">
      <c r="A5" s="6" t="n"/>
      <c r="B5" s="6" t="n"/>
      <c r="C5" s="6" t="n"/>
      <c r="D5" s="6" t="n"/>
      <c r="E5" s="6" t="n"/>
      <c r="F5" s="6" t="n"/>
    </row>
    <row r="8">
      <c r="B8" s="9" t="inlineStr">
        <is>
          <t>PCRC</t>
        </is>
      </c>
      <c r="C8" s="9" t="inlineStr">
        <is>
          <t>OPERADOR</t>
        </is>
      </c>
      <c r="D8" s="9" t="inlineStr">
        <is>
          <t>Cod. Agente</t>
        </is>
      </c>
      <c r="E8" s="9" t="inlineStr">
        <is>
          <t>Ll. ACD</t>
        </is>
      </c>
      <c r="F8" s="9" t="inlineStr">
        <is>
          <t>LOGUEO</t>
        </is>
      </c>
      <c r="G8" s="9" t="inlineStr">
        <is>
          <t>Q. Ventas</t>
        </is>
      </c>
      <c r="H8" s="9" t="inlineStr">
        <is>
          <t>vma</t>
        </is>
      </c>
      <c r="I8" s="9" t="inlineStr">
        <is>
          <t>Supervisor</t>
        </is>
      </c>
    </row>
    <row r="9">
      <c r="B9" s="13" t="inlineStr">
        <is>
          <t>S2S NO PREMIUM</t>
        </is>
      </c>
      <c r="C9" s="13" t="inlineStr">
        <is>
          <t>ACOSTA AYELEN</t>
        </is>
      </c>
      <c r="D9" s="13" t="n">
        <v>605502</v>
      </c>
      <c r="E9" s="13" t="n">
        <v>3</v>
      </c>
      <c r="F9" s="13">
        <f t="array" ref="F9">(CONCATENATE(TEXT(MIN(IF('Base Avaya'!$E:$E='Operadores S2S'!$D9,'Base Avaya'!$AF:$AF)),"hh:mm")," - ",TEXT(MAX(IF('Base Avaya'!$E:$E='Operadores S2S'!$D9,'Base Avaya'!$AG:$AG)),"hh:mm")))</f>
        <v/>
      </c>
      <c r="G9" s="13" t="n"/>
      <c r="H9" s="13">
        <f>VLOOKUP(C9,'[1]Nómina Agentes'!$D:$AU,44,0)</f>
        <v/>
      </c>
      <c r="I9" s="13">
        <f>VLOOKUP(C9,'[1]Nómina Agentes'!$D$4:$H$473,5,0)</f>
        <v/>
      </c>
    </row>
    <row r="10">
      <c r="B10" s="13" t="inlineStr">
        <is>
          <t>S2S NO PREMIUM</t>
        </is>
      </c>
      <c r="C10" s="13" t="inlineStr">
        <is>
          <t>ACOSTA SEBASTIAN</t>
        </is>
      </c>
      <c r="D10" s="13" t="n">
        <v>606264</v>
      </c>
      <c r="E10" s="13" t="n">
        <v>10</v>
      </c>
      <c r="F10" s="13">
        <f t="array" ref="F10">(CONCATENATE(TEXT(MIN(IF('Base Avaya'!$E:$E='Operadores S2S'!$D10,'Base Avaya'!$AF:$AF)),"hh:mm")," - ",TEXT(MAX(IF('Base Avaya'!$E:$E='Operadores S2S'!$D10,'Base Avaya'!$AG:$AG)),"hh:mm")))</f>
        <v/>
      </c>
      <c r="G10" s="13" t="n"/>
      <c r="H10" s="13">
        <f>VLOOKUP(C10,'[1]Nómina Agentes'!$D:$AU,44,0)</f>
        <v/>
      </c>
      <c r="I10" s="13">
        <f>VLOOKUP(C10,'[1]Nómina Agentes'!$D$4:$H$473,5,0)</f>
        <v/>
      </c>
    </row>
    <row r="11">
      <c r="B11" s="13" t="inlineStr">
        <is>
          <t>S2S NO PREMIUM</t>
        </is>
      </c>
      <c r="C11" s="14" t="inlineStr">
        <is>
          <t>ALMIRON LUCIANA AYELEN</t>
        </is>
      </c>
      <c r="D11" s="14" t="n">
        <v>606470</v>
      </c>
      <c r="E11" s="13" t="n">
        <v>28</v>
      </c>
      <c r="F11" s="13">
        <f t="array" ref="F11">(CONCATENATE(TEXT(MIN(IF('Base Avaya'!$E:$E='Operadores S2S'!$D11,'Base Avaya'!$AF:$AF)),"hh:mm")," - ",TEXT(MAX(IF('Base Avaya'!$E:$E='Operadores S2S'!$D11,'Base Avaya'!$AG:$AG)),"hh:mm")))</f>
        <v/>
      </c>
      <c r="G11" s="13" t="n"/>
      <c r="H11" s="13">
        <f>VLOOKUP(C11,'[1]Nómina Agentes'!$D:$AU,44,0)</f>
        <v/>
      </c>
      <c r="I11" s="13">
        <f>VLOOKUP(C11,'[1]Nómina Agentes'!$D$4:$H$473,5,0)</f>
        <v/>
      </c>
    </row>
    <row r="12">
      <c r="B12" s="13" t="inlineStr">
        <is>
          <t>S2S NO PREMIUM</t>
        </is>
      </c>
      <c r="C12" s="14" t="inlineStr">
        <is>
          <t>AMUNDARREY JOAQUIN LEONEL</t>
        </is>
      </c>
      <c r="D12" s="14" t="n">
        <v>665673</v>
      </c>
      <c r="E12" s="13" t="n">
        <v>8</v>
      </c>
      <c r="F12" s="13">
        <f t="array" ref="F12">(CONCATENATE(TEXT(MIN(IF('Base Avaya'!$E:$E='Operadores S2S'!$D12,'Base Avaya'!$AF:$AF)),"hh:mm")," - ",TEXT(MAX(IF('Base Avaya'!$E:$E='Operadores S2S'!$D12,'Base Avaya'!$AG:$AG)),"hh:mm")))</f>
        <v/>
      </c>
      <c r="G12" s="13" t="n"/>
      <c r="H12" s="13">
        <f>VLOOKUP(C12,'[1]Nómina Agentes'!$D:$AU,44,0)</f>
        <v/>
      </c>
      <c r="I12" s="13">
        <f>VLOOKUP(C12,'[1]Nómina Agentes'!$D$4:$H$473,5,0)</f>
        <v/>
      </c>
    </row>
    <row r="13">
      <c r="B13" s="13" t="inlineStr">
        <is>
          <t>S2S NO PREMIUM</t>
        </is>
      </c>
      <c r="C13" s="14" t="inlineStr">
        <is>
          <t>ANDRZEYEVSKI NICOLOSI CAMILA BELEN</t>
        </is>
      </c>
      <c r="D13" s="14" t="n">
        <v>606649</v>
      </c>
      <c r="E13" s="13" t="n">
        <v>7</v>
      </c>
      <c r="F13" s="13">
        <f t="array" ref="F13">(CONCATENATE(TEXT(MIN(IF('Base Avaya'!$E:$E='Operadores S2S'!$D13,'Base Avaya'!$AF:$AF)),"hh:mm")," - ",TEXT(MAX(IF('Base Avaya'!$E:$E='Operadores S2S'!$D13,'Base Avaya'!$AG:$AG)),"hh:mm")))</f>
        <v/>
      </c>
      <c r="G13" s="13" t="n"/>
      <c r="H13" s="13">
        <f>VLOOKUP(C13,'[1]Nómina Agentes'!$D:$AU,44,0)</f>
        <v/>
      </c>
      <c r="I13" s="13">
        <f>VLOOKUP(C13,'[1]Nómina Agentes'!$D$4:$H$473,5,0)</f>
        <v/>
      </c>
    </row>
    <row r="14">
      <c r="B14" s="13" t="inlineStr">
        <is>
          <t>S2S NO PREMIUM</t>
        </is>
      </c>
      <c r="C14" s="14" t="inlineStr">
        <is>
          <t>BARROJO FEDERICO ALEJANDRO</t>
        </is>
      </c>
      <c r="D14" s="14" t="n">
        <v>606507</v>
      </c>
      <c r="E14" s="13" t="n">
        <v>17</v>
      </c>
      <c r="F14" s="13">
        <f t="array" ref="F14">(CONCATENATE(TEXT(MIN(IF('Base Avaya'!$E:$E='Operadores S2S'!$D14,'Base Avaya'!$AF:$AF)),"hh:mm")," - ",TEXT(MAX(IF('Base Avaya'!$E:$E='Operadores S2S'!$D14,'Base Avaya'!$AG:$AG)),"hh:mm")))</f>
        <v/>
      </c>
      <c r="G14" s="13" t="n"/>
      <c r="H14" s="13">
        <f>VLOOKUP(C14,'[1]Nómina Agentes'!$D:$AU,44,0)</f>
        <v/>
      </c>
      <c r="I14" s="13">
        <f>VLOOKUP(C14,'[1]Nómina Agentes'!$D$4:$H$473,5,0)</f>
        <v/>
      </c>
    </row>
    <row r="15">
      <c r="B15" s="13" t="inlineStr">
        <is>
          <t>S2S NO PREMIUM</t>
        </is>
      </c>
      <c r="C15" s="14" t="inlineStr">
        <is>
          <t>BELCHIOR MEDINACELLI LUZ MARIA</t>
        </is>
      </c>
      <c r="D15" s="14" t="n">
        <v>606408</v>
      </c>
      <c r="E15" s="13" t="n">
        <v>12</v>
      </c>
      <c r="F15" s="13">
        <f t="array" ref="F15">(CONCATENATE(TEXT(MIN(IF('Base Avaya'!$E:$E='Operadores S2S'!$D15,'Base Avaya'!$AF:$AF)),"hh:mm")," - ",TEXT(MAX(IF('Base Avaya'!$E:$E='Operadores S2S'!$D15,'Base Avaya'!$AG:$AG)),"hh:mm")))</f>
        <v/>
      </c>
      <c r="G15" s="13" t="n"/>
      <c r="H15" s="13">
        <f>VLOOKUP(C15,'[1]Nómina Agentes'!$D:$AU,44,0)</f>
        <v/>
      </c>
      <c r="I15" s="13">
        <f>VLOOKUP(C15,'[1]Nómina Agentes'!$D$4:$H$473,5,0)</f>
        <v/>
      </c>
    </row>
    <row r="16">
      <c r="B16" s="13" t="inlineStr">
        <is>
          <t>S2S NO PREMIUM</t>
        </is>
      </c>
      <c r="C16" s="14" t="inlineStr">
        <is>
          <t>BERTUCCI AGOSTINA</t>
        </is>
      </c>
      <c r="D16" s="14" t="n">
        <v>605591</v>
      </c>
      <c r="E16" s="13" t="n">
        <v>5</v>
      </c>
      <c r="F16" s="13">
        <f t="array" ref="F16">(CONCATENATE(TEXT(MIN(IF('Base Avaya'!$E:$E='Operadores S2S'!$D16,'Base Avaya'!$AF:$AF)),"hh:mm")," - ",TEXT(MAX(IF('Base Avaya'!$E:$E='Operadores S2S'!$D16,'Base Avaya'!$AG:$AG)),"hh:mm")))</f>
        <v/>
      </c>
      <c r="G16" s="13" t="n"/>
      <c r="H16" s="13">
        <f>VLOOKUP(C16,'[1]Nómina Agentes'!$D:$AU,44,0)</f>
        <v/>
      </c>
      <c r="I16" s="13">
        <f>VLOOKUP(C16,'[1]Nómina Agentes'!$D$4:$H$473,5,0)</f>
        <v/>
      </c>
    </row>
    <row r="17">
      <c r="B17" s="13" t="inlineStr">
        <is>
          <t>S2S NO PREMIUM</t>
        </is>
      </c>
      <c r="C17" s="14" t="inlineStr">
        <is>
          <t>BURSESE MAITE PILAR</t>
        </is>
      </c>
      <c r="D17" s="14" t="n">
        <v>606443</v>
      </c>
      <c r="E17" s="13" t="n">
        <v>3</v>
      </c>
      <c r="F17" s="13">
        <f t="array" ref="F17">(CONCATENATE(TEXT(MIN(IF('Base Avaya'!$E:$E='Operadores S2S'!$D17,'Base Avaya'!$AF:$AF)),"hh:mm")," - ",TEXT(MAX(IF('Base Avaya'!$E:$E='Operadores S2S'!$D17,'Base Avaya'!$AG:$AG)),"hh:mm")))</f>
        <v/>
      </c>
      <c r="G17" s="13" t="n"/>
      <c r="H17" s="13">
        <f>VLOOKUP(C17,'[1]Nómina Agentes'!$D:$AU,44,0)</f>
        <v/>
      </c>
      <c r="I17" s="13">
        <f>VLOOKUP(C17,'[1]Nómina Agentes'!$D$4:$H$473,5,0)</f>
        <v/>
      </c>
    </row>
    <row r="18">
      <c r="B18" s="13" t="inlineStr">
        <is>
          <t>S2S NO PREMIUM</t>
        </is>
      </c>
      <c r="C18" s="14" t="inlineStr">
        <is>
          <t>CALAHUANA SILVANA</t>
        </is>
      </c>
      <c r="D18" s="14" t="n">
        <v>606371</v>
      </c>
      <c r="E18" s="13" t="n">
        <v>31</v>
      </c>
      <c r="F18" s="13">
        <f t="array" ref="F18">(CONCATENATE(TEXT(MIN(IF('Base Avaya'!$E:$E='Operadores S2S'!$D18,'Base Avaya'!$AF:$AF)),"hh:mm")," - ",TEXT(MAX(IF('Base Avaya'!$E:$E='Operadores S2S'!$D18,'Base Avaya'!$AG:$AG)),"hh:mm")))</f>
        <v/>
      </c>
      <c r="G18" s="13" t="n"/>
      <c r="H18" s="13">
        <f>VLOOKUP(C18,'[1]Nómina Agentes'!$D:$AU,44,0)</f>
        <v/>
      </c>
      <c r="I18" s="13">
        <f>VLOOKUP(C18,'[1]Nómina Agentes'!$D$4:$H$473,5,0)</f>
        <v/>
      </c>
    </row>
    <row r="19">
      <c r="B19" s="13" t="inlineStr">
        <is>
          <t>S2S NO PREMIUM</t>
        </is>
      </c>
      <c r="C19" s="14" t="inlineStr">
        <is>
          <t>CANTEROS JOHANNA ANAHI</t>
        </is>
      </c>
      <c r="D19" s="14" t="n">
        <v>606210</v>
      </c>
      <c r="E19" s="13" t="n">
        <v>30</v>
      </c>
      <c r="F19" s="13">
        <f t="array" ref="F19">(CONCATENATE(TEXT(MIN(IF('Base Avaya'!$E:$E='Operadores S2S'!$D19,'Base Avaya'!$AF:$AF)),"hh:mm")," - ",TEXT(MAX(IF('Base Avaya'!$E:$E='Operadores S2S'!$D19,'Base Avaya'!$AG:$AG)),"hh:mm")))</f>
        <v/>
      </c>
      <c r="G19" s="13" t="n"/>
      <c r="H19" s="13">
        <f>VLOOKUP(C19,'[1]Nómina Agentes'!$D:$AU,44,0)</f>
        <v/>
      </c>
      <c r="I19" s="13">
        <f>VLOOKUP(C19,'[1]Nómina Agentes'!$D$4:$H$473,5,0)</f>
        <v/>
      </c>
    </row>
    <row r="20">
      <c r="B20" s="13" t="inlineStr">
        <is>
          <t>S2S NO PREMIUM</t>
        </is>
      </c>
      <c r="C20" s="14" t="inlineStr">
        <is>
          <t>CASTILLO CUEVA LUCIANA</t>
        </is>
      </c>
      <c r="D20" s="14" t="n">
        <v>605901</v>
      </c>
      <c r="E20" s="13" t="n">
        <v>19</v>
      </c>
      <c r="F20" s="13">
        <f t="array" ref="F20">(CONCATENATE(TEXT(MIN(IF('Base Avaya'!$E:$E='Operadores S2S'!$D20,'Base Avaya'!$AF:$AF)),"hh:mm")," - ",TEXT(MAX(IF('Base Avaya'!$E:$E='Operadores S2S'!$D20,'Base Avaya'!$AG:$AG)),"hh:mm")))</f>
        <v/>
      </c>
      <c r="G20" s="13" t="n"/>
      <c r="H20" s="13">
        <f>VLOOKUP(C20,'[1]Nómina Agentes'!$D:$AU,44,0)</f>
        <v/>
      </c>
      <c r="I20" s="13">
        <f>VLOOKUP(C20,'[1]Nómina Agentes'!$D$4:$H$473,5,0)</f>
        <v/>
      </c>
    </row>
    <row r="21">
      <c r="B21" s="13" t="inlineStr">
        <is>
          <t>S2S NO PREMIUM</t>
        </is>
      </c>
      <c r="C21" s="14" t="inlineStr">
        <is>
          <t>CASTRO CRISTIAN NICOLAS</t>
        </is>
      </c>
      <c r="D21" s="14" t="n">
        <v>605774</v>
      </c>
      <c r="E21" s="13" t="n">
        <v>46</v>
      </c>
      <c r="F21" s="13">
        <f t="array" ref="F21">(CONCATENATE(TEXT(MIN(IF('Base Avaya'!$E:$E='Operadores S2S'!$D21,'Base Avaya'!$AF:$AF)),"hh:mm")," - ",TEXT(MAX(IF('Base Avaya'!$E:$E='Operadores S2S'!$D21,'Base Avaya'!$AG:$AG)),"hh:mm")))</f>
        <v/>
      </c>
      <c r="G21" s="13" t="n"/>
      <c r="H21" s="13">
        <f>VLOOKUP(C21,'[1]Nómina Agentes'!$D:$AU,44,0)</f>
        <v/>
      </c>
      <c r="I21" s="13">
        <f>VLOOKUP(C21,'[1]Nómina Agentes'!$D$4:$H$473,5,0)</f>
        <v/>
      </c>
    </row>
    <row r="22">
      <c r="B22" s="13" t="inlineStr">
        <is>
          <t>S2S NO PREMIUM</t>
        </is>
      </c>
      <c r="C22" s="14" t="inlineStr">
        <is>
          <t>CEJAS MAYRA</t>
        </is>
      </c>
      <c r="D22" s="14" t="n">
        <v>606031</v>
      </c>
      <c r="E22" s="13" t="n">
        <v>14</v>
      </c>
      <c r="F22" s="13">
        <f t="array" ref="F22">(CONCATENATE(TEXT(MIN(IF('Base Avaya'!$E:$E='Operadores S2S'!$D22,'Base Avaya'!$AF:$AF)),"hh:mm")," - ",TEXT(MAX(IF('Base Avaya'!$E:$E='Operadores S2S'!$D22,'Base Avaya'!$AG:$AG)),"hh:mm")))</f>
        <v/>
      </c>
      <c r="G22" s="13" t="n"/>
      <c r="H22" s="13">
        <f>VLOOKUP(C22,'[1]Nómina Agentes'!$D:$AU,44,0)</f>
        <v/>
      </c>
      <c r="I22" s="13">
        <f>VLOOKUP(C22,'[1]Nómina Agentes'!$D$4:$H$473,5,0)</f>
        <v/>
      </c>
    </row>
    <row r="23">
      <c r="B23" s="13" t="inlineStr">
        <is>
          <t>S2S NO PREMIUM</t>
        </is>
      </c>
      <c r="C23" s="14" t="inlineStr">
        <is>
          <t>COLMENARES EMILY</t>
        </is>
      </c>
      <c r="D23" s="14" t="n">
        <v>606645</v>
      </c>
      <c r="E23" s="13" t="n">
        <v>32</v>
      </c>
      <c r="F23" s="13">
        <f t="array" ref="F23">(CONCATENATE(TEXT(MIN(IF('Base Avaya'!$E:$E='Operadores S2S'!$D23,'Base Avaya'!$AF:$AF)),"hh:mm")," - ",TEXT(MAX(IF('Base Avaya'!$E:$E='Operadores S2S'!$D23,'Base Avaya'!$AG:$AG)),"hh:mm")))</f>
        <v/>
      </c>
      <c r="G23" s="13" t="n"/>
      <c r="H23" s="13">
        <f>VLOOKUP(C23,'[1]Nómina Agentes'!$D:$AU,44,0)</f>
        <v/>
      </c>
      <c r="I23" s="13">
        <f>VLOOKUP(C23,'[1]Nómina Agentes'!$D$4:$H$473,5,0)</f>
        <v/>
      </c>
    </row>
    <row r="24">
      <c r="B24" s="13" t="inlineStr">
        <is>
          <t>S2S NO PREMIUM</t>
        </is>
      </c>
      <c r="C24" s="14" t="inlineStr">
        <is>
          <t>CUBILLA MARLENE ARACELI</t>
        </is>
      </c>
      <c r="D24" s="14" t="n">
        <v>605676</v>
      </c>
      <c r="E24" s="13" t="n">
        <v>1</v>
      </c>
      <c r="F24" s="13">
        <f t="array" ref="F24">(CONCATENATE(TEXT(MIN(IF('Base Avaya'!$E:$E='Operadores S2S'!$D24,'Base Avaya'!$AF:$AF)),"hh:mm")," - ",TEXT(MAX(IF('Base Avaya'!$E:$E='Operadores S2S'!$D24,'Base Avaya'!$AG:$AG)),"hh:mm")))</f>
        <v/>
      </c>
      <c r="G24" s="13" t="n"/>
      <c r="H24" s="13">
        <f>VLOOKUP(C24,'[1]Nómina Agentes'!$D:$AU,44,0)</f>
        <v/>
      </c>
      <c r="I24" s="13">
        <f>VLOOKUP(C24,'[1]Nómina Agentes'!$D$4:$H$473,5,0)</f>
        <v/>
      </c>
    </row>
    <row r="25">
      <c r="B25" s="13" t="inlineStr">
        <is>
          <t>S2S NO PREMIUM</t>
        </is>
      </c>
      <c r="C25" s="14" t="inlineStr">
        <is>
          <t>DURO CANDELA MILAGROS</t>
        </is>
      </c>
      <c r="D25" s="14" t="n">
        <v>606249</v>
      </c>
      <c r="E25" s="13" t="n">
        <v>42</v>
      </c>
      <c r="F25" s="13">
        <f t="array" ref="F25">(CONCATENATE(TEXT(MIN(IF('Base Avaya'!$E:$E='Operadores S2S'!$D25,'Base Avaya'!$AF:$AF)),"hh:mm")," - ",TEXT(MAX(IF('Base Avaya'!$E:$E='Operadores S2S'!$D25,'Base Avaya'!$AG:$AG)),"hh:mm")))</f>
        <v/>
      </c>
      <c r="G25" s="13" t="n"/>
      <c r="H25" s="13">
        <f>VLOOKUP(C25,'[1]Nómina Agentes'!$D:$AU,44,0)</f>
        <v/>
      </c>
      <c r="I25" s="13">
        <f>VLOOKUP(C25,'[1]Nómina Agentes'!$D$4:$H$473,5,0)</f>
        <v/>
      </c>
    </row>
    <row r="26">
      <c r="B26" s="13" t="inlineStr">
        <is>
          <t>S2S NO PREMIUM</t>
        </is>
      </c>
      <c r="C26" s="14" t="inlineStr">
        <is>
          <t>ESPINOZA CIELO</t>
        </is>
      </c>
      <c r="D26" s="14" t="n">
        <v>605882</v>
      </c>
      <c r="E26" s="13" t="n">
        <v>15</v>
      </c>
      <c r="F26" s="13">
        <f t="array" ref="F26">(CONCATENATE(TEXT(MIN(IF('Base Avaya'!$E:$E='Operadores S2S'!$D26,'Base Avaya'!$AF:$AF)),"hh:mm")," - ",TEXT(MAX(IF('Base Avaya'!$E:$E='Operadores S2S'!$D26,'Base Avaya'!$AG:$AG)),"hh:mm")))</f>
        <v/>
      </c>
      <c r="G26" s="13" t="n"/>
      <c r="H26" s="13">
        <f>VLOOKUP(C26,'[1]Nómina Agentes'!$D:$AU,44,0)</f>
        <v/>
      </c>
      <c r="I26" s="13">
        <f>VLOOKUP(C26,'[1]Nómina Agentes'!$D$4:$H$473,5,0)</f>
        <v/>
      </c>
    </row>
    <row r="27">
      <c r="B27" s="13" t="inlineStr">
        <is>
          <t>S2S NO PREMIUM</t>
        </is>
      </c>
      <c r="C27" s="14" t="inlineStr">
        <is>
          <t>FONFRIA VALENTINO</t>
        </is>
      </c>
      <c r="D27" s="14" t="n">
        <v>606030</v>
      </c>
      <c r="E27" s="13" t="n">
        <v>2</v>
      </c>
      <c r="F27" s="13">
        <f t="array" ref="F27">(CONCATENATE(TEXT(MIN(IF('Base Avaya'!$E:$E='Operadores S2S'!$D27,'Base Avaya'!$AF:$AF)),"hh:mm")," - ",TEXT(MAX(IF('Base Avaya'!$E:$E='Operadores S2S'!$D27,'Base Avaya'!$AG:$AG)),"hh:mm")))</f>
        <v/>
      </c>
      <c r="G27" s="13" t="n"/>
      <c r="H27" s="13">
        <f>VLOOKUP(C27,'[1]Nómina Agentes'!$D:$AU,44,0)</f>
        <v/>
      </c>
      <c r="I27" s="13">
        <f>VLOOKUP(C27,'[1]Nómina Agentes'!$D$4:$H$473,5,0)</f>
        <v/>
      </c>
    </row>
    <row r="28">
      <c r="B28" s="13" t="inlineStr">
        <is>
          <t>S2S NO PREMIUM</t>
        </is>
      </c>
      <c r="C28" s="13" t="inlineStr">
        <is>
          <t>FRAGALE PABLO DANIEL</t>
        </is>
      </c>
      <c r="D28" s="13" t="n">
        <v>606558</v>
      </c>
      <c r="E28" s="13" t="n">
        <v>4</v>
      </c>
      <c r="F28" s="13">
        <f t="array" ref="F28">(CONCATENATE(TEXT(MIN(IF('Base Avaya'!$E:$E='Operadores S2S'!$D28,'Base Avaya'!$AF:$AF)),"hh:mm")," - ",TEXT(MAX(IF('Base Avaya'!$E:$E='Operadores S2S'!$D28,'Base Avaya'!$AG:$AG)),"hh:mm")))</f>
        <v/>
      </c>
      <c r="G28" s="13" t="n"/>
      <c r="H28" s="13">
        <f>VLOOKUP(C28,'[1]Nómina Agentes'!$D:$AU,44,0)</f>
        <v/>
      </c>
      <c r="I28" s="13">
        <f>VLOOKUP(C28,'[1]Nómina Agentes'!$D$4:$H$473,5,0)</f>
        <v/>
      </c>
    </row>
    <row r="29">
      <c r="B29" s="13" t="inlineStr">
        <is>
          <t>S2S NO PREMIUM</t>
        </is>
      </c>
      <c r="C29" s="14" t="inlineStr">
        <is>
          <t>FRIAS BRENDA ANTONELA</t>
        </is>
      </c>
      <c r="D29" s="14" t="n">
        <v>605768</v>
      </c>
      <c r="E29" s="13" t="n">
        <v>6</v>
      </c>
      <c r="F29" s="13">
        <f t="array" ref="F29">(CONCATENATE(TEXT(MIN(IF('Base Avaya'!$E:$E='Operadores S2S'!$D29,'Base Avaya'!$AF:$AF)),"hh:mm")," - ",TEXT(MAX(IF('Base Avaya'!$E:$E='Operadores S2S'!$D29,'Base Avaya'!$AG:$AG)),"hh:mm")))</f>
        <v/>
      </c>
      <c r="G29" s="13" t="n"/>
      <c r="H29" s="13">
        <f>VLOOKUP(C29,'[1]Nómina Agentes'!$D:$AU,44,0)</f>
        <v/>
      </c>
      <c r="I29" s="13">
        <f>VLOOKUP(C29,'[1]Nómina Agentes'!$D$4:$H$473,5,0)</f>
        <v/>
      </c>
    </row>
    <row r="30">
      <c r="B30" s="13" t="inlineStr">
        <is>
          <t>S2S NO PREMIUM</t>
        </is>
      </c>
      <c r="C30" s="14" t="inlineStr">
        <is>
          <t>GAYO MATIAS FEDERICO</t>
        </is>
      </c>
      <c r="D30" s="14" t="n">
        <v>606401</v>
      </c>
      <c r="E30" s="13" t="n">
        <v>40</v>
      </c>
      <c r="F30" s="13">
        <f t="array" ref="F30">(CONCATENATE(TEXT(MIN(IF('Base Avaya'!$E:$E='Operadores S2S'!$D30,'Base Avaya'!$AF:$AF)),"hh:mm")," - ",TEXT(MAX(IF('Base Avaya'!$E:$E='Operadores S2S'!$D30,'Base Avaya'!$AG:$AG)),"hh:mm")))</f>
        <v/>
      </c>
      <c r="G30" s="13" t="n"/>
      <c r="H30" s="13">
        <f>VLOOKUP(C30,'[1]Nómina Agentes'!$D:$AU,44,0)</f>
        <v/>
      </c>
      <c r="I30" s="13">
        <f>VLOOKUP(C30,'[1]Nómina Agentes'!$D$4:$H$473,5,0)</f>
        <v/>
      </c>
    </row>
    <row r="31">
      <c r="B31" s="13" t="inlineStr">
        <is>
          <t>S2S NO PREMIUM</t>
        </is>
      </c>
      <c r="C31" s="14" t="inlineStr">
        <is>
          <t>GIAVINO ALAN EMMANUEL</t>
        </is>
      </c>
      <c r="D31" s="14" t="n">
        <v>606488</v>
      </c>
      <c r="E31" s="13" t="n">
        <v>2</v>
      </c>
      <c r="F31" s="13">
        <f t="array" ref="F31">(CONCATENATE(TEXT(MIN(IF('Base Avaya'!$E:$E='Operadores S2S'!$D31,'Base Avaya'!$AF:$AF)),"hh:mm")," - ",TEXT(MAX(IF('Base Avaya'!$E:$E='Operadores S2S'!$D31,'Base Avaya'!$AG:$AG)),"hh:mm")))</f>
        <v/>
      </c>
      <c r="G31" s="13" t="n"/>
      <c r="H31" s="13">
        <f>VLOOKUP(C31,'[1]Nómina Agentes'!$D:$AU,44,0)</f>
        <v/>
      </c>
      <c r="I31" s="13">
        <f>VLOOKUP(C31,'[1]Nómina Agentes'!$D$4:$H$473,5,0)</f>
        <v/>
      </c>
    </row>
    <row r="32">
      <c r="B32" s="13" t="inlineStr">
        <is>
          <t>S2S NO PREMIUM</t>
        </is>
      </c>
      <c r="C32" s="14" t="inlineStr">
        <is>
          <t>GOMEZ BRUNO NAHUEL</t>
        </is>
      </c>
      <c r="D32" s="14" t="n">
        <v>606216</v>
      </c>
      <c r="E32" s="13" t="n">
        <v>3</v>
      </c>
      <c r="F32" s="13">
        <f t="array" ref="F32">(CONCATENATE(TEXT(MIN(IF('Base Avaya'!$E:$E='Operadores S2S'!$D32,'Base Avaya'!$AF:$AF)),"hh:mm")," - ",TEXT(MAX(IF('Base Avaya'!$E:$E='Operadores S2S'!$D32,'Base Avaya'!$AG:$AG)),"hh:mm")))</f>
        <v/>
      </c>
      <c r="G32" s="13" t="n"/>
      <c r="H32" s="13">
        <f>VLOOKUP(C32,'[1]Nómina Agentes'!$D:$AU,44,0)</f>
        <v/>
      </c>
      <c r="I32" s="13">
        <f>VLOOKUP(C32,'[1]Nómina Agentes'!$D$4:$H$473,5,0)</f>
        <v/>
      </c>
    </row>
    <row r="33">
      <c r="B33" s="13" t="inlineStr">
        <is>
          <t>S2S NO PREMIUM</t>
        </is>
      </c>
      <c r="C33" s="14" t="inlineStr">
        <is>
          <t>GOMEZ CESAR NAHUEL</t>
        </is>
      </c>
      <c r="D33" s="14" t="n">
        <v>606411</v>
      </c>
      <c r="E33" s="13" t="n">
        <v>45</v>
      </c>
      <c r="F33" s="13">
        <f t="array" ref="F33">(CONCATENATE(TEXT(MIN(IF('Base Avaya'!$E:$E='Operadores S2S'!$D33,'Base Avaya'!$AF:$AF)),"hh:mm")," - ",TEXT(MAX(IF('Base Avaya'!$E:$E='Operadores S2S'!$D33,'Base Avaya'!$AG:$AG)),"hh:mm")))</f>
        <v/>
      </c>
      <c r="G33" s="13" t="n"/>
      <c r="H33" s="13">
        <f>VLOOKUP(C33,'[1]Nómina Agentes'!$D:$AU,44,0)</f>
        <v/>
      </c>
      <c r="I33" s="13">
        <f>VLOOKUP(C33,'[1]Nómina Agentes'!$D$4:$H$473,5,0)</f>
        <v/>
      </c>
    </row>
    <row r="34">
      <c r="B34" s="13" t="inlineStr">
        <is>
          <t>S2S NO PREMIUM</t>
        </is>
      </c>
      <c r="C34" s="14" t="inlineStr">
        <is>
          <t>GONSALEZ EMILIANO SEBASTIAN</t>
        </is>
      </c>
      <c r="D34" s="14" t="n">
        <v>606391</v>
      </c>
      <c r="E34" s="13" t="n">
        <v>19</v>
      </c>
      <c r="F34" s="13">
        <f t="array" ref="F34">(CONCATENATE(TEXT(MIN(IF('Base Avaya'!$E:$E='Operadores S2S'!$D34,'Base Avaya'!$AF:$AF)),"hh:mm")," - ",TEXT(MAX(IF('Base Avaya'!$E:$E='Operadores S2S'!$D34,'Base Avaya'!$AG:$AG)),"hh:mm")))</f>
        <v/>
      </c>
      <c r="G34" s="13" t="n"/>
      <c r="H34" s="13">
        <f>VLOOKUP(C34,'[1]Nómina Agentes'!$D:$AU,44,0)</f>
        <v/>
      </c>
      <c r="I34" s="13">
        <f>VLOOKUP(C34,'[1]Nómina Agentes'!$D$4:$H$473,5,0)</f>
        <v/>
      </c>
    </row>
    <row r="35">
      <c r="B35" s="13" t="inlineStr">
        <is>
          <t>S2S NO PREMIUM</t>
        </is>
      </c>
      <c r="C35" s="14" t="inlineStr">
        <is>
          <t>GUTIERREZ BRISA CRISTAL</t>
        </is>
      </c>
      <c r="D35" s="14" t="n">
        <v>606481</v>
      </c>
      <c r="E35" s="13" t="n">
        <v>6</v>
      </c>
      <c r="F35" s="13">
        <f t="array" ref="F35">(CONCATENATE(TEXT(MIN(IF('Base Avaya'!$E:$E='Operadores S2S'!$D35,'Base Avaya'!$AF:$AF)),"hh:mm")," - ",TEXT(MAX(IF('Base Avaya'!$E:$E='Operadores S2S'!$D35,'Base Avaya'!$AG:$AG)),"hh:mm")))</f>
        <v/>
      </c>
      <c r="G35" s="13" t="n"/>
      <c r="H35" s="13">
        <f>VLOOKUP(C35,'[1]Nómina Agentes'!$D:$AU,44,0)</f>
        <v/>
      </c>
      <c r="I35" s="13">
        <f>VLOOKUP(C35,'[1]Nómina Agentes'!$D$4:$H$473,5,0)</f>
        <v/>
      </c>
    </row>
    <row r="36">
      <c r="B36" s="13" t="inlineStr">
        <is>
          <t>S2S NO PREMIUM</t>
        </is>
      </c>
      <c r="C36" s="13" t="inlineStr">
        <is>
          <t>LOPEZ CAROLINA</t>
        </is>
      </c>
      <c r="D36" s="13" t="n">
        <v>606291</v>
      </c>
      <c r="E36" s="13" t="n">
        <v>27</v>
      </c>
      <c r="F36" s="13">
        <f t="array" ref="F36">(CONCATENATE(TEXT(MIN(IF('Base Avaya'!$E:$E='Operadores S2S'!$D36,'Base Avaya'!$AF:$AF)),"hh:mm")," - ",TEXT(MAX(IF('Base Avaya'!$E:$E='Operadores S2S'!$D36,'Base Avaya'!$AG:$AG)),"hh:mm")))</f>
        <v/>
      </c>
      <c r="G36" s="13" t="n"/>
      <c r="H36" s="13">
        <f>VLOOKUP(C36,'[1]Nómina Agentes'!$D:$AU,44,0)</f>
        <v/>
      </c>
      <c r="I36" s="13">
        <f>VLOOKUP(C36,'[1]Nómina Agentes'!$D$4:$H$473,5,0)</f>
        <v/>
      </c>
    </row>
    <row r="37">
      <c r="B37" s="13" t="inlineStr">
        <is>
          <t>S2S NO PREMIUM</t>
        </is>
      </c>
      <c r="C37" s="14" t="inlineStr">
        <is>
          <t>MARTINEZ NORBERTO GUSTAVO</t>
        </is>
      </c>
      <c r="D37" s="14" t="n">
        <v>606359</v>
      </c>
      <c r="E37" s="13" t="n">
        <v>13</v>
      </c>
      <c r="F37" s="13">
        <f t="array" ref="F37">(CONCATENATE(TEXT(MIN(IF('Base Avaya'!$E:$E='Operadores S2S'!$D37,'Base Avaya'!$AF:$AF)),"hh:mm")," - ",TEXT(MAX(IF('Base Avaya'!$E:$E='Operadores S2S'!$D37,'Base Avaya'!$AG:$AG)),"hh:mm")))</f>
        <v/>
      </c>
      <c r="G37" s="13" t="n"/>
      <c r="H37" s="13">
        <f>VLOOKUP(C37,'[1]Nómina Agentes'!$D:$AU,44,0)</f>
        <v/>
      </c>
      <c r="I37" s="13">
        <f>VLOOKUP(C37,'[1]Nómina Agentes'!$D$4:$H$473,5,0)</f>
        <v/>
      </c>
    </row>
    <row r="38">
      <c r="B38" s="13" t="inlineStr">
        <is>
          <t>S2S NO PREMIUM</t>
        </is>
      </c>
      <c r="C38" s="14" t="inlineStr">
        <is>
          <t>MENDOZA NATALIA ELIZABETH</t>
        </is>
      </c>
      <c r="D38" s="14" t="n">
        <v>605511</v>
      </c>
      <c r="E38" s="13" t="n">
        <v>2</v>
      </c>
      <c r="F38" s="13">
        <f t="array" ref="F38">(CONCATENATE(TEXT(MIN(IF('Base Avaya'!$E:$E='Operadores S2S'!$D38,'Base Avaya'!$AF:$AF)),"hh:mm")," - ",TEXT(MAX(IF('Base Avaya'!$E:$E='Operadores S2S'!$D38,'Base Avaya'!$AG:$AG)),"hh:mm")))</f>
        <v/>
      </c>
      <c r="G38" s="13" t="n"/>
      <c r="H38" s="13">
        <f>VLOOKUP(C38,'[1]Nómina Agentes'!$D:$AU,44,0)</f>
        <v/>
      </c>
      <c r="I38" s="13">
        <f>VLOOKUP(C38,'[1]Nómina Agentes'!$D$4:$H$473,5,0)</f>
        <v/>
      </c>
    </row>
    <row r="39">
      <c r="B39" s="13" t="inlineStr">
        <is>
          <t>S2S NO PREMIUM</t>
        </is>
      </c>
      <c r="C39" s="14" t="inlineStr">
        <is>
          <t>MOREAU MICAELA VICTORIA</t>
        </is>
      </c>
      <c r="D39" s="14" t="n">
        <v>606331</v>
      </c>
      <c r="E39" s="13" t="n">
        <v>44</v>
      </c>
      <c r="F39" s="13">
        <f t="array" ref="F39">(CONCATENATE(TEXT(MIN(IF('Base Avaya'!$E:$E='Operadores S2S'!$D39,'Base Avaya'!$AF:$AF)),"hh:mm")," - ",TEXT(MAX(IF('Base Avaya'!$E:$E='Operadores S2S'!$D39,'Base Avaya'!$AG:$AG)),"hh:mm")))</f>
        <v/>
      </c>
      <c r="G39" s="13" t="n"/>
      <c r="H39" s="13">
        <f>VLOOKUP(C39,'[1]Nómina Agentes'!$D:$AU,44,0)</f>
        <v/>
      </c>
      <c r="I39" s="13">
        <f>VLOOKUP(C39,'[1]Nómina Agentes'!$D$4:$H$473,5,0)</f>
        <v/>
      </c>
    </row>
    <row r="40">
      <c r="B40" s="13" t="inlineStr">
        <is>
          <t>S2S NO PREMIUM</t>
        </is>
      </c>
      <c r="C40" s="14" t="inlineStr">
        <is>
          <t>MOSQUEIRA HERNAN FEDERICO</t>
        </is>
      </c>
      <c r="D40" s="14" t="n">
        <v>606306</v>
      </c>
      <c r="E40" s="13" t="n">
        <v>7</v>
      </c>
      <c r="F40" s="13">
        <f t="array" ref="F40">(CONCATENATE(TEXT(MIN(IF('Base Avaya'!$E:$E='Operadores S2S'!$D40,'Base Avaya'!$AF:$AF)),"hh:mm")," - ",TEXT(MAX(IF('Base Avaya'!$E:$E='Operadores S2S'!$D40,'Base Avaya'!$AG:$AG)),"hh:mm")))</f>
        <v/>
      </c>
      <c r="G40" s="13" t="n"/>
      <c r="H40" s="13">
        <f>VLOOKUP(C40,'[1]Nómina Agentes'!$D:$AU,44,0)</f>
        <v/>
      </c>
      <c r="I40" s="13">
        <f>VLOOKUP(C40,'[1]Nómina Agentes'!$D$4:$H$473,5,0)</f>
        <v/>
      </c>
    </row>
    <row r="41">
      <c r="B41" s="13" t="inlineStr">
        <is>
          <t>S2S NO PREMIUM</t>
        </is>
      </c>
      <c r="C41" s="14" t="inlineStr">
        <is>
          <t>NARBONA SUSAN ABRIL</t>
        </is>
      </c>
      <c r="D41" s="14" t="n">
        <v>606227</v>
      </c>
      <c r="E41" s="13" t="n">
        <v>19</v>
      </c>
      <c r="F41" s="13">
        <f t="array" ref="F41">(CONCATENATE(TEXT(MIN(IF('Base Avaya'!$E:$E='Operadores S2S'!$D41,'Base Avaya'!$AF:$AF)),"hh:mm")," - ",TEXT(MAX(IF('Base Avaya'!$E:$E='Operadores S2S'!$D41,'Base Avaya'!$AG:$AG)),"hh:mm")))</f>
        <v/>
      </c>
      <c r="G41" s="13" t="n"/>
      <c r="H41" s="13">
        <f>VLOOKUP(C41,'[1]Nómina Agentes'!$D:$AU,44,0)</f>
        <v/>
      </c>
      <c r="I41" s="13">
        <f>VLOOKUP(C41,'[1]Nómina Agentes'!$D$4:$H$473,5,0)</f>
        <v/>
      </c>
    </row>
    <row r="42">
      <c r="B42" s="13" t="inlineStr">
        <is>
          <t>S2S NO PREMIUM</t>
        </is>
      </c>
      <c r="C42" s="14" t="inlineStr">
        <is>
          <t>QUISBERT ARUATA ANDREW ROBERT</t>
        </is>
      </c>
      <c r="D42" s="14" t="n">
        <v>606478</v>
      </c>
      <c r="E42" s="13" t="n">
        <v>6</v>
      </c>
      <c r="F42" s="13">
        <f t="array" ref="F42">(CONCATENATE(TEXT(MIN(IF('Base Avaya'!$E:$E='Operadores S2S'!$D42,'Base Avaya'!$AF:$AF)),"hh:mm")," - ",TEXT(MAX(IF('Base Avaya'!$E:$E='Operadores S2S'!$D42,'Base Avaya'!$AG:$AG)),"hh:mm")))</f>
        <v/>
      </c>
      <c r="G42" s="13" t="n"/>
      <c r="H42" s="13">
        <f>VLOOKUP(C42,'[1]Nómina Agentes'!$D:$AU,44,0)</f>
        <v/>
      </c>
      <c r="I42" s="13">
        <f>VLOOKUP(C42,'[1]Nómina Agentes'!$D$4:$H$473,5,0)</f>
        <v/>
      </c>
    </row>
    <row r="43">
      <c r="B43" s="13" t="inlineStr">
        <is>
          <t>S2S NO PREMIUM</t>
        </is>
      </c>
      <c r="C43" s="14" t="inlineStr">
        <is>
          <t>RIQUELME LUCIA</t>
        </is>
      </c>
      <c r="D43" s="14" t="n">
        <v>606577</v>
      </c>
      <c r="E43" s="13" t="n">
        <v>15</v>
      </c>
      <c r="F43" s="13">
        <f t="array" ref="F43">(CONCATENATE(TEXT(MIN(IF('Base Avaya'!$E:$E='Operadores S2S'!$D43,'Base Avaya'!$AF:$AF)),"hh:mm")," - ",TEXT(MAX(IF('Base Avaya'!$E:$E='Operadores S2S'!$D43,'Base Avaya'!$AG:$AG)),"hh:mm")))</f>
        <v/>
      </c>
      <c r="G43" s="13" t="n"/>
      <c r="H43" s="13">
        <f>VLOOKUP(C43,'[1]Nómina Agentes'!$D:$AU,44,0)</f>
        <v/>
      </c>
      <c r="I43" s="13">
        <f>VLOOKUP(C43,'[1]Nómina Agentes'!$D$4:$H$473,5,0)</f>
        <v/>
      </c>
    </row>
    <row r="44">
      <c r="B44" s="13" t="inlineStr">
        <is>
          <t>S2S NO PREMIUM</t>
        </is>
      </c>
      <c r="C44" s="14" t="inlineStr">
        <is>
          <t>ROLON NANCY MAGALI</t>
        </is>
      </c>
      <c r="D44" s="14" t="n">
        <v>606550</v>
      </c>
      <c r="E44" s="13" t="n">
        <v>6</v>
      </c>
      <c r="F44" s="13">
        <f t="array" ref="F44">(CONCATENATE(TEXT(MIN(IF('Base Avaya'!$E:$E='Operadores S2S'!$D44,'Base Avaya'!$AF:$AF)),"hh:mm")," - ",TEXT(MAX(IF('Base Avaya'!$E:$E='Operadores S2S'!$D44,'Base Avaya'!$AG:$AG)),"hh:mm")))</f>
        <v/>
      </c>
      <c r="G44" s="13" t="n"/>
      <c r="H44" s="13">
        <f>VLOOKUP(C44,'[1]Nómina Agentes'!$D:$AU,44,0)</f>
        <v/>
      </c>
      <c r="I44" s="13">
        <f>VLOOKUP(C44,'[1]Nómina Agentes'!$D$4:$H$473,5,0)</f>
        <v/>
      </c>
    </row>
    <row r="45">
      <c r="B45" s="13" t="inlineStr">
        <is>
          <t>S2S NO PREMIUM</t>
        </is>
      </c>
      <c r="C45" s="14" t="inlineStr">
        <is>
          <t>ROMITO AGOSTINA BELEN</t>
        </is>
      </c>
      <c r="D45" s="14" t="n">
        <v>606286</v>
      </c>
      <c r="E45" s="13" t="n">
        <v>4</v>
      </c>
      <c r="F45" s="13">
        <f t="array" ref="F45">(CONCATENATE(TEXT(MIN(IF('Base Avaya'!$E:$E='Operadores S2S'!$D45,'Base Avaya'!$AF:$AF)),"hh:mm")," - ",TEXT(MAX(IF('Base Avaya'!$E:$E='Operadores S2S'!$D45,'Base Avaya'!$AG:$AG)),"hh:mm")))</f>
        <v/>
      </c>
      <c r="G45" s="13" t="n"/>
      <c r="H45" s="13">
        <f>VLOOKUP(C45,'[1]Nómina Agentes'!$D:$AU,44,0)</f>
        <v/>
      </c>
      <c r="I45" s="13">
        <f>VLOOKUP(C45,'[1]Nómina Agentes'!$D$4:$H$473,5,0)</f>
        <v/>
      </c>
    </row>
    <row r="46">
      <c r="B46" s="13" t="inlineStr">
        <is>
          <t>S2S NO PREMIUM</t>
        </is>
      </c>
      <c r="C46" s="14" t="inlineStr">
        <is>
          <t>SANJUAN LAURA</t>
        </is>
      </c>
      <c r="D46" s="14" t="n">
        <v>606436</v>
      </c>
      <c r="E46" s="13" t="n">
        <v>42</v>
      </c>
      <c r="F46" s="13">
        <f t="array" ref="F46">(CONCATENATE(TEXT(MIN(IF('Base Avaya'!$E:$E='Operadores S2S'!$D46,'Base Avaya'!$AF:$AF)),"hh:mm")," - ",TEXT(MAX(IF('Base Avaya'!$E:$E='Operadores S2S'!$D46,'Base Avaya'!$AG:$AG)),"hh:mm")))</f>
        <v/>
      </c>
      <c r="G46" s="13" t="n"/>
      <c r="H46" s="13">
        <f>VLOOKUP(C46,'[1]Nómina Agentes'!$D:$AU,44,0)</f>
        <v/>
      </c>
      <c r="I46" s="13">
        <f>VLOOKUP(C46,'[1]Nómina Agentes'!$D$4:$H$473,5,0)</f>
        <v/>
      </c>
    </row>
    <row r="47">
      <c r="B47" s="13" t="inlineStr">
        <is>
          <t>S2S NO PREMIUM</t>
        </is>
      </c>
      <c r="C47" s="14" t="inlineStr">
        <is>
          <t>SANSO NOEMI</t>
        </is>
      </c>
      <c r="D47" s="14" t="n">
        <v>606492</v>
      </c>
      <c r="E47" s="13" t="n">
        <v>13</v>
      </c>
      <c r="F47" s="13">
        <f t="array" ref="F47">(CONCATENATE(TEXT(MIN(IF('Base Avaya'!$E:$E='Operadores S2S'!$D47,'Base Avaya'!$AF:$AF)),"hh:mm")," - ",TEXT(MAX(IF('Base Avaya'!$E:$E='Operadores S2S'!$D47,'Base Avaya'!$AG:$AG)),"hh:mm")))</f>
        <v/>
      </c>
      <c r="G47" s="13" t="n"/>
      <c r="H47" s="13">
        <f>VLOOKUP(C47,'[1]Nómina Agentes'!$D:$AU,44,0)</f>
        <v/>
      </c>
      <c r="I47" s="13">
        <f>VLOOKUP(C47,'[1]Nómina Agentes'!$D$4:$H$473,5,0)</f>
        <v/>
      </c>
    </row>
    <row r="48">
      <c r="B48" s="13" t="inlineStr">
        <is>
          <t>S2S NO PREMIUM</t>
        </is>
      </c>
      <c r="C48" s="14" t="inlineStr">
        <is>
          <t>SOLIS MELINA ALEJANDRA</t>
        </is>
      </c>
      <c r="D48" s="14" t="n">
        <v>605698</v>
      </c>
      <c r="E48" s="13" t="n">
        <v>36</v>
      </c>
      <c r="F48" s="13">
        <f t="array" ref="F48">(CONCATENATE(TEXT(MIN(IF('Base Avaya'!$E:$E='Operadores S2S'!$D48,'Base Avaya'!$AF:$AF)),"hh:mm")," - ",TEXT(MAX(IF('Base Avaya'!$E:$E='Operadores S2S'!$D48,'Base Avaya'!$AG:$AG)),"hh:mm")))</f>
        <v/>
      </c>
      <c r="G48" s="13" t="n"/>
      <c r="H48" s="13">
        <f>VLOOKUP(C48,'[1]Nómina Agentes'!$D:$AU,44,0)</f>
        <v/>
      </c>
      <c r="I48" s="13">
        <f>VLOOKUP(C48,'[1]Nómina Agentes'!$D$4:$H$473,5,0)</f>
        <v/>
      </c>
    </row>
    <row r="49">
      <c r="B49" s="13" t="inlineStr">
        <is>
          <t>S2S NO PREMIUM</t>
        </is>
      </c>
      <c r="C49" s="14" t="inlineStr">
        <is>
          <t>SOSA BERNAO MARTINA</t>
        </is>
      </c>
      <c r="D49" s="14" t="n">
        <v>606614</v>
      </c>
      <c r="E49" s="13" t="n">
        <v>34</v>
      </c>
      <c r="F49" s="13">
        <f t="array" ref="F49">(CONCATENATE(TEXT(MIN(IF('Base Avaya'!$E:$E='Operadores S2S'!$D49,'Base Avaya'!$AF:$AF)),"hh:mm")," - ",TEXT(MAX(IF('Base Avaya'!$E:$E='Operadores S2S'!$D49,'Base Avaya'!$AG:$AG)),"hh:mm")))</f>
        <v/>
      </c>
      <c r="G49" s="13" t="n"/>
      <c r="H49" s="13">
        <f>VLOOKUP(C49,'[1]Nómina Agentes'!$D:$AU,44,0)</f>
        <v/>
      </c>
      <c r="I49" s="13">
        <f>VLOOKUP(C49,'[1]Nómina Agentes'!$D$4:$H$473,5,0)</f>
        <v/>
      </c>
    </row>
    <row r="50">
      <c r="B50" s="13" t="inlineStr">
        <is>
          <t>S2S NO PREMIUM</t>
        </is>
      </c>
      <c r="C50" s="14" t="inlineStr">
        <is>
          <t>SOTELO SILVANA ANAHI</t>
        </is>
      </c>
      <c r="D50" s="14" t="n">
        <v>606536</v>
      </c>
      <c r="E50" s="13" t="n">
        <v>40</v>
      </c>
      <c r="F50" s="13">
        <f t="array" ref="F50">(CONCATENATE(TEXT(MIN(IF('Base Avaya'!$E:$E='Operadores S2S'!$D50,'Base Avaya'!$AF:$AF)),"hh:mm")," - ",TEXT(MAX(IF('Base Avaya'!$E:$E='Operadores S2S'!$D50,'Base Avaya'!$AG:$AG)),"hh:mm")))</f>
        <v/>
      </c>
      <c r="G50" s="13" t="n"/>
      <c r="H50" s="13">
        <f>VLOOKUP(C50,'[1]Nómina Agentes'!$D:$AU,44,0)</f>
        <v/>
      </c>
      <c r="I50" s="13">
        <f>VLOOKUP(C50,'[1]Nómina Agentes'!$D$4:$H$473,5,0)</f>
        <v/>
      </c>
    </row>
    <row r="51">
      <c r="B51" s="13" t="inlineStr">
        <is>
          <t>S2S NO PREMIUM</t>
        </is>
      </c>
      <c r="C51" s="14" t="inlineStr">
        <is>
          <t>TOFFOLETTI SOTO EVELYN</t>
        </is>
      </c>
      <c r="D51" s="14" t="n">
        <v>606501</v>
      </c>
      <c r="E51" s="13" t="n">
        <v>6</v>
      </c>
      <c r="F51" s="13">
        <f t="array" ref="F51">(CONCATENATE(TEXT(MIN(IF('Base Avaya'!$E:$E='Operadores S2S'!$D51,'Base Avaya'!$AF:$AF)),"hh:mm")," - ",TEXT(MAX(IF('Base Avaya'!$E:$E='Operadores S2S'!$D51,'Base Avaya'!$AG:$AG)),"hh:mm")))</f>
        <v/>
      </c>
      <c r="G51" s="13" t="n"/>
      <c r="H51" s="13">
        <f>VLOOKUP(C51,'[1]Nómina Agentes'!$D:$AU,44,0)</f>
        <v/>
      </c>
      <c r="I51" s="13">
        <f>VLOOKUP(C51,'[1]Nómina Agentes'!$D$4:$H$473,5,0)</f>
        <v/>
      </c>
    </row>
    <row r="52">
      <c r="B52" s="13" t="inlineStr">
        <is>
          <t>S2S NO PREMIUM</t>
        </is>
      </c>
      <c r="C52" s="14" t="inlineStr">
        <is>
          <t>TOLOZA ESTEFANIA KAREN</t>
        </is>
      </c>
      <c r="D52" s="14" t="n">
        <v>605508</v>
      </c>
      <c r="E52" s="13" t="n">
        <v>46</v>
      </c>
      <c r="F52" s="13">
        <f t="array" ref="F52">(CONCATENATE(TEXT(MIN(IF('Base Avaya'!$E:$E='Operadores S2S'!$D52,'Base Avaya'!$AF:$AF)),"hh:mm")," - ",TEXT(MAX(IF('Base Avaya'!$E:$E='Operadores S2S'!$D52,'Base Avaya'!$AG:$AG)),"hh:mm")))</f>
        <v/>
      </c>
      <c r="G52" s="13" t="n"/>
      <c r="H52" s="13">
        <f>VLOOKUP(C52,'[1]Nómina Agentes'!$D:$AU,44,0)</f>
        <v/>
      </c>
      <c r="I52" s="13">
        <f>VLOOKUP(C52,'[1]Nómina Agentes'!$D$4:$H$473,5,0)</f>
        <v/>
      </c>
    </row>
    <row r="53">
      <c r="B53" s="13" t="inlineStr">
        <is>
          <t>S2S NO PREMIUM</t>
        </is>
      </c>
      <c r="C53" s="14" t="inlineStr">
        <is>
          <t>TORRES LUNA</t>
        </is>
      </c>
      <c r="D53" s="14" t="n">
        <v>606239</v>
      </c>
      <c r="E53" s="13" t="n">
        <v>4</v>
      </c>
      <c r="F53" s="13">
        <f t="array" ref="F53">(CONCATENATE(TEXT(MIN(IF('Base Avaya'!$E:$E='Operadores S2S'!$D53,'Base Avaya'!$AF:$AF)),"hh:mm")," - ",TEXT(MAX(IF('Base Avaya'!$E:$E='Operadores S2S'!$D53,'Base Avaya'!$AG:$AG)),"hh:mm")))</f>
        <v/>
      </c>
      <c r="G53" s="13" t="n"/>
      <c r="H53" s="13">
        <f>VLOOKUP(C53,'[1]Nómina Agentes'!$D:$AU,44,0)</f>
        <v/>
      </c>
      <c r="I53" s="13">
        <f>VLOOKUP(C53,'[1]Nómina Agentes'!$D$4:$H$473,5,0)</f>
        <v/>
      </c>
    </row>
    <row r="54">
      <c r="B54" s="13" t="inlineStr">
        <is>
          <t>S2S NO PREMIUM</t>
        </is>
      </c>
      <c r="C54" s="14" t="inlineStr">
        <is>
          <t>VACA OROZCO ANDREA</t>
        </is>
      </c>
      <c r="D54" s="14" t="n">
        <v>606475</v>
      </c>
      <c r="E54" s="13" t="n">
        <v>12</v>
      </c>
      <c r="F54" s="13">
        <f t="array" ref="F54">(CONCATENATE(TEXT(MIN(IF('Base Avaya'!$E:$E='Operadores S2S'!$D54,'Base Avaya'!$AF:$AF)),"hh:mm")," - ",TEXT(MAX(IF('Base Avaya'!$E:$E='Operadores S2S'!$D54,'Base Avaya'!$AG:$AG)),"hh:mm")))</f>
        <v/>
      </c>
      <c r="G54" s="13" t="n"/>
      <c r="H54" s="13">
        <f>VLOOKUP(C54,'[1]Nómina Agentes'!$D:$AU,44,0)</f>
        <v/>
      </c>
      <c r="I54" s="13">
        <f>VLOOKUP(C54,'[1]Nómina Agentes'!$D$4:$H$473,5,0)</f>
        <v/>
      </c>
    </row>
    <row r="55">
      <c r="B55" s="13" t="inlineStr">
        <is>
          <t>S2S NO PREMIUM</t>
        </is>
      </c>
      <c r="C55" s="14" t="inlineStr">
        <is>
          <t>ZAPATA VAGNINI MARTINA</t>
        </is>
      </c>
      <c r="D55" s="14" t="n">
        <v>605766</v>
      </c>
      <c r="E55" s="13" t="n">
        <v>42</v>
      </c>
      <c r="F55" s="13">
        <f t="array" ref="F55">(CONCATENATE(TEXT(MIN(IF('Base Avaya'!$E:$E='Operadores S2S'!$D55,'Base Avaya'!$AF:$AF)),"hh:mm")," - ",TEXT(MAX(IF('Base Avaya'!$E:$E='Operadores S2S'!$D55,'Base Avaya'!$AG:$AG)),"hh:mm")))</f>
        <v/>
      </c>
      <c r="G55" s="13" t="n"/>
      <c r="H55" s="13">
        <f>VLOOKUP(C55,'[1]Nómina Agentes'!$D:$AU,44,0)</f>
        <v/>
      </c>
      <c r="I55" s="13">
        <f>VLOOKUP(C55,'[1]Nómina Agentes'!$D$4:$H$473,5,0)</f>
        <v/>
      </c>
    </row>
    <row r="56">
      <c r="B56" s="13" t="inlineStr">
        <is>
          <t>S2S NO PREMIUM</t>
        </is>
      </c>
      <c r="C56" s="14" t="inlineStr">
        <is>
          <t>#N/D</t>
        </is>
      </c>
      <c r="D56" s="14" t="n">
        <v>628237</v>
      </c>
      <c r="E56" s="13" t="n">
        <v>8</v>
      </c>
      <c r="F56" s="13">
        <f t="array" ref="F56">(CONCATENATE(TEXT(MIN(IF('Base Avaya'!$E:$E='Operadores S2S'!$D56,'Base Avaya'!$AF:$AF)),"hh:mm")," - ",TEXT(MAX(IF('Base Avaya'!$E:$E='Operadores S2S'!$D56,'Base Avaya'!$AG:$AG)),"hh:mm")))</f>
        <v/>
      </c>
      <c r="G56" s="13" t="n"/>
      <c r="H56" s="13">
        <f>VLOOKUP(C56,'[1]Nómina Agentes'!$D:$AU,44,0)</f>
        <v/>
      </c>
      <c r="I56" s="13">
        <f>VLOOKUP(C56,'[1]Nómina Agentes'!$D$4:$H$473,5,0)</f>
        <v/>
      </c>
    </row>
    <row r="57">
      <c r="B57" s="13" t="inlineStr">
        <is>
          <t>S2S NO PREMIUM</t>
        </is>
      </c>
      <c r="C57" s="14" t="inlineStr">
        <is>
          <t>#N/D</t>
        </is>
      </c>
      <c r="D57" s="14" t="n">
        <v>628263</v>
      </c>
      <c r="E57" s="13" t="n">
        <v>0</v>
      </c>
      <c r="F57" s="13">
        <f t="array" ref="F57">(CONCATENATE(TEXT(MIN(IF('Base Avaya'!$E:$E='Operadores S2S'!$D57,'Base Avaya'!$AF:$AF)),"hh:mm")," - ",TEXT(MAX(IF('Base Avaya'!$E:$E='Operadores S2S'!$D57,'Base Avaya'!$AG:$AG)),"hh:mm")))</f>
        <v/>
      </c>
      <c r="G57" s="13" t="n"/>
      <c r="H57" s="13">
        <f>VLOOKUP(C57,'[1]Nómina Agentes'!$D:$AU,44,0)</f>
        <v/>
      </c>
      <c r="I57" s="13">
        <f>VLOOKUP(C57,'[1]Nómina Agentes'!$D$4:$H$473,5,0)</f>
        <v/>
      </c>
    </row>
    <row r="58">
      <c r="B58" s="13" t="inlineStr">
        <is>
          <t>S2S NO PREMIUM</t>
        </is>
      </c>
      <c r="C58" s="14" t="inlineStr">
        <is>
          <t>#N/D</t>
        </is>
      </c>
      <c r="D58" s="14" t="n">
        <v>628356</v>
      </c>
      <c r="E58" s="13" t="n">
        <v>11</v>
      </c>
      <c r="F58" s="13">
        <f t="array" ref="F58">(CONCATENATE(TEXT(MIN(IF('Base Avaya'!$E:$E='Operadores S2S'!$D58,'Base Avaya'!$AF:$AF)),"hh:mm")," - ",TEXT(MAX(IF('Base Avaya'!$E:$E='Operadores S2S'!$D58,'Base Avaya'!$AG:$AG)),"hh:mm")))</f>
        <v/>
      </c>
      <c r="G58" s="13" t="n"/>
      <c r="H58" s="13">
        <f>VLOOKUP(C58,'[1]Nómina Agentes'!$D:$AU,44,0)</f>
        <v/>
      </c>
      <c r="I58" s="13">
        <f>VLOOKUP(C58,'[1]Nómina Agentes'!$D$4:$H$473,5,0)</f>
        <v/>
      </c>
    </row>
    <row r="59">
      <c r="B59" s="13" t="inlineStr">
        <is>
          <t>S2S NO PREMIUM</t>
        </is>
      </c>
      <c r="C59" s="14" t="inlineStr">
        <is>
          <t>#N/D</t>
        </is>
      </c>
      <c r="D59" s="14" t="n">
        <v>628411</v>
      </c>
      <c r="E59" s="13" t="n">
        <v>9</v>
      </c>
      <c r="F59" s="13">
        <f t="array" ref="F59">(CONCATENATE(TEXT(MIN(IF('Base Avaya'!$E:$E='Operadores S2S'!$D59,'Base Avaya'!$AF:$AF)),"hh:mm")," - ",TEXT(MAX(IF('Base Avaya'!$E:$E='Operadores S2S'!$D59,'Base Avaya'!$AG:$AG)),"hh:mm")))</f>
        <v/>
      </c>
      <c r="G59" s="13" t="n"/>
      <c r="H59" s="13">
        <f>VLOOKUP(C59,'[1]Nómina Agentes'!$D:$AU,44,0)</f>
        <v/>
      </c>
      <c r="I59" s="13">
        <f>VLOOKUP(C59,'[1]Nómina Agentes'!$D$4:$H$473,5,0)</f>
        <v/>
      </c>
    </row>
    <row r="60">
      <c r="B60" s="13" t="inlineStr">
        <is>
          <t>S2S NO PREMIUM</t>
        </is>
      </c>
      <c r="C60" s="14" t="inlineStr">
        <is>
          <t>#N/D</t>
        </is>
      </c>
      <c r="D60" s="14" t="n">
        <v>628412</v>
      </c>
      <c r="E60" s="13" t="n">
        <v>39</v>
      </c>
      <c r="F60" s="13">
        <f t="array" ref="F60">(CONCATENATE(TEXT(MIN(IF('Base Avaya'!$E:$E='Operadores S2S'!$D60,'Base Avaya'!$AF:$AF)),"hh:mm")," - ",TEXT(MAX(IF('Base Avaya'!$E:$E='Operadores S2S'!$D60,'Base Avaya'!$AG:$AG)),"hh:mm")))</f>
        <v/>
      </c>
      <c r="G60" s="13" t="n"/>
      <c r="H60" s="13">
        <f>VLOOKUP(C60,'[1]Nómina Agentes'!$D:$AU,44,0)</f>
        <v/>
      </c>
      <c r="I60" s="13">
        <f>VLOOKUP(C60,'[1]Nómina Agentes'!$D$4:$H$473,5,0)</f>
        <v/>
      </c>
    </row>
    <row r="61">
      <c r="B61" s="13" t="inlineStr">
        <is>
          <t>S2S NO PREMIUM</t>
        </is>
      </c>
      <c r="C61" s="14" t="inlineStr">
        <is>
          <t>#N/D</t>
        </is>
      </c>
      <c r="D61" s="14" t="n">
        <v>628419</v>
      </c>
      <c r="E61" s="13" t="n">
        <v>32</v>
      </c>
      <c r="F61" s="13">
        <f t="array" ref="F61">(CONCATENATE(TEXT(MIN(IF('Base Avaya'!$E:$E='Operadores S2S'!$D61,'Base Avaya'!$AF:$AF)),"hh:mm")," - ",TEXT(MAX(IF('Base Avaya'!$E:$E='Operadores S2S'!$D61,'Base Avaya'!$AG:$AG)),"hh:mm")))</f>
        <v/>
      </c>
      <c r="G61" s="13" t="n"/>
      <c r="H61" s="13">
        <f>VLOOKUP(C61,'[1]Nómina Agentes'!$D:$AU,44,0)</f>
        <v/>
      </c>
      <c r="I61" s="13">
        <f>VLOOKUP(C61,'[1]Nómina Agentes'!$D$4:$H$473,5,0)</f>
        <v/>
      </c>
    </row>
    <row r="62">
      <c r="B62" s="13" t="inlineStr">
        <is>
          <t>S2S NO PREMIUM</t>
        </is>
      </c>
      <c r="C62" s="14" t="inlineStr">
        <is>
          <t>#N/D</t>
        </is>
      </c>
      <c r="D62" s="14" t="n">
        <v>628431</v>
      </c>
      <c r="E62" s="13" t="n">
        <v>32</v>
      </c>
      <c r="F62" s="13">
        <f t="array" ref="F62">(CONCATENATE(TEXT(MIN(IF('Base Avaya'!$E:$E='Operadores S2S'!$D62,'Base Avaya'!$AF:$AF)),"hh:mm")," - ",TEXT(MAX(IF('Base Avaya'!$E:$E='Operadores S2S'!$D62,'Base Avaya'!$AG:$AG)),"hh:mm")))</f>
        <v/>
      </c>
      <c r="G62" s="13" t="n"/>
      <c r="H62" s="13">
        <f>VLOOKUP(C62,'[1]Nómina Agentes'!$D:$AU,44,0)</f>
        <v/>
      </c>
      <c r="I62" s="13">
        <f>VLOOKUP(C62,'[1]Nómina Agentes'!$D$4:$H$473,5,0)</f>
        <v/>
      </c>
    </row>
    <row r="63">
      <c r="B63" s="13" t="inlineStr">
        <is>
          <t>S2S NO PREMIUM</t>
        </is>
      </c>
      <c r="C63" s="14" t="inlineStr">
        <is>
          <t>#N/D</t>
        </is>
      </c>
      <c r="D63" s="14" t="n">
        <v>628434</v>
      </c>
      <c r="E63" s="13" t="n">
        <v>20</v>
      </c>
      <c r="F63" s="13">
        <f t="array" ref="F63">(CONCATENATE(TEXT(MIN(IF('Base Avaya'!$E:$E='Operadores S2S'!$D63,'Base Avaya'!$AF:$AF)),"hh:mm")," - ",TEXT(MAX(IF('Base Avaya'!$E:$E='Operadores S2S'!$D63,'Base Avaya'!$AG:$AG)),"hh:mm")))</f>
        <v/>
      </c>
      <c r="G63" s="13" t="n"/>
      <c r="H63" s="13">
        <f>VLOOKUP(C63,'[1]Nómina Agentes'!$D:$AU,44,0)</f>
        <v/>
      </c>
      <c r="I63" s="13">
        <f>VLOOKUP(C63,'[1]Nómina Agentes'!$D$4:$H$473,5,0)</f>
        <v/>
      </c>
    </row>
    <row r="64">
      <c r="B64" s="13" t="inlineStr">
        <is>
          <t>S2S NO PREMIUM</t>
        </is>
      </c>
      <c r="C64" s="14" t="inlineStr">
        <is>
          <t>#N/D</t>
        </is>
      </c>
      <c r="D64" s="14" t="n">
        <v>628452</v>
      </c>
      <c r="E64" s="13" t="n">
        <v>9</v>
      </c>
      <c r="F64" s="13">
        <f t="array" ref="F64">(CONCATENATE(TEXT(MIN(IF('Base Avaya'!$E:$E='Operadores S2S'!$D64,'Base Avaya'!$AF:$AF)),"hh:mm")," - ",TEXT(MAX(IF('Base Avaya'!$E:$E='Operadores S2S'!$D64,'Base Avaya'!$AG:$AG)),"hh:mm")))</f>
        <v/>
      </c>
      <c r="G64" s="13" t="n"/>
      <c r="H64" s="13">
        <f>VLOOKUP(C64,'[1]Nómina Agentes'!$D:$AU,44,0)</f>
        <v/>
      </c>
      <c r="I64" s="13">
        <f>VLOOKUP(C64,'[1]Nómina Agentes'!$D$4:$H$473,5,0)</f>
        <v/>
      </c>
    </row>
    <row r="65">
      <c r="B65" s="13" t="inlineStr">
        <is>
          <t>S2S NO PREMIUM</t>
        </is>
      </c>
      <c r="C65" s="14" t="inlineStr">
        <is>
          <t>#N/D</t>
        </is>
      </c>
      <c r="D65" s="14" t="n">
        <v>663281</v>
      </c>
      <c r="E65" s="13" t="n">
        <v>11</v>
      </c>
      <c r="F65" s="13">
        <f t="array" ref="F65">(CONCATENATE(TEXT(MIN(IF('Base Avaya'!$E:$E='Operadores S2S'!$D65,'Base Avaya'!$AF:$AF)),"hh:mm")," - ",TEXT(MAX(IF('Base Avaya'!$E:$E='Operadores S2S'!$D65,'Base Avaya'!$AG:$AG)),"hh:mm")))</f>
        <v/>
      </c>
      <c r="G65" s="13" t="n"/>
      <c r="H65" s="13">
        <f>VLOOKUP(C65,'[1]Nómina Agentes'!$D:$AU,44,0)</f>
        <v/>
      </c>
      <c r="I65" s="13">
        <f>VLOOKUP(C65,'[1]Nómina Agentes'!$D$4:$H$473,5,0)</f>
        <v/>
      </c>
    </row>
    <row r="66">
      <c r="B66" s="13" t="inlineStr">
        <is>
          <t>S2S NO PREMIUM</t>
        </is>
      </c>
      <c r="C66" s="14" t="inlineStr">
        <is>
          <t>#N/D</t>
        </is>
      </c>
      <c r="D66" s="14" t="n">
        <v>663802</v>
      </c>
      <c r="E66" s="13" t="n">
        <v>10</v>
      </c>
      <c r="F66" s="13">
        <f t="array" ref="F66">(CONCATENATE(TEXT(MIN(IF('Base Avaya'!$E:$E='Operadores S2S'!$D66,'Base Avaya'!$AF:$AF)),"hh:mm")," - ",TEXT(MAX(IF('Base Avaya'!$E:$E='Operadores S2S'!$D66,'Base Avaya'!$AG:$AG)),"hh:mm")))</f>
        <v/>
      </c>
      <c r="G66" s="13" t="n"/>
      <c r="H66" s="13">
        <f>VLOOKUP(C66,'[1]Nómina Agentes'!$D:$AU,44,0)</f>
        <v/>
      </c>
      <c r="I66" s="13">
        <f>VLOOKUP(C66,'[1]Nómina Agentes'!$D$4:$H$473,5,0)</f>
        <v/>
      </c>
    </row>
    <row r="67">
      <c r="B67" s="13" t="inlineStr">
        <is>
          <t>S2S NO PREMIUM</t>
        </is>
      </c>
      <c r="C67" s="14" t="inlineStr">
        <is>
          <t>#N/D</t>
        </is>
      </c>
      <c r="D67" s="14" t="n">
        <v>664084</v>
      </c>
      <c r="E67" s="13" t="n">
        <v>9</v>
      </c>
      <c r="F67" s="13">
        <f t="array" ref="F67">(CONCATENATE(TEXT(MIN(IF('Base Avaya'!$E:$E='Operadores S2S'!$D67,'Base Avaya'!$AF:$AF)),"hh:mm")," - ",TEXT(MAX(IF('Base Avaya'!$E:$E='Operadores S2S'!$D67,'Base Avaya'!$AG:$AG)),"hh:mm")))</f>
        <v/>
      </c>
      <c r="G67" s="13" t="n"/>
      <c r="H67" s="13">
        <f>VLOOKUP(C67,'[1]Nómina Agentes'!$D:$AU,44,0)</f>
        <v/>
      </c>
      <c r="I67" s="13">
        <f>VLOOKUP(C67,'[1]Nómina Agentes'!$D$4:$H$473,5,0)</f>
        <v/>
      </c>
    </row>
    <row r="68">
      <c r="B68" s="13" t="inlineStr">
        <is>
          <t>S2S NO PREMIUM</t>
        </is>
      </c>
      <c r="C68" s="14" t="inlineStr">
        <is>
          <t>#N/D</t>
        </is>
      </c>
      <c r="D68" s="14" t="n">
        <v>664507</v>
      </c>
      <c r="E68" s="13" t="n">
        <v>1</v>
      </c>
      <c r="F68" s="13">
        <f t="array" ref="F68">(CONCATENATE(TEXT(MIN(IF('Base Avaya'!$E:$E='Operadores S2S'!$D68,'Base Avaya'!$AF:$AF)),"hh:mm")," - ",TEXT(MAX(IF('Base Avaya'!$E:$E='Operadores S2S'!$D68,'Base Avaya'!$AG:$AG)),"hh:mm")))</f>
        <v/>
      </c>
      <c r="G68" s="13" t="n"/>
      <c r="H68" s="13">
        <f>VLOOKUP(C68,'[1]Nómina Agentes'!$D:$AU,44,0)</f>
        <v/>
      </c>
      <c r="I68" s="13">
        <f>VLOOKUP(C68,'[1]Nómina Agentes'!$D$4:$H$473,5,0)</f>
        <v/>
      </c>
    </row>
    <row r="69">
      <c r="B69" s="13" t="inlineStr">
        <is>
          <t>S2S NO PREMIUM</t>
        </is>
      </c>
      <c r="C69" s="14" t="inlineStr">
        <is>
          <t>#N/D</t>
        </is>
      </c>
      <c r="D69" s="14" t="n">
        <v>628292</v>
      </c>
      <c r="E69" s="13" t="n">
        <v>10</v>
      </c>
      <c r="F69" s="13">
        <f t="array" ref="F69">(CONCATENATE(TEXT(MIN(IF('Base Avaya'!$E:$E='Operadores S2S'!$D69,'Base Avaya'!$AF:$AF)),"hh:mm")," - ",TEXT(MAX(IF('Base Avaya'!$E:$E='Operadores S2S'!$D69,'Base Avaya'!$AG:$AG)),"hh:mm")))</f>
        <v/>
      </c>
      <c r="G69" s="13" t="n"/>
      <c r="H69" s="13">
        <f>VLOOKUP(C69,'[1]Nómina Agentes'!$D:$AU,44,0)</f>
        <v/>
      </c>
      <c r="I69" s="13">
        <f>VLOOKUP(C69,'[1]Nómina Agentes'!$D$4:$H$473,5,0)</f>
        <v/>
      </c>
    </row>
    <row r="70">
      <c r="B70" s="13" t="inlineStr">
        <is>
          <t>S2S NO PREMIUM</t>
        </is>
      </c>
      <c r="C70" s="14" t="inlineStr">
        <is>
          <t>#N/D</t>
        </is>
      </c>
      <c r="D70" s="14" t="n">
        <v>628345</v>
      </c>
      <c r="E70" s="13" t="n">
        <v>9</v>
      </c>
      <c r="F70" s="13">
        <f t="array" ref="F70">(CONCATENATE(TEXT(MIN(IF('Base Avaya'!$E:$E='Operadores S2S'!$D70,'Base Avaya'!$AF:$AF)),"hh:mm")," - ",TEXT(MAX(IF('Base Avaya'!$E:$E='Operadores S2S'!$D70,'Base Avaya'!$AG:$AG)),"hh:mm")))</f>
        <v/>
      </c>
      <c r="G70" s="13" t="n"/>
      <c r="H70" s="13">
        <f>VLOOKUP(C70,'[1]Nómina Agentes'!$D:$AU,44,0)</f>
        <v/>
      </c>
      <c r="I70" s="13">
        <f>VLOOKUP(C70,'[1]Nómina Agentes'!$D$4:$H$473,5,0)</f>
        <v/>
      </c>
    </row>
    <row r="71">
      <c r="B71" s="13" t="inlineStr">
        <is>
          <t>S2S NO PREMIUM</t>
        </is>
      </c>
      <c r="C71" s="14" t="inlineStr">
        <is>
          <t>#N/D</t>
        </is>
      </c>
      <c r="D71" s="14" t="n">
        <v>628391</v>
      </c>
      <c r="E71" s="13" t="n">
        <v>9</v>
      </c>
      <c r="F71" s="13">
        <f t="array" ref="F71">(CONCATENATE(TEXT(MIN(IF('Base Avaya'!$E:$E='Operadores S2S'!$D71,'Base Avaya'!$AF:$AF)),"hh:mm")," - ",TEXT(MAX(IF('Base Avaya'!$E:$E='Operadores S2S'!$D71,'Base Avaya'!$AG:$AG)),"hh:mm")))</f>
        <v/>
      </c>
      <c r="G71" s="13" t="n"/>
      <c r="H71" s="13">
        <f>VLOOKUP(C71,'[1]Nómina Agentes'!$D:$AU,44,0)</f>
        <v/>
      </c>
      <c r="I71" s="13">
        <f>VLOOKUP(C71,'[1]Nómina Agentes'!$D$4:$H$473,5,0)</f>
        <v/>
      </c>
    </row>
    <row r="72">
      <c r="B72" s="13" t="inlineStr">
        <is>
          <t>S2S NO PREMIUM</t>
        </is>
      </c>
      <c r="C72" s="14" t="inlineStr">
        <is>
          <t>#N/D</t>
        </is>
      </c>
      <c r="D72" s="14" t="n">
        <v>628479</v>
      </c>
      <c r="E72" s="13" t="n">
        <v>1</v>
      </c>
      <c r="F72" s="13">
        <f t="array" ref="F72">(CONCATENATE(TEXT(MIN(IF('Base Avaya'!$E:$E='Operadores S2S'!$D72,'Base Avaya'!$AF:$AF)),"hh:mm")," - ",TEXT(MAX(IF('Base Avaya'!$E:$E='Operadores S2S'!$D72,'Base Avaya'!$AG:$AG)),"hh:mm")))</f>
        <v/>
      </c>
      <c r="G72" s="13" t="n"/>
      <c r="H72" s="13">
        <f>VLOOKUP(C72,'[1]Nómina Agentes'!$D:$AU,44,0)</f>
        <v/>
      </c>
      <c r="I72" s="13">
        <f>VLOOKUP(C72,'[1]Nómina Agentes'!$D$4:$H$473,5,0)</f>
        <v/>
      </c>
    </row>
    <row r="73">
      <c r="B73" s="13" t="inlineStr">
        <is>
          <t>S2S NO PREMIUM</t>
        </is>
      </c>
      <c r="C73" s="14" t="inlineStr">
        <is>
          <t>#N/D</t>
        </is>
      </c>
      <c r="D73" s="14" t="n">
        <v>628540</v>
      </c>
      <c r="E73" s="13" t="n">
        <v>11</v>
      </c>
      <c r="F73" s="13">
        <f t="array" ref="F73">(CONCATENATE(TEXT(MIN(IF('Base Avaya'!$E:$E='Operadores S2S'!$D73,'Base Avaya'!$AF:$AF)),"hh:mm")," - ",TEXT(MAX(IF('Base Avaya'!$E:$E='Operadores S2S'!$D73,'Base Avaya'!$AG:$AG)),"hh:mm")))</f>
        <v/>
      </c>
      <c r="G73" s="13" t="n"/>
      <c r="H73" s="13">
        <f>VLOOKUP(C73,'[1]Nómina Agentes'!$D:$AU,44,0)</f>
        <v/>
      </c>
      <c r="I73" s="13">
        <f>VLOOKUP(C73,'[1]Nómina Agentes'!$D$4:$H$473,5,0)</f>
        <v/>
      </c>
    </row>
    <row r="74">
      <c r="B74" s="13" t="inlineStr">
        <is>
          <t>S2S NO PREMIUM</t>
        </is>
      </c>
      <c r="C74" s="14" t="inlineStr">
        <is>
          <t>#N/D</t>
        </is>
      </c>
      <c r="D74" s="14" t="n">
        <v>628362</v>
      </c>
      <c r="E74" s="13" t="n">
        <v>2</v>
      </c>
      <c r="F74" s="13">
        <f t="array" ref="F74">(CONCATENATE(TEXT(MIN(IF('Base Avaya'!$E:$E='Operadores S2S'!$D74,'Base Avaya'!$AF:$AF)),"hh:mm")," - ",TEXT(MAX(IF('Base Avaya'!$E:$E='Operadores S2S'!$D74,'Base Avaya'!$AG:$AG)),"hh:mm")))</f>
        <v/>
      </c>
      <c r="G74" s="13" t="n"/>
      <c r="H74" s="13">
        <f>VLOOKUP(C74,'[1]Nómina Agentes'!$D:$AU,44,0)</f>
        <v/>
      </c>
      <c r="I74" s="13">
        <f>VLOOKUP(C74,'[1]Nómina Agentes'!$D$4:$H$473,5,0)</f>
        <v/>
      </c>
    </row>
    <row r="75">
      <c r="B75" s="13" t="inlineStr">
        <is>
          <t>S2S NO PREMIUM</t>
        </is>
      </c>
      <c r="C75" s="14" t="inlineStr">
        <is>
          <t>#N/D</t>
        </is>
      </c>
      <c r="D75" s="14" t="n">
        <v>628424</v>
      </c>
      <c r="E75" s="13" t="n">
        <v>26</v>
      </c>
      <c r="F75" s="13">
        <f t="array" ref="F75">(CONCATENATE(TEXT(MIN(IF('Base Avaya'!$E:$E='Operadores S2S'!$D75,'Base Avaya'!$AF:$AF)),"hh:mm")," - ",TEXT(MAX(IF('Base Avaya'!$E:$E='Operadores S2S'!$D75,'Base Avaya'!$AG:$AG)),"hh:mm")))</f>
        <v/>
      </c>
      <c r="G75" s="13" t="n"/>
      <c r="H75" s="13">
        <f>VLOOKUP(C75,'[1]Nómina Agentes'!$D:$AU,44,0)</f>
        <v/>
      </c>
      <c r="I75" s="13">
        <f>VLOOKUP(C75,'[1]Nómina Agentes'!$D$4:$H$473,5,0)</f>
        <v/>
      </c>
    </row>
    <row r="76">
      <c r="B76" s="13" t="inlineStr">
        <is>
          <t>S2S NO PREMIUM</t>
        </is>
      </c>
      <c r="C76" s="14" t="inlineStr">
        <is>
          <t>#N/D</t>
        </is>
      </c>
      <c r="D76" s="14" t="n">
        <v>628460</v>
      </c>
      <c r="E76" s="13" t="n">
        <v>4</v>
      </c>
      <c r="F76" s="13">
        <f t="array" ref="F76">(CONCATENATE(TEXT(MIN(IF('Base Avaya'!$E:$E='Operadores S2S'!$D76,'Base Avaya'!$AF:$AF)),"hh:mm")," - ",TEXT(MAX(IF('Base Avaya'!$E:$E='Operadores S2S'!$D76,'Base Avaya'!$AG:$AG)),"hh:mm")))</f>
        <v/>
      </c>
      <c r="G76" s="13" t="n"/>
      <c r="H76" s="13">
        <f>VLOOKUP(C76,'[1]Nómina Agentes'!$D:$AU,44,0)</f>
        <v/>
      </c>
      <c r="I76" s="13">
        <f>VLOOKUP(C76,'[1]Nómina Agentes'!$D$4:$H$473,5,0)</f>
        <v/>
      </c>
    </row>
    <row r="77">
      <c r="B77" s="13" t="inlineStr">
        <is>
          <t>S2S NO PREMIUM</t>
        </is>
      </c>
      <c r="C77" s="14" t="inlineStr">
        <is>
          <t>#N/D</t>
        </is>
      </c>
      <c r="D77" s="14" t="n">
        <v>628294</v>
      </c>
      <c r="E77" s="13" t="n">
        <v>6</v>
      </c>
      <c r="F77" s="13">
        <f t="array" ref="F77">(CONCATENATE(TEXT(MIN(IF('Base Avaya'!$E:$E='Operadores S2S'!$D77,'Base Avaya'!$AF:$AF)),"hh:mm")," - ",TEXT(MAX(IF('Base Avaya'!$E:$E='Operadores S2S'!$D77,'Base Avaya'!$AG:$AG)),"hh:mm")))</f>
        <v/>
      </c>
      <c r="G77" s="13" t="n"/>
      <c r="H77" s="13">
        <f>VLOOKUP(C77,'[1]Nómina Agentes'!$D:$AU,44,0)</f>
        <v/>
      </c>
      <c r="I77" s="13">
        <f>VLOOKUP(C77,'[1]Nómina Agentes'!$D$4:$H$473,5,0)</f>
        <v/>
      </c>
    </row>
    <row r="78">
      <c r="B78" s="13" t="inlineStr">
        <is>
          <t>S2S NO PREMIUM</t>
        </is>
      </c>
      <c r="C78" s="14" t="inlineStr">
        <is>
          <t>#N/D</t>
        </is>
      </c>
      <c r="D78" s="14" t="n">
        <v>628382</v>
      </c>
      <c r="E78" s="13" t="n">
        <v>30</v>
      </c>
      <c r="F78" s="13">
        <f t="array" ref="F78">(CONCATENATE(TEXT(MIN(IF('Base Avaya'!$E:$E='Operadores S2S'!$D78,'Base Avaya'!$AF:$AF)),"hh:mm")," - ",TEXT(MAX(IF('Base Avaya'!$E:$E='Operadores S2S'!$D78,'Base Avaya'!$AG:$AG)),"hh:mm")))</f>
        <v/>
      </c>
      <c r="G78" s="13" t="n"/>
      <c r="H78" s="13">
        <f>VLOOKUP(C78,'[1]Nómina Agentes'!$D:$AU,44,0)</f>
        <v/>
      </c>
      <c r="I78" s="13">
        <f>VLOOKUP(C78,'[1]Nómina Agentes'!$D$4:$H$473,5,0)</f>
        <v/>
      </c>
    </row>
    <row r="79">
      <c r="B79" s="13" t="inlineStr">
        <is>
          <t>S2S NO PREMIUM</t>
        </is>
      </c>
      <c r="C79" s="14" t="inlineStr">
        <is>
          <t>#N/D</t>
        </is>
      </c>
      <c r="D79" s="14" t="n">
        <v>628394</v>
      </c>
      <c r="E79" s="13" t="n">
        <v>9</v>
      </c>
      <c r="F79" s="13">
        <f t="array" ref="F79">(CONCATENATE(TEXT(MIN(IF('Base Avaya'!$E:$E='Operadores S2S'!$D79,'Base Avaya'!$AF:$AF)),"hh:mm")," - ",TEXT(MAX(IF('Base Avaya'!$E:$E='Operadores S2S'!$D79,'Base Avaya'!$AG:$AG)),"hh:mm")))</f>
        <v/>
      </c>
      <c r="G79" s="13" t="n"/>
      <c r="H79" s="13">
        <f>VLOOKUP(C79,'[1]Nómina Agentes'!$D:$AU,44,0)</f>
        <v/>
      </c>
      <c r="I79" s="13">
        <f>VLOOKUP(C79,'[1]Nómina Agentes'!$D$4:$H$473,5,0)</f>
        <v/>
      </c>
    </row>
    <row r="80">
      <c r="B80" s="13" t="inlineStr">
        <is>
          <t>S2S NO PREMIUM</t>
        </is>
      </c>
      <c r="C80" s="14" t="inlineStr">
        <is>
          <t>#N/D</t>
        </is>
      </c>
      <c r="D80" s="14" t="n">
        <v>663456</v>
      </c>
      <c r="E80" s="13" t="n">
        <v>9</v>
      </c>
      <c r="F80" s="13">
        <f t="array" ref="F80">(CONCATENATE(TEXT(MIN(IF('Base Avaya'!$E:$E='Operadores S2S'!$D80,'Base Avaya'!$AF:$AF)),"hh:mm")," - ",TEXT(MAX(IF('Base Avaya'!$E:$E='Operadores S2S'!$D80,'Base Avaya'!$AG:$AG)),"hh:mm")))</f>
        <v/>
      </c>
      <c r="G80" s="13" t="n"/>
      <c r="H80" s="13">
        <f>VLOOKUP(C80,'[1]Nómina Agentes'!$D:$AU,44,0)</f>
        <v/>
      </c>
      <c r="I80" s="13">
        <f>VLOOKUP(C80,'[1]Nómina Agentes'!$D$4:$H$473,5,0)</f>
        <v/>
      </c>
    </row>
    <row r="81">
      <c r="B81" s="13" t="inlineStr">
        <is>
          <t>S2S NO PREMIUM</t>
        </is>
      </c>
      <c r="C81" s="14" t="inlineStr">
        <is>
          <t>#N/D</t>
        </is>
      </c>
      <c r="D81" s="14" t="n">
        <v>616002</v>
      </c>
      <c r="E81" s="13" t="n">
        <v>13</v>
      </c>
      <c r="F81" s="13">
        <f t="array" ref="F81">(CONCATENATE(TEXT(MIN(IF('Base Avaya'!$E:$E='Operadores S2S'!$D81,'Base Avaya'!$AF:$AF)),"hh:mm")," - ",TEXT(MAX(IF('Base Avaya'!$E:$E='Operadores S2S'!$D81,'Base Avaya'!$AG:$AG)),"hh:mm")))</f>
        <v/>
      </c>
      <c r="G81" s="13" t="n"/>
      <c r="H81" s="13">
        <f>VLOOKUP(C81,'[1]Nómina Agentes'!$D:$AU,44,0)</f>
        <v/>
      </c>
      <c r="I81" s="13">
        <f>VLOOKUP(C81,'[1]Nómina Agentes'!$D$4:$H$473,5,0)</f>
        <v/>
      </c>
    </row>
    <row r="82">
      <c r="B82" s="13" t="inlineStr">
        <is>
          <t>S2S NO PREMIUM</t>
        </is>
      </c>
      <c r="C82" s="14" t="inlineStr">
        <is>
          <t>#N/D</t>
        </is>
      </c>
      <c r="D82" s="14" t="n">
        <v>616221</v>
      </c>
      <c r="E82" s="13" t="n">
        <v>6</v>
      </c>
      <c r="F82" s="13">
        <f t="array" ref="F82">(CONCATENATE(TEXT(MIN(IF('Base Avaya'!$E:$E='Operadores S2S'!$D82,'Base Avaya'!$AF:$AF)),"hh:mm")," - ",TEXT(MAX(IF('Base Avaya'!$E:$E='Operadores S2S'!$D82,'Base Avaya'!$AG:$AG)),"hh:mm")))</f>
        <v/>
      </c>
      <c r="G82" s="13" t="n"/>
      <c r="H82" s="13">
        <f>VLOOKUP(C82,'[1]Nómina Agentes'!$D:$AU,44,0)</f>
        <v/>
      </c>
      <c r="I82" s="13">
        <f>VLOOKUP(C82,'[1]Nómina Agentes'!$D$4:$H$473,5,0)</f>
        <v/>
      </c>
    </row>
    <row r="83">
      <c r="B83" s="13" t="inlineStr">
        <is>
          <t>S2S NO PREMIUM</t>
        </is>
      </c>
      <c r="C83" s="14" t="inlineStr">
        <is>
          <t>#N/D</t>
        </is>
      </c>
      <c r="D83" s="14" t="n">
        <v>616261</v>
      </c>
      <c r="E83" s="13" t="n">
        <v>15</v>
      </c>
      <c r="F83" s="13">
        <f t="array" ref="F83">(CONCATENATE(TEXT(MIN(IF('Base Avaya'!$E:$E='Operadores S2S'!$D83,'Base Avaya'!$AF:$AF)),"hh:mm")," - ",TEXT(MAX(IF('Base Avaya'!$E:$E='Operadores S2S'!$D83,'Base Avaya'!$AG:$AG)),"hh:mm")))</f>
        <v/>
      </c>
      <c r="G83" s="13" t="n"/>
      <c r="H83" s="13">
        <f>VLOOKUP(C83,'[1]Nómina Agentes'!$D:$AU,44,0)</f>
        <v/>
      </c>
      <c r="I83" s="13">
        <f>VLOOKUP(C83,'[1]Nómina Agentes'!$D$4:$H$473,5,0)</f>
        <v/>
      </c>
    </row>
    <row r="84">
      <c r="B84" s="13" t="inlineStr">
        <is>
          <t>S2S NO PREMIUM</t>
        </is>
      </c>
      <c r="C84" s="14" t="inlineStr">
        <is>
          <t>#N/D</t>
        </is>
      </c>
      <c r="D84" s="14" t="n">
        <v>616370</v>
      </c>
      <c r="E84" s="13" t="n">
        <v>4</v>
      </c>
      <c r="F84" s="13">
        <f t="array" ref="F84">(CONCATENATE(TEXT(MIN(IF('Base Avaya'!$E:$E='Operadores S2S'!$D84,'Base Avaya'!$AF:$AF)),"hh:mm")," - ",TEXT(MAX(IF('Base Avaya'!$E:$E='Operadores S2S'!$D84,'Base Avaya'!$AG:$AG)),"hh:mm")))</f>
        <v/>
      </c>
      <c r="G84" s="13" t="n"/>
      <c r="H84" s="13">
        <f>VLOOKUP(C84,'[1]Nómina Agentes'!$D:$AU,44,0)</f>
        <v/>
      </c>
      <c r="I84" s="13">
        <f>VLOOKUP(C84,'[1]Nómina Agentes'!$D$4:$H$473,5,0)</f>
        <v/>
      </c>
    </row>
    <row r="85">
      <c r="B85" s="13" t="inlineStr">
        <is>
          <t>S2S NO PREMIUM</t>
        </is>
      </c>
      <c r="C85" s="14" t="inlineStr">
        <is>
          <t>#N/D</t>
        </is>
      </c>
      <c r="D85" s="14" t="n">
        <v>616413</v>
      </c>
      <c r="E85" s="13" t="n">
        <v>4</v>
      </c>
      <c r="F85" s="13">
        <f t="array" ref="F85">(CONCATENATE(TEXT(MIN(IF('Base Avaya'!$E:$E='Operadores S2S'!$D85,'Base Avaya'!$AF:$AF)),"hh:mm")," - ",TEXT(MAX(IF('Base Avaya'!$E:$E='Operadores S2S'!$D85,'Base Avaya'!$AG:$AG)),"hh:mm")))</f>
        <v/>
      </c>
      <c r="G85" s="13" t="n"/>
      <c r="H85" s="13">
        <f>VLOOKUP(C85,'[1]Nómina Agentes'!$D:$AU,44,0)</f>
        <v/>
      </c>
      <c r="I85" s="13">
        <f>VLOOKUP(C85,'[1]Nómina Agentes'!$D$4:$H$473,5,0)</f>
        <v/>
      </c>
    </row>
    <row r="86">
      <c r="B86" s="13" t="inlineStr">
        <is>
          <t>S2S NO PREMIUM</t>
        </is>
      </c>
      <c r="C86" s="14" t="inlineStr">
        <is>
          <t>#N/D</t>
        </is>
      </c>
      <c r="D86" s="14" t="n">
        <v>616414</v>
      </c>
      <c r="E86" s="13" t="n">
        <v>5</v>
      </c>
      <c r="F86" s="13">
        <f t="array" ref="F86">(CONCATENATE(TEXT(MIN(IF('Base Avaya'!$E:$E='Operadores S2S'!$D86,'Base Avaya'!$AF:$AF)),"hh:mm")," - ",TEXT(MAX(IF('Base Avaya'!$E:$E='Operadores S2S'!$D86,'Base Avaya'!$AG:$AG)),"hh:mm")))</f>
        <v/>
      </c>
      <c r="G86" s="13" t="n"/>
      <c r="H86" s="13">
        <f>VLOOKUP(C86,'[1]Nómina Agentes'!$D:$AU,44,0)</f>
        <v/>
      </c>
      <c r="I86" s="13">
        <f>VLOOKUP(C86,'[1]Nómina Agentes'!$D$4:$H$473,5,0)</f>
        <v/>
      </c>
    </row>
    <row r="87">
      <c r="B87" s="13" t="inlineStr">
        <is>
          <t>S2S NO PREMIUM</t>
        </is>
      </c>
      <c r="C87" s="14" t="inlineStr">
        <is>
          <t>#N/D</t>
        </is>
      </c>
      <c r="D87" s="14" t="n">
        <v>616433</v>
      </c>
      <c r="E87" s="13" t="n">
        <v>17</v>
      </c>
      <c r="F87" s="13">
        <f t="array" ref="F87">(CONCATENATE(TEXT(MIN(IF('Base Avaya'!$E:$E='Operadores S2S'!$D87,'Base Avaya'!$AF:$AF)),"hh:mm")," - ",TEXT(MAX(IF('Base Avaya'!$E:$E='Operadores S2S'!$D87,'Base Avaya'!$AG:$AG)),"hh:mm")))</f>
        <v/>
      </c>
      <c r="G87" s="13" t="n"/>
      <c r="H87" s="13">
        <f>VLOOKUP(C87,'[1]Nómina Agentes'!$D:$AU,44,0)</f>
        <v/>
      </c>
      <c r="I87" s="13">
        <f>VLOOKUP(C87,'[1]Nómina Agentes'!$D$4:$H$473,5,0)</f>
        <v/>
      </c>
    </row>
    <row r="88">
      <c r="B88" s="13" t="inlineStr">
        <is>
          <t>S2S NO PREMIUM</t>
        </is>
      </c>
      <c r="C88" s="14" t="inlineStr">
        <is>
          <t>#N/D</t>
        </is>
      </c>
      <c r="D88" s="14" t="n">
        <v>616457</v>
      </c>
      <c r="E88" s="13" t="n">
        <v>5</v>
      </c>
      <c r="F88" s="13">
        <f t="array" ref="F88">(CONCATENATE(TEXT(MIN(IF('Base Avaya'!$E:$E='Operadores S2S'!$D88,'Base Avaya'!$AF:$AF)),"hh:mm")," - ",TEXT(MAX(IF('Base Avaya'!$E:$E='Operadores S2S'!$D88,'Base Avaya'!$AG:$AG)),"hh:mm")))</f>
        <v/>
      </c>
      <c r="G88" s="13" t="n"/>
      <c r="H88" s="13">
        <f>VLOOKUP(C88,'[1]Nómina Agentes'!$D:$AU,44,0)</f>
        <v/>
      </c>
      <c r="I88" s="13">
        <f>VLOOKUP(C88,'[1]Nómina Agentes'!$D$4:$H$473,5,0)</f>
        <v/>
      </c>
    </row>
    <row r="89">
      <c r="B89" s="13" t="inlineStr">
        <is>
          <t>S2S NO PREMIUM</t>
        </is>
      </c>
      <c r="C89" s="14" t="inlineStr">
        <is>
          <t>#N/D</t>
        </is>
      </c>
      <c r="D89" s="14" t="n">
        <v>616481</v>
      </c>
      <c r="E89" s="13" t="n">
        <v>6</v>
      </c>
      <c r="F89" s="13">
        <f t="array" ref="F89">(CONCATENATE(TEXT(MIN(IF('Base Avaya'!$E:$E='Operadores S2S'!$D89,'Base Avaya'!$AF:$AF)),"hh:mm")," - ",TEXT(MAX(IF('Base Avaya'!$E:$E='Operadores S2S'!$D89,'Base Avaya'!$AG:$AG)),"hh:mm")))</f>
        <v/>
      </c>
      <c r="G89" s="13" t="n"/>
      <c r="H89" s="13">
        <f>VLOOKUP(C89,'[1]Nómina Agentes'!$D:$AU,44,0)</f>
        <v/>
      </c>
      <c r="I89" s="13">
        <f>VLOOKUP(C89,'[1]Nómina Agentes'!$D$4:$H$473,5,0)</f>
        <v/>
      </c>
    </row>
    <row r="90">
      <c r="B90" s="13" t="inlineStr">
        <is>
          <t>S2S NO PREMIUM</t>
        </is>
      </c>
      <c r="C90" s="14" t="inlineStr">
        <is>
          <t>#N/D</t>
        </is>
      </c>
      <c r="D90" s="14" t="n">
        <v>616483</v>
      </c>
      <c r="E90" s="13" t="n">
        <v>6</v>
      </c>
      <c r="F90" s="13">
        <f t="array" ref="F90">(CONCATENATE(TEXT(MIN(IF('Base Avaya'!$E:$E='Operadores S2S'!$D90,'Base Avaya'!$AF:$AF)),"hh:mm")," - ",TEXT(MAX(IF('Base Avaya'!$E:$E='Operadores S2S'!$D90,'Base Avaya'!$AG:$AG)),"hh:mm")))</f>
        <v/>
      </c>
      <c r="G90" s="13" t="n"/>
      <c r="H90" s="13">
        <f>VLOOKUP(C90,'[1]Nómina Agentes'!$D:$AU,44,0)</f>
        <v/>
      </c>
      <c r="I90" s="13">
        <f>VLOOKUP(C90,'[1]Nómina Agentes'!$D$4:$H$473,5,0)</f>
        <v/>
      </c>
    </row>
    <row r="91">
      <c r="B91" s="13" t="inlineStr">
        <is>
          <t>S2S NO PREMIUM</t>
        </is>
      </c>
      <c r="C91" s="14" t="inlineStr">
        <is>
          <t>#N/D</t>
        </is>
      </c>
      <c r="D91" s="14" t="n">
        <v>616491</v>
      </c>
      <c r="E91" s="13" t="n">
        <v>9</v>
      </c>
      <c r="F91" s="13">
        <f t="array" ref="F91">(CONCATENATE(TEXT(MIN(IF('Base Avaya'!$E:$E='Operadores S2S'!$D91,'Base Avaya'!$AF:$AF)),"hh:mm")," - ",TEXT(MAX(IF('Base Avaya'!$E:$E='Operadores S2S'!$D91,'Base Avaya'!$AG:$AG)),"hh:mm")))</f>
        <v/>
      </c>
      <c r="G91" s="13" t="n"/>
      <c r="H91" s="13">
        <f>VLOOKUP(C91,'[1]Nómina Agentes'!$D:$AU,44,0)</f>
        <v/>
      </c>
      <c r="I91" s="13">
        <f>VLOOKUP(C91,'[1]Nómina Agentes'!$D$4:$H$473,5,0)</f>
        <v/>
      </c>
    </row>
    <row r="92">
      <c r="B92" s="13" t="inlineStr">
        <is>
          <t>S2S NO PREMIUM</t>
        </is>
      </c>
      <c r="C92" s="14" t="inlineStr">
        <is>
          <t>#N/D</t>
        </is>
      </c>
      <c r="D92" s="14" t="n">
        <v>616494</v>
      </c>
      <c r="E92" s="13" t="n">
        <v>19</v>
      </c>
      <c r="F92" s="13">
        <f t="array" ref="F92">(CONCATENATE(TEXT(MIN(IF('Base Avaya'!$E:$E='Operadores S2S'!$D92,'Base Avaya'!$AF:$AF)),"hh:mm")," - ",TEXT(MAX(IF('Base Avaya'!$E:$E='Operadores S2S'!$D92,'Base Avaya'!$AG:$AG)),"hh:mm")))</f>
        <v/>
      </c>
      <c r="G92" s="13" t="n"/>
      <c r="H92" s="13">
        <f>VLOOKUP(C92,'[1]Nómina Agentes'!$D:$AU,44,0)</f>
        <v/>
      </c>
      <c r="I92" s="13">
        <f>VLOOKUP(C92,'[1]Nómina Agentes'!$D$4:$H$473,5,0)</f>
        <v/>
      </c>
    </row>
    <row r="93">
      <c r="B93" s="13" t="inlineStr">
        <is>
          <t>S2S NO PREMIUM</t>
        </is>
      </c>
      <c r="C93" s="14" t="inlineStr">
        <is>
          <t>#N/D</t>
        </is>
      </c>
      <c r="D93" s="14" t="n">
        <v>616518</v>
      </c>
      <c r="E93" s="13" t="n">
        <v>6</v>
      </c>
      <c r="F93" s="13">
        <f t="array" ref="F93">(CONCATENATE(TEXT(MIN(IF('Base Avaya'!$E:$E='Operadores S2S'!$D93,'Base Avaya'!$AF:$AF)),"hh:mm")," - ",TEXT(MAX(IF('Base Avaya'!$E:$E='Operadores S2S'!$D93,'Base Avaya'!$AG:$AG)),"hh:mm")))</f>
        <v/>
      </c>
      <c r="G93" s="13" t="n"/>
      <c r="H93" s="13">
        <f>VLOOKUP(C93,'[1]Nómina Agentes'!$D:$AU,44,0)</f>
        <v/>
      </c>
      <c r="I93" s="13">
        <f>VLOOKUP(C93,'[1]Nómina Agentes'!$D$4:$H$473,5,0)</f>
        <v/>
      </c>
    </row>
    <row r="94">
      <c r="B94" s="13" t="inlineStr">
        <is>
          <t>S2S NO PREMIUM</t>
        </is>
      </c>
      <c r="C94" s="14" t="inlineStr">
        <is>
          <t>#N/D</t>
        </is>
      </c>
      <c r="D94" s="14" t="n">
        <v>616522</v>
      </c>
      <c r="E94" s="13" t="n">
        <v>9</v>
      </c>
      <c r="F94" s="13">
        <f t="array" ref="F94">(CONCATENATE(TEXT(MIN(IF('Base Avaya'!$E:$E='Operadores S2S'!$D94,'Base Avaya'!$AF:$AF)),"hh:mm")," - ",TEXT(MAX(IF('Base Avaya'!$E:$E='Operadores S2S'!$D94,'Base Avaya'!$AG:$AG)),"hh:mm")))</f>
        <v/>
      </c>
      <c r="G94" s="13" t="n"/>
      <c r="H94" s="13">
        <f>VLOOKUP(C94,'[1]Nómina Agentes'!$D:$AU,44,0)</f>
        <v/>
      </c>
      <c r="I94" s="13">
        <f>VLOOKUP(C94,'[1]Nómina Agentes'!$D$4:$H$473,5,0)</f>
        <v/>
      </c>
    </row>
    <row r="95">
      <c r="B95" s="13" t="inlineStr">
        <is>
          <t>S2S NO PREMIUM</t>
        </is>
      </c>
      <c r="C95" s="14" t="inlineStr">
        <is>
          <t>#N/D</t>
        </is>
      </c>
      <c r="D95" s="14" t="n">
        <v>616590</v>
      </c>
      <c r="E95" s="13" t="n">
        <v>34</v>
      </c>
      <c r="F95" s="13">
        <f t="array" ref="F95">(CONCATENATE(TEXT(MIN(IF('Base Avaya'!$E:$E='Operadores S2S'!$D95,'Base Avaya'!$AF:$AF)),"hh:mm")," - ",TEXT(MAX(IF('Base Avaya'!$E:$E='Operadores S2S'!$D95,'Base Avaya'!$AG:$AG)),"hh:mm")))</f>
        <v/>
      </c>
      <c r="G95" s="13" t="n"/>
      <c r="H95" s="13">
        <f>VLOOKUP(C95,'[1]Nómina Agentes'!$D:$AU,44,0)</f>
        <v/>
      </c>
      <c r="I95" s="13">
        <f>VLOOKUP(C95,'[1]Nómina Agentes'!$D$4:$H$473,5,0)</f>
        <v/>
      </c>
    </row>
    <row r="96">
      <c r="B96" s="13" t="inlineStr">
        <is>
          <t>S2S NO PREMIUM</t>
        </is>
      </c>
      <c r="C96" s="14" t="inlineStr">
        <is>
          <t>#N/D</t>
        </is>
      </c>
      <c r="D96" s="14" t="n">
        <v>628107</v>
      </c>
      <c r="E96" s="13" t="n">
        <v>6</v>
      </c>
      <c r="F96" s="13">
        <f t="array" ref="F96">(CONCATENATE(TEXT(MIN(IF('Base Avaya'!$E:$E='Operadores S2S'!$D96,'Base Avaya'!$AF:$AF)),"hh:mm")," - ",TEXT(MAX(IF('Base Avaya'!$E:$E='Operadores S2S'!$D96,'Base Avaya'!$AG:$AG)),"hh:mm")))</f>
        <v/>
      </c>
      <c r="G96" s="13" t="n"/>
      <c r="H96" s="13">
        <f>VLOOKUP(C96,'[1]Nómina Agentes'!$D:$AU,44,0)</f>
        <v/>
      </c>
      <c r="I96" s="13">
        <f>VLOOKUP(C96,'[1]Nómina Agentes'!$D$4:$H$473,5,0)</f>
        <v/>
      </c>
    </row>
    <row r="97">
      <c r="B97" s="13" t="inlineStr">
        <is>
          <t>S2S NO PREMIUM</t>
        </is>
      </c>
      <c r="C97" s="14" t="inlineStr">
        <is>
          <t>#N/D</t>
        </is>
      </c>
      <c r="D97" s="14" t="n">
        <v>616238</v>
      </c>
      <c r="E97" s="13" t="n">
        <v>7</v>
      </c>
      <c r="F97" s="13">
        <f t="array" ref="F97">(CONCATENATE(TEXT(MIN(IF('Base Avaya'!$E:$E='Operadores S2S'!$D97,'Base Avaya'!$AF:$AF)),"hh:mm")," - ",TEXT(MAX(IF('Base Avaya'!$E:$E='Operadores S2S'!$D97,'Base Avaya'!$AG:$AG)),"hh:mm")))</f>
        <v/>
      </c>
      <c r="G97" s="13" t="n"/>
      <c r="H97" s="13">
        <f>VLOOKUP(C97,'[1]Nómina Agentes'!$D:$AU,44,0)</f>
        <v/>
      </c>
      <c r="I97" s="13">
        <f>VLOOKUP(C97,'[1]Nómina Agentes'!$D$4:$H$473,5,0)</f>
        <v/>
      </c>
    </row>
    <row r="98">
      <c r="B98" s="13" t="inlineStr">
        <is>
          <t>S2S NO PREMIUM</t>
        </is>
      </c>
      <c r="C98" s="14" t="inlineStr">
        <is>
          <t>#N/D</t>
        </is>
      </c>
      <c r="D98" s="14" t="n">
        <v>616090</v>
      </c>
      <c r="E98" s="13" t="n">
        <v>35</v>
      </c>
      <c r="F98" s="13">
        <f t="array" ref="F98">(CONCATENATE(TEXT(MIN(IF('Base Avaya'!$E:$E='Operadores S2S'!$D98,'Base Avaya'!$AF:$AF)),"hh:mm")," - ",TEXT(MAX(IF('Base Avaya'!$E:$E='Operadores S2S'!$D98,'Base Avaya'!$AG:$AG)),"hh:mm")))</f>
        <v/>
      </c>
      <c r="G98" s="13" t="n"/>
      <c r="H98" s="13">
        <f>VLOOKUP(C98,'[1]Nómina Agentes'!$D:$AU,44,0)</f>
        <v/>
      </c>
      <c r="I98" s="13">
        <f>VLOOKUP(C98,'[1]Nómina Agentes'!$D$4:$H$473,5,0)</f>
        <v/>
      </c>
    </row>
    <row r="99">
      <c r="B99" s="13" t="inlineStr">
        <is>
          <t>S2S NO PREMIUM</t>
        </is>
      </c>
      <c r="C99" s="14" t="inlineStr">
        <is>
          <t>#N/D</t>
        </is>
      </c>
      <c r="D99" s="14" t="n">
        <v>616206</v>
      </c>
      <c r="E99" s="13" t="n">
        <v>42</v>
      </c>
      <c r="F99" s="13">
        <f t="array" ref="F99">(CONCATENATE(TEXT(MIN(IF('Base Avaya'!$E:$E='Operadores S2S'!$D99,'Base Avaya'!$AF:$AF)),"hh:mm")," - ",TEXT(MAX(IF('Base Avaya'!$E:$E='Operadores S2S'!$D99,'Base Avaya'!$AG:$AG)),"hh:mm")))</f>
        <v/>
      </c>
      <c r="G99" s="13" t="n"/>
      <c r="H99" s="13">
        <f>VLOOKUP(C99,'[1]Nómina Agentes'!$D:$AU,44,0)</f>
        <v/>
      </c>
      <c r="I99" s="13">
        <f>VLOOKUP(C99,'[1]Nómina Agentes'!$D$4:$H$473,5,0)</f>
        <v/>
      </c>
    </row>
    <row r="100">
      <c r="B100" s="13" t="inlineStr">
        <is>
          <t>S2S NO PREMIUM</t>
        </is>
      </c>
      <c r="C100" s="14" t="inlineStr">
        <is>
          <t>#N/D</t>
        </is>
      </c>
      <c r="D100" s="14" t="n">
        <v>616336</v>
      </c>
      <c r="E100" s="13" t="n">
        <v>24</v>
      </c>
      <c r="F100" s="13">
        <f t="array" ref="F100">(CONCATENATE(TEXT(MIN(IF('Base Avaya'!$E:$E='Operadores S2S'!$D100,'Base Avaya'!$AF:$AF)),"hh:mm")," - ",TEXT(MAX(IF('Base Avaya'!$E:$E='Operadores S2S'!$D100,'Base Avaya'!$AG:$AG)),"hh:mm")))</f>
        <v/>
      </c>
      <c r="G100" s="13" t="n"/>
      <c r="H100" s="13">
        <f>VLOOKUP(C100,'[1]Nómina Agentes'!$D:$AU,44,0)</f>
        <v/>
      </c>
      <c r="I100" s="13">
        <f>VLOOKUP(C100,'[1]Nómina Agentes'!$D$4:$H$473,5,0)</f>
        <v/>
      </c>
    </row>
    <row r="101">
      <c r="B101" s="13" t="inlineStr">
        <is>
          <t>S2S NO PREMIUM</t>
        </is>
      </c>
      <c r="C101" s="14" t="inlineStr">
        <is>
          <t>#N/D</t>
        </is>
      </c>
      <c r="D101" s="14" t="n">
        <v>616423</v>
      </c>
      <c r="E101" s="13" t="n">
        <v>18</v>
      </c>
      <c r="F101" s="13">
        <f t="array" ref="F101">(CONCATENATE(TEXT(MIN(IF('Base Avaya'!$E:$E='Operadores S2S'!$D101,'Base Avaya'!$AF:$AF)),"hh:mm")," - ",TEXT(MAX(IF('Base Avaya'!$E:$E='Operadores S2S'!$D101,'Base Avaya'!$AG:$AG)),"hh:mm")))</f>
        <v/>
      </c>
      <c r="G101" s="13" t="n"/>
      <c r="H101" s="13">
        <f>VLOOKUP(C101,'[1]Nómina Agentes'!$D:$AU,44,0)</f>
        <v/>
      </c>
      <c r="I101" s="13">
        <f>VLOOKUP(C101,'[1]Nómina Agentes'!$D$4:$H$473,5,0)</f>
        <v/>
      </c>
    </row>
    <row r="102">
      <c r="B102" s="13" t="inlineStr">
        <is>
          <t>S2S NO PREMIUM</t>
        </is>
      </c>
      <c r="C102" s="14" t="inlineStr">
        <is>
          <t>#N/D</t>
        </is>
      </c>
      <c r="D102" s="14" t="n">
        <v>616438</v>
      </c>
      <c r="E102" s="13" t="n">
        <v>27</v>
      </c>
      <c r="F102" s="13">
        <f t="array" ref="F102">(CONCATENATE(TEXT(MIN(IF('Base Avaya'!$E:$E='Operadores S2S'!$D102,'Base Avaya'!$AF:$AF)),"hh:mm")," - ",TEXT(MAX(IF('Base Avaya'!$E:$E='Operadores S2S'!$D102,'Base Avaya'!$AG:$AG)),"hh:mm")))</f>
        <v/>
      </c>
      <c r="G102" s="13" t="n"/>
      <c r="H102" s="13">
        <f>VLOOKUP(C102,'[1]Nómina Agentes'!$D:$AU,44,0)</f>
        <v/>
      </c>
      <c r="I102" s="13">
        <f>VLOOKUP(C102,'[1]Nómina Agentes'!$D$4:$H$473,5,0)</f>
        <v/>
      </c>
    </row>
    <row r="103">
      <c r="B103" s="13" t="inlineStr">
        <is>
          <t>S2S NO PREMIUM</t>
        </is>
      </c>
      <c r="C103" s="14" t="inlineStr">
        <is>
          <t>#N/D</t>
        </is>
      </c>
      <c r="D103" s="14" t="n">
        <v>616520</v>
      </c>
      <c r="E103" s="13" t="n">
        <v>35</v>
      </c>
      <c r="F103" s="13">
        <f t="array" ref="F103">(CONCATENATE(TEXT(MIN(IF('Base Avaya'!$E:$E='Operadores S2S'!$D103,'Base Avaya'!$AF:$AF)),"hh:mm")," - ",TEXT(MAX(IF('Base Avaya'!$E:$E='Operadores S2S'!$D103,'Base Avaya'!$AG:$AG)),"hh:mm")))</f>
        <v/>
      </c>
      <c r="G103" s="13" t="n"/>
      <c r="H103" s="13">
        <f>VLOOKUP(C103,'[1]Nómina Agentes'!$D:$AU,44,0)</f>
        <v/>
      </c>
      <c r="I103" s="13">
        <f>VLOOKUP(C103,'[1]Nómina Agentes'!$D$4:$H$473,5,0)</f>
        <v/>
      </c>
    </row>
    <row r="104">
      <c r="B104" s="13" t="inlineStr">
        <is>
          <t>S2S NO PREMIUM</t>
        </is>
      </c>
      <c r="C104" s="14" t="inlineStr">
        <is>
          <t>#N/D</t>
        </is>
      </c>
      <c r="D104" s="14" t="n">
        <v>616530</v>
      </c>
      <c r="E104" s="13" t="n">
        <v>39</v>
      </c>
      <c r="F104" s="13">
        <f t="array" ref="F104">(CONCATENATE(TEXT(MIN(IF('Base Avaya'!$E:$E='Operadores S2S'!$D104,'Base Avaya'!$AF:$AF)),"hh:mm")," - ",TEXT(MAX(IF('Base Avaya'!$E:$E='Operadores S2S'!$D104,'Base Avaya'!$AG:$AG)),"hh:mm")))</f>
        <v/>
      </c>
      <c r="G104" s="13" t="n"/>
      <c r="H104" s="13">
        <f>VLOOKUP(C104,'[1]Nómina Agentes'!$D:$AU,44,0)</f>
        <v/>
      </c>
      <c r="I104" s="13">
        <f>VLOOKUP(C104,'[1]Nómina Agentes'!$D$4:$H$473,5,0)</f>
        <v/>
      </c>
    </row>
    <row r="105">
      <c r="B105" s="13" t="inlineStr">
        <is>
          <t>S2S NO PREMIUM</t>
        </is>
      </c>
      <c r="C105" s="14" t="inlineStr">
        <is>
          <t>#N/D</t>
        </is>
      </c>
      <c r="D105" s="14" t="n">
        <v>616597</v>
      </c>
      <c r="E105" s="13" t="n">
        <v>32</v>
      </c>
      <c r="F105" s="13">
        <f t="array" ref="F105">(CONCATENATE(TEXT(MIN(IF('Base Avaya'!$E:$E='Operadores S2S'!$D105,'Base Avaya'!$AF:$AF)),"hh:mm")," - ",TEXT(MAX(IF('Base Avaya'!$E:$E='Operadores S2S'!$D105,'Base Avaya'!$AG:$AG)),"hh:mm")))</f>
        <v/>
      </c>
      <c r="G105" s="13" t="n"/>
      <c r="H105" s="13">
        <f>VLOOKUP(C105,'[1]Nómina Agentes'!$D:$AU,44,0)</f>
        <v/>
      </c>
      <c r="I105" s="13">
        <f>VLOOKUP(C105,'[1]Nómina Agentes'!$D$4:$H$473,5,0)</f>
        <v/>
      </c>
    </row>
    <row r="106">
      <c r="B106" s="13" t="inlineStr">
        <is>
          <t>S2S NO PREMIUM</t>
        </is>
      </c>
      <c r="C106" s="14" t="inlineStr">
        <is>
          <t>#N/D</t>
        </is>
      </c>
      <c r="D106" s="14" t="n">
        <v>628010</v>
      </c>
      <c r="E106" s="13" t="n">
        <v>7</v>
      </c>
      <c r="F106" s="13">
        <f t="array" ref="F106">(CONCATENATE(TEXT(MIN(IF('Base Avaya'!$E:$E='Operadores S2S'!$D106,'Base Avaya'!$AF:$AF)),"hh:mm")," - ",TEXT(MAX(IF('Base Avaya'!$E:$E='Operadores S2S'!$D106,'Base Avaya'!$AG:$AG)),"hh:mm")))</f>
        <v/>
      </c>
      <c r="G106" s="13" t="n"/>
      <c r="H106" s="13">
        <f>VLOOKUP(C106,'[1]Nómina Agentes'!$D:$AU,44,0)</f>
        <v/>
      </c>
      <c r="I106" s="13">
        <f>VLOOKUP(C106,'[1]Nómina Agentes'!$D$4:$H$473,5,0)</f>
        <v/>
      </c>
    </row>
    <row r="107">
      <c r="B107" s="13" t="inlineStr">
        <is>
          <t>S2S NO PREMIUM</t>
        </is>
      </c>
      <c r="C107" s="14" t="inlineStr">
        <is>
          <t>#N/D</t>
        </is>
      </c>
      <c r="D107" s="14" t="n">
        <v>628286</v>
      </c>
      <c r="E107" s="13" t="n">
        <v>6</v>
      </c>
      <c r="F107" s="13">
        <f t="array" ref="F107">(CONCATENATE(TEXT(MIN(IF('Base Avaya'!$E:$E='Operadores S2S'!$D107,'Base Avaya'!$AF:$AF)),"hh:mm")," - ",TEXT(MAX(IF('Base Avaya'!$E:$E='Operadores S2S'!$D107,'Base Avaya'!$AG:$AG)),"hh:mm")))</f>
        <v/>
      </c>
      <c r="G107" s="13" t="n"/>
      <c r="H107" s="13">
        <f>VLOOKUP(C107,'[1]Nómina Agentes'!$D:$AU,44,0)</f>
        <v/>
      </c>
      <c r="I107" s="13">
        <f>VLOOKUP(C107,'[1]Nómina Agentes'!$D$4:$H$473,5,0)</f>
        <v/>
      </c>
    </row>
    <row r="108">
      <c r="B108" s="13" t="inlineStr">
        <is>
          <t>S2S NO PREMIUM</t>
        </is>
      </c>
      <c r="C108" s="14" t="inlineStr">
        <is>
          <t>#N/D</t>
        </is>
      </c>
      <c r="D108" s="14" t="n">
        <v>69994</v>
      </c>
      <c r="E108" s="13" t="n">
        <v>33</v>
      </c>
      <c r="F108" s="13">
        <f t="array" ref="F108">(CONCATENATE(TEXT(MIN(IF('Base Avaya'!$E:$E='Operadores S2S'!$D108,'Base Avaya'!$AF:$AF)),"hh:mm")," - ",TEXT(MAX(IF('Base Avaya'!$E:$E='Operadores S2S'!$D108,'Base Avaya'!$AG:$AG)),"hh:mm")))</f>
        <v/>
      </c>
      <c r="G108" s="13" t="n"/>
      <c r="H108" s="13">
        <f>VLOOKUP(C108,'[1]Nómina Agentes'!$D:$AU,44,0)</f>
        <v/>
      </c>
      <c r="I108" s="13">
        <f>VLOOKUP(C108,'[1]Nómina Agentes'!$D$4:$H$473,5,0)</f>
        <v/>
      </c>
    </row>
    <row r="109">
      <c r="B109" s="13" t="inlineStr">
        <is>
          <t>S2S NO PREMIUM</t>
        </is>
      </c>
      <c r="C109" s="14" t="inlineStr">
        <is>
          <t>#N/D</t>
        </is>
      </c>
      <c r="D109" s="14" t="n">
        <v>628034</v>
      </c>
      <c r="E109" s="13" t="n">
        <v>8</v>
      </c>
      <c r="F109" s="13">
        <f t="array" ref="F109">(CONCATENATE(TEXT(MIN(IF('Base Avaya'!$E:$E='Operadores S2S'!$D109,'Base Avaya'!$AF:$AF)),"hh:mm")," - ",TEXT(MAX(IF('Base Avaya'!$E:$E='Operadores S2S'!$D109,'Base Avaya'!$AG:$AG)),"hh:mm")))</f>
        <v/>
      </c>
      <c r="G109" s="13" t="n"/>
      <c r="H109" s="13">
        <f>VLOOKUP(C109,'[1]Nómina Agentes'!$D:$AU,44,0)</f>
        <v/>
      </c>
      <c r="I109" s="13">
        <f>VLOOKUP(C109,'[1]Nómina Agentes'!$D$4:$H$473,5,0)</f>
        <v/>
      </c>
      <c r="J109" s="10" t="n"/>
      <c r="K109" s="10" t="n"/>
    </row>
    <row r="110">
      <c r="B110" s="13" t="inlineStr">
        <is>
          <t>S2S NO PREMIUM</t>
        </is>
      </c>
      <c r="C110" s="14" t="inlineStr">
        <is>
          <t>#N/D</t>
        </is>
      </c>
      <c r="D110" s="14" t="n">
        <v>628388</v>
      </c>
      <c r="E110" s="13" t="n">
        <v>5</v>
      </c>
      <c r="F110" s="13">
        <f t="array" ref="F110">(CONCATENATE(TEXT(MIN(IF('Base Avaya'!$E:$E='Operadores S2S'!$D110,'Base Avaya'!$AF:$AF)),"hh:mm")," - ",TEXT(MAX(IF('Base Avaya'!$E:$E='Operadores S2S'!$D110,'Base Avaya'!$AG:$AG)),"hh:mm")))</f>
        <v/>
      </c>
      <c r="G110" s="13" t="n"/>
      <c r="H110" s="13">
        <f>VLOOKUP(C110,'[1]Nómina Agentes'!$D:$AU,44,0)</f>
        <v/>
      </c>
      <c r="I110" s="13">
        <f>VLOOKUP(C110,'[1]Nómina Agentes'!$D$4:$H$473,5,0)</f>
        <v/>
      </c>
      <c r="J110" s="10" t="n"/>
      <c r="K110" s="10" t="n"/>
    </row>
    <row r="111">
      <c r="B111" s="13" t="inlineStr">
        <is>
          <t>S2S NO PREMIUM</t>
        </is>
      </c>
      <c r="C111" s="14" t="inlineStr">
        <is>
          <t>#N/D</t>
        </is>
      </c>
      <c r="D111" s="14" t="n">
        <v>628423</v>
      </c>
      <c r="E111" s="13" t="n">
        <v>6</v>
      </c>
      <c r="F111" s="13">
        <f t="array" ref="F111">(CONCATENATE(TEXT(MIN(IF('Base Avaya'!$E:$E='Operadores S2S'!$D111,'Base Avaya'!$AF:$AF)),"hh:mm")," - ",TEXT(MAX(IF('Base Avaya'!$E:$E='Operadores S2S'!$D111,'Base Avaya'!$AG:$AG)),"hh:mm")))</f>
        <v/>
      </c>
      <c r="G111" s="13" t="n"/>
      <c r="H111" s="13">
        <f>VLOOKUP(C111,'[1]Nómina Agentes'!$D:$AU,44,0)</f>
        <v/>
      </c>
      <c r="I111" s="13">
        <f>VLOOKUP(C111,'[1]Nómina Agentes'!$D$4:$H$473,5,0)</f>
        <v/>
      </c>
      <c r="J111" s="10" t="n"/>
      <c r="K111" s="10" t="n"/>
    </row>
    <row r="112">
      <c r="B112" s="13" t="inlineStr">
        <is>
          <t>S2S NO PREMIUM</t>
        </is>
      </c>
      <c r="C112" s="14" t="inlineStr">
        <is>
          <t>#N/D</t>
        </is>
      </c>
      <c r="D112" s="14" t="n">
        <v>628395</v>
      </c>
      <c r="E112" s="13" t="n">
        <v>34</v>
      </c>
      <c r="F112" s="13">
        <f t="array" ref="F112">(CONCATENATE(TEXT(MIN(IF('Base Avaya'!$E:$E='Operadores S2S'!$D112,'Base Avaya'!$AF:$AF)),"hh:mm")," - ",TEXT(MAX(IF('Base Avaya'!$E:$E='Operadores S2S'!$D112,'Base Avaya'!$AG:$AG)),"hh:mm")))</f>
        <v/>
      </c>
      <c r="G112" s="13" t="n"/>
      <c r="H112" s="13">
        <f>VLOOKUP(C112,'[1]Nómina Agentes'!$D:$AU,44,0)</f>
        <v/>
      </c>
      <c r="I112" s="13">
        <f>VLOOKUP(C112,'[1]Nómina Agentes'!$D$4:$H$473,5,0)</f>
        <v/>
      </c>
      <c r="J112" s="10" t="n"/>
      <c r="K112" s="10" t="n"/>
    </row>
    <row r="113">
      <c r="B113" s="13" t="inlineStr">
        <is>
          <t>S2S NO PREMIUM</t>
        </is>
      </c>
      <c r="C113" s="14" t="inlineStr">
        <is>
          <t>#N/D</t>
        </is>
      </c>
      <c r="D113" s="14" t="n">
        <v>628070</v>
      </c>
      <c r="E113" s="13" t="n">
        <v>9</v>
      </c>
      <c r="F113" s="13">
        <f t="array" ref="F113">(CONCATENATE(TEXT(MIN(IF('Base Avaya'!$E:$E='Operadores S2S'!$D113,'Base Avaya'!$AF:$AF)),"hh:mm")," - ",TEXT(MAX(IF('Base Avaya'!$E:$E='Operadores S2S'!$D113,'Base Avaya'!$AG:$AG)),"hh:mm")))</f>
        <v/>
      </c>
      <c r="G113" s="13" t="n"/>
      <c r="H113" s="13">
        <f>VLOOKUP(C113,'[1]Nómina Agentes'!$D:$AU,44,0)</f>
        <v/>
      </c>
      <c r="I113" s="13">
        <f>VLOOKUP(C113,'[1]Nómina Agentes'!$D$4:$H$473,5,0)</f>
        <v/>
      </c>
    </row>
    <row r="114">
      <c r="B114" s="13" t="inlineStr">
        <is>
          <t>S2S NO PREMIUM</t>
        </is>
      </c>
      <c r="C114" s="14" t="inlineStr">
        <is>
          <t>#N/D</t>
        </is>
      </c>
      <c r="D114" s="14" t="n">
        <v>628496</v>
      </c>
      <c r="E114" s="13" t="n">
        <v>2</v>
      </c>
      <c r="F114" s="13">
        <f t="array" ref="F114">(CONCATENATE(TEXT(MIN(IF('Base Avaya'!$E:$E='Operadores S2S'!$D114,'Base Avaya'!$AF:$AF)),"hh:mm")," - ",TEXT(MAX(IF('Base Avaya'!$E:$E='Operadores S2S'!$D114,'Base Avaya'!$AG:$AG)),"hh:mm")))</f>
        <v/>
      </c>
      <c r="G114" s="13" t="n"/>
      <c r="H114" s="13">
        <f>VLOOKUP(C114,'[1]Nómina Agentes'!$D:$AU,44,0)</f>
        <v/>
      </c>
      <c r="I114" s="13">
        <f>VLOOKUP(C114,'[1]Nómina Agentes'!$D$4:$H$473,5,0)</f>
        <v/>
      </c>
      <c r="K114" s="10" t="n"/>
    </row>
    <row r="115">
      <c r="B115" s="13" t="inlineStr">
        <is>
          <t>S2S NO PREMIUM</t>
        </is>
      </c>
      <c r="C115" s="14" t="inlineStr">
        <is>
          <t>#N/D</t>
        </is>
      </c>
      <c r="D115" s="14" t="n">
        <v>625572</v>
      </c>
      <c r="E115" s="13" t="n">
        <v>11</v>
      </c>
      <c r="F115" s="13">
        <f t="array" ref="F115">(CONCATENATE(TEXT(MIN(IF('Base Avaya'!$E:$E='Operadores S2S'!$D115,'Base Avaya'!$AF:$AF)),"hh:mm")," - ",TEXT(MAX(IF('Base Avaya'!$E:$E='Operadores S2S'!$D115,'Base Avaya'!$AG:$AG)),"hh:mm")))</f>
        <v/>
      </c>
      <c r="G115" s="13" t="n"/>
      <c r="H115" s="13">
        <f>VLOOKUP(C115,'[1]Nómina Agentes'!$D:$AU,44,0)</f>
        <v/>
      </c>
      <c r="I115" s="13">
        <f>VLOOKUP(C115,'[1]Nómina Agentes'!$D$4:$H$473,5,0)</f>
        <v/>
      </c>
      <c r="K115" s="10" t="n"/>
    </row>
    <row r="116">
      <c r="B116" s="13" t="inlineStr">
        <is>
          <t>S2S NO PREMIUM</t>
        </is>
      </c>
      <c r="C116" s="14" t="inlineStr">
        <is>
          <t>#N/D</t>
        </is>
      </c>
      <c r="D116" s="14" t="n">
        <v>628092</v>
      </c>
      <c r="E116" s="13" t="n">
        <v>2</v>
      </c>
      <c r="F116" s="13">
        <f t="array" ref="F116">(CONCATENATE(TEXT(MIN(IF('Base Avaya'!$E:$E='Operadores S2S'!$D116,'Base Avaya'!$AF:$AF)),"hh:mm")," - ",TEXT(MAX(IF('Base Avaya'!$E:$E='Operadores S2S'!$D116,'Base Avaya'!$AG:$AG)),"hh:mm")))</f>
        <v/>
      </c>
      <c r="G116" s="13" t="n"/>
      <c r="H116" s="13">
        <f>VLOOKUP(C116,'[1]Nómina Agentes'!$D:$AU,44,0)</f>
        <v/>
      </c>
      <c r="I116" s="13">
        <f>VLOOKUP(C116,'[1]Nómina Agentes'!$D$4:$H$473,5,0)</f>
        <v/>
      </c>
      <c r="K116" s="10" t="n"/>
    </row>
    <row r="117">
      <c r="B117" s="13" t="inlineStr">
        <is>
          <t>S2S NO PREMIUM</t>
        </is>
      </c>
      <c r="C117" s="14" t="inlineStr">
        <is>
          <t>#N/D</t>
        </is>
      </c>
      <c r="D117" s="14" t="n">
        <v>628315</v>
      </c>
      <c r="E117" s="13" t="n">
        <v>6</v>
      </c>
      <c r="F117" s="13">
        <f t="array" ref="F117">(CONCATENATE(TEXT(MIN(IF('Base Avaya'!$E:$E='Operadores S2S'!$D117,'Base Avaya'!$AF:$AF)),"hh:mm")," - ",TEXT(MAX(IF('Base Avaya'!$E:$E='Operadores S2S'!$D117,'Base Avaya'!$AG:$AG)),"hh:mm")))</f>
        <v/>
      </c>
      <c r="G117" s="13" t="n"/>
      <c r="H117" s="13">
        <f>VLOOKUP(C117,'[1]Nómina Agentes'!$D:$AU,44,0)</f>
        <v/>
      </c>
      <c r="I117" s="13">
        <f>VLOOKUP(C117,'[1]Nómina Agentes'!$D$4:$H$473,5,0)</f>
        <v/>
      </c>
      <c r="K117" s="10" t="n"/>
    </row>
    <row r="118">
      <c r="B118" s="13" t="inlineStr">
        <is>
          <t>S2S NO PREMIUM</t>
        </is>
      </c>
      <c r="C118" s="14" t="inlineStr">
        <is>
          <t>#N/D</t>
        </is>
      </c>
      <c r="D118" s="14" t="n">
        <v>628386</v>
      </c>
      <c r="E118" s="13" t="n">
        <v>2</v>
      </c>
      <c r="F118" s="13">
        <f t="array" ref="F118">(CONCATENATE(TEXT(MIN(IF('Base Avaya'!$E:$E='Operadores S2S'!$D118,'Base Avaya'!$AF:$AF)),"hh:mm")," - ",TEXT(MAX(IF('Base Avaya'!$E:$E='Operadores S2S'!$D118,'Base Avaya'!$AG:$AG)),"hh:mm")))</f>
        <v/>
      </c>
      <c r="G118" s="13" t="n"/>
      <c r="H118" s="13">
        <f>VLOOKUP(C118,'[1]Nómina Agentes'!$D:$AU,44,0)</f>
        <v/>
      </c>
      <c r="I118" s="13">
        <f>VLOOKUP(C118,'[1]Nómina Agentes'!$D$4:$H$473,5,0)</f>
        <v/>
      </c>
    </row>
    <row r="119">
      <c r="B119" s="13" t="inlineStr">
        <is>
          <t>S2S NO PREMIUM</t>
        </is>
      </c>
      <c r="C119" s="14" t="inlineStr">
        <is>
          <t>#N/D</t>
        </is>
      </c>
      <c r="D119" s="14" t="n">
        <v>628531</v>
      </c>
      <c r="E119" s="13" t="n">
        <v>1</v>
      </c>
      <c r="F119" s="13">
        <f t="array" ref="F119">(CONCATENATE(TEXT(MIN(IF('Base Avaya'!$E:$E='Operadores S2S'!$D119,'Base Avaya'!$AF:$AF)),"hh:mm")," - ",TEXT(MAX(IF('Base Avaya'!$E:$E='Operadores S2S'!$D119,'Base Avaya'!$AG:$AG)),"hh:mm")))</f>
        <v/>
      </c>
      <c r="G119" s="13" t="n"/>
      <c r="H119" s="13">
        <f>VLOOKUP(C119,'[1]Nómina Agentes'!$D:$AU,44,0)</f>
        <v/>
      </c>
      <c r="I119" s="13">
        <f>VLOOKUP(C119,'[1]Nómina Agentes'!$D$4:$H$473,5,0)</f>
        <v/>
      </c>
    </row>
    <row r="120">
      <c r="B120" s="13" t="inlineStr">
        <is>
          <t>S2S NO PREMIUM</t>
        </is>
      </c>
      <c r="C120" s="14" t="inlineStr">
        <is>
          <t>#N/D</t>
        </is>
      </c>
      <c r="D120" s="14" t="n">
        <v>664517</v>
      </c>
      <c r="E120" s="13" t="n">
        <v>9</v>
      </c>
      <c r="F120" s="13">
        <f t="array" ref="F120">(CONCATENATE(TEXT(MIN(IF('Base Avaya'!$E:$E='Operadores S2S'!$D120,'Base Avaya'!$AF:$AF)),"hh:mm")," - ",TEXT(MAX(IF('Base Avaya'!$E:$E='Operadores S2S'!$D120,'Base Avaya'!$AG:$AG)),"hh:mm")))</f>
        <v/>
      </c>
      <c r="G120" s="13" t="n"/>
      <c r="H120" s="13">
        <f>VLOOKUP(C120,'[1]Nómina Agentes'!$D:$AU,44,0)</f>
        <v/>
      </c>
      <c r="I120" s="13">
        <f>VLOOKUP(C120,'[1]Nómina Agentes'!$D$4:$H$473,5,0)</f>
        <v/>
      </c>
    </row>
    <row r="121">
      <c r="B121" s="13" t="inlineStr">
        <is>
          <t>S2S NO PREMIUM</t>
        </is>
      </c>
      <c r="C121" s="14" t="inlineStr">
        <is>
          <t>#N/D</t>
        </is>
      </c>
      <c r="D121" s="14" t="n">
        <v>628512</v>
      </c>
      <c r="E121" s="13" t="n">
        <v>27</v>
      </c>
      <c r="F121" s="13">
        <f t="array" ref="F121">(CONCATENATE(TEXT(MIN(IF('Base Avaya'!$E:$E='Operadores S2S'!$D121,'Base Avaya'!$AF:$AF)),"hh:mm")," - ",TEXT(MAX(IF('Base Avaya'!$E:$E='Operadores S2S'!$D121,'Base Avaya'!$AG:$AG)),"hh:mm")))</f>
        <v/>
      </c>
      <c r="G121" s="13" t="n"/>
      <c r="H121" s="13">
        <f>VLOOKUP(C121,'[1]Nómina Agentes'!$D:$AU,44,0)</f>
        <v/>
      </c>
      <c r="I121" s="13">
        <f>VLOOKUP(C121,'[1]Nómina Agentes'!$D$4:$H$473,5,0)</f>
        <v/>
      </c>
    </row>
    <row r="122">
      <c r="B122" s="13" t="inlineStr">
        <is>
          <t>S2S NO PREMIUM</t>
        </is>
      </c>
      <c r="C122" s="14" t="inlineStr">
        <is>
          <t>RUSSO ROCIO BELEN</t>
        </is>
      </c>
      <c r="D122" s="14" t="n">
        <v>605503</v>
      </c>
      <c r="E122" s="13" t="n">
        <v>11</v>
      </c>
      <c r="F122" s="13">
        <f t="array" ref="F122">(CONCATENATE(TEXT(MIN(IF('Base Avaya'!$E:$E='Operadores S2S'!$D122,'Base Avaya'!$AF:$AF)),"hh:mm")," - ",TEXT(MAX(IF('Base Avaya'!$E:$E='Operadores S2S'!$D122,'Base Avaya'!$AG:$AG)),"hh:mm")))</f>
        <v/>
      </c>
      <c r="G122" s="13" t="n"/>
      <c r="H122" s="13">
        <f>VLOOKUP(C122,'[1]Nómina Agentes'!$D:$AU,44,0)</f>
        <v/>
      </c>
      <c r="I122" s="13">
        <f>VLOOKUP(C122,'[1]Nómina Agentes'!$D$4:$H$473,5,0)</f>
        <v/>
      </c>
    </row>
    <row r="123">
      <c r="B123" s="13" t="inlineStr">
        <is>
          <t>S2S NO PREMIUM</t>
        </is>
      </c>
      <c r="C123" s="14" t="inlineStr">
        <is>
          <t>WETZEL IGNACIO EZEQUIEL</t>
        </is>
      </c>
      <c r="D123" s="14" t="n">
        <v>605982</v>
      </c>
      <c r="E123" s="13" t="n">
        <v>9</v>
      </c>
      <c r="F123" s="13">
        <f t="array" ref="F123">(CONCATENATE(TEXT(MIN(IF('Base Avaya'!$E:$E='Operadores S2S'!$D123,'Base Avaya'!$AF:$AF)),"hh:mm")," - ",TEXT(MAX(IF('Base Avaya'!$E:$E='Operadores S2S'!$D123,'Base Avaya'!$AG:$AG)),"hh:mm")))</f>
        <v/>
      </c>
      <c r="G123" s="13" t="n"/>
      <c r="H123" s="13">
        <f>VLOOKUP(C123,'[1]Nómina Agentes'!$D:$AU,44,0)</f>
        <v/>
      </c>
      <c r="I123" s="13">
        <f>VLOOKUP(C123,'[1]Nómina Agentes'!$D$4:$H$473,5,0)</f>
        <v/>
      </c>
    </row>
    <row r="124">
      <c r="B124" s="13" t="inlineStr">
        <is>
          <t>S2S PREMIUM</t>
        </is>
      </c>
      <c r="C124" s="14" t="inlineStr">
        <is>
          <t>ABALOS HEREDIA DAIANA BELEN</t>
        </is>
      </c>
      <c r="D124" s="14" t="n">
        <v>606348</v>
      </c>
      <c r="E124" s="13" t="n">
        <v>37</v>
      </c>
      <c r="F124" s="13">
        <f t="array" ref="F124">(CONCATENATE(TEXT(MIN(IF('Base Avaya'!$E:$E='Operadores S2S'!$D124,'Base Avaya'!$AF:$AF)),"hh:mm")," - ",TEXT(MAX(IF('Base Avaya'!$E:$E='Operadores S2S'!$D124,'Base Avaya'!$AG:$AG)),"hh:mm")))</f>
        <v/>
      </c>
      <c r="G124" s="13" t="n"/>
      <c r="H124" s="13">
        <f>VLOOKUP(C124,'[1]Nómina Agentes'!$D:$AU,44,0)</f>
        <v/>
      </c>
      <c r="I124" s="13">
        <f>VLOOKUP(C124,'[1]Nómina Agentes'!$D$4:$H$473,5,0)</f>
        <v/>
      </c>
    </row>
    <row r="125">
      <c r="B125" s="13" t="inlineStr">
        <is>
          <t>S2S PREMIUM</t>
        </is>
      </c>
      <c r="C125" s="14" t="inlineStr">
        <is>
          <t>BENITEZ LOURDES ROCIO</t>
        </is>
      </c>
      <c r="D125" s="14" t="n">
        <v>605986</v>
      </c>
      <c r="E125" s="13" t="n">
        <v>1</v>
      </c>
      <c r="F125" s="13">
        <f t="array" ref="F125">(CONCATENATE(TEXT(MIN(IF('Base Avaya'!$E:$E='Operadores S2S'!$D125,'Base Avaya'!$AF:$AF)),"hh:mm")," - ",TEXT(MAX(IF('Base Avaya'!$E:$E='Operadores S2S'!$D125,'Base Avaya'!$AG:$AG)),"hh:mm")))</f>
        <v/>
      </c>
      <c r="G125" s="13" t="n"/>
      <c r="H125" s="13">
        <f>VLOOKUP(C125,'[1]Nómina Agentes'!$D:$AU,44,0)</f>
        <v/>
      </c>
      <c r="I125" s="13">
        <f>VLOOKUP(C125,'[1]Nómina Agentes'!$D$4:$H$473,5,0)</f>
        <v/>
      </c>
    </row>
    <row r="126">
      <c r="B126" s="13" t="inlineStr">
        <is>
          <t>S2S PREMIUM</t>
        </is>
      </c>
      <c r="C126" s="14" t="inlineStr">
        <is>
          <t>CASTILLO MICAELA TATIANA</t>
        </is>
      </c>
      <c r="D126" s="14" t="n">
        <v>605589</v>
      </c>
      <c r="E126" s="13" t="n">
        <v>17</v>
      </c>
      <c r="F126" s="13">
        <f t="array" ref="F126">(CONCATENATE(TEXT(MIN(IF('Base Avaya'!$E:$E='Operadores S2S'!$D126,'Base Avaya'!$AF:$AF)),"hh:mm")," - ",TEXT(MAX(IF('Base Avaya'!$E:$E='Operadores S2S'!$D126,'Base Avaya'!$AG:$AG)),"hh:mm")))</f>
        <v/>
      </c>
      <c r="G126" s="13" t="n"/>
      <c r="H126" s="13">
        <f>VLOOKUP(C126,'[1]Nómina Agentes'!$D:$AU,44,0)</f>
        <v/>
      </c>
      <c r="I126" s="13">
        <f>VLOOKUP(C126,'[1]Nómina Agentes'!$D$4:$H$473,5,0)</f>
        <v/>
      </c>
    </row>
    <row r="127">
      <c r="B127" s="13" t="inlineStr">
        <is>
          <t>S2S PREMIUM</t>
        </is>
      </c>
      <c r="C127" s="14" t="inlineStr">
        <is>
          <t>CERVANTES LOURDES ABRIL</t>
        </is>
      </c>
      <c r="D127" s="14" t="n">
        <v>606528</v>
      </c>
      <c r="E127" s="13" t="n">
        <v>44</v>
      </c>
      <c r="F127" s="13">
        <f t="array" ref="F127">(CONCATENATE(TEXT(MIN(IF('Base Avaya'!$E:$E='Operadores S2S'!$D127,'Base Avaya'!$AF:$AF)),"hh:mm")," - ",TEXT(MAX(IF('Base Avaya'!$E:$E='Operadores S2S'!$D127,'Base Avaya'!$AG:$AG)),"hh:mm")))</f>
        <v/>
      </c>
      <c r="G127" s="13" t="n"/>
      <c r="H127" s="13">
        <f>VLOOKUP(C127,'[1]Nómina Agentes'!$D:$AU,44,0)</f>
        <v/>
      </c>
      <c r="I127" s="13">
        <f>VLOOKUP(C127,'[1]Nómina Agentes'!$D$4:$H$473,5,0)</f>
        <v/>
      </c>
    </row>
    <row r="128">
      <c r="B128" s="13" t="inlineStr">
        <is>
          <t>S2S PREMIUM</t>
        </is>
      </c>
      <c r="C128" s="14" t="inlineStr">
        <is>
          <t>CORIA CANDELA</t>
        </is>
      </c>
      <c r="D128" s="14" t="n">
        <v>606623</v>
      </c>
      <c r="E128" s="13" t="n">
        <v>41</v>
      </c>
      <c r="F128" s="13">
        <f t="array" ref="F128">(CONCATENATE(TEXT(MIN(IF('Base Avaya'!$E:$E='Operadores S2S'!$D128,'Base Avaya'!$AF:$AF)),"hh:mm")," - ",TEXT(MAX(IF('Base Avaya'!$E:$E='Operadores S2S'!$D128,'Base Avaya'!$AG:$AG)),"hh:mm")))</f>
        <v/>
      </c>
      <c r="G128" s="13" t="n"/>
      <c r="H128" s="13">
        <f>VLOOKUP(C128,'[1]Nómina Agentes'!$D:$AU,44,0)</f>
        <v/>
      </c>
      <c r="I128" s="13">
        <f>VLOOKUP(C128,'[1]Nómina Agentes'!$D$4:$H$473,5,0)</f>
        <v/>
      </c>
    </row>
    <row r="129">
      <c r="B129" s="13" t="inlineStr">
        <is>
          <t>S2S PREMIUM</t>
        </is>
      </c>
      <c r="C129" s="14" t="inlineStr">
        <is>
          <t>CUELLAR JOEL ADRIAN</t>
        </is>
      </c>
      <c r="D129" s="14" t="n">
        <v>605760</v>
      </c>
      <c r="E129" s="13" t="n">
        <v>7</v>
      </c>
      <c r="F129" s="13">
        <f t="array" ref="F129">(CONCATENATE(TEXT(MIN(IF('Base Avaya'!$E:$E='Operadores S2S'!$D129,'Base Avaya'!$AF:$AF)),"hh:mm")," - ",TEXT(MAX(IF('Base Avaya'!$E:$E='Operadores S2S'!$D129,'Base Avaya'!$AG:$AG)),"hh:mm")))</f>
        <v/>
      </c>
      <c r="G129" s="13" t="n"/>
      <c r="H129" s="13">
        <f>VLOOKUP(C129,'[1]Nómina Agentes'!$D:$AU,44,0)</f>
        <v/>
      </c>
      <c r="I129" s="13">
        <f>VLOOKUP(C129,'[1]Nómina Agentes'!$D$4:$H$473,5,0)</f>
        <v/>
      </c>
    </row>
    <row r="130">
      <c r="B130" s="13" t="inlineStr">
        <is>
          <t>S2S PREMIUM</t>
        </is>
      </c>
      <c r="C130" s="14" t="inlineStr">
        <is>
          <t>D AGOSTINO MARIA BIANCA</t>
        </is>
      </c>
      <c r="D130" s="14" t="n">
        <v>605611</v>
      </c>
      <c r="E130" s="13" t="n">
        <v>38</v>
      </c>
      <c r="F130" s="13">
        <f t="array" ref="F130">(CONCATENATE(TEXT(MIN(IF('Base Avaya'!$E:$E='Operadores S2S'!$D130,'Base Avaya'!$AF:$AF)),"hh:mm")," - ",TEXT(MAX(IF('Base Avaya'!$E:$E='Operadores S2S'!$D130,'Base Avaya'!$AG:$AG)),"hh:mm")))</f>
        <v/>
      </c>
      <c r="G130" s="13" t="n"/>
      <c r="H130" s="13">
        <f>VLOOKUP(C130,'[1]Nómina Agentes'!$D:$AU,44,0)</f>
        <v/>
      </c>
      <c r="I130" s="13">
        <f>VLOOKUP(C130,'[1]Nómina Agentes'!$D$4:$H$473,5,0)</f>
        <v/>
      </c>
    </row>
    <row r="131">
      <c r="B131" s="13" t="inlineStr">
        <is>
          <t>S2S PREMIUM</t>
        </is>
      </c>
      <c r="C131" s="14" t="inlineStr">
        <is>
          <t>DE VUONO FACUNDO SANTIAGO</t>
        </is>
      </c>
      <c r="D131" s="14" t="n">
        <v>605617</v>
      </c>
      <c r="E131" s="13" t="n">
        <v>16</v>
      </c>
      <c r="F131" s="13">
        <f t="array" ref="F131">(CONCATENATE(TEXT(MIN(IF('Base Avaya'!$E:$E='Operadores S2S'!$D131,'Base Avaya'!$AF:$AF)),"hh:mm")," - ",TEXT(MAX(IF('Base Avaya'!$E:$E='Operadores S2S'!$D131,'Base Avaya'!$AG:$AG)),"hh:mm")))</f>
        <v/>
      </c>
      <c r="G131" s="13" t="n"/>
      <c r="H131" s="13">
        <f>VLOOKUP(C131,'[1]Nómina Agentes'!$D:$AU,44,0)</f>
        <v/>
      </c>
      <c r="I131" s="13">
        <f>VLOOKUP(C131,'[1]Nómina Agentes'!$D$4:$H$473,5,0)</f>
        <v/>
      </c>
    </row>
    <row r="132">
      <c r="B132" s="13" t="inlineStr">
        <is>
          <t>S2S PREMIUM</t>
        </is>
      </c>
      <c r="C132" s="13" t="inlineStr">
        <is>
          <t>DEMARCO FIDEL</t>
        </is>
      </c>
      <c r="D132" s="13" t="n">
        <v>605969</v>
      </c>
      <c r="E132" s="13" t="n">
        <v>8</v>
      </c>
      <c r="F132" s="13">
        <f t="array" ref="F132">(CONCATENATE(TEXT(MIN(IF('Base Avaya'!$E:$E='Operadores S2S'!$D132,'Base Avaya'!$AF:$AF)),"hh:mm")," - ",TEXT(MAX(IF('Base Avaya'!$E:$E='Operadores S2S'!$D132,'Base Avaya'!$AG:$AG)),"hh:mm")))</f>
        <v/>
      </c>
      <c r="G132" s="13" t="n"/>
      <c r="H132" s="13">
        <f>VLOOKUP(C132,'[1]Nómina Agentes'!$D:$AU,44,0)</f>
        <v/>
      </c>
      <c r="I132" s="13">
        <f>VLOOKUP(C132,'[1]Nómina Agentes'!$D$4:$H$473,5,0)</f>
        <v/>
      </c>
    </row>
    <row r="133">
      <c r="B133" s="13" t="inlineStr">
        <is>
          <t>S2S PREMIUM</t>
        </is>
      </c>
      <c r="C133" s="14" t="inlineStr">
        <is>
          <t>DONZELLI ANGELICA</t>
        </is>
      </c>
      <c r="D133" s="14" t="n">
        <v>606309</v>
      </c>
      <c r="E133" s="13" t="n">
        <v>4</v>
      </c>
      <c r="F133" s="13">
        <f t="array" ref="F133">(CONCATENATE(TEXT(MIN(IF('Base Avaya'!$E:$E='Operadores S2S'!$D133,'Base Avaya'!$AF:$AF)),"hh:mm")," - ",TEXT(MAX(IF('Base Avaya'!$E:$E='Operadores S2S'!$D133,'Base Avaya'!$AG:$AG)),"hh:mm")))</f>
        <v/>
      </c>
      <c r="G133" s="13" t="n"/>
      <c r="H133" s="13">
        <f>VLOOKUP(C133,'[1]Nómina Agentes'!$D:$AU,44,0)</f>
        <v/>
      </c>
      <c r="I133" s="13">
        <f>VLOOKUP(C133,'[1]Nómina Agentes'!$D$4:$H$473,5,0)</f>
        <v/>
      </c>
    </row>
    <row r="134">
      <c r="B134" s="13" t="inlineStr">
        <is>
          <t>S2S PREMIUM</t>
        </is>
      </c>
      <c r="C134" s="13" t="inlineStr">
        <is>
          <t>FERREYRA TOMAS AGUSTIN</t>
        </is>
      </c>
      <c r="D134" s="13" t="n">
        <v>605580</v>
      </c>
      <c r="E134" s="13" t="n">
        <v>1</v>
      </c>
      <c r="F134" s="13">
        <f t="array" ref="F134">(CONCATENATE(TEXT(MIN(IF('Base Avaya'!$E:$E='Operadores S2S'!$D134,'Base Avaya'!$AF:$AF)),"hh:mm")," - ",TEXT(MAX(IF('Base Avaya'!$E:$E='Operadores S2S'!$D134,'Base Avaya'!$AG:$AG)),"hh:mm")))</f>
        <v/>
      </c>
      <c r="G134" s="13" t="n"/>
      <c r="H134" s="13">
        <f>VLOOKUP(C134,'[1]Nómina Agentes'!$D:$AU,44,0)</f>
        <v/>
      </c>
      <c r="I134" s="13">
        <f>VLOOKUP(C134,'[1]Nómina Agentes'!$D$4:$H$473,5,0)</f>
        <v/>
      </c>
    </row>
    <row r="135">
      <c r="B135" s="13" t="inlineStr">
        <is>
          <t>S2S PREMIUM</t>
        </is>
      </c>
      <c r="C135" s="14" t="inlineStr">
        <is>
          <t>FRAGA NICOLAS</t>
        </is>
      </c>
      <c r="D135" s="14" t="n">
        <v>605763</v>
      </c>
      <c r="E135" s="13" t="n">
        <v>23</v>
      </c>
      <c r="F135" s="13">
        <f t="array" ref="F135">(CONCATENATE(TEXT(MIN(IF('Base Avaya'!$E:$E='Operadores S2S'!$D135,'Base Avaya'!$AF:$AF)),"hh:mm")," - ",TEXT(MAX(IF('Base Avaya'!$E:$E='Operadores S2S'!$D135,'Base Avaya'!$AG:$AG)),"hh:mm")))</f>
        <v/>
      </c>
      <c r="G135" s="13" t="n"/>
      <c r="H135" s="13">
        <f>VLOOKUP(C135,'[1]Nómina Agentes'!$D:$AU,44,0)</f>
        <v/>
      </c>
      <c r="I135" s="13">
        <f>VLOOKUP(C135,'[1]Nómina Agentes'!$D$4:$H$473,5,0)</f>
        <v/>
      </c>
    </row>
    <row r="136">
      <c r="B136" s="13" t="inlineStr">
        <is>
          <t>S2S PREMIUM</t>
        </is>
      </c>
      <c r="C136" s="14" t="inlineStr">
        <is>
          <t>FRANCO SELENA ROCIO</t>
        </is>
      </c>
      <c r="D136" s="14" t="n">
        <v>606330</v>
      </c>
      <c r="E136" s="13" t="n">
        <v>30</v>
      </c>
      <c r="F136" s="13">
        <f t="array" ref="F136">(CONCATENATE(TEXT(MIN(IF('Base Avaya'!$E:$E='Operadores S2S'!$D136,'Base Avaya'!$AF:$AF)),"hh:mm")," - ",TEXT(MAX(IF('Base Avaya'!$E:$E='Operadores S2S'!$D136,'Base Avaya'!$AG:$AG)),"hh:mm")))</f>
        <v/>
      </c>
      <c r="G136" s="13" t="n"/>
      <c r="H136" s="13">
        <f>VLOOKUP(C136,'[1]Nómina Agentes'!$D:$AU,44,0)</f>
        <v/>
      </c>
      <c r="I136" s="13">
        <f>VLOOKUP(C136,'[1]Nómina Agentes'!$D$4:$H$473,5,0)</f>
        <v/>
      </c>
    </row>
    <row r="137">
      <c r="B137" s="13" t="inlineStr">
        <is>
          <t>S2S PREMIUM</t>
        </is>
      </c>
      <c r="C137" s="14" t="inlineStr">
        <is>
          <t>FUHR PATRICIO ALEJANDRO</t>
        </is>
      </c>
      <c r="D137" s="14" t="n">
        <v>606457</v>
      </c>
      <c r="E137" s="13" t="n">
        <v>6</v>
      </c>
      <c r="F137" s="13">
        <f t="array" ref="F137">(CONCATENATE(TEXT(MIN(IF('Base Avaya'!$E:$E='Operadores S2S'!$D137,'Base Avaya'!$AF:$AF)),"hh:mm")," - ",TEXT(MAX(IF('Base Avaya'!$E:$E='Operadores S2S'!$D137,'Base Avaya'!$AG:$AG)),"hh:mm")))</f>
        <v/>
      </c>
      <c r="G137" s="13" t="n"/>
      <c r="H137" s="13">
        <f>VLOOKUP(C137,'[1]Nómina Agentes'!$D:$AU,44,0)</f>
        <v/>
      </c>
      <c r="I137" s="13">
        <f>VLOOKUP(C137,'[1]Nómina Agentes'!$D$4:$H$473,5,0)</f>
        <v/>
      </c>
    </row>
    <row r="138">
      <c r="B138" s="13" t="inlineStr">
        <is>
          <t>S2S PREMIUM</t>
        </is>
      </c>
      <c r="C138" s="14" t="inlineStr">
        <is>
          <t>GARRIGO CAROLINA</t>
        </is>
      </c>
      <c r="D138" s="14" t="n">
        <v>606445</v>
      </c>
      <c r="E138" s="13" t="n">
        <v>9</v>
      </c>
      <c r="F138" s="13">
        <f t="array" ref="F138">(CONCATENATE(TEXT(MIN(IF('Base Avaya'!$E:$E='Operadores S2S'!$D138,'Base Avaya'!$AF:$AF)),"hh:mm")," - ",TEXT(MAX(IF('Base Avaya'!$E:$E='Operadores S2S'!$D138,'Base Avaya'!$AG:$AG)),"hh:mm")))</f>
        <v/>
      </c>
      <c r="G138" s="13" t="n"/>
      <c r="H138" s="13">
        <f>VLOOKUP(C138,'[1]Nómina Agentes'!$D:$AU,44,0)</f>
        <v/>
      </c>
      <c r="I138" s="13">
        <f>VLOOKUP(C138,'[1]Nómina Agentes'!$D$4:$H$473,5,0)</f>
        <v/>
      </c>
    </row>
    <row r="139">
      <c r="B139" s="13" t="inlineStr">
        <is>
          <t>S2S PREMIUM</t>
        </is>
      </c>
      <c r="C139" s="14" t="inlineStr">
        <is>
          <t>GOMEZ ENCISO MONICA</t>
        </is>
      </c>
      <c r="D139" s="14" t="n">
        <v>606039</v>
      </c>
      <c r="E139" s="13" t="n">
        <v>23</v>
      </c>
      <c r="F139" s="13">
        <f t="array" ref="F139">(CONCATENATE(TEXT(MIN(IF('Base Avaya'!$E:$E='Operadores S2S'!$D139,'Base Avaya'!$AF:$AF)),"hh:mm")," - ",TEXT(MAX(IF('Base Avaya'!$E:$E='Operadores S2S'!$D139,'Base Avaya'!$AG:$AG)),"hh:mm")))</f>
        <v/>
      </c>
      <c r="G139" s="13" t="n"/>
      <c r="H139" s="13">
        <f>VLOOKUP(C139,'[1]Nómina Agentes'!$D:$AU,44,0)</f>
        <v/>
      </c>
      <c r="I139" s="13">
        <f>VLOOKUP(C139,'[1]Nómina Agentes'!$D$4:$H$473,5,0)</f>
        <v/>
      </c>
    </row>
    <row r="140">
      <c r="B140" s="13" t="inlineStr">
        <is>
          <t>S2S PREMIUM</t>
        </is>
      </c>
      <c r="C140" s="14" t="inlineStr">
        <is>
          <t>GONZALEZ CANDELA</t>
        </is>
      </c>
      <c r="D140" s="14" t="n">
        <v>605826</v>
      </c>
      <c r="E140" s="13" t="n">
        <v>8</v>
      </c>
      <c r="F140" s="13">
        <f t="array" ref="F140">(CONCATENATE(TEXT(MIN(IF('Base Avaya'!$E:$E='Operadores S2S'!$D140,'Base Avaya'!$AF:$AF)),"hh:mm")," - ",TEXT(MAX(IF('Base Avaya'!$E:$E='Operadores S2S'!$D140,'Base Avaya'!$AG:$AG)),"hh:mm")))</f>
        <v/>
      </c>
      <c r="G140" s="13" t="n"/>
      <c r="H140" s="13">
        <f>VLOOKUP(C140,'[1]Nómina Agentes'!$D:$AU,44,0)</f>
        <v/>
      </c>
      <c r="I140" s="13">
        <f>VLOOKUP(C140,'[1]Nómina Agentes'!$D$4:$H$473,5,0)</f>
        <v/>
      </c>
    </row>
    <row r="141">
      <c r="B141" s="13" t="inlineStr">
        <is>
          <t>S2S PREMIUM</t>
        </is>
      </c>
      <c r="C141" s="14" t="inlineStr">
        <is>
          <t>GONZALEZ CRISTIAN ALBERTO</t>
        </is>
      </c>
      <c r="D141" s="14" t="n">
        <v>606338</v>
      </c>
      <c r="E141" s="13" t="n">
        <v>17</v>
      </c>
      <c r="F141" s="13">
        <f t="array" ref="F141">(CONCATENATE(TEXT(MIN(IF('Base Avaya'!$E:$E='Operadores S2S'!$D141,'Base Avaya'!$AF:$AF)),"hh:mm")," - ",TEXT(MAX(IF('Base Avaya'!$E:$E='Operadores S2S'!$D141,'Base Avaya'!$AG:$AG)),"hh:mm")))</f>
        <v/>
      </c>
      <c r="G141" s="13" t="n"/>
      <c r="H141" s="13">
        <f>VLOOKUP(C141,'[1]Nómina Agentes'!$D:$AU,44,0)</f>
        <v/>
      </c>
      <c r="I141" s="13">
        <f>VLOOKUP(C141,'[1]Nómina Agentes'!$D$4:$H$473,5,0)</f>
        <v/>
      </c>
    </row>
    <row r="142">
      <c r="B142" s="13" t="inlineStr">
        <is>
          <t>S2S PREMIUM</t>
        </is>
      </c>
      <c r="C142" s="14" t="inlineStr">
        <is>
          <t>INFANTE ENZO</t>
        </is>
      </c>
      <c r="D142" s="14" t="n">
        <v>605911</v>
      </c>
      <c r="E142" s="13" t="n">
        <v>15</v>
      </c>
      <c r="F142" s="13">
        <f t="array" ref="F142">(CONCATENATE(TEXT(MIN(IF('Base Avaya'!$E:$E='Operadores S2S'!$D142,'Base Avaya'!$AF:$AF)),"hh:mm")," - ",TEXT(MAX(IF('Base Avaya'!$E:$E='Operadores S2S'!$D142,'Base Avaya'!$AG:$AG)),"hh:mm")))</f>
        <v/>
      </c>
      <c r="G142" s="13" t="n"/>
      <c r="H142" s="13">
        <f>VLOOKUP(C142,'[1]Nómina Agentes'!$D:$AU,44,0)</f>
        <v/>
      </c>
      <c r="I142" s="13">
        <f>VLOOKUP(C142,'[1]Nómina Agentes'!$D$4:$H$473,5,0)</f>
        <v/>
      </c>
    </row>
    <row r="143">
      <c r="B143" s="13" t="inlineStr">
        <is>
          <t>S2S PREMIUM</t>
        </is>
      </c>
      <c r="C143" s="14" t="inlineStr">
        <is>
          <t>MACHADO RIVERA ELIAS RAUL</t>
        </is>
      </c>
      <c r="D143" s="14" t="n">
        <v>606463</v>
      </c>
      <c r="E143" s="13" t="n">
        <v>2</v>
      </c>
      <c r="F143" s="13">
        <f t="array" ref="F143">(CONCATENATE(TEXT(MIN(IF('Base Avaya'!$E:$E='Operadores S2S'!$D143,'Base Avaya'!$AF:$AF)),"hh:mm")," - ",TEXT(MAX(IF('Base Avaya'!$E:$E='Operadores S2S'!$D143,'Base Avaya'!$AG:$AG)),"hh:mm")))</f>
        <v/>
      </c>
      <c r="G143" s="13" t="n"/>
      <c r="H143" s="13">
        <f>VLOOKUP(C143,'[1]Nómina Agentes'!$D:$AU,44,0)</f>
        <v/>
      </c>
      <c r="I143" s="13">
        <f>VLOOKUP(C143,'[1]Nómina Agentes'!$D$4:$H$473,5,0)</f>
        <v/>
      </c>
    </row>
    <row r="144">
      <c r="B144" s="13" t="inlineStr">
        <is>
          <t>S2S PREMIUM</t>
        </is>
      </c>
      <c r="C144" s="14" t="inlineStr">
        <is>
          <t>MAIDANA MENDOZA MALENA MELISA</t>
        </is>
      </c>
      <c r="D144" s="14" t="n">
        <v>605513</v>
      </c>
      <c r="E144" s="13" t="n">
        <v>13</v>
      </c>
      <c r="F144" s="13">
        <f t="array" ref="F144">(CONCATENATE(TEXT(MIN(IF('Base Avaya'!$E:$E='Operadores S2S'!$D144,'Base Avaya'!$AF:$AF)),"hh:mm")," - ",TEXT(MAX(IF('Base Avaya'!$E:$E='Operadores S2S'!$D144,'Base Avaya'!$AG:$AG)),"hh:mm")))</f>
        <v/>
      </c>
      <c r="G144" s="13" t="n"/>
      <c r="H144" s="13">
        <f>VLOOKUP(C144,'[1]Nómina Agentes'!$D:$AU,44,0)</f>
        <v/>
      </c>
      <c r="I144" s="13">
        <f>VLOOKUP(C144,'[1]Nómina Agentes'!$D$4:$H$473,5,0)</f>
        <v/>
      </c>
    </row>
    <row r="145">
      <c r="B145" s="13" t="inlineStr">
        <is>
          <t>S2S PREMIUM</t>
        </is>
      </c>
      <c r="C145" s="14" t="inlineStr">
        <is>
          <t>MAIZ CAMILA</t>
        </is>
      </c>
      <c r="D145" s="14" t="n">
        <v>606219</v>
      </c>
      <c r="E145" s="13" t="n">
        <v>20</v>
      </c>
      <c r="F145" s="13">
        <f t="array" ref="F145">(CONCATENATE(TEXT(MIN(IF('Base Avaya'!$E:$E='Operadores S2S'!$D145,'Base Avaya'!$AF:$AF)),"hh:mm")," - ",TEXT(MAX(IF('Base Avaya'!$E:$E='Operadores S2S'!$D145,'Base Avaya'!$AG:$AG)),"hh:mm")))</f>
        <v/>
      </c>
      <c r="G145" s="13" t="n"/>
      <c r="H145" s="13">
        <f>VLOOKUP(C145,'[1]Nómina Agentes'!$D:$AU,44,0)</f>
        <v/>
      </c>
      <c r="I145" s="13">
        <f>VLOOKUP(C145,'[1]Nómina Agentes'!$D$4:$H$473,5,0)</f>
        <v/>
      </c>
    </row>
    <row r="146">
      <c r="B146" s="13" t="inlineStr">
        <is>
          <t>S2S PREMIUM</t>
        </is>
      </c>
      <c r="C146" s="14" t="inlineStr">
        <is>
          <t>MANFREDI RUTH MELINA</t>
        </is>
      </c>
      <c r="D146" s="14" t="n">
        <v>605632</v>
      </c>
      <c r="E146" s="13" t="n">
        <v>27</v>
      </c>
      <c r="F146" s="13">
        <f t="array" ref="F146">(CONCATENATE(TEXT(MIN(IF('Base Avaya'!$E:$E='Operadores S2S'!$D146,'Base Avaya'!$AF:$AF)),"hh:mm")," - ",TEXT(MAX(IF('Base Avaya'!$E:$E='Operadores S2S'!$D146,'Base Avaya'!$AG:$AG)),"hh:mm")))</f>
        <v/>
      </c>
      <c r="G146" s="13" t="n"/>
      <c r="H146" s="13">
        <f>VLOOKUP(C146,'[1]Nómina Agentes'!$D:$AU,44,0)</f>
        <v/>
      </c>
      <c r="I146" s="13">
        <f>VLOOKUP(C146,'[1]Nómina Agentes'!$D$4:$H$473,5,0)</f>
        <v/>
      </c>
    </row>
    <row r="147">
      <c r="B147" s="13" t="inlineStr">
        <is>
          <t>S2S PREMIUM</t>
        </is>
      </c>
      <c r="C147" s="13" t="inlineStr">
        <is>
          <t>MARAZ AYELEN JACQUELINE</t>
        </is>
      </c>
      <c r="D147" s="13" t="n">
        <v>606142</v>
      </c>
      <c r="E147" s="13" t="n">
        <v>5</v>
      </c>
      <c r="F147" s="13">
        <f t="array" ref="F147">(CONCATENATE(TEXT(MIN(IF('Base Avaya'!$E:$E='Operadores S2S'!$D147,'Base Avaya'!$AF:$AF)),"hh:mm")," - ",TEXT(MAX(IF('Base Avaya'!$E:$E='Operadores S2S'!$D147,'Base Avaya'!$AG:$AG)),"hh:mm")))</f>
        <v/>
      </c>
      <c r="G147" s="13" t="n"/>
      <c r="H147" s="13">
        <f>VLOOKUP(C147,'[1]Nómina Agentes'!$D:$AU,44,0)</f>
        <v/>
      </c>
      <c r="I147" s="13">
        <f>VLOOKUP(C147,'[1]Nómina Agentes'!$D$4:$H$473,5,0)</f>
        <v/>
      </c>
    </row>
    <row r="148">
      <c r="B148" s="13" t="inlineStr">
        <is>
          <t>S2S PREMIUM</t>
        </is>
      </c>
      <c r="C148" s="14" t="inlineStr">
        <is>
          <t>MARTINEZ IGNACIO</t>
        </is>
      </c>
      <c r="D148" s="14" t="n">
        <v>605696</v>
      </c>
      <c r="E148" s="13" t="n">
        <v>4</v>
      </c>
      <c r="F148" s="13">
        <f t="array" ref="F148">(CONCATENATE(TEXT(MIN(IF('Base Avaya'!$E:$E='Operadores S2S'!$D148,'Base Avaya'!$AF:$AF)),"hh:mm")," - ",TEXT(MAX(IF('Base Avaya'!$E:$E='Operadores S2S'!$D148,'Base Avaya'!$AG:$AG)),"hh:mm")))</f>
        <v/>
      </c>
      <c r="G148" s="13" t="n"/>
      <c r="H148" s="13">
        <f>VLOOKUP(C148,'[1]Nómina Agentes'!$D:$AU,44,0)</f>
        <v/>
      </c>
      <c r="I148" s="13">
        <f>VLOOKUP(C148,'[1]Nómina Agentes'!$D$4:$H$473,5,0)</f>
        <v/>
      </c>
    </row>
    <row r="149">
      <c r="B149" s="13" t="inlineStr">
        <is>
          <t>S2S PREMIUM</t>
        </is>
      </c>
      <c r="C149" s="14" t="inlineStr">
        <is>
          <t>MENGUEZ LUKA PATRICIO</t>
        </is>
      </c>
      <c r="D149" s="14" t="n">
        <v>606123</v>
      </c>
      <c r="E149" s="13" t="n">
        <v>13</v>
      </c>
      <c r="F149" s="13">
        <f t="array" ref="F149">(CONCATENATE(TEXT(MIN(IF('Base Avaya'!$E:$E='Operadores S2S'!$D149,'Base Avaya'!$AF:$AF)),"hh:mm")," - ",TEXT(MAX(IF('Base Avaya'!$E:$E='Operadores S2S'!$D149,'Base Avaya'!$AG:$AG)),"hh:mm")))</f>
        <v/>
      </c>
      <c r="G149" s="13" t="n"/>
      <c r="H149" s="13">
        <f>VLOOKUP(C149,'[1]Nómina Agentes'!$D:$AU,44,0)</f>
        <v/>
      </c>
      <c r="I149" s="13">
        <f>VLOOKUP(C149,'[1]Nómina Agentes'!$D$4:$H$473,5,0)</f>
        <v/>
      </c>
    </row>
    <row r="150">
      <c r="B150" s="13" t="inlineStr">
        <is>
          <t>S2S PREMIUM</t>
        </is>
      </c>
      <c r="C150" s="14" t="inlineStr">
        <is>
          <t>MIRAGAYA MARIA JOSE</t>
        </is>
      </c>
      <c r="D150" s="14" t="n">
        <v>606437</v>
      </c>
      <c r="E150" s="13" t="n">
        <v>34</v>
      </c>
      <c r="F150" s="13">
        <f t="array" ref="F150">(CONCATENATE(TEXT(MIN(IF('Base Avaya'!$E:$E='Operadores S2S'!$D150,'Base Avaya'!$AF:$AF)),"hh:mm")," - ",TEXT(MAX(IF('Base Avaya'!$E:$E='Operadores S2S'!$D150,'Base Avaya'!$AG:$AG)),"hh:mm")))</f>
        <v/>
      </c>
      <c r="G150" s="13" t="n"/>
      <c r="H150" s="13">
        <f>VLOOKUP(C150,'[1]Nómina Agentes'!$D:$AU,44,0)</f>
        <v/>
      </c>
      <c r="I150" s="13">
        <f>VLOOKUP(C150,'[1]Nómina Agentes'!$D$4:$H$473,5,0)</f>
        <v/>
      </c>
    </row>
    <row r="151">
      <c r="B151" s="13" t="inlineStr">
        <is>
          <t>S2S PREMIUM</t>
        </is>
      </c>
      <c r="C151" s="14" t="inlineStr">
        <is>
          <t>OJEDA MAYRA ALEJANDRA</t>
        </is>
      </c>
      <c r="D151" s="14" t="n">
        <v>606288</v>
      </c>
      <c r="E151" s="13" t="n">
        <v>14</v>
      </c>
      <c r="F151" s="13">
        <f t="array" ref="F151">(CONCATENATE(TEXT(MIN(IF('Base Avaya'!$E:$E='Operadores S2S'!$D151,'Base Avaya'!$AF:$AF)),"hh:mm")," - ",TEXT(MAX(IF('Base Avaya'!$E:$E='Operadores S2S'!$D151,'Base Avaya'!$AG:$AG)),"hh:mm")))</f>
        <v/>
      </c>
      <c r="G151" s="13" t="n"/>
      <c r="H151" s="13">
        <f>VLOOKUP(C151,'[1]Nómina Agentes'!$D:$AU,44,0)</f>
        <v/>
      </c>
      <c r="I151" s="13">
        <f>VLOOKUP(C151,'[1]Nómina Agentes'!$D$4:$H$473,5,0)</f>
        <v/>
      </c>
    </row>
    <row r="152">
      <c r="B152" s="13" t="inlineStr">
        <is>
          <t>S2S PREMIUM</t>
        </is>
      </c>
      <c r="C152" s="14" t="inlineStr">
        <is>
          <t>NAVARRO BRUNO OCTAVIO</t>
        </is>
      </c>
      <c r="D152" s="14" t="n">
        <v>606049</v>
      </c>
      <c r="E152" s="13" t="n">
        <v>6</v>
      </c>
      <c r="F152" s="13">
        <f t="array" ref="F152">(CONCATENATE(TEXT(MIN(IF('Base Avaya'!$E:$E='Operadores S2S'!$D152,'Base Avaya'!$AF:$AF)),"hh:mm")," - ",TEXT(MAX(IF('Base Avaya'!$E:$E='Operadores S2S'!$D152,'Base Avaya'!$AG:$AG)),"hh:mm")))</f>
        <v/>
      </c>
      <c r="G152" s="13" t="n"/>
      <c r="H152" s="13">
        <f>VLOOKUP(C152,'[1]Nómina Agentes'!$D:$AU,44,0)</f>
        <v/>
      </c>
      <c r="I152" s="13">
        <f>VLOOKUP(C152,'[1]Nómina Agentes'!$D$4:$H$473,5,0)</f>
        <v/>
      </c>
    </row>
    <row r="153">
      <c r="B153" s="13" t="inlineStr">
        <is>
          <t>S2S PREMIUM</t>
        </is>
      </c>
      <c r="C153" s="14" t="inlineStr">
        <is>
          <t>OLIVARES MIRIAM DANIELA</t>
        </is>
      </c>
      <c r="D153" s="14" t="n">
        <v>606026</v>
      </c>
      <c r="E153" s="13" t="n">
        <v>24</v>
      </c>
      <c r="F153" s="13">
        <f t="array" ref="F153">(CONCATENATE(TEXT(MIN(IF('Base Avaya'!$E:$E='Operadores S2S'!$D153,'Base Avaya'!$AF:$AF)),"hh:mm")," - ",TEXT(MAX(IF('Base Avaya'!$E:$E='Operadores S2S'!$D153,'Base Avaya'!$AG:$AG)),"hh:mm")))</f>
        <v/>
      </c>
      <c r="G153" s="13" t="n"/>
      <c r="H153" s="13">
        <f>VLOOKUP(C153,'[1]Nómina Agentes'!$D:$AU,44,0)</f>
        <v/>
      </c>
      <c r="I153" s="13">
        <f>VLOOKUP(C153,'[1]Nómina Agentes'!$D$4:$H$473,5,0)</f>
        <v/>
      </c>
    </row>
    <row r="154">
      <c r="B154" s="13" t="inlineStr">
        <is>
          <t>S2S PREMIUM</t>
        </is>
      </c>
      <c r="C154" s="14" t="inlineStr">
        <is>
          <t>PAEZ LUCAS ENZO GREGORIO</t>
        </is>
      </c>
      <c r="D154" s="14" t="n">
        <v>606285</v>
      </c>
      <c r="E154" s="13" t="n">
        <v>17</v>
      </c>
      <c r="F154" s="13">
        <f t="array" ref="F154">(CONCATENATE(TEXT(MIN(IF('Base Avaya'!$E:$E='Operadores S2S'!$D154,'Base Avaya'!$AF:$AF)),"hh:mm")," - ",TEXT(MAX(IF('Base Avaya'!$E:$E='Operadores S2S'!$D154,'Base Avaya'!$AG:$AG)),"hh:mm")))</f>
        <v/>
      </c>
      <c r="G154" s="13" t="n"/>
      <c r="H154" s="13">
        <f>VLOOKUP(C154,'[1]Nómina Agentes'!$D:$AU,44,0)</f>
        <v/>
      </c>
      <c r="I154" s="13">
        <f>VLOOKUP(C154,'[1]Nómina Agentes'!$D$4:$H$473,5,0)</f>
        <v/>
      </c>
    </row>
    <row r="155">
      <c r="B155" s="13" t="inlineStr">
        <is>
          <t>S2S PREMIUM</t>
        </is>
      </c>
      <c r="C155" s="14" t="inlineStr">
        <is>
          <t>PEREZ LOURDES</t>
        </is>
      </c>
      <c r="D155" s="14" t="n">
        <v>606058</v>
      </c>
      <c r="E155" s="13" t="n">
        <v>32</v>
      </c>
      <c r="F155" s="13">
        <f t="array" ref="F155">(CONCATENATE(TEXT(MIN(IF('Base Avaya'!$E:$E='Operadores S2S'!$D155,'Base Avaya'!$AF:$AF)),"hh:mm")," - ",TEXT(MAX(IF('Base Avaya'!$E:$E='Operadores S2S'!$D155,'Base Avaya'!$AG:$AG)),"hh:mm")))</f>
        <v/>
      </c>
      <c r="G155" s="13" t="n"/>
      <c r="H155" s="13">
        <f>VLOOKUP(C155,'[1]Nómina Agentes'!$D:$AU,44,0)</f>
        <v/>
      </c>
      <c r="I155" s="13">
        <f>VLOOKUP(C155,'[1]Nómina Agentes'!$D$4:$H$473,5,0)</f>
        <v/>
      </c>
    </row>
    <row r="156">
      <c r="B156" s="13" t="inlineStr">
        <is>
          <t>S2S PREMIUM</t>
        </is>
      </c>
      <c r="C156" s="14" t="inlineStr">
        <is>
          <t>PINO ELISA</t>
        </is>
      </c>
      <c r="D156" s="14" t="n">
        <v>606370</v>
      </c>
      <c r="E156" s="13" t="n">
        <v>33</v>
      </c>
      <c r="F156" s="13">
        <f t="array" ref="F156">(CONCATENATE(TEXT(MIN(IF('Base Avaya'!$E:$E='Operadores S2S'!$D156,'Base Avaya'!$AF:$AF)),"hh:mm")," - ",TEXT(MAX(IF('Base Avaya'!$E:$E='Operadores S2S'!$D156,'Base Avaya'!$AG:$AG)),"hh:mm")))</f>
        <v/>
      </c>
      <c r="G156" s="13" t="n"/>
      <c r="H156" s="13">
        <f>VLOOKUP(C156,'[1]Nómina Agentes'!$D:$AU,44,0)</f>
        <v/>
      </c>
      <c r="I156" s="13">
        <f>VLOOKUP(C156,'[1]Nómina Agentes'!$D$4:$H$473,5,0)</f>
        <v/>
      </c>
    </row>
    <row r="157">
      <c r="B157" s="13" t="inlineStr">
        <is>
          <t>S2S PREMIUM</t>
        </is>
      </c>
      <c r="C157" s="14" t="inlineStr">
        <is>
          <t>SAGRADO NICOLAS</t>
        </is>
      </c>
      <c r="D157" s="14" t="n">
        <v>606616</v>
      </c>
      <c r="E157" s="13" t="n">
        <v>34</v>
      </c>
      <c r="F157" s="13">
        <f t="array" ref="F157">(CONCATENATE(TEXT(MIN(IF('Base Avaya'!$E:$E='Operadores S2S'!$D157,'Base Avaya'!$AF:$AF)),"hh:mm")," - ",TEXT(MAX(IF('Base Avaya'!$E:$E='Operadores S2S'!$D157,'Base Avaya'!$AG:$AG)),"hh:mm")))</f>
        <v/>
      </c>
      <c r="G157" s="13" t="n"/>
      <c r="H157" s="13">
        <f>VLOOKUP(C157,'[1]Nómina Agentes'!$D:$AU,44,0)</f>
        <v/>
      </c>
      <c r="I157" s="13">
        <f>VLOOKUP(C157,'[1]Nómina Agentes'!$D$4:$H$473,5,0)</f>
        <v/>
      </c>
    </row>
    <row r="158">
      <c r="B158" s="13" t="inlineStr">
        <is>
          <t>S2S PREMIUM</t>
        </is>
      </c>
      <c r="C158" s="14" t="inlineStr">
        <is>
          <t>SALLES MATIAS</t>
        </is>
      </c>
      <c r="D158" s="14" t="n">
        <v>606644</v>
      </c>
      <c r="E158" s="13" t="n">
        <v>1</v>
      </c>
      <c r="F158" s="13">
        <f t="array" ref="F158">(CONCATENATE(TEXT(MIN(IF('Base Avaya'!$E:$E='Operadores S2S'!$D158,'Base Avaya'!$AF:$AF)),"hh:mm")," - ",TEXT(MAX(IF('Base Avaya'!$E:$E='Operadores S2S'!$D158,'Base Avaya'!$AG:$AG)),"hh:mm")))</f>
        <v/>
      </c>
      <c r="G158" s="13" t="n"/>
      <c r="H158" s="13">
        <f>VLOOKUP(C158,'[1]Nómina Agentes'!$D:$AU,44,0)</f>
        <v/>
      </c>
      <c r="I158" s="13">
        <f>VLOOKUP(C158,'[1]Nómina Agentes'!$D$4:$H$473,5,0)</f>
        <v/>
      </c>
    </row>
    <row r="159">
      <c r="B159" s="13" t="inlineStr">
        <is>
          <t>S2S PREMIUM</t>
        </is>
      </c>
      <c r="C159" s="14" t="inlineStr">
        <is>
          <t>SANCHEZ ADRIAN ALEJANDRO</t>
        </is>
      </c>
      <c r="D159" s="14" t="n">
        <v>606498</v>
      </c>
      <c r="E159" s="13" t="n">
        <v>3</v>
      </c>
      <c r="F159" s="13">
        <f t="array" ref="F159">(CONCATENATE(TEXT(MIN(IF('Base Avaya'!$E:$E='Operadores S2S'!$D159,'Base Avaya'!$AF:$AF)),"hh:mm")," - ",TEXT(MAX(IF('Base Avaya'!$E:$E='Operadores S2S'!$D159,'Base Avaya'!$AG:$AG)),"hh:mm")))</f>
        <v/>
      </c>
      <c r="G159" s="13" t="n"/>
      <c r="H159" s="13">
        <f>VLOOKUP(C159,'[1]Nómina Agentes'!$D:$AU,44,0)</f>
        <v/>
      </c>
      <c r="I159" s="13">
        <f>VLOOKUP(C159,'[1]Nómina Agentes'!$D$4:$H$473,5,0)</f>
        <v/>
      </c>
    </row>
    <row r="160">
      <c r="B160" s="13" t="inlineStr">
        <is>
          <t>S2S PREMIUM</t>
        </is>
      </c>
      <c r="C160" s="14" t="inlineStr">
        <is>
          <t>SANCHEZ JUAN MARCELO</t>
        </is>
      </c>
      <c r="D160" s="14" t="n">
        <v>606646</v>
      </c>
      <c r="E160" s="13" t="n">
        <v>16</v>
      </c>
      <c r="F160" s="13">
        <f t="array" ref="F160">(CONCATENATE(TEXT(MIN(IF('Base Avaya'!$E:$E='Operadores S2S'!$D160,'Base Avaya'!$AF:$AF)),"hh:mm")," - ",TEXT(MAX(IF('Base Avaya'!$E:$E='Operadores S2S'!$D160,'Base Avaya'!$AG:$AG)),"hh:mm")))</f>
        <v/>
      </c>
      <c r="G160" s="13" t="n"/>
      <c r="H160" s="13">
        <f>VLOOKUP(C160,'[1]Nómina Agentes'!$D:$AU,44,0)</f>
        <v/>
      </c>
      <c r="I160" s="13">
        <f>VLOOKUP(C160,'[1]Nómina Agentes'!$D$4:$H$473,5,0)</f>
        <v/>
      </c>
    </row>
    <row r="161">
      <c r="B161" s="13" t="inlineStr">
        <is>
          <t>S2S PREMIUM</t>
        </is>
      </c>
      <c r="C161" s="14" t="inlineStr">
        <is>
          <t>SOSA LUCIA CELESTE</t>
        </is>
      </c>
      <c r="D161" s="14" t="n">
        <v>605912</v>
      </c>
      <c r="E161" s="13" t="n">
        <v>8</v>
      </c>
      <c r="F161" s="13">
        <f t="array" ref="F161">(CONCATENATE(TEXT(MIN(IF('Base Avaya'!$E:$E='Operadores S2S'!$D161,'Base Avaya'!$AF:$AF)),"hh:mm")," - ",TEXT(MAX(IF('Base Avaya'!$E:$E='Operadores S2S'!$D161,'Base Avaya'!$AG:$AG)),"hh:mm")))</f>
        <v/>
      </c>
      <c r="G161" s="13" t="n"/>
      <c r="H161" s="13">
        <f>VLOOKUP(C161,'[1]Nómina Agentes'!$D:$AU,44,0)</f>
        <v/>
      </c>
      <c r="I161" s="13">
        <f>VLOOKUP(C161,'[1]Nómina Agentes'!$D$4:$H$473,5,0)</f>
        <v/>
      </c>
    </row>
    <row r="162">
      <c r="B162" s="13" t="inlineStr">
        <is>
          <t>S2S PREMIUM</t>
        </is>
      </c>
      <c r="C162" s="14" t="inlineStr">
        <is>
          <t>SOSA VALENTINA</t>
        </is>
      </c>
      <c r="D162" s="14" t="n">
        <v>605769</v>
      </c>
      <c r="E162" s="13" t="n">
        <v>6</v>
      </c>
      <c r="F162" s="13">
        <f t="array" ref="F162">(CONCATENATE(TEXT(MIN(IF('Base Avaya'!$E:$E='Operadores S2S'!$D162,'Base Avaya'!$AF:$AF)),"hh:mm")," - ",TEXT(MAX(IF('Base Avaya'!$E:$E='Operadores S2S'!$D162,'Base Avaya'!$AG:$AG)),"hh:mm")))</f>
        <v/>
      </c>
      <c r="G162" s="13" t="n"/>
      <c r="H162" s="13">
        <f>VLOOKUP(C162,'[1]Nómina Agentes'!$D:$AU,44,0)</f>
        <v/>
      </c>
      <c r="I162" s="13">
        <f>VLOOKUP(C162,'[1]Nómina Agentes'!$D$4:$H$473,5,0)</f>
        <v/>
      </c>
    </row>
    <row r="163">
      <c r="B163" s="13" t="inlineStr">
        <is>
          <t>S2S PREMIUM</t>
        </is>
      </c>
      <c r="C163" s="14" t="inlineStr">
        <is>
          <t>SOTOS LA IACONA ENZO SANTINO</t>
        </is>
      </c>
      <c r="D163" s="14" t="n">
        <v>605612</v>
      </c>
      <c r="E163" s="13" t="n">
        <v>22</v>
      </c>
      <c r="F163" s="13">
        <f t="array" ref="F163">(CONCATENATE(TEXT(MIN(IF('Base Avaya'!$E:$E='Operadores S2S'!$D200,'Base Avaya'!$AF:$AF)),"hh:mm")," - ",TEXT(MAX(IF('Base Avaya'!$E:$E='Operadores S2S'!$D200,'Base Avaya'!$AG:$AG)),"hh:mm")))</f>
        <v/>
      </c>
      <c r="G163" s="13" t="n"/>
      <c r="H163" s="13">
        <f>VLOOKUP(C163,'[1]Nómina Agentes'!$D:$AU,44,0)</f>
        <v/>
      </c>
      <c r="I163" s="13">
        <f>VLOOKUP(C163,'[1]Nómina Agentes'!$D$4:$H$473,5,0)</f>
        <v/>
      </c>
    </row>
    <row r="164">
      <c r="B164" s="13" t="inlineStr">
        <is>
          <t>S2S PREMIUM</t>
        </is>
      </c>
      <c r="C164" s="14" t="inlineStr">
        <is>
          <t>VALENZUELA MELINA GISELLE</t>
        </is>
      </c>
      <c r="D164" s="14" t="n">
        <v>605545</v>
      </c>
      <c r="E164" s="13" t="n">
        <v>23</v>
      </c>
      <c r="F164" s="13">
        <f t="array" ref="F164">(CONCATENATE(TEXT(MIN(IF('Base Avaya'!$E:$E='Operadores S2S'!$D201,'Base Avaya'!$AF:$AF)),"hh:mm")," - ",TEXT(MAX(IF('Base Avaya'!$E:$E='Operadores S2S'!$D201,'Base Avaya'!$AG:$AG)),"hh:mm")))</f>
        <v/>
      </c>
      <c r="G164" s="13" t="n"/>
      <c r="H164" s="13">
        <f>VLOOKUP(C164,'[1]Nómina Agentes'!$D:$AU,44,0)</f>
        <v/>
      </c>
      <c r="I164" s="13">
        <f>VLOOKUP(C164,'[1]Nómina Agentes'!$D$4:$H$473,5,0)</f>
        <v/>
      </c>
    </row>
    <row r="165">
      <c r="B165" s="13" t="inlineStr">
        <is>
          <t>S2S PREMIUM</t>
        </is>
      </c>
      <c r="C165" s="14" t="inlineStr">
        <is>
          <t>VARGAS CAROLINA MELANY</t>
        </is>
      </c>
      <c r="D165" s="14" t="n">
        <v>605957</v>
      </c>
      <c r="E165" s="13" t="n">
        <v>8</v>
      </c>
      <c r="F165" s="13">
        <f t="array" ref="F165">(CONCATENATE(TEXT(MIN(IF('Base Avaya'!$E:$E='Operadores S2S'!$D202,'Base Avaya'!$AF:$AF)),"hh:mm")," - ",TEXT(MAX(IF('Base Avaya'!$E:$E='Operadores S2S'!$D202,'Base Avaya'!$AG:$AG)),"hh:mm")))</f>
        <v/>
      </c>
      <c r="G165" s="13" t="n"/>
      <c r="H165" s="13">
        <f>VLOOKUP(C165,'[1]Nómina Agentes'!$D:$AU,44,0)</f>
        <v/>
      </c>
      <c r="I165" s="13">
        <f>VLOOKUP(C165,'[1]Nómina Agentes'!$D$4:$H$473,5,0)</f>
        <v/>
      </c>
    </row>
    <row r="166">
      <c r="B166" s="13" t="inlineStr">
        <is>
          <t>S2S PREMIUM</t>
        </is>
      </c>
      <c r="C166" s="14" t="inlineStr">
        <is>
          <t>VAZQUEZ ROSSI SOFIA ANAHI</t>
        </is>
      </c>
      <c r="D166" s="14" t="n">
        <v>605794</v>
      </c>
      <c r="E166" s="13" t="n">
        <v>30</v>
      </c>
      <c r="F166" s="13">
        <f t="array" ref="F166">(CONCATENATE(TEXT(MIN(IF('Base Avaya'!$E:$E='Operadores S2S'!$D203,'Base Avaya'!$AF:$AF)),"hh:mm")," - ",TEXT(MAX(IF('Base Avaya'!$E:$E='Operadores S2S'!$D203,'Base Avaya'!$AG:$AG)),"hh:mm")))</f>
        <v/>
      </c>
      <c r="G166" s="13" t="n"/>
      <c r="H166" s="13">
        <f>VLOOKUP(C166,'[1]Nómina Agentes'!$D:$AU,44,0)</f>
        <v/>
      </c>
      <c r="I166" s="13">
        <f>VLOOKUP(C166,'[1]Nómina Agentes'!$D$4:$H$473,5,0)</f>
        <v/>
      </c>
    </row>
    <row r="167">
      <c r="B167" s="13" t="inlineStr">
        <is>
          <t>S2S PREMIUM</t>
        </is>
      </c>
      <c r="C167" s="13" t="inlineStr">
        <is>
          <t>VERGARA TAMARA</t>
        </is>
      </c>
      <c r="D167" s="13" t="n">
        <v>606019</v>
      </c>
      <c r="E167" s="13" t="n">
        <v>0</v>
      </c>
      <c r="F167" s="13">
        <f t="array" ref="F167">(CONCATENATE(TEXT(MIN(IF('Base Avaya'!$E:$E='Operadores S2S'!$D204,'Base Avaya'!$AF:$AF)),"hh:mm")," - ",TEXT(MAX(IF('Base Avaya'!$E:$E='Operadores S2S'!$D204,'Base Avaya'!$AG:$AG)),"hh:mm")))</f>
        <v/>
      </c>
      <c r="G167" s="13" t="n"/>
      <c r="H167" s="13">
        <f>VLOOKUP(C167,'[1]Nómina Agentes'!$D:$AU,44,0)</f>
        <v/>
      </c>
      <c r="I167" s="13">
        <f>VLOOKUP(C167,'[1]Nómina Agentes'!$D$4:$H$473,5,0)</f>
        <v/>
      </c>
    </row>
    <row r="168">
      <c r="B168" s="13" t="inlineStr">
        <is>
          <t>S2S PREMIUM</t>
        </is>
      </c>
      <c r="C168" s="14" t="inlineStr">
        <is>
          <t>ZALAZAR BRAIAN EDGARDO</t>
        </is>
      </c>
      <c r="D168" s="14" t="n">
        <v>609727</v>
      </c>
      <c r="E168" s="13" t="n">
        <v>8</v>
      </c>
      <c r="F168" s="13">
        <f t="array" ref="F168">(CONCATENATE(TEXT(MIN(IF('Base Avaya'!$E:$E='Operadores S2S'!$D205,'Base Avaya'!$AF:$AF)),"hh:mm")," - ",TEXT(MAX(IF('Base Avaya'!$E:$E='Operadores S2S'!$D205,'Base Avaya'!$AG:$AG)),"hh:mm")))</f>
        <v/>
      </c>
      <c r="G168" s="13" t="n"/>
      <c r="H168" s="13">
        <f>VLOOKUP(C168,'[1]Nómina Agentes'!$D:$AU,44,0)</f>
        <v/>
      </c>
      <c r="I168" s="13">
        <f>VLOOKUP(C168,'[1]Nómina Agentes'!$D$4:$H$473,5,0)</f>
        <v/>
      </c>
    </row>
    <row r="169">
      <c r="B169" s="13" t="inlineStr">
        <is>
          <t>S2S PREMIUM</t>
        </is>
      </c>
      <c r="C169" s="14" t="inlineStr">
        <is>
          <t>#N/D</t>
        </is>
      </c>
      <c r="D169" s="14" t="n">
        <v>628032</v>
      </c>
      <c r="E169" s="13" t="n">
        <v>4</v>
      </c>
      <c r="F169" s="13">
        <f t="array" ref="F169">(CONCATENATE(TEXT(MIN(IF('Base Avaya'!$E:$E='Operadores S2S'!$D206,'Base Avaya'!$AF:$AF)),"hh:mm")," - ",TEXT(MAX(IF('Base Avaya'!$E:$E='Operadores S2S'!$D206,'Base Avaya'!$AG:$AG)),"hh:mm")))</f>
        <v/>
      </c>
      <c r="G169" s="13" t="n"/>
      <c r="H169" s="13">
        <f>VLOOKUP(C169,'[1]Nómina Agentes'!$D:$AU,44,0)</f>
        <v/>
      </c>
      <c r="I169" s="13">
        <f>VLOOKUP(C169,'[1]Nómina Agentes'!$D$4:$H$473,5,0)</f>
        <v/>
      </c>
    </row>
    <row r="170">
      <c r="B170" s="13" t="inlineStr">
        <is>
          <t>S2S PREMIUM</t>
        </is>
      </c>
      <c r="C170" s="14" t="inlineStr">
        <is>
          <t>#N/D</t>
        </is>
      </c>
      <c r="D170" s="14" t="n">
        <v>628044</v>
      </c>
      <c r="E170" s="13" t="n">
        <v>6</v>
      </c>
      <c r="F170" s="13">
        <f t="array" ref="F170">(CONCATENATE(TEXT(MIN(IF('Base Avaya'!$E:$E='Operadores S2S'!$D207,'Base Avaya'!$AF:$AF)),"hh:mm")," - ",TEXT(MAX(IF('Base Avaya'!$E:$E='Operadores S2S'!$D207,'Base Avaya'!$AG:$AG)),"hh:mm")))</f>
        <v/>
      </c>
      <c r="G170" s="13" t="n"/>
      <c r="H170" s="13">
        <f>VLOOKUP(C170,'[1]Nómina Agentes'!$D:$AU,44,0)</f>
        <v/>
      </c>
      <c r="I170" s="13">
        <f>VLOOKUP(C170,'[1]Nómina Agentes'!$D$4:$H$473,5,0)</f>
        <v/>
      </c>
    </row>
    <row r="171">
      <c r="B171" s="13" t="inlineStr">
        <is>
          <t>S2S PREMIUM</t>
        </is>
      </c>
      <c r="C171" s="14" t="inlineStr">
        <is>
          <t>#N/D</t>
        </is>
      </c>
      <c r="D171" s="14" t="n">
        <v>628100</v>
      </c>
      <c r="E171" s="13" t="n">
        <v>37</v>
      </c>
      <c r="F171" s="13">
        <f t="array" ref="F171">(CONCATENATE(TEXT(MIN(IF('Base Avaya'!$E:$E='Operadores S2S'!$D208,'Base Avaya'!$AF:$AF)),"hh:mm")," - ",TEXT(MAX(IF('Base Avaya'!$E:$E='Operadores S2S'!$D208,'Base Avaya'!$AG:$AG)),"hh:mm")))</f>
        <v/>
      </c>
      <c r="G171" s="13" t="n"/>
      <c r="H171" s="13">
        <f>VLOOKUP(C171,'[1]Nómina Agentes'!$D:$AU,44,0)</f>
        <v/>
      </c>
      <c r="I171" s="13">
        <f>VLOOKUP(C171,'[1]Nómina Agentes'!$D$4:$H$473,5,0)</f>
        <v/>
      </c>
    </row>
    <row r="172">
      <c r="B172" s="13" t="inlineStr">
        <is>
          <t>S2S PREMIUM</t>
        </is>
      </c>
      <c r="C172" s="14" t="inlineStr">
        <is>
          <t>#N/D</t>
        </is>
      </c>
      <c r="D172" s="14" t="n">
        <v>628159</v>
      </c>
      <c r="E172" s="13" t="n">
        <v>5</v>
      </c>
      <c r="F172" s="13">
        <f t="array" ref="F172">(CONCATENATE(TEXT(MIN(IF('Base Avaya'!$E:$E='Operadores S2S'!$D209,'Base Avaya'!$AF:$AF)),"hh:mm")," - ",TEXT(MAX(IF('Base Avaya'!$E:$E='Operadores S2S'!$D209,'Base Avaya'!$AG:$AG)),"hh:mm")))</f>
        <v/>
      </c>
      <c r="G172" s="13" t="n"/>
      <c r="H172" s="13">
        <f>VLOOKUP(C172,'[1]Nómina Agentes'!$D:$AU,44,0)</f>
        <v/>
      </c>
      <c r="I172" s="13">
        <f>VLOOKUP(C172,'[1]Nómina Agentes'!$D$4:$H$473,5,0)</f>
        <v/>
      </c>
    </row>
    <row r="173">
      <c r="B173" s="13" t="inlineStr">
        <is>
          <t>S2S PREMIUM</t>
        </is>
      </c>
      <c r="C173" s="14" t="inlineStr">
        <is>
          <t>#N/D</t>
        </is>
      </c>
      <c r="D173" s="14" t="n">
        <v>628233</v>
      </c>
      <c r="E173" s="13" t="n">
        <v>6</v>
      </c>
      <c r="F173" s="13">
        <f t="array" ref="F173">(CONCATENATE(TEXT(MIN(IF('Base Avaya'!$E:$E='Operadores S2S'!$D210,'Base Avaya'!$AF:$AF)),"hh:mm")," - ",TEXT(MAX(IF('Base Avaya'!$E:$E='Operadores S2S'!$D210,'Base Avaya'!$AG:$AG)),"hh:mm")))</f>
        <v/>
      </c>
      <c r="G173" s="13" t="n"/>
      <c r="H173" s="13">
        <f>VLOOKUP(C173,'[1]Nómina Agentes'!$D:$AU,44,0)</f>
        <v/>
      </c>
      <c r="I173" s="13">
        <f>VLOOKUP(C173,'[1]Nómina Agentes'!$D$4:$H$473,5,0)</f>
        <v/>
      </c>
    </row>
    <row r="174">
      <c r="B174" s="13" t="inlineStr">
        <is>
          <t>S2S PREMIUM</t>
        </is>
      </c>
      <c r="C174" s="14" t="inlineStr">
        <is>
          <t>#N/D</t>
        </is>
      </c>
      <c r="D174" s="14" t="n">
        <v>628253</v>
      </c>
      <c r="E174" s="13" t="n">
        <v>7</v>
      </c>
      <c r="F174" s="13">
        <f t="array" ref="F174">(CONCATENATE(TEXT(MIN(IF('Base Avaya'!$E:$E='Operadores S2S'!$D211,'Base Avaya'!$AF:$AF)),"hh:mm")," - ",TEXT(MAX(IF('Base Avaya'!$E:$E='Operadores S2S'!$D211,'Base Avaya'!$AG:$AG)),"hh:mm")))</f>
        <v/>
      </c>
      <c r="G174" s="13" t="n"/>
      <c r="H174" s="13">
        <f>VLOOKUP(C174,'[1]Nómina Agentes'!$D:$AU,44,0)</f>
        <v/>
      </c>
      <c r="I174" s="13">
        <f>VLOOKUP(C174,'[1]Nómina Agentes'!$D$4:$H$473,5,0)</f>
        <v/>
      </c>
    </row>
    <row r="175">
      <c r="B175" s="13" t="inlineStr">
        <is>
          <t>S2S PREMIUM</t>
        </is>
      </c>
      <c r="C175" s="14" t="inlineStr">
        <is>
          <t>#N/D</t>
        </is>
      </c>
      <c r="D175" s="14" t="n">
        <v>628297</v>
      </c>
      <c r="E175" s="13" t="n">
        <v>28</v>
      </c>
      <c r="F175" s="13">
        <f t="array" ref="F175">(CONCATENATE(TEXT(MIN(IF('Base Avaya'!$E:$E='Operadores S2S'!$D212,'Base Avaya'!$AF:$AF)),"hh:mm")," - ",TEXT(MAX(IF('Base Avaya'!$E:$E='Operadores S2S'!$D212,'Base Avaya'!$AG:$AG)),"hh:mm")))</f>
        <v/>
      </c>
      <c r="G175" s="13" t="n"/>
      <c r="H175" s="13">
        <f>VLOOKUP(C175,'[1]Nómina Agentes'!$D:$AU,44,0)</f>
        <v/>
      </c>
      <c r="I175" s="13">
        <f>VLOOKUP(C175,'[1]Nómina Agentes'!$D$4:$H$473,5,0)</f>
        <v/>
      </c>
    </row>
    <row r="176">
      <c r="B176" s="13" t="inlineStr">
        <is>
          <t>S2S PREMIUM</t>
        </is>
      </c>
      <c r="C176" s="14" t="inlineStr">
        <is>
          <t>#N/D</t>
        </is>
      </c>
      <c r="D176" s="14" t="n">
        <v>628300</v>
      </c>
      <c r="E176" s="13" t="n">
        <v>3</v>
      </c>
      <c r="F176" s="13">
        <f t="array" ref="F176">(CONCATENATE(TEXT(MIN(IF('Base Avaya'!$E:$E='Operadores S2S'!$D213,'Base Avaya'!$AF:$AF)),"hh:mm")," - ",TEXT(MAX(IF('Base Avaya'!$E:$E='Operadores S2S'!$D213,'Base Avaya'!$AG:$AG)),"hh:mm")))</f>
        <v/>
      </c>
      <c r="G176" s="13" t="n"/>
      <c r="H176" s="13">
        <f>VLOOKUP(C176,'[1]Nómina Agentes'!$D:$AU,44,0)</f>
        <v/>
      </c>
      <c r="I176" s="13">
        <f>VLOOKUP(C176,'[1]Nómina Agentes'!$D$4:$H$473,5,0)</f>
        <v/>
      </c>
    </row>
    <row r="177">
      <c r="B177" s="13" t="inlineStr">
        <is>
          <t>S2S PREMIUM</t>
        </is>
      </c>
      <c r="C177" s="14" t="inlineStr">
        <is>
          <t>#N/D</t>
        </is>
      </c>
      <c r="D177" s="14" t="n">
        <v>628352</v>
      </c>
      <c r="E177" s="13" t="n">
        <v>30</v>
      </c>
      <c r="F177" s="13">
        <f t="array" ref="F177">(CONCATENATE(TEXT(MIN(IF('Base Avaya'!$E:$E='Operadores S2S'!$D214,'Base Avaya'!$AF:$AF)),"hh:mm")," - ",TEXT(MAX(IF('Base Avaya'!$E:$E='Operadores S2S'!$D214,'Base Avaya'!$AG:$AG)),"hh:mm")))</f>
        <v/>
      </c>
      <c r="G177" s="13" t="n"/>
      <c r="H177" s="13">
        <f>VLOOKUP(C177,'[1]Nómina Agentes'!$D:$AU,44,0)</f>
        <v/>
      </c>
      <c r="I177" s="13">
        <f>VLOOKUP(C177,'[1]Nómina Agentes'!$D$4:$H$473,5,0)</f>
        <v/>
      </c>
    </row>
    <row r="178">
      <c r="B178" s="13" t="inlineStr">
        <is>
          <t>S2S PREMIUM</t>
        </is>
      </c>
      <c r="C178" s="14" t="inlineStr">
        <is>
          <t>#N/D</t>
        </is>
      </c>
      <c r="D178" s="14" t="n">
        <v>628356</v>
      </c>
      <c r="E178" s="13" t="n">
        <v>22</v>
      </c>
      <c r="F178" s="13">
        <f t="array" ref="F178">(CONCATENATE(TEXT(MIN(IF('Base Avaya'!$E:$E='Operadores S2S'!$D215,'Base Avaya'!$AF:$AF)),"hh:mm")," - ",TEXT(MAX(IF('Base Avaya'!$E:$E='Operadores S2S'!$D215,'Base Avaya'!$AG:$AG)),"hh:mm")))</f>
        <v/>
      </c>
      <c r="G178" s="13" t="n"/>
      <c r="H178" s="13">
        <f>VLOOKUP(C178,'[1]Nómina Agentes'!$D:$AU,44,0)</f>
        <v/>
      </c>
      <c r="I178" s="13">
        <f>VLOOKUP(C178,'[1]Nómina Agentes'!$D$4:$H$473,5,0)</f>
        <v/>
      </c>
    </row>
    <row r="179">
      <c r="B179" s="13" t="inlineStr">
        <is>
          <t>S2S PREMIUM</t>
        </is>
      </c>
      <c r="C179" s="14" t="inlineStr">
        <is>
          <t>#N/D</t>
        </is>
      </c>
      <c r="D179" s="14" t="n">
        <v>628397</v>
      </c>
      <c r="E179" s="13" t="n">
        <v>25</v>
      </c>
      <c r="F179" s="13">
        <f t="array" ref="F179">(CONCATENATE(TEXT(MIN(IF('Base Avaya'!$E:$E='Operadores S2S'!$D216,'Base Avaya'!$AF:$AF)),"hh:mm")," - ",TEXT(MAX(IF('Base Avaya'!$E:$E='Operadores S2S'!$D216,'Base Avaya'!$AG:$AG)),"hh:mm")))</f>
        <v/>
      </c>
      <c r="G179" s="13" t="n"/>
      <c r="H179" s="13">
        <f>VLOOKUP(C179,'[1]Nómina Agentes'!$D:$AU,44,0)</f>
        <v/>
      </c>
      <c r="I179" s="13">
        <f>VLOOKUP(C179,'[1]Nómina Agentes'!$D$4:$H$473,5,0)</f>
        <v/>
      </c>
    </row>
    <row r="180">
      <c r="B180" s="13" t="inlineStr">
        <is>
          <t>S2S PREMIUM</t>
        </is>
      </c>
      <c r="C180" s="14" t="inlineStr">
        <is>
          <t>#N/D</t>
        </is>
      </c>
      <c r="D180" s="14" t="n">
        <v>628411</v>
      </c>
      <c r="E180" s="13" t="n">
        <v>16</v>
      </c>
      <c r="F180" s="13">
        <f t="array" ref="F180">(CONCATENATE(TEXT(MIN(IF('Base Avaya'!$E:$E='Operadores S2S'!$D217,'Base Avaya'!$AF:$AF)),"hh:mm")," - ",TEXT(MAX(IF('Base Avaya'!$E:$E='Operadores S2S'!$D217,'Base Avaya'!$AG:$AG)),"hh:mm")))</f>
        <v/>
      </c>
      <c r="G180" s="13" t="n"/>
      <c r="H180" s="13">
        <f>VLOOKUP(C180,'[1]Nómina Agentes'!$D:$AU,44,0)</f>
        <v/>
      </c>
      <c r="I180" s="13">
        <f>VLOOKUP(C180,'[1]Nómina Agentes'!$D$4:$H$473,5,0)</f>
        <v/>
      </c>
    </row>
    <row r="181">
      <c r="B181" s="13" t="inlineStr">
        <is>
          <t>S2S PREMIUM</t>
        </is>
      </c>
      <c r="C181" s="14" t="inlineStr">
        <is>
          <t>#N/D</t>
        </is>
      </c>
      <c r="D181" s="14" t="n">
        <v>628433</v>
      </c>
      <c r="E181" s="13" t="n">
        <v>9</v>
      </c>
      <c r="F181" s="13">
        <f t="array" ref="F181">(CONCATENATE(TEXT(MIN(IF('Base Avaya'!$E:$E='Operadores S2S'!$D218,'Base Avaya'!$AF:$AF)),"hh:mm")," - ",TEXT(MAX(IF('Base Avaya'!$E:$E='Operadores S2S'!$D218,'Base Avaya'!$AG:$AG)),"hh:mm")))</f>
        <v/>
      </c>
      <c r="G181" s="13" t="n"/>
      <c r="H181" s="13">
        <f>VLOOKUP(C181,'[1]Nómina Agentes'!$D:$AU,44,0)</f>
        <v/>
      </c>
      <c r="I181" s="13">
        <f>VLOOKUP(C181,'[1]Nómina Agentes'!$D$4:$H$473,5,0)</f>
        <v/>
      </c>
    </row>
    <row r="182">
      <c r="B182" s="13" t="inlineStr">
        <is>
          <t>S2S PREMIUM</t>
        </is>
      </c>
      <c r="C182" s="14" t="inlineStr">
        <is>
          <t>#N/D</t>
        </is>
      </c>
      <c r="D182" s="14" t="n">
        <v>628450</v>
      </c>
      <c r="E182" s="13" t="n">
        <v>31</v>
      </c>
      <c r="F182" s="13">
        <f t="array" ref="F182">(CONCATENATE(TEXT(MIN(IF('Base Avaya'!$E:$E='Operadores S2S'!$D219,'Base Avaya'!$AF:$AF)),"hh:mm")," - ",TEXT(MAX(IF('Base Avaya'!$E:$E='Operadores S2S'!$D219,'Base Avaya'!$AG:$AG)),"hh:mm")))</f>
        <v/>
      </c>
      <c r="G182" s="13" t="n"/>
      <c r="H182" s="13">
        <f>VLOOKUP(C182,'[1]Nómina Agentes'!$D:$AU,44,0)</f>
        <v/>
      </c>
      <c r="I182" s="13">
        <f>VLOOKUP(C182,'[1]Nómina Agentes'!$D$4:$H$473,5,0)</f>
        <v/>
      </c>
    </row>
    <row r="183">
      <c r="B183" s="13" t="inlineStr">
        <is>
          <t>S2S PREMIUM</t>
        </is>
      </c>
      <c r="C183" s="14" t="inlineStr">
        <is>
          <t>#N/D</t>
        </is>
      </c>
      <c r="D183" s="14" t="n">
        <v>628452</v>
      </c>
      <c r="E183" s="13" t="n">
        <v>20</v>
      </c>
      <c r="F183" s="13">
        <f t="array" ref="F183">(CONCATENATE(TEXT(MIN(IF('Base Avaya'!$E:$E='Operadores S2S'!$D220,'Base Avaya'!$AF:$AF)),"hh:mm")," - ",TEXT(MAX(IF('Base Avaya'!$E:$E='Operadores S2S'!$D220,'Base Avaya'!$AG:$AG)),"hh:mm")))</f>
        <v/>
      </c>
      <c r="G183" s="13" t="n"/>
      <c r="H183" s="13">
        <f>VLOOKUP(C183,'[1]Nómina Agentes'!$D:$AU,44,0)</f>
        <v/>
      </c>
      <c r="I183" s="13">
        <f>VLOOKUP(C183,'[1]Nómina Agentes'!$D$4:$H$473,5,0)</f>
        <v/>
      </c>
    </row>
    <row r="184">
      <c r="B184" s="13" t="inlineStr">
        <is>
          <t>S2S PREMIUM</t>
        </is>
      </c>
      <c r="C184" s="14" t="inlineStr">
        <is>
          <t>#N/D</t>
        </is>
      </c>
      <c r="D184" s="14" t="n">
        <v>628455</v>
      </c>
      <c r="E184" s="13" t="n">
        <v>4</v>
      </c>
      <c r="F184" s="13">
        <f t="array" ref="F184">(CONCATENATE(TEXT(MIN(IF('Base Avaya'!$E:$E='Operadores S2S'!$D221,'Base Avaya'!$AF:$AF)),"hh:mm")," - ",TEXT(MAX(IF('Base Avaya'!$E:$E='Operadores S2S'!$D221,'Base Avaya'!$AG:$AG)),"hh:mm")))</f>
        <v/>
      </c>
      <c r="G184" s="13" t="n"/>
      <c r="H184" s="13">
        <f>VLOOKUP(C184,'[1]Nómina Agentes'!$D:$AU,44,0)</f>
        <v/>
      </c>
      <c r="I184" s="13">
        <f>VLOOKUP(C184,'[1]Nómina Agentes'!$D$4:$H$473,5,0)</f>
        <v/>
      </c>
    </row>
    <row r="185">
      <c r="B185" s="13" t="inlineStr">
        <is>
          <t>S2S PREMIUM</t>
        </is>
      </c>
      <c r="C185" s="14" t="inlineStr">
        <is>
          <t>#N/D</t>
        </is>
      </c>
      <c r="D185" s="14" t="n">
        <v>628507</v>
      </c>
      <c r="E185" s="13" t="n">
        <v>35</v>
      </c>
    </row>
    <row r="186">
      <c r="B186" s="13" t="inlineStr">
        <is>
          <t>S2S PREMIUM</t>
        </is>
      </c>
      <c r="C186" s="14" t="inlineStr">
        <is>
          <t>#N/D</t>
        </is>
      </c>
      <c r="D186" s="14" t="n">
        <v>663252</v>
      </c>
      <c r="E186" s="13" t="n">
        <v>6</v>
      </c>
    </row>
    <row r="187">
      <c r="B187" s="13" t="inlineStr">
        <is>
          <t>S2S PREMIUM</t>
        </is>
      </c>
      <c r="C187" s="14" t="inlineStr">
        <is>
          <t>#N/D</t>
        </is>
      </c>
      <c r="D187" s="14" t="n">
        <v>663281</v>
      </c>
      <c r="E187" s="13" t="n">
        <v>27</v>
      </c>
    </row>
    <row r="188">
      <c r="B188" s="13" t="inlineStr">
        <is>
          <t>S2S PREMIUM</t>
        </is>
      </c>
      <c r="C188" s="14" t="inlineStr">
        <is>
          <t>#N/D</t>
        </is>
      </c>
      <c r="D188" s="14" t="n">
        <v>663301</v>
      </c>
      <c r="E188" s="13" t="n">
        <v>30</v>
      </c>
    </row>
    <row r="189">
      <c r="B189" s="13" t="inlineStr">
        <is>
          <t>S2S PREMIUM</t>
        </is>
      </c>
      <c r="C189" s="14" t="inlineStr">
        <is>
          <t>#N/D</t>
        </is>
      </c>
      <c r="D189" s="14" t="n">
        <v>663310</v>
      </c>
      <c r="E189" s="13" t="n">
        <v>13</v>
      </c>
    </row>
    <row r="190">
      <c r="B190" s="13" t="inlineStr">
        <is>
          <t>S2S PREMIUM</t>
        </is>
      </c>
      <c r="C190" s="14" t="inlineStr">
        <is>
          <t>#N/D</t>
        </is>
      </c>
      <c r="D190" s="14" t="n">
        <v>663324</v>
      </c>
      <c r="E190" s="13" t="n">
        <v>5</v>
      </c>
    </row>
    <row r="191">
      <c r="B191" s="13" t="inlineStr">
        <is>
          <t>S2S PREMIUM</t>
        </is>
      </c>
      <c r="C191" s="14" t="inlineStr">
        <is>
          <t>#N/D</t>
        </is>
      </c>
      <c r="D191" s="14" t="n">
        <v>663334</v>
      </c>
      <c r="E191" s="13" t="n">
        <v>33</v>
      </c>
    </row>
    <row r="192">
      <c r="B192" s="13" t="inlineStr">
        <is>
          <t>S2S PREMIUM</t>
        </is>
      </c>
      <c r="C192" s="14" t="inlineStr">
        <is>
          <t>#N/D</t>
        </is>
      </c>
      <c r="D192" s="14" t="n">
        <v>663419</v>
      </c>
      <c r="E192" s="13" t="n">
        <v>11</v>
      </c>
    </row>
    <row r="193">
      <c r="B193" s="13" t="inlineStr">
        <is>
          <t>S2S PREMIUM</t>
        </is>
      </c>
      <c r="C193" s="14" t="inlineStr">
        <is>
          <t>#N/D</t>
        </is>
      </c>
      <c r="D193" s="14" t="n">
        <v>663648</v>
      </c>
      <c r="E193" s="13" t="n">
        <v>23</v>
      </c>
    </row>
    <row r="194">
      <c r="B194" s="13" t="inlineStr">
        <is>
          <t>S2S PREMIUM</t>
        </is>
      </c>
      <c r="C194" s="14" t="inlineStr">
        <is>
          <t>#N/D</t>
        </is>
      </c>
      <c r="D194" s="14" t="n">
        <v>663649</v>
      </c>
      <c r="E194" s="13" t="n">
        <v>22</v>
      </c>
    </row>
    <row r="195">
      <c r="B195" s="13" t="inlineStr">
        <is>
          <t>S2S PREMIUM</t>
        </is>
      </c>
      <c r="C195" s="14" t="inlineStr">
        <is>
          <t>#N/D</t>
        </is>
      </c>
      <c r="D195" s="14" t="n">
        <v>663802</v>
      </c>
      <c r="E195" s="13" t="n">
        <v>17</v>
      </c>
    </row>
    <row r="196">
      <c r="B196" s="13" t="inlineStr">
        <is>
          <t>S2S PREMIUM</t>
        </is>
      </c>
      <c r="C196" s="14" t="inlineStr">
        <is>
          <t>#N/D</t>
        </is>
      </c>
      <c r="D196" s="14" t="n">
        <v>664048</v>
      </c>
      <c r="E196" s="13" t="n">
        <v>6</v>
      </c>
    </row>
    <row r="197">
      <c r="B197" s="13" t="inlineStr">
        <is>
          <t>S2S PREMIUM</t>
        </is>
      </c>
      <c r="C197" s="14" t="inlineStr">
        <is>
          <t>#N/D</t>
        </is>
      </c>
      <c r="D197" s="14" t="n">
        <v>664084</v>
      </c>
      <c r="E197" s="13" t="n">
        <v>19</v>
      </c>
    </row>
    <row r="198">
      <c r="B198" s="13" t="inlineStr">
        <is>
          <t>S2S PREMIUM</t>
        </is>
      </c>
      <c r="C198" s="14" t="inlineStr">
        <is>
          <t>#N/D</t>
        </is>
      </c>
      <c r="D198" s="14" t="n">
        <v>664495</v>
      </c>
      <c r="E198" s="13" t="n">
        <v>6</v>
      </c>
    </row>
    <row r="199">
      <c r="B199" s="13" t="inlineStr">
        <is>
          <t>S2S PREMIUM</t>
        </is>
      </c>
      <c r="C199" s="14" t="inlineStr">
        <is>
          <t>#N/D</t>
        </is>
      </c>
      <c r="D199" s="14" t="n">
        <v>664594</v>
      </c>
      <c r="E199" s="13" t="n">
        <v>3</v>
      </c>
    </row>
    <row r="200">
      <c r="B200" s="13" t="inlineStr">
        <is>
          <t>S2S PREMIUM</t>
        </is>
      </c>
      <c r="C200" s="14" t="inlineStr">
        <is>
          <t>#N/D</t>
        </is>
      </c>
      <c r="D200" s="14" t="n">
        <v>663807</v>
      </c>
      <c r="E200" s="13" t="n">
        <v>5</v>
      </c>
    </row>
    <row r="201">
      <c r="B201" s="13" t="inlineStr">
        <is>
          <t>S2S PREMIUM</t>
        </is>
      </c>
      <c r="C201" s="14" t="inlineStr">
        <is>
          <t>#N/D</t>
        </is>
      </c>
      <c r="D201" s="14" t="n">
        <v>665501</v>
      </c>
      <c r="E201" s="13" t="n">
        <v>11</v>
      </c>
    </row>
    <row r="202">
      <c r="B202" s="13" t="inlineStr">
        <is>
          <t>S2S PREMIUM</t>
        </is>
      </c>
      <c r="C202" s="14" t="inlineStr">
        <is>
          <t>#N/D</t>
        </is>
      </c>
      <c r="D202" s="14" t="n">
        <v>663510</v>
      </c>
      <c r="E202" s="13" t="n">
        <v>7</v>
      </c>
    </row>
    <row r="203">
      <c r="B203" s="13" t="inlineStr">
        <is>
          <t>S2S PREMIUM</t>
        </is>
      </c>
      <c r="C203" s="14" t="inlineStr">
        <is>
          <t>#N/D</t>
        </is>
      </c>
      <c r="D203" s="14" t="n">
        <v>663285</v>
      </c>
      <c r="E203" s="13" t="n">
        <v>5</v>
      </c>
    </row>
    <row r="204">
      <c r="B204" s="13" t="inlineStr">
        <is>
          <t>S2S PREMIUM</t>
        </is>
      </c>
      <c r="C204" s="14" t="inlineStr">
        <is>
          <t>#N/D</t>
        </is>
      </c>
      <c r="D204" s="14" t="n">
        <v>628540</v>
      </c>
      <c r="E204" s="13" t="n">
        <v>28</v>
      </c>
    </row>
    <row r="205">
      <c r="B205" s="13" t="inlineStr">
        <is>
          <t>S2S PREMIUM</t>
        </is>
      </c>
      <c r="C205" s="14" t="inlineStr">
        <is>
          <t>#N/D</t>
        </is>
      </c>
      <c r="D205" s="14" t="n">
        <v>616102</v>
      </c>
      <c r="E205" s="13" t="n">
        <v>7</v>
      </c>
    </row>
    <row r="206">
      <c r="B206" s="13" t="inlineStr">
        <is>
          <t>S2S PREMIUM</t>
        </is>
      </c>
      <c r="C206" s="14" t="inlineStr">
        <is>
          <t>#N/D</t>
        </is>
      </c>
      <c r="D206" s="14" t="n">
        <v>616528</v>
      </c>
      <c r="E206" s="13" t="n">
        <v>23</v>
      </c>
    </row>
    <row r="207">
      <c r="B207" s="13" t="inlineStr">
        <is>
          <t>S2S PREMIUM</t>
        </is>
      </c>
      <c r="C207" s="14" t="inlineStr">
        <is>
          <t>#N/D</t>
        </is>
      </c>
      <c r="D207" s="14" t="n">
        <v>628094</v>
      </c>
      <c r="E207" s="13" t="n">
        <v>15</v>
      </c>
    </row>
    <row r="208">
      <c r="B208" s="13" t="inlineStr">
        <is>
          <t>S2S PREMIUM</t>
        </is>
      </c>
      <c r="C208" s="14" t="inlineStr">
        <is>
          <t>#N/D</t>
        </is>
      </c>
      <c r="D208" s="14" t="n">
        <v>628107</v>
      </c>
      <c r="E208" s="13" t="n">
        <v>25</v>
      </c>
    </row>
    <row r="209">
      <c r="B209" s="13" t="inlineStr">
        <is>
          <t>S2S PREMIUM</t>
        </is>
      </c>
      <c r="C209" s="14" t="inlineStr">
        <is>
          <t>#N/D</t>
        </is>
      </c>
      <c r="D209" s="14" t="n">
        <v>628400</v>
      </c>
      <c r="E209" s="13" t="n">
        <v>5</v>
      </c>
    </row>
    <row r="210">
      <c r="B210" s="13" t="inlineStr">
        <is>
          <t>S2S PREMIUM</t>
        </is>
      </c>
      <c r="C210" s="14" t="inlineStr">
        <is>
          <t>#N/D</t>
        </is>
      </c>
      <c r="D210" s="14" t="n">
        <v>663591</v>
      </c>
      <c r="E210" s="13" t="n">
        <v>1</v>
      </c>
    </row>
    <row r="211">
      <c r="B211" s="13" t="inlineStr">
        <is>
          <t>S2S PREMIUM</t>
        </is>
      </c>
      <c r="C211" s="14" t="inlineStr">
        <is>
          <t>#N/D</t>
        </is>
      </c>
      <c r="D211" s="14" t="n">
        <v>69430</v>
      </c>
      <c r="E211" s="13" t="n">
        <v>17</v>
      </c>
    </row>
    <row r="212">
      <c r="B212" s="13" t="inlineStr">
        <is>
          <t>S2S PREMIUM</t>
        </is>
      </c>
      <c r="C212" s="14" t="inlineStr">
        <is>
          <t>#N/D</t>
        </is>
      </c>
      <c r="D212" s="14" t="n">
        <v>665626</v>
      </c>
      <c r="E212" s="13" t="n">
        <v>6</v>
      </c>
    </row>
    <row r="213">
      <c r="B213" s="13" t="inlineStr">
        <is>
          <t>S2S PREMIUM</t>
        </is>
      </c>
      <c r="C213" s="14" t="inlineStr">
        <is>
          <t>#N/D</t>
        </is>
      </c>
      <c r="D213" s="14" t="n">
        <v>616605</v>
      </c>
      <c r="E213" s="13" t="n">
        <v>33</v>
      </c>
    </row>
    <row r="214">
      <c r="B214" s="13" t="inlineStr">
        <is>
          <t>S2S PREMIUM</t>
        </is>
      </c>
      <c r="C214" s="14" t="inlineStr">
        <is>
          <t>#N/D</t>
        </is>
      </c>
      <c r="D214" s="14" t="n">
        <v>616602</v>
      </c>
      <c r="E214" s="13" t="n">
        <v>20</v>
      </c>
    </row>
    <row r="215">
      <c r="B215" s="13" t="inlineStr">
        <is>
          <t>S2S PREMIUM</t>
        </is>
      </c>
      <c r="C215" s="14" t="inlineStr">
        <is>
          <t>#N/D</t>
        </is>
      </c>
      <c r="D215" s="14" t="n">
        <v>628373</v>
      </c>
      <c r="E215" s="13" t="n">
        <v>13</v>
      </c>
    </row>
    <row r="216">
      <c r="B216" s="13" t="inlineStr">
        <is>
          <t>S2S PREMIUM</t>
        </is>
      </c>
      <c r="C216" s="14" t="inlineStr">
        <is>
          <t>#N/D</t>
        </is>
      </c>
      <c r="D216" s="14" t="n">
        <v>616517</v>
      </c>
      <c r="E216" s="13" t="n">
        <v>7</v>
      </c>
    </row>
    <row r="217">
      <c r="B217" s="13" t="inlineStr">
        <is>
          <t>S2S PREMIUM</t>
        </is>
      </c>
      <c r="C217" s="14" t="inlineStr">
        <is>
          <t>#N/D</t>
        </is>
      </c>
      <c r="D217" s="14" t="n">
        <v>628392</v>
      </c>
      <c r="E217" s="13" t="n">
        <v>8</v>
      </c>
    </row>
    <row r="218">
      <c r="B218" s="13" t="inlineStr">
        <is>
          <t>S2S PREMIUM</t>
        </is>
      </c>
      <c r="C218" s="14" t="inlineStr">
        <is>
          <t>#N/D</t>
        </is>
      </c>
      <c r="D218" s="14" t="n">
        <v>663283</v>
      </c>
      <c r="E218" s="13" t="n">
        <v>20</v>
      </c>
    </row>
    <row r="219">
      <c r="B219" s="13" t="inlineStr">
        <is>
          <t>S2S PREMIUM</t>
        </is>
      </c>
      <c r="C219" s="14" t="inlineStr">
        <is>
          <t>#N/D</t>
        </is>
      </c>
      <c r="D219" s="14" t="n">
        <v>628026</v>
      </c>
      <c r="E219" s="13" t="n">
        <v>4</v>
      </c>
    </row>
    <row r="220">
      <c r="B220" s="13" t="inlineStr">
        <is>
          <t>S2S PREMIUM</t>
        </is>
      </c>
      <c r="C220" s="14" t="inlineStr">
        <is>
          <t>#N/D</t>
        </is>
      </c>
      <c r="D220" s="14" t="n">
        <v>628496</v>
      </c>
      <c r="E220" s="13" t="n">
        <v>6</v>
      </c>
    </row>
    <row r="221">
      <c r="B221" s="13" t="inlineStr">
        <is>
          <t>S2S PREMIUM</t>
        </is>
      </c>
      <c r="C221" s="14" t="inlineStr">
        <is>
          <t>#N/D</t>
        </is>
      </c>
      <c r="D221" s="14" t="n">
        <v>625572</v>
      </c>
      <c r="E221" s="13" t="n">
        <v>24</v>
      </c>
    </row>
    <row r="222">
      <c r="B222" s="13" t="inlineStr">
        <is>
          <t>S2S PREMIUM</t>
        </is>
      </c>
      <c r="C222" s="14" t="inlineStr">
        <is>
          <t>#N/D</t>
        </is>
      </c>
      <c r="D222" s="14" t="n">
        <v>628262</v>
      </c>
      <c r="E222" s="13" t="n">
        <v>30</v>
      </c>
    </row>
    <row r="223">
      <c r="B223" s="13" t="inlineStr">
        <is>
          <t>S2S PREMIUM</t>
        </is>
      </c>
      <c r="C223" s="14" t="inlineStr">
        <is>
          <t>#N/D</t>
        </is>
      </c>
      <c r="D223" s="14" t="n">
        <v>628315</v>
      </c>
      <c r="E223" s="13" t="n">
        <v>17</v>
      </c>
    </row>
    <row r="224">
      <c r="B224" s="13" t="inlineStr">
        <is>
          <t>S2S PREMIUM</t>
        </is>
      </c>
      <c r="C224" s="14" t="inlineStr">
        <is>
          <t>#N/D</t>
        </is>
      </c>
      <c r="D224" s="14" t="n">
        <v>628458</v>
      </c>
      <c r="E224" s="13" t="n">
        <v>1</v>
      </c>
    </row>
    <row r="225">
      <c r="B225" s="13" t="inlineStr">
        <is>
          <t>S2S PREMIUM</t>
        </is>
      </c>
      <c r="C225" s="14" t="inlineStr">
        <is>
          <t>#N/D</t>
        </is>
      </c>
      <c r="D225" s="14" t="n">
        <v>628468</v>
      </c>
      <c r="E225" s="13" t="n">
        <v>1</v>
      </c>
    </row>
    <row r="226">
      <c r="B226" s="13" t="inlineStr">
        <is>
          <t>S2S PREMIUM</t>
        </is>
      </c>
      <c r="C226" s="14" t="inlineStr">
        <is>
          <t>#N/D</t>
        </is>
      </c>
      <c r="D226" s="14" t="n">
        <v>663385</v>
      </c>
      <c r="E226" s="13" t="n">
        <v>2</v>
      </c>
    </row>
    <row r="227">
      <c r="B227" s="13" t="inlineStr">
        <is>
          <t>S2S PREMIUM</t>
        </is>
      </c>
      <c r="C227" s="14" t="inlineStr">
        <is>
          <t>#N/D</t>
        </is>
      </c>
      <c r="D227" s="14" t="n">
        <v>664517</v>
      </c>
      <c r="E227" s="13" t="n">
        <v>9</v>
      </c>
    </row>
    <row r="228">
      <c r="B228" s="13" t="inlineStr">
        <is>
          <t>S2S PREMIUM</t>
        </is>
      </c>
      <c r="C228" s="14" t="inlineStr">
        <is>
          <t>GILLES MORENA</t>
        </is>
      </c>
      <c r="D228" s="14" t="n">
        <v>605694</v>
      </c>
      <c r="E228" s="13" t="n">
        <v>10</v>
      </c>
    </row>
    <row r="229">
      <c r="B229" s="13" t="inlineStr">
        <is>
          <t>(en blanco)</t>
        </is>
      </c>
      <c r="C229" s="14" t="inlineStr">
        <is>
          <t>(en blanco)</t>
        </is>
      </c>
      <c r="D229" s="14" t="inlineStr">
        <is>
          <t>(en blanco)</t>
        </is>
      </c>
      <c r="E229" s="13" t="n"/>
    </row>
    <row r="230"/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MORLES, YOJANA</dc:creator>
  <dcterms:created xsi:type="dcterms:W3CDTF">2023-09-29T12:42:31Z</dcterms:created>
  <dcterms:modified xsi:type="dcterms:W3CDTF">2024-10-10T15:57:35Z</dcterms:modified>
  <cp:lastModifiedBy>Command-A2 (STAFF)</cp:lastModifiedBy>
</cp:coreProperties>
</file>